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media/image1.png" ContentType="image/pn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6.xml" ContentType="application/vnd.openxmlformats-officedocument.spreadsheetml.comments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comments15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PESTEL" sheetId="2" state="visible" r:id="rId4"/>
    <sheet name="Five Forces" sheetId="3" state="visible" r:id="rId5"/>
    <sheet name="KSF Scorecard" sheetId="4" state="visible" r:id="rId6"/>
    <sheet name="VRIO" sheetId="5" state="visible" r:id="rId7"/>
    <sheet name="SWOT-TOWS" sheetId="6" state="visible" r:id="rId8"/>
    <sheet name="Decision Matrix" sheetId="7" state="visible" r:id="rId9"/>
    <sheet name="Expected Value" sheetId="8" state="visible" r:id="rId10"/>
    <sheet name="Business Case" sheetId="9" state="visible" r:id="rId11"/>
    <sheet name="Risk Analysis" sheetId="10" state="visible" r:id="rId12"/>
    <sheet name="Balanced Scorecard" sheetId="11" state="visible" r:id="rId13"/>
    <sheet name="Strategy Map" sheetId="12" state="visible" r:id="rId14"/>
    <sheet name="GLO-BUS CIR" sheetId="13" state="visible" r:id="rId15"/>
    <sheet name="GLO-BUS Planner" sheetId="14" state="visible" r:id="rId16"/>
    <sheet name="Y6 Results" sheetId="15" state="visible" r:id="rId17"/>
    <sheet name="Y7 Results" sheetId="16" state="visible" r:id="rId18"/>
    <sheet name="Tracking" sheetId="17" state="visible" r:id="rId19"/>
  </sheets>
  <definedNames>
    <definedName function="false" hidden="false" name="CreditScale" vbProcedure="false">Tracking!$K$6:$K$26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Green = strategic focus (16+), amber = scenario-plan (9-15), red = monitor.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Competence trap: passes V, R and I but delivers a KSF weighted under 10% — rare and hard to copy, but not what this industry rewards.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Every objective except financial ones should drive one above it; every objective except learning-and-growth ones should be driven by one below it.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Course guardrail: incremental changes, one direction at a time. Moves bigger than this are flagged below.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sharedStrings.xml><?xml version="1.0" encoding="utf-8"?>
<sst xmlns="http://schemas.openxmlformats.org/spreadsheetml/2006/main" count="1201" uniqueCount="699">
  <si>
    <t xml:space="preserve">StratOS Workbook</t>
  </si>
  <si>
    <t xml:space="preserve">Global electric vehicles (passenger BEV and PHEV) · base company BYD</t>
  </si>
  <si>
    <t xml:space="preserve">Pre-filled from the StratOS ledger (global-ev-demo-2026, as of 2026-10-01).</t>
  </si>
  <si>
    <t xml:space="preserve">How to use</t>
  </si>
  <si>
    <t xml:space="preserve">Each sheet is one StratOS framework. Type only in the cream cells (blue text). Grey cells are formulas: they score, rank and flag automatically. Every finding should name its evidence in the Source column, the same rule StratOS follows.</t>
  </si>
  <si>
    <t xml:space="preserve">Colour key</t>
  </si>
  <si>
    <t xml:space="preserve">Blue on cream = input · black on grey = formula · green / amber / red = status.</t>
  </si>
  <si>
    <t xml:space="preserve">PESTEL</t>
  </si>
  <si>
    <t xml:space="preserve">Macro findings with impact × certainty priority and the P&amp;L line each one hits.</t>
  </si>
  <si>
    <t xml:space="preserve">Five Forces</t>
  </si>
  <si>
    <t xml:space="preserve">Sub-factor scores roll up to each force and to an industry attractiveness score.</t>
  </si>
  <si>
    <t xml:space="preserve">KSF Scorecard</t>
  </si>
  <si>
    <t xml:space="preserve">Weighted KSFs, every competitor scored, totals and rank; weights must sum to 100%.</t>
  </si>
  <si>
    <t xml:space="preserve">VRIO</t>
  </si>
  <si>
    <t xml:space="preserve">Yes / No / ? for each test; the verdict and the KSF reality check are calculated.</t>
  </si>
  <si>
    <t xml:space="preserve">SWOT-TOWS</t>
  </si>
  <si>
    <t xml:space="preserve">Four traced lists and the TOWS options that pair them.</t>
  </si>
  <si>
    <t xml:space="preserve">Decision Matrix</t>
  </si>
  <si>
    <t xml:space="preserve">Criteria weights × option scores, with a weighted total and rank; do nothing included.</t>
  </si>
  <si>
    <t xml:space="preserve">Expected Value</t>
  </si>
  <si>
    <t xml:space="preserve">Scenario probabilities × NPVs, expected NPV, worst case, maximin, value of information, and a Bayes' rule pilot check (EVSI).</t>
  </si>
  <si>
    <t xml:space="preserve">Business Case</t>
  </si>
  <si>
    <t xml:space="preserve">Driver-based cash flows, NPV, IRR and cumulative cash.</t>
  </si>
  <si>
    <t xml:space="preserve">Risk Analysis</t>
  </si>
  <si>
    <t xml:space="preserve">Exhibit Q-3: a tornado chart (which driver moves NPV most) and a 1,000-run Monte Carlo simulation (median, P10-P90, chance NPV is below zero) over your low / likely / high ranges.</t>
  </si>
  <si>
    <t xml:space="preserve">Balanced Scorecard</t>
  </si>
  <si>
    <t xml:space="preserve">Objectives and measures in four perspectives, leading vs lagging, status vs target, balance check.</t>
  </si>
  <si>
    <t xml:space="preserve">Strategy Map</t>
  </si>
  <si>
    <t xml:space="preserve">Objectives by perspective and their cause-and-effect links; picture included when built from a ledger.</t>
  </si>
  <si>
    <t xml:space="preserve">GLO-BUS CIR</t>
  </si>
  <si>
    <t xml:space="preserve">Paste the CIR figures; each company is placed in a strategic group automatically.</t>
  </si>
  <si>
    <t xml:space="preserve">Y# Results</t>
  </si>
  <si>
    <t xml:space="preserve">One tab per GLO-BUS year: the five scored KPIs against investor expectations, company and product results, market share by region, the decisions entered and the CIR.</t>
  </si>
  <si>
    <t xml:space="preserve">Tracking</t>
  </si>
  <si>
    <t xml:space="preserve">Trends across the years, pulled from the Year tabs, with charts: EPS, ROE, stock price, image and credit rating, market share, cost per unit, revenue and profit, margins.</t>
  </si>
  <si>
    <t xml:space="preserve">GLO-BUS Planner</t>
  </si>
  <si>
    <t xml:space="preserve">Plan every decision for each year in one place, in screen order; flags changes bigger than your threshold and years where price and advertising are both cut. You enter the decisions in GLO-BUS yourself; the capture skill can then check them against this plan.</t>
  </si>
  <si>
    <t xml:space="preserve">Your work stays yours</t>
  </si>
  <si>
    <t xml:space="preserve">In graded work, the inputs, choices and every Impact Summary are the student's. The workbook calculates; it never decides.</t>
  </si>
  <si>
    <t xml:space="preserve">© 2026 Brad Scheller · StratOS Strategy Lab · Apache-2.0</t>
  </si>
  <si>
    <t xml:space="preserve">PESTEL Analysis</t>
  </si>
  <si>
    <t xml:space="preserve">Macro findings, each tied to a P&amp;L line. Priority = impact × certainty (1-25).</t>
  </si>
  <si>
    <t xml:space="preserve">Pre-filled from your StratOS ledger. Blue text on cream = inputs you can change.  Black on grey = formulas (do not type over them).</t>
  </si>
  <si>
    <t xml:space="preserve">ID</t>
  </si>
  <si>
    <t xml:space="preserve">Dimension</t>
  </si>
  <si>
    <t xml:space="preserve">Finding</t>
  </si>
  <si>
    <t xml:space="preserve">Direction (+ / - / ±)</t>
  </si>
  <si>
    <t xml:space="preserve">Impact 1-5</t>
  </si>
  <si>
    <t xml:space="preserve">Certainty 1-5</t>
  </si>
  <si>
    <t xml:space="preserve">Priority</t>
  </si>
  <si>
    <t xml:space="preserve">P&amp;L line</t>
  </si>
  <si>
    <t xml:space="preserve">Source / evidence</t>
  </si>
  <si>
    <t xml:space="preserve">P1</t>
  </si>
  <si>
    <t xml:space="preserve">Economic</t>
  </si>
  <si>
    <t xml:space="preserve">Battery cell prices keep falling</t>
  </si>
  <si>
    <t xml:space="preserve">+</t>
  </si>
  <si>
    <t xml:space="preserve">cogs.inputs</t>
  </si>
  <si>
    <t xml:space="preserve">E003</t>
  </si>
  <si>
    <t xml:space="preserve">P2</t>
  </si>
  <si>
    <t xml:space="preserve">Political</t>
  </si>
  <si>
    <t xml:space="preserve">EU tariffs on China-built BEVs</t>
  </si>
  <si>
    <t xml:space="preserve">-</t>
  </si>
  <si>
    <t xml:space="preserve">tax_and_levies</t>
  </si>
  <si>
    <t xml:space="preserve">E002</t>
  </si>
  <si>
    <t xml:space="preserve">P3</t>
  </si>
  <si>
    <t xml:space="preserve">Technological</t>
  </si>
  <si>
    <t xml:space="preserve">Software-defined vehicles shift value to features</t>
  </si>
  <si>
    <t xml:space="preserve">revenue.mix</t>
  </si>
  <si>
    <t xml:space="preserve">E008</t>
  </si>
  <si>
    <t xml:space="preserve">P4</t>
  </si>
  <si>
    <t xml:space="preserve">Social</t>
  </si>
  <si>
    <t xml:space="preserve">Range and charging anxiety slow mass-market adoption</t>
  </si>
  <si>
    <t xml:space="preserve">revenue.volume</t>
  </si>
  <si>
    <t xml:space="preserve">E007</t>
  </si>
  <si>
    <t xml:space="preserve">P5</t>
  </si>
  <si>
    <t xml:space="preserve">Env</t>
  </si>
  <si>
    <t xml:space="preserve">Fleet CO2 targets push OEMs to sell more BEVs</t>
  </si>
  <si>
    <t xml:space="preserve">E005</t>
  </si>
  <si>
    <t xml:space="preserve">P6</t>
  </si>
  <si>
    <t xml:space="preserve">Legal</t>
  </si>
  <si>
    <t xml:space="preserve">Local-content rules for EU incentives</t>
  </si>
  <si>
    <t xml:space="preserve">revenue.price</t>
  </si>
  <si>
    <t xml:space="preserve">Findings</t>
  </si>
  <si>
    <t xml:space="preserve">High priority (≥16)</t>
  </si>
  <si>
    <t xml:space="preserve">Missing a source</t>
  </si>
  <si>
    <t xml:space="preserve">Porter's Five Forces</t>
  </si>
  <si>
    <t xml:space="preserve">Score each sub-factor 1 (weak force, good for profit) to 5 (strong force). A force score you enter overrides the sub-factor average.</t>
  </si>
  <si>
    <t xml:space="preserve">Force</t>
  </si>
  <si>
    <t xml:space="preserve">Sub-factor</t>
  </si>
  <si>
    <t xml:space="preserve">Score 1-5</t>
  </si>
  <si>
    <t xml:space="preserve">Evidence / source</t>
  </si>
  <si>
    <t xml:space="preserve">Competitive rivalry</t>
  </si>
  <si>
    <t xml:space="preserve">Current competition</t>
  </si>
  <si>
    <t xml:space="preserve">Market growth</t>
  </si>
  <si>
    <t xml:space="preserve">Exit barriers</t>
  </si>
  <si>
    <t xml:space="preserve">Differentiation</t>
  </si>
  <si>
    <t xml:space="preserve">Supplier power</t>
  </si>
  <si>
    <t xml:space="preserve">Supplier concentration</t>
  </si>
  <si>
    <t xml:space="preserve">Switching costs</t>
  </si>
  <si>
    <t xml:space="preserve">Forward integration</t>
  </si>
  <si>
    <t xml:space="preserve">Input uniqueness</t>
  </si>
  <si>
    <t xml:space="preserve">Buyer power</t>
  </si>
  <si>
    <t xml:space="preserve">Buyer concentration</t>
  </si>
  <si>
    <t xml:space="preserve">Purchase volume</t>
  </si>
  <si>
    <t xml:space="preserve">Price sensitivity</t>
  </si>
  <si>
    <t xml:space="preserve">Threat of new entrants</t>
  </si>
  <si>
    <t xml:space="preserve">Entry barriers</t>
  </si>
  <si>
    <t xml:space="preserve">Capital requirements</t>
  </si>
  <si>
    <t xml:space="preserve">Scale economies</t>
  </si>
  <si>
    <t xml:space="preserve">Distribution access</t>
  </si>
  <si>
    <t xml:space="preserve">Threat of substitutes</t>
  </si>
  <si>
    <t xml:space="preserve">Available substitutes</t>
  </si>
  <si>
    <t xml:space="preserve">Price-performance</t>
  </si>
  <si>
    <t xml:space="preserve">Buyer propensity</t>
  </si>
  <si>
    <t xml:space="preserve">Sub-factor average</t>
  </si>
  <si>
    <t xml:space="preserve">Your force score (optional)</t>
  </si>
  <si>
    <t xml:space="preserve">Score used</t>
  </si>
  <si>
    <t xml:space="preserve">Strength</t>
  </si>
  <si>
    <t xml:space="preserve">Horizon score (optional)</t>
  </si>
  <si>
    <t xml:space="preserve">Industry attractiveness (1-5)</t>
  </si>
  <si>
    <t xml:space="preserve">At the horizon</t>
  </si>
  <si>
    <t xml:space="preserve">Attractiveness = 6 minus the average force score (1-5; higher is more attractive).</t>
  </si>
  <si>
    <t xml:space="preserve">The horizon score appears once all five horizon scores are entered.</t>
  </si>
  <si>
    <t xml:space="preserve">Key Success Factors Scorecard</t>
  </si>
  <si>
    <t xml:space="preserve">Weights are fractions that must sum to 100%. Score each competitor 1 (weak) to 5 (strong) on each KSF.</t>
  </si>
  <si>
    <t xml:space="preserve">Key success factor</t>
  </si>
  <si>
    <t xml:space="preserve">Weight</t>
  </si>
  <si>
    <t xml:space="preserve">Traces to (force / driver)</t>
  </si>
  <si>
    <t xml:space="preserve">BYD</t>
  </si>
  <si>
    <t xml:space="preserve">Tesla</t>
  </si>
  <si>
    <t xml:space="preserve">Volkswagen Group</t>
  </si>
  <si>
    <t xml:space="preserve">Geely</t>
  </si>
  <si>
    <t xml:space="preserve">Xiaomi</t>
  </si>
  <si>
    <t xml:space="preserve">Stellantis</t>
  </si>
  <si>
    <t xml:space="preserve">K1</t>
  </si>
  <si>
    <t xml:space="preserve">Battery cost and supply</t>
  </si>
  <si>
    <t xml:space="preserve">suppliers, D1</t>
  </si>
  <si>
    <t xml:space="preserve">K2</t>
  </si>
  <si>
    <t xml:space="preserve">Software and UX</t>
  </si>
  <si>
    <t xml:space="preserve">rivalry, D3</t>
  </si>
  <si>
    <t xml:space="preserve">K3</t>
  </si>
  <si>
    <t xml:space="preserve">Local production footprint</t>
  </si>
  <si>
    <t xml:space="preserve">D2</t>
  </si>
  <si>
    <t xml:space="preserve">K4</t>
  </si>
  <si>
    <t xml:space="preserve">Brand trust in Europe</t>
  </si>
  <si>
    <t xml:space="preserve">buyers</t>
  </si>
  <si>
    <t xml:space="preserve">K5</t>
  </si>
  <si>
    <t xml:space="preserve">Charging and service network</t>
  </si>
  <si>
    <t xml:space="preserve">D3</t>
  </si>
  <si>
    <t xml:space="preserve">Weight check (must be 100%)</t>
  </si>
  <si>
    <t xml:space="preserve">Weighted score (out of 5)</t>
  </si>
  <si>
    <t xml:space="preserve">Rank</t>
  </si>
  <si>
    <t xml:space="preserve">VRIO Analysis</t>
  </si>
  <si>
    <t xml:space="preserve">Answer the four tests in order with Yes / No / ?. The verdict stops at the first No or ?. KSF weight (a fraction) drives the reality check.</t>
  </si>
  <si>
    <t xml:space="preserve">Resource or capability</t>
  </si>
  <si>
    <t xml:space="preserve">Type</t>
  </si>
  <si>
    <t xml:space="preserve">Valuable?</t>
  </si>
  <si>
    <t xml:space="preserve">Rare?</t>
  </si>
  <si>
    <t xml:space="preserve">Inimitable?</t>
  </si>
  <si>
    <t xml:space="preserve">Organized?</t>
  </si>
  <si>
    <t xml:space="preserve">Verdict</t>
  </si>
  <si>
    <t xml:space="preserve">KSF it delivers</t>
  </si>
  <si>
    <t xml:space="preserve">KSF weight</t>
  </si>
  <si>
    <t xml:space="preserve">Reality check</t>
  </si>
  <si>
    <t xml:space="preserve">Evidence</t>
  </si>
  <si>
    <t xml:space="preserve">Vertical battery integration</t>
  </si>
  <si>
    <t xml:space="preserve">capability</t>
  </si>
  <si>
    <t xml:space="preserve">Yes</t>
  </si>
  <si>
    <t xml:space="preserve">E010</t>
  </si>
  <si>
    <t xml:space="preserve">Fast model cadence</t>
  </si>
  <si>
    <t xml:space="preserve">No</t>
  </si>
  <si>
    <t xml:space="preserve">E001</t>
  </si>
  <si>
    <t xml:space="preserve">In-car software and OTA</t>
  </si>
  <si>
    <t xml:space="preserve">?</t>
  </si>
  <si>
    <t xml:space="preserve">Scale in China</t>
  </si>
  <si>
    <t xml:space="preserve">resource</t>
  </si>
  <si>
    <t xml:space="preserve">SWOT and TOWS</t>
  </si>
  <si>
    <t xml:space="preserve">Every item names the finding it came from. TOWS options pair the items by ID.</t>
  </si>
  <si>
    <t xml:space="preserve">Strengths (internal, helpful)</t>
  </si>
  <si>
    <t xml:space="preserve">Source</t>
  </si>
  <si>
    <t xml:space="preserve">Weaknesses (internal, harmful)</t>
  </si>
  <si>
    <t xml:space="preserve">S1</t>
  </si>
  <si>
    <t xml:space="preserve">Lowest cell cost in the industry</t>
  </si>
  <si>
    <t xml:space="preserve">C1</t>
  </si>
  <si>
    <t xml:space="preserve">W1</t>
  </si>
  <si>
    <t xml:space="preserve">Low brand trust in Europe</t>
  </si>
  <si>
    <t xml:space="preserve">S2</t>
  </si>
  <si>
    <t xml:space="preserve">C2</t>
  </si>
  <si>
    <t xml:space="preserve">W2</t>
  </si>
  <si>
    <t xml:space="preserve">Software lags the leaders</t>
  </si>
  <si>
    <t xml:space="preserve">C3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</si>
  <si>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</si>
  <si>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</si>
  <si>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</si>
  <si>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</si>
  <si>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</si>
  <si>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</si>
  <si>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</si>
  <si>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</si>
  <si>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Opportunities (external, helpful)</t>
  </si>
  <si>
    <t xml:space="preserve">Threats (external, harmful)</t>
  </si>
  <si>
    <t xml:space="preserve">O1</t>
  </si>
  <si>
    <t xml:space="preserve">Affordable EU compact segment is under-served</t>
  </si>
  <si>
    <t xml:space="preserve">T1</t>
  </si>
  <si>
    <t xml:space="preserve">O2</t>
  </si>
  <si>
    <t xml:space="preserve">Fleet CO2 targets lift BEV demand</t>
  </si>
  <si>
    <t xml:space="preserve">T2</t>
  </si>
  <si>
    <t xml:space="preserve">Local-content rules for incentives</t>
  </si>
  <si>
    <t xml:space="preserve">O3</t>
  </si>
  <si>
    <t xml:space="preserve">T3</t>
  </si>
  <si>
    <t xml:space="preserve">O4</t>
  </si>
  <si>
    <t xml:space="preserve">T4</t>
  </si>
  <si>
    <t xml:space="preserve">O5</t>
  </si>
  <si>
    <t xml:space="preserve">T5</t>
  </si>
  <si>
    <t xml:space="preserve">O6</t>
  </si>
  <si>
    <t xml:space="preserve">T6</t>
  </si>
  <si>
    <t xml:space="preserve">Cell</t>
  </si>
  <si>
    <t xml:space="preserve">TOWS strategic option</t>
  </si>
  <si>
    <t xml:space="preserve">Pairs (e.g. S1 × O1)</t>
  </si>
  <si>
    <t xml:space="preserve">ST</t>
  </si>
  <si>
    <t xml:space="preserve">Build an EU plant to avoid tariffs</t>
  </si>
  <si>
    <t xml:space="preserve">S1 × T1</t>
  </si>
  <si>
    <t xml:space="preserve">SO</t>
  </si>
  <si>
    <t xml:space="preserve">Launch a sub-EUR 25k compact</t>
  </si>
  <si>
    <t xml:space="preserve">S1 × O1</t>
  </si>
  <si>
    <t xml:space="preserve">WT</t>
  </si>
  <si>
    <t xml:space="preserve">Partner with a European OEM for local assembly and brand</t>
  </si>
  <si>
    <t xml:space="preserve">W1 × T2</t>
  </si>
  <si>
    <t xml:space="preserve">Weight each criterion 1-5 and score each option 1-5. Include do nothing.</t>
  </si>
  <si>
    <t xml:space="preserve">Criterion</t>
  </si>
  <si>
    <t xml:space="preserve">Weight 1-5</t>
  </si>
  <si>
    <t xml:space="preserve">Tied to goal</t>
  </si>
  <si>
    <t xml:space="preserve">A. EU plant</t>
  </si>
  <si>
    <t xml:space="preserve">B. Partner</t>
  </si>
  <si>
    <t xml:space="preserve">0. Do nothing</t>
  </si>
  <si>
    <t xml:space="preserve">Option 4</t>
  </si>
  <si>
    <t xml:space="preserve">Option 5</t>
  </si>
  <si>
    <t xml:space="preserve">Profit by 2029</t>
  </si>
  <si>
    <t xml:space="preserve">B1</t>
  </si>
  <si>
    <t xml:space="preserve">Avoids tariffs</t>
  </si>
  <si>
    <t xml:space="preserve">B2</t>
  </si>
  <si>
    <t xml:space="preserve">Capital at risk (low = good)</t>
  </si>
  <si>
    <t xml:space="preserve">Builds EU brand trust</t>
  </si>
  <si>
    <t xml:space="preserve">B3</t>
  </si>
  <si>
    <t xml:space="preserve">The matrix ranks; it does not choose. The recommendation is yours.</t>
  </si>
  <si>
    <t xml:space="preserve">Probabilities as percentages that sum to 100% per option; NPV in $M. Follows the course handout 'Choosing Among Strategic Alternatives'.</t>
  </si>
  <si>
    <t xml:space="preserve">Option</t>
  </si>
  <si>
    <t xml:space="preserve">P strong</t>
  </si>
  <si>
    <t xml:space="preserve">NPV strong ($M)</t>
  </si>
  <si>
    <t xml:space="preserve">P moderate</t>
  </si>
  <si>
    <t xml:space="preserve">NPV moderate ($M)</t>
  </si>
  <si>
    <t xml:space="preserve">P weak</t>
  </si>
  <si>
    <t xml:space="preserve">NPV weak ($M)</t>
  </si>
  <si>
    <t xml:space="preserve">Probability check</t>
  </si>
  <si>
    <t xml:space="preserve">Expected NPV ($M)</t>
  </si>
  <si>
    <t xml:space="preserve">Worst case</t>
  </si>
  <si>
    <t xml:space="preserve">Best case</t>
  </si>
  <si>
    <t xml:space="preserve">Leader on expected value</t>
  </si>
  <si>
    <t xml:space="preserve">Maximin choice (best worst case)</t>
  </si>
  <si>
    <t xml:space="preserve">Value of perfect information ($M)</t>
  </si>
  <si>
    <t xml:space="preserve">The most worth paying for a pilot that reveals the scenario first (leader's probabilities).</t>
  </si>
  <si>
    <t xml:space="preserve">Is a pilot worth it? (Bayes' rule)</t>
  </si>
  <si>
    <t xml:space="preserve">How likely the pilot shows each result IF that scenario is real. Each row sums to 100%. Uses the first option's scenario probabilities as the prior.</t>
  </si>
  <si>
    <t xml:space="preserve">Scenario</t>
  </si>
  <si>
    <t xml:space="preserve">Prior</t>
  </si>
  <si>
    <t xml:space="preserve">P(positive | scenario)</t>
  </si>
  <si>
    <t xml:space="preserve">P(negative | scenario)</t>
  </si>
  <si>
    <t xml:space="preserve">Row check</t>
  </si>
  <si>
    <t xml:space="preserve">Posterior if positive</t>
  </si>
  <si>
    <t xml:space="preserve">Posterior if negative</t>
  </si>
  <si>
    <t xml:space="preserve">Strong</t>
  </si>
  <si>
    <t xml:space="preserve">Moderate</t>
  </si>
  <si>
    <t xml:space="preserve">Weak</t>
  </si>
  <si>
    <t xml:space="preserve">P(result)</t>
  </si>
  <si>
    <t xml:space="preserve">Expected NPV now</t>
  </si>
  <si>
    <t xml:space="preserve">If positive</t>
  </si>
  <si>
    <t xml:space="preserve">If negative</t>
  </si>
  <si>
    <t xml:space="preserve">Best option if the pilot is positive</t>
  </si>
  <si>
    <t xml:space="preserve">If both results point to the same option, the pilot cannot change the choice and is worth nothing for this decision.</t>
  </si>
  <si>
    <t xml:space="preserve">Best option if the pilot is negative</t>
  </si>
  <si>
    <t xml:space="preserve">Expected NPV with the pilot ($M)</t>
  </si>
  <si>
    <t xml:space="preserve">Value of the pilot, EVSI ($M)</t>
  </si>
  <si>
    <t xml:space="preserve">Pilot cost ($M)</t>
  </si>
  <si>
    <t xml:space="preserve">Net value of running the pilot ($M)</t>
  </si>
  <si>
    <t xml:space="preserve">Share of perfect information</t>
  </si>
  <si>
    <t xml:space="preserve">One option. Year 0 is the investment year. Working capital is released in the final year. Money in $.</t>
  </si>
  <si>
    <t xml:space="preserve">Option: A. EU plant (from the ledger)</t>
  </si>
  <si>
    <t xml:space="preserve">Assumptions</t>
  </si>
  <si>
    <t xml:space="preserve">Discount rate</t>
  </si>
  <si>
    <t xml:space="preserve">Tax rate</t>
  </si>
  <si>
    <t xml:space="preserve">Working capital (% of revenue)</t>
  </si>
  <si>
    <t xml:space="preserve">$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</si>
  <si>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</si>
  <si>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</si>
  <si>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</si>
  <si>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</si>
  <si>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</si>
  <si>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</si>
  <si>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Units</t>
  </si>
  <si>
    <t xml:space="preserve">Price per unit</t>
  </si>
  <si>
    <t xml:space="preserve">Variable cost per unit</t>
  </si>
  <si>
    <t xml:space="preserve">Fixed costs</t>
  </si>
  <si>
    <t xml:space="preserve">Capex</t>
  </si>
  <si>
    <t xml:space="preserve">Revenue</t>
  </si>
  <si>
    <t xml:space="preserve">Contribution</t>
  </si>
  <si>
    <t xml:space="preserve">Operating profit (EBIT)</t>
  </si>
  <si>
    <t xml:space="preserve">Tax</t>
  </si>
  <si>
    <t xml:space="preserve">Working capital</t>
  </si>
  <si>
    <t xml:space="preserve">Change in working capital</t>
  </si>
  <si>
    <t xml:space="preserve">Cash flow</t>
  </si>
  <si>
    <t xml:space="preserve">Cumulative cash flow</t>
  </si>
  <si>
    <t xml:space="preserve">NPV</t>
  </si>
  <si>
    <t xml:space="preserve">IRR</t>
  </si>
  <si>
    <t xml:space="preserve">Clears the hurdle?</t>
  </si>
  <si>
    <t xml:space="preserve">State the break-even in words in your exhibit (the Business Case skill computes it).</t>
  </si>
  <si>
    <t xml:space="preserve">Risk Analysis (Exhibit Q-3)</t>
  </si>
  <si>
    <t xml:space="preserve">Works on the Business Case sheet. Set a low / likely / high for each driver: % change from plan, except the discount rate (an absolute rate). Blank = no uncertainty.</t>
  </si>
  <si>
    <t xml:space="preserve">Driver</t>
  </si>
  <si>
    <t xml:space="preserve">Low</t>
  </si>
  <si>
    <t xml:space="preserve">Likely</t>
  </si>
  <si>
    <t xml:space="preserve">High</t>
  </si>
  <si>
    <t xml:space="preserve">Eff. low</t>
  </si>
  <si>
    <t xml:space="preserve">Eff. likely</t>
  </si>
  <si>
    <t xml:space="preserve">Eff. high</t>
  </si>
  <si>
    <t xml:space="preserve">Discount rate (absolute)</t>
  </si>
  <si>
    <t xml:space="preserve">Range check</t>
  </si>
  <si>
    <t xml:space="preserve">Tornado: NPV with one driver at its low or high, the others at plan</t>
  </si>
  <si>
    <t xml:space="preserve">Price ×</t>
  </si>
  <si>
    <t xml:space="preserve">Units ×</t>
  </si>
  <si>
    <t xml:space="preserve">Var. cost ×</t>
  </si>
  <si>
    <t xml:space="preserve">Fixed ×</t>
  </si>
  <si>
    <t xml:space="preserve">Capex ×</t>
  </si>
  <si>
    <t xml:space="preserve">Rate</t>
  </si>
  <si>
    <t xml:space="preserve">CF Y0</t>
  </si>
  <si>
    <t xml:space="preserve">CF Y1</t>
  </si>
  <si>
    <t xml:space="preserve">CF Y2</t>
  </si>
  <si>
    <t xml:space="preserve">CF Y3</t>
  </si>
  <si>
    <t xml:space="preserve">CF Y4</t>
  </si>
  <si>
    <t xml:space="preserve">CF Y5</t>
  </si>
  <si>
    <t xml:space="preserve">Plan</t>
  </si>
  <si>
    <t xml:space="preserve">Price per unit low</t>
  </si>
  <si>
    <t xml:space="preserve">Price per unit high</t>
  </si>
  <si>
    <t xml:space="preserve">Units low</t>
  </si>
  <si>
    <t xml:space="preserve">Units high</t>
  </si>
  <si>
    <t xml:space="preserve">Variable cost per unit low</t>
  </si>
  <si>
    <t xml:space="preserve">Variable cost per unit high</t>
  </si>
  <si>
    <t xml:space="preserve">Fixed costs low</t>
  </si>
  <si>
    <t xml:space="preserve">Fixed costs high</t>
  </si>
  <si>
    <t xml:space="preserve">Capex low</t>
  </si>
  <si>
    <t xml:space="preserve">Capex high</t>
  </si>
  <si>
    <t xml:space="preserve">Discount rate (absolute) low</t>
  </si>
  <si>
    <t xml:space="preserve">Discount rate (absolute) high</t>
  </si>
  <si>
    <t xml:space="preserve">Tornado table (sorted by swing; the chart reads this)</t>
  </si>
  <si>
    <t xml:space="preserve">NPV at low</t>
  </si>
  <si>
    <t xml:space="preserve">NPV at high</t>
  </si>
  <si>
    <t xml:space="preserve">Swing</t>
  </si>
  <si>
    <t xml:space="preserve">Low − plan</t>
  </si>
  <si>
    <t xml:space="preserve">High − plan</t>
  </si>
  <si>
    <t xml:space="preserve">Crosses zero?</t>
  </si>
  <si>
    <t xml:space="preserve">Rank key</t>
  </si>
  <si>
    <t xml:space="preserve">Helper (unsorted)</t>
  </si>
  <si>
    <t xml:space="preserve">Monte Carlo simulation: 1,000 futures, each driver drawn from a triangular (low, likely, high) distribution. Press F9 to draw again; results move slightly each time.</t>
  </si>
  <si>
    <t xml:space="preserve">Mean NPV</t>
  </si>
  <si>
    <t xml:space="preserve">Median NPV</t>
  </si>
  <si>
    <t xml:space="preserve">P10 (1 in 10 worse than this)</t>
  </si>
  <si>
    <t xml:space="preserve">P90 (1 in 10 better than this)</t>
  </si>
  <si>
    <t xml:space="preserve">Standard deviation</t>
  </si>
  <si>
    <t xml:space="preserve">Probability NPV &lt; 0</t>
  </si>
  <si>
    <t xml:space="preserve">NPV at plan (for comparison)</t>
  </si>
  <si>
    <t xml:space="preserve">Drivers are drawn independently. If two move together (e.g. a price cut that lifts volume), the real spread differs. For exact, repeatable figures use the Business Case skill's risk_analysis.py.</t>
  </si>
  <si>
    <t xml:space="preserve">Bin from</t>
  </si>
  <si>
    <t xml:space="preserve">Bin to</t>
  </si>
  <si>
    <t xml:space="preserve">Count</t>
  </si>
  <si>
    <t xml:space="preserve">Run</t>
  </si>
  <si>
    <t xml:space="preserve">Random 1</t>
  </si>
  <si>
    <t xml:space="preserve">Random 2</t>
  </si>
  <si>
    <t xml:space="preserve">Random 3</t>
  </si>
  <si>
    <t xml:space="preserve">Random 4</t>
  </si>
  <si>
    <t xml:space="preserve">Random 5</t>
  </si>
  <si>
    <t xml:space="preserve">Random 6</t>
  </si>
  <si>
    <t xml:space="preserve">1-2 measures per objective, 8-16 in all. Status: on target ≥100% of target, caution 90-99%, below plan &lt;90% (inverted when lower is better).</t>
  </si>
  <si>
    <t xml:space="preserve">Perspective</t>
  </si>
  <si>
    <t xml:space="preserve">Objective</t>
  </si>
  <si>
    <t xml:space="preserve">Measure</t>
  </si>
  <si>
    <t xml:space="preserve">Leading / lagging</t>
  </si>
  <si>
    <t xml:space="preserve">Better when</t>
  </si>
  <si>
    <t xml:space="preserve">Target</t>
  </si>
  <si>
    <t xml:space="preserve">Actual</t>
  </si>
  <si>
    <t xml:space="preserve">% of target</t>
  </si>
  <si>
    <t xml:space="preserve">Status</t>
  </si>
  <si>
    <t xml:space="preserve">Owner</t>
  </si>
  <si>
    <t xml:space="preserve">Initiative</t>
  </si>
  <si>
    <t xml:space="preserve">Traces to</t>
  </si>
  <si>
    <t xml:space="preserve">Financial</t>
  </si>
  <si>
    <t xml:space="preserve">Profitable EU growth</t>
  </si>
  <si>
    <t xml:space="preserve">EU operating margin</t>
  </si>
  <si>
    <t xml:space="preserve">Lagging</t>
  </si>
  <si>
    <t xml:space="preserve">Higher</t>
  </si>
  <si>
    <t xml:space="preserve">CFO</t>
  </si>
  <si>
    <t xml:space="preserve">Customer</t>
  </si>
  <si>
    <t xml:space="preserve">Value choice below EUR 30k</t>
  </si>
  <si>
    <t xml:space="preserve">EU registrations (000s)</t>
  </si>
  <si>
    <t xml:space="preserve">CMO</t>
  </si>
  <si>
    <t xml:space="preserve">Internal process</t>
  </si>
  <si>
    <t xml:space="preserve">Local cell supply</t>
  </si>
  <si>
    <t xml:space="preserve">Local cell share</t>
  </si>
  <si>
    <t xml:space="preserve">Leading</t>
  </si>
  <si>
    <t xml:space="preserve">COO</t>
  </si>
  <si>
    <t xml:space="preserve">Learning and growth</t>
  </si>
  <si>
    <t xml:space="preserve">EU plant workforce</t>
  </si>
  <si>
    <t xml:space="preserve">Trained line staff</t>
  </si>
  <si>
    <t xml:space="preserve">CHRO</t>
  </si>
  <si>
    <t xml:space="preserve">Balance check</t>
  </si>
  <si>
    <t xml:space="preserve">Measures</t>
  </si>
  <si>
    <t xml:space="preserve">Share that are leading</t>
  </si>
  <si>
    <t xml:space="preserve">Measures with no owner</t>
  </si>
  <si>
    <t xml:space="preserve">Objectives by perspective, bottom to top. 'Drives' lists the IDs of the objectives each one leads to in the level above.</t>
  </si>
  <si>
    <t xml:space="preserve">Drives (IDs, ; separated)</t>
  </si>
  <si>
    <t xml:space="preserve">Check</t>
  </si>
  <si>
    <t xml:space="preserve">F1</t>
  </si>
  <si>
    <t xml:space="preserve">I1</t>
  </si>
  <si>
    <t xml:space="preserve">L1</t>
  </si>
  <si>
    <t xml:space="preserve">GLO-BUS Competitive Intelligence Report</t>
  </si>
  <si>
    <t xml:space="preserve">One row per company and product. Groups are set against the share-weighted industry average for that product. Analogues, not answers: you decide.</t>
  </si>
  <si>
    <t xml:space="preserve">From the capture of Year 7</t>
  </si>
  <si>
    <t xml:space="preserve">Company</t>
  </si>
  <si>
    <t xml:space="preserve">Product</t>
  </si>
  <si>
    <t xml:space="preserve">Price ($)</t>
  </si>
  <si>
    <t xml:space="preserve">P/Q (stars)</t>
  </si>
  <si>
    <t xml:space="preserve">Share (%)</t>
  </si>
  <si>
    <t xml:space="preserve">Models</t>
  </si>
  <si>
    <t xml:space="preserve">Strategic group</t>
  </si>
  <si>
    <t xml:space="preserve">A</t>
  </si>
  <si>
    <t xml:space="preserve">Camera</t>
  </si>
  <si>
    <t xml:space="preserve">Drone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</si>
  <si>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</si>
  <si>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</si>
  <si>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</si>
  <si>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</si>
  <si>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</si>
  <si>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</si>
  <si>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</si>
  <si>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Industry averages (share-weighted)</t>
  </si>
  <si>
    <t xml:space="preserve">Price</t>
  </si>
  <si>
    <t xml:space="preserve">P/Q</t>
  </si>
  <si>
    <t xml:space="preserve">GLO-BUS Decision Planner</t>
  </si>
  <si>
    <t xml:space="preserve">Plan each year's decisions here, test them in the game's projections, then enter them in GLO-BUS screen by screen in this order. Your team makes and enters every decision.</t>
  </si>
  <si>
    <t xml:space="preserve">Change threshold for the incremental-change check:</t>
  </si>
  <si>
    <t xml:space="preserve">Key (do not edit)</t>
  </si>
  <si>
    <t xml:space="preserve">Decision area</t>
  </si>
  <si>
    <t xml:space="preserve">Decision</t>
  </si>
  <si>
    <t xml:space="preserve">Unit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</si>
  <si>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</si>
  <si>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</si>
  <si>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</si>
  <si>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</si>
  <si>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</si>
  <si>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Year 11</t>
  </si>
  <si>
    <t xml:space="preserve">Year 12</t>
  </si>
  <si>
    <t xml:space="preserve">Year 13</t>
  </si>
  <si>
    <t xml:space="preserve">Year 14</t>
  </si>
  <si>
    <t xml:space="preserve">Year 15</t>
  </si>
  <si>
    <t xml:space="preserve">strategy.camera</t>
  </si>
  <si>
    <t xml:space="preserve">Strategy anchor</t>
  </si>
  <si>
    <t xml:space="preserve">Strategy (Cameras)</t>
  </si>
  <si>
    <t xml:space="preserve">text</t>
  </si>
  <si>
    <t xml:space="preserve">Best-cost</t>
  </si>
  <si>
    <t xml:space="preserve">strategy.drone</t>
  </si>
  <si>
    <t xml:space="preserve">Strategy (Drones)</t>
  </si>
  <si>
    <t xml:space="preserve">Focused differentiation</t>
  </si>
  <si>
    <t xml:space="preserve">design.camera.pq</t>
  </si>
  <si>
    <t xml:space="preserve">Product design</t>
  </si>
  <si>
    <t xml:space="preserve">P/Q rating target (Cameras)</t>
  </si>
  <si>
    <t xml:space="preserve">stars</t>
  </si>
  <si>
    <t xml:space="preserve">design.drone.pq</t>
  </si>
  <si>
    <t xml:space="preserve">P/Q rating target (Drones)</t>
  </si>
  <si>
    <t xml:space="preserve">design.camera.models</t>
  </si>
  <si>
    <t xml:space="preserve">Number of models (Cameras)</t>
  </si>
  <si>
    <t xml:space="preserve">count</t>
  </si>
  <si>
    <t xml:space="preserve">design.drone.models</t>
  </si>
  <si>
    <t xml:space="preserve">Number of models (Drones)</t>
  </si>
  <si>
    <t xml:space="preserve">design.camera.rd</t>
  </si>
  <si>
    <t xml:space="preserve">R&amp;D / component quality spend (Cameras)</t>
  </si>
  <si>
    <t xml:space="preserve">$000s</t>
  </si>
  <si>
    <t xml:space="preserve">design.drone.rd</t>
  </si>
  <si>
    <t xml:space="preserve">R&amp;D / component quality spend (Drones)</t>
  </si>
  <si>
    <t xml:space="preserve">mkt.camera.na.price</t>
  </si>
  <si>
    <t xml:space="preserve">Marketing</t>
  </si>
  <si>
    <t xml:space="preserve">Price (Cameras, North America)</t>
  </si>
  <si>
    <t xml:space="preserve">mkt.camera.ea.price</t>
  </si>
  <si>
    <t xml:space="preserve">Price (Cameras, Europe-Africa)</t>
  </si>
  <si>
    <t xml:space="preserve">mkt.camera.ap.price</t>
  </si>
  <si>
    <t xml:space="preserve">Price (Cameras, Asia-Pacific)</t>
  </si>
  <si>
    <t xml:space="preserve">mkt.camera.la.price</t>
  </si>
  <si>
    <t xml:space="preserve">Price (Cameras, Latin America)</t>
  </si>
  <si>
    <t xml:space="preserve">mkt.drone.na.price</t>
  </si>
  <si>
    <t xml:space="preserve">Price (Drones, North America)</t>
  </si>
  <si>
    <t xml:space="preserve">mkt.drone.ea.price</t>
  </si>
  <si>
    <t xml:space="preserve">Price (Drones, Europe-Africa)</t>
  </si>
  <si>
    <t xml:space="preserve">mkt.drone.ap.price</t>
  </si>
  <si>
    <t xml:space="preserve">Price (Drones, Asia-Pacific)</t>
  </si>
  <si>
    <t xml:space="preserve">mkt.drone.la.price</t>
  </si>
  <si>
    <t xml:space="preserve">Price (Drones, Latin America)</t>
  </si>
  <si>
    <t xml:space="preserve">mkt.camera.na.ads</t>
  </si>
  <si>
    <t xml:space="preserve">Advertising (Cameras, North America)</t>
  </si>
  <si>
    <t xml:space="preserve">mkt.camera.ea.ads</t>
  </si>
  <si>
    <t xml:space="preserve">Advertising (Cameras, Europe-Africa)</t>
  </si>
  <si>
    <t xml:space="preserve">mkt.camera.ap.ads</t>
  </si>
  <si>
    <t xml:space="preserve">Advertising (Cameras, Asia-Pacific)</t>
  </si>
  <si>
    <t xml:space="preserve">mkt.camera.la.ads</t>
  </si>
  <si>
    <t xml:space="preserve">Advertising (Cameras, Latin America)</t>
  </si>
  <si>
    <t xml:space="preserve">mkt.drone.na.ads</t>
  </si>
  <si>
    <t xml:space="preserve">Advertising (Drones, North America)</t>
  </si>
  <si>
    <t xml:space="preserve">mkt.drone.ea.ads</t>
  </si>
  <si>
    <t xml:space="preserve">Advertising (Drones, Europe-Africa)</t>
  </si>
  <si>
    <t xml:space="preserve">mkt.drone.ap.ads</t>
  </si>
  <si>
    <t xml:space="preserve">Advertising (Drones, Asia-Pacific)</t>
  </si>
  <si>
    <t xml:space="preserve">mkt.drone.la.ads</t>
  </si>
  <si>
    <t xml:space="preserve">Advertising (Drones, Latin America)</t>
  </si>
  <si>
    <t xml:space="preserve">mkt.camera.na.promo</t>
  </si>
  <si>
    <t xml:space="preserve">Retailer support / promotions (Cameras, North America)</t>
  </si>
  <si>
    <t xml:space="preserve">per screen</t>
  </si>
  <si>
    <t xml:space="preserve">mkt.camera.ea.promo</t>
  </si>
  <si>
    <t xml:space="preserve">Retailer support / promotions (Cameras, Europe-Africa)</t>
  </si>
  <si>
    <t xml:space="preserve">mkt.camera.ap.promo</t>
  </si>
  <si>
    <t xml:space="preserve">Retailer support / promotions (Cameras, Asia-Pacific)</t>
  </si>
  <si>
    <t xml:space="preserve">mkt.camera.la.promo</t>
  </si>
  <si>
    <t xml:space="preserve">Retailer support / promotions (Cameras, Latin America)</t>
  </si>
  <si>
    <t xml:space="preserve">mkt.drone.na.promo</t>
  </si>
  <si>
    <t xml:space="preserve">Retailer support / promotions (Drones, North America)</t>
  </si>
  <si>
    <t xml:space="preserve">mkt.drone.ea.promo</t>
  </si>
  <si>
    <t xml:space="preserve">Retailer support / promotions (Drones, Europe-Africa)</t>
  </si>
  <si>
    <t xml:space="preserve">mkt.drone.ap.promo</t>
  </si>
  <si>
    <t xml:space="preserve">Retailer support / promotions (Drones, Asia-Pacific)</t>
  </si>
  <si>
    <t xml:space="preserve">mkt.drone.la.promo</t>
  </si>
  <si>
    <t xml:space="preserve">Retailer support / promotions (Drones, Latin America)</t>
  </si>
  <si>
    <t xml:space="preserve">mkt.camera.na.warranty</t>
  </si>
  <si>
    <t xml:space="preserve">Warranty (Cameras, North America)</t>
  </si>
  <si>
    <t xml:space="preserve">days</t>
  </si>
  <si>
    <t xml:space="preserve">mkt.camera.ea.warranty</t>
  </si>
  <si>
    <t xml:space="preserve">Warranty (Cameras, Europe-Africa)</t>
  </si>
  <si>
    <t xml:space="preserve">mkt.camera.ap.warranty</t>
  </si>
  <si>
    <t xml:space="preserve">Warranty (Cameras, Asia-Pacific)</t>
  </si>
  <si>
    <t xml:space="preserve">mkt.camera.la.warranty</t>
  </si>
  <si>
    <t xml:space="preserve">Warranty (Cameras, Latin America)</t>
  </si>
  <si>
    <t xml:space="preserve">mkt.drone.na.warranty</t>
  </si>
  <si>
    <t xml:space="preserve">Warranty (Drones, North America)</t>
  </si>
  <si>
    <t xml:space="preserve">mkt.drone.ea.warranty</t>
  </si>
  <si>
    <t xml:space="preserve">Warranty (Drones, Europe-Africa)</t>
  </si>
  <si>
    <t xml:space="preserve">mkt.drone.ap.warranty</t>
  </si>
  <si>
    <t xml:space="preserve">Warranty (Drones, Asia-Pacific)</t>
  </si>
  <si>
    <t xml:space="preserve">mkt.drone.la.warranty</t>
  </si>
  <si>
    <t xml:space="preserve">Warranty (Drones, Latin America)</t>
  </si>
  <si>
    <t xml:space="preserve">ops.camera.workstations</t>
  </si>
  <si>
    <t xml:space="preserve">Assembly operations</t>
  </si>
  <si>
    <t xml:space="preserve">Workstations (Cameras)</t>
  </si>
  <si>
    <t xml:space="preserve">ops.drone.workstations</t>
  </si>
  <si>
    <t xml:space="preserve">Workstations (Drones)</t>
  </si>
  <si>
    <t xml:space="preserve">ops.camera.overtime</t>
  </si>
  <si>
    <t xml:space="preserve">Overtime (Cameras)</t>
  </si>
  <si>
    <t xml:space="preserve">%</t>
  </si>
  <si>
    <t xml:space="preserve">ops.drone.overtime</t>
  </si>
  <si>
    <t xml:space="preserve">Overtime (Drones)</t>
  </si>
  <si>
    <t xml:space="preserve">ops.camera.training</t>
  </si>
  <si>
    <t xml:space="preserve">Best-practice training (Cameras)</t>
  </si>
  <si>
    <t xml:space="preserve">$ per worker</t>
  </si>
  <si>
    <t xml:space="preserve">ops.drone.training</t>
  </si>
  <si>
    <t xml:space="preserve">Best-practice training (Drones)</t>
  </si>
  <si>
    <t xml:space="preserve">comp.base</t>
  </si>
  <si>
    <t xml:space="preserve">Compensation</t>
  </si>
  <si>
    <t xml:space="preserve">Base wage</t>
  </si>
  <si>
    <t xml:space="preserve">comp.incentive</t>
  </si>
  <si>
    <t xml:space="preserve">Incentive pay</t>
  </si>
  <si>
    <t xml:space="preserve">$ per unit</t>
  </si>
  <si>
    <t xml:space="preserve">comp.fringe</t>
  </si>
  <si>
    <t xml:space="preserve">Fringe benefits</t>
  </si>
  <si>
    <t xml:space="preserve">csr.budget</t>
  </si>
  <si>
    <t xml:space="preserve">Corporate citizenship</t>
  </si>
  <si>
    <t xml:space="preserve">CSR / citizenship spending</t>
  </si>
  <si>
    <t xml:space="preserve">csr.programs</t>
  </si>
  <si>
    <t xml:space="preserve">Programs in place</t>
  </si>
  <si>
    <t xml:space="preserve">fin.st_loan</t>
  </si>
  <si>
    <t xml:space="preserve">Finance</t>
  </si>
  <si>
    <t xml:space="preserve">Short-term loan</t>
  </si>
  <si>
    <t xml:space="preserve">fin.lt_loan</t>
  </si>
  <si>
    <t xml:space="preserve">Long-term loan</t>
  </si>
  <si>
    <t xml:space="preserve">fin.stock_issue</t>
  </si>
  <si>
    <t xml:space="preserve">Stock issue</t>
  </si>
  <si>
    <t xml:space="preserve">000s shares</t>
  </si>
  <si>
    <t xml:space="preserve">fin.buyback</t>
  </si>
  <si>
    <t xml:space="preserve">Stock buyback</t>
  </si>
  <si>
    <t xml:space="preserve">fin.dividend</t>
  </si>
  <si>
    <t xml:space="preserve">Dividend per share</t>
  </si>
  <si>
    <t xml:space="preserve">kpi.eps</t>
  </si>
  <si>
    <t xml:space="preserve">Projected KPIs (from the game's projections)</t>
  </si>
  <si>
    <t xml:space="preserve">Projected EPS</t>
  </si>
  <si>
    <t xml:space="preserve">kpi.roe</t>
  </si>
  <si>
    <t xml:space="preserve">Projected ROE</t>
  </si>
  <si>
    <t xml:space="preserve">kpi.stock</t>
  </si>
  <si>
    <t xml:space="preserve">Projected stock price</t>
  </si>
  <si>
    <t xml:space="preserve">kpi.credit</t>
  </si>
  <si>
    <t xml:space="preserve">Projected credit rating</t>
  </si>
  <si>
    <t xml:space="preserve">kpi.image</t>
  </si>
  <si>
    <t xml:space="preserve">Projected image rating</t>
  </si>
  <si>
    <t xml:space="preserve">score</t>
  </si>
  <si>
    <t xml:space="preserve">Change vs the year before (numbers only); amber = bigger than the threshold</t>
  </si>
  <si>
    <t xml:space="preserve">Key</t>
  </si>
  <si>
    <t xml:space="preserve">Guardrail: price and advertising cut in the same year (course rule: protect gross margin)</t>
  </si>
  <si>
    <t xml:space="preserve">Product, region</t>
  </si>
  <si>
    <t xml:space="preserve">Cameras, North America</t>
  </si>
  <si>
    <t xml:space="preserve">Cameras, Europe-Africa</t>
  </si>
  <si>
    <t xml:space="preserve">Cameras, Asia-Pacific</t>
  </si>
  <si>
    <t xml:space="preserve">Cameras, Latin America</t>
  </si>
  <si>
    <t xml:space="preserve">Drones, North America</t>
  </si>
  <si>
    <t xml:space="preserve">Drones, Europe-Africa</t>
  </si>
  <si>
    <t xml:space="preserve">Drones, Asia-Pacific</t>
  </si>
  <si>
    <t xml:space="preserve">Drones, Latin America</t>
  </si>
  <si>
    <t xml:space="preserve">How to use: 1) plan the year in its column; 2) enter the same values in GLO-BUS and test the projections; 3) record the projected KPIs; 4) after entering, run 'check our GLO-BUS entries against the plan' (GLO-BUS Capture), which reads the screens and flags any difference. Nothing is uploaded or entered for you.</t>
  </si>
  <si>
    <t xml:space="preserve">Labels follow the usual GLO-BUS screens; if your version differs, rename the Decision column but keep the Key column unchanged (the plan check uses it).</t>
  </si>
  <si>
    <t xml:space="preserve">GLO-BUS Year 6 results</t>
  </si>
  <si>
    <t xml:space="preserve">From the team's capture of this year's reports. Correct any value that was misread. Figures in the units shown; edit the cream cells.</t>
  </si>
  <si>
    <t xml:space="preserve">Scored KPI</t>
  </si>
  <si>
    <t xml:space="preserve">Investor expectation</t>
  </si>
  <si>
    <t xml:space="preserve">Gap</t>
  </si>
  <si>
    <t xml:space="preserve">Met?</t>
  </si>
  <si>
    <t xml:space="preserve">Earnings per share (EPS)</t>
  </si>
  <si>
    <t xml:space="preserve">Return on equity (ROE)</t>
  </si>
  <si>
    <t xml:space="preserve">Stock price</t>
  </si>
  <si>
    <t xml:space="preserve">Credit rating</t>
  </si>
  <si>
    <t xml:space="preserve">B+</t>
  </si>
  <si>
    <t xml:space="preserve">BB</t>
  </si>
  <si>
    <t xml:space="preserve">Image rating</t>
  </si>
  <si>
    <t xml:space="preserve">Company result</t>
  </si>
  <si>
    <t xml:space="preserve">Value</t>
  </si>
  <si>
    <t xml:space="preserve">Overall score (points)</t>
  </si>
  <si>
    <t xml:space="preserve">Rank in the industry (rank)</t>
  </si>
  <si>
    <t xml:space="preserve">Net revenues ($000s)</t>
  </si>
  <si>
    <t xml:space="preserve">Net profit ($000s)</t>
  </si>
  <si>
    <t xml:space="preserve">Ending cash ($000s)</t>
  </si>
  <si>
    <t xml:space="preserve">Product result</t>
  </si>
  <si>
    <t xml:space="preserve">Cameras</t>
  </si>
  <si>
    <t xml:space="preserve">Drones</t>
  </si>
  <si>
    <t xml:space="preserve">Units sold (000s)</t>
  </si>
  <si>
    <t xml:space="preserve">Average price ($)</t>
  </si>
  <si>
    <t xml:space="preserve">P/Q rating (stars)</t>
  </si>
  <si>
    <t xml:space="preserve">Cost per unit ($)</t>
  </si>
  <si>
    <t xml:space="preserve">Operating margin (%)</t>
  </si>
  <si>
    <t xml:space="preserve">Industry average price ($)</t>
  </si>
  <si>
    <t xml:space="preserve">Industry average P/Q (stars)</t>
  </si>
  <si>
    <t xml:space="preserve">Industry average cost per unit ($)</t>
  </si>
  <si>
    <t xml:space="preserve">Price vs industry average</t>
  </si>
  <si>
    <t xml:space="preserve">Cost per unit vs industry average</t>
  </si>
  <si>
    <t xml:space="preserve">Market share (%)</t>
  </si>
  <si>
    <t xml:space="preserve">North America</t>
  </si>
  <si>
    <t xml:space="preserve">Europe-Africa</t>
  </si>
  <si>
    <t xml:space="preserve">Asia-Pacific</t>
  </si>
  <si>
    <t xml:space="preserve">Latin America</t>
  </si>
  <si>
    <t xml:space="preserve">Average across regions</t>
  </si>
  <si>
    <t xml:space="preserve">Decision entered this year</t>
  </si>
  <si>
    <t xml:space="preserve">CIR: company</t>
  </si>
  <si>
    <t xml:space="preserve">GLO-BUS Year 7 results</t>
  </si>
  <si>
    <t xml:space="preserve">BB-</t>
  </si>
  <si>
    <t xml:space="preserve">GLO-BUS trends</t>
  </si>
  <si>
    <t xml:space="preserve">Pulled by formula from the Year tabs. Rebuild the workbook after each round to add the new year. Charts update when a Year tab changes.</t>
  </si>
  <si>
    <t xml:space="preserve">EPS</t>
  </si>
  <si>
    <t xml:space="preserve">AAA</t>
  </si>
  <si>
    <t xml:space="preserve">EPS expectation</t>
  </si>
  <si>
    <t xml:space="preserve">AA+</t>
  </si>
  <si>
    <t xml:space="preserve">ROE</t>
  </si>
  <si>
    <t xml:space="preserve">AA</t>
  </si>
  <si>
    <t xml:space="preserve">ROE expectation</t>
  </si>
  <si>
    <t xml:space="preserve">AA-</t>
  </si>
  <si>
    <t xml:space="preserve">A+</t>
  </si>
  <si>
    <t xml:space="preserve">Stock price expectation</t>
  </si>
  <si>
    <t xml:space="preserve">A-</t>
  </si>
  <si>
    <t xml:space="preserve">Credit rating score (AAA = 21)</t>
  </si>
  <si>
    <t xml:space="preserve">BBB+</t>
  </si>
  <si>
    <t xml:space="preserve">BBB</t>
  </si>
  <si>
    <t xml:space="preserve">Image rating expectation</t>
  </si>
  <si>
    <t xml:space="preserve">BBB-</t>
  </si>
  <si>
    <t xml:space="preserve">Overall score</t>
  </si>
  <si>
    <t xml:space="preserve">BB+</t>
  </si>
  <si>
    <t xml:space="preserve">Cameras: market share (avg %)</t>
  </si>
  <si>
    <t xml:space="preserve">B-</t>
  </si>
  <si>
    <t xml:space="preserve">Drones: market share (avg %)</t>
  </si>
  <si>
    <t xml:space="preserve">CCC+</t>
  </si>
  <si>
    <t xml:space="preserve">Cameras: cost per unit ($)</t>
  </si>
  <si>
    <t xml:space="preserve">CCC</t>
  </si>
  <si>
    <t xml:space="preserve">Cameras: industry cost per unit ($)</t>
  </si>
  <si>
    <t xml:space="preserve">CCC-</t>
  </si>
  <si>
    <t xml:space="preserve">Drones: cost per unit ($)</t>
  </si>
  <si>
    <t xml:space="preserve">CC</t>
  </si>
  <si>
    <t xml:space="preserve">Drones: industry cost per unit ($)</t>
  </si>
  <si>
    <t xml:space="preserve">Cameras: price ($)</t>
  </si>
  <si>
    <t xml:space="preserve">Drones: price ($)</t>
  </si>
  <si>
    <t xml:space="preserve">Cameras: P/Q</t>
  </si>
  <si>
    <t xml:space="preserve">Drones: P/Q</t>
  </si>
  <si>
    <t xml:space="preserve">Cameras: operating margin</t>
  </si>
  <si>
    <t xml:space="preserve">Drones: operating margin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</si>
</sst>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"/>
    <numFmt numFmtId="166" formatCode="0.0"/>
    <numFmt numFmtId="167" formatCode="0%"/>
    <numFmt numFmtId="168" formatCode="0.00"/>
    <numFmt numFmtId="169" formatCode="0.0%"/>
    <numFmt numFmtId="170" formatCode="#,##0"/>
    <numFmt numFmtId="171" formatCode="\$#,##0"/>
    <numFmt numFmtId="172" formatCode="\$#,##0;&quot;($&quot;#,##0\);\-"/>
    <numFmt numFmtId="173" formatCode="\$#,##0,,\M"/>
    <numFmt numFmtId="174" formatCode="General"/>
    <numFmt numFmtId="175" formatCode="#,##0.00"/>
    <numFmt numFmtId="176" formatCode="\$#,##0.00"/>
    <numFmt numFmtId="177" formatCode="\$0.00"/>
    <numFmt numFmtId="178" formatCode="\+0;\-0;0"/>
    <numFmt numFmtId="179" formatCode="\+0.0%;\-0.0%;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3557"/>
      <name val="Arial"/>
      <family val="0"/>
      <charset val="1"/>
    </font>
    <font>
      <b val="true"/>
      <sz val="12"/>
      <color rgb="FFC9A55C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1D3557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99999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8"/>
      <color rgb="FF888888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BBBBB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D3557"/>
        <bgColor rgb="FF333333"/>
      </patternFill>
    </fill>
    <fill>
      <patternFill patternType="solid">
        <fgColor rgb="FFFFF9DB"/>
        <bgColor rgb="FFFFF0C2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F0DF"/>
        </patternFill>
      </fill>
    </dxf>
    <dxf>
      <fill>
        <patternFill>
          <bgColor rgb="FFFFF0C2"/>
        </patternFill>
      </fill>
    </dxf>
    <dxf>
      <fill>
        <patternFill>
          <bgColor rgb="FFF8D7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888888"/>
      <rgbColor rgb="FFC44536"/>
      <rgbColor rgb="FFFFF9DB"/>
      <rgbColor rgb="FFEEF2F7"/>
      <rgbColor rgb="FF660066"/>
      <rgbColor rgb="FFC9A55C"/>
      <rgbColor rgb="FF0066CC"/>
      <rgbColor rgb="FFC8CD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D8F0DF"/>
      <rgbColor rgb="FFFFF0C2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D3557"/>
      <rgbColor rgb="FF2D936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Tornado: change in NPV from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'Risk Analysis'!E31</c:f>
              <c:strCache>
                <c:ptCount val="1"/>
                <c:pt idx="0">
                  <c:v>Low − plan</c:v>
                </c:pt>
              </c:strCache>
            </c:strRef>
          </c:tx>
          <c:spPr>
            <a:solidFill>
              <a:srgbClr val="c44536"/>
            </a:solidFill>
            <a:ln w="0">
              <a:solidFill>
                <a:srgbClr val="c4453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Analysis'!$E$32:$E$37</c:f>
              <c:numCache>
                <c:formatCode>\$#,##0;"($"#,##0\);\-</c:formatCode>
                <c:ptCount val="6"/>
                <c:pt idx="0">
                  <c:v>-556163357.34643</c:v>
                </c:pt>
                <c:pt idx="1">
                  <c:v>-597697671.18242</c:v>
                </c:pt>
                <c:pt idx="2">
                  <c:v>234520205.152405</c:v>
                </c:pt>
                <c:pt idx="3">
                  <c:v>113815809.898728</c:v>
                </c:pt>
                <c:pt idx="4">
                  <c:v>68958129.8795793</c:v>
                </c:pt>
                <c:pt idx="5">
                  <c:v>26952493.9304941</c:v>
                </c:pt>
              </c:numCache>
            </c:numRef>
          </c:val>
        </c:ser>
        <c:ser>
          <c:idx val="1"/>
          <c:order val="1"/>
          <c:tx>
            <c:strRef>
              <c:f>'Risk Analysis'!F31</c:f>
              <c:strCache>
                <c:ptCount val="1"/>
                <c:pt idx="0">
                  <c:v>High − plan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1d35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Analysis'!$F$32:$F$37</c:f>
              <c:numCache>
                <c:formatCode>\$#,##0;"($"#,##0\);\-</c:formatCode>
                <c:ptCount val="6"/>
                <c:pt idx="0">
                  <c:v>417122518.009823</c:v>
                </c:pt>
                <c:pt idx="1">
                  <c:v>298848835.59121</c:v>
                </c:pt>
                <c:pt idx="2">
                  <c:v>-375232328.243848</c:v>
                </c:pt>
                <c:pt idx="3">
                  <c:v>-455263239.594911</c:v>
                </c:pt>
                <c:pt idx="4">
                  <c:v>-128773005.650056</c:v>
                </c:pt>
                <c:pt idx="5">
                  <c:v>-53904987.8609881</c:v>
                </c:pt>
              </c:numCache>
            </c:numRef>
          </c:val>
        </c:ser>
        <c:gapWidth val="150"/>
        <c:overlap val="100"/>
        <c:axId val="52221029"/>
        <c:axId val="37093655"/>
      </c:barChart>
      <c:catAx>
        <c:axId val="5222102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093655"/>
        <c:crosses val="autoZero"/>
        <c:auto val="1"/>
        <c:lblAlgn val="ctr"/>
        <c:lblOffset val="100"/>
        <c:noMultiLvlLbl val="0"/>
      </c:catAx>
      <c:valAx>
        <c:axId val="37093655"/>
        <c:scaling>
          <c:orientation val="minMax"/>
        </c:scaling>
        <c:delete val="0"/>
        <c:axPos val="l"/>
        <c:numFmt formatCode="\$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2210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of simulated NPV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'Risk Analysis'!C58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Analysis'!$B$59:$B$78</c:f>
              <c:strCache>
                <c:ptCount val="20"/>
                <c:pt idx="0">
                  <c:v>-$1,053M</c:v>
                </c:pt>
                <c:pt idx="1">
                  <c:v>-$961M</c:v>
                </c:pt>
                <c:pt idx="2">
                  <c:v>-$868M</c:v>
                </c:pt>
                <c:pt idx="3">
                  <c:v>-$775M</c:v>
                </c:pt>
                <c:pt idx="4">
                  <c:v>-$682M</c:v>
                </c:pt>
                <c:pt idx="5">
                  <c:v>-$590M</c:v>
                </c:pt>
                <c:pt idx="6">
                  <c:v>-$497M</c:v>
                </c:pt>
                <c:pt idx="7">
                  <c:v>-$404M</c:v>
                </c:pt>
                <c:pt idx="8">
                  <c:v>-$312M</c:v>
                </c:pt>
                <c:pt idx="9">
                  <c:v>-$219M</c:v>
                </c:pt>
                <c:pt idx="10">
                  <c:v>-$126M</c:v>
                </c:pt>
                <c:pt idx="11">
                  <c:v>-$34M</c:v>
                </c:pt>
                <c:pt idx="12">
                  <c:v>$59M</c:v>
                </c:pt>
                <c:pt idx="13">
                  <c:v>$152M</c:v>
                </c:pt>
                <c:pt idx="14">
                  <c:v>$245M</c:v>
                </c:pt>
                <c:pt idx="15">
                  <c:v>$337M</c:v>
                </c:pt>
                <c:pt idx="16">
                  <c:v>$430M</c:v>
                </c:pt>
                <c:pt idx="17">
                  <c:v>$523M</c:v>
                </c:pt>
                <c:pt idx="18">
                  <c:v>$615M</c:v>
                </c:pt>
                <c:pt idx="19">
                  <c:v>$708M</c:v>
                </c:pt>
              </c:strCache>
            </c:strRef>
          </c:cat>
          <c:val>
            <c:numRef>
              <c:f>'Risk Analysis'!$C$59:$C$78</c:f>
              <c:numCache>
                <c:formatCode>0</c:formatCode>
                <c:ptCount val="20"/>
                <c:pt idx="0">
                  <c:v>6</c:v>
                </c:pt>
                <c:pt idx="1">
                  <c:v>11</c:v>
                </c:pt>
                <c:pt idx="2">
                  <c:v>28</c:v>
                </c:pt>
                <c:pt idx="3">
                  <c:v>33</c:v>
                </c:pt>
                <c:pt idx="4">
                  <c:v>56</c:v>
                </c:pt>
                <c:pt idx="5">
                  <c:v>82</c:v>
                </c:pt>
                <c:pt idx="6">
                  <c:v>100</c:v>
                </c:pt>
                <c:pt idx="7">
                  <c:v>94</c:v>
                </c:pt>
                <c:pt idx="8">
                  <c:v>133</c:v>
                </c:pt>
                <c:pt idx="9">
                  <c:v>118</c:v>
                </c:pt>
                <c:pt idx="10">
                  <c:v>94</c:v>
                </c:pt>
                <c:pt idx="11">
                  <c:v>89</c:v>
                </c:pt>
                <c:pt idx="12">
                  <c:v>68</c:v>
                </c:pt>
                <c:pt idx="13">
                  <c:v>38</c:v>
                </c:pt>
                <c:pt idx="14">
                  <c:v>20</c:v>
                </c:pt>
                <c:pt idx="15">
                  <c:v>16</c:v>
                </c:pt>
                <c:pt idx="16">
                  <c:v>5</c:v>
                </c:pt>
                <c:pt idx="17">
                  <c:v>6</c:v>
                </c:pt>
                <c:pt idx="18">
                  <c:v>2</c:v>
                </c:pt>
                <c:pt idx="19">
                  <c:v>1</c:v>
                </c:pt>
              </c:numCache>
            </c:numRef>
          </c:val>
        </c:ser>
        <c:gapWidth val="10"/>
        <c:overlap val="0"/>
        <c:axId val="74962572"/>
        <c:axId val="97597231"/>
      </c:barChart>
      <c:catAx>
        <c:axId val="74962572"/>
        <c:scaling>
          <c:orientation val="minMax"/>
        </c:scaling>
        <c:delete val="0"/>
        <c:axPos val="b"/>
        <c:numFmt formatCode="\$#,##0,,\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597231"/>
        <c:crosses val="autoZero"/>
        <c:auto val="1"/>
        <c:lblAlgn val="ctr"/>
        <c:lblOffset val="100"/>
        <c:noMultiLvlLbl val="0"/>
      </c:catAx>
      <c:valAx>
        <c:axId val="9759723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9625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EPS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Tracking!A6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Tracking!$B$6:$C$6</c:f>
              <c:numCache>
                <c:formatCode>\$0.00</c:formatCode>
                <c:ptCount val="2"/>
                <c:pt idx="0">
                  <c:v>1.85</c:v>
                </c:pt>
                <c:pt idx="1">
                  <c:v>2.1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Tracking!A7</c:f>
              <c:strCache>
                <c:ptCount val="1"/>
                <c:pt idx="0">
                  <c:v>EPS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Tracking!$B$7:$C$7</c:f>
              <c:numCache>
                <c:formatCode>\$0.00</c:formatCode>
                <c:ptCount val="2"/>
                <c:pt idx="0">
                  <c:v>2</c:v>
                </c:pt>
                <c:pt idx="1">
                  <c:v>2.15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0267039"/>
        <c:axId val="75852407"/>
      </c:lineChart>
      <c:catAx>
        <c:axId val="8026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852407"/>
        <c:crosses val="autoZero"/>
        <c:auto val="1"/>
        <c:lblAlgn val="ctr"/>
        <c:lblOffset val="100"/>
        <c:noMultiLvlLbl val="0"/>
      </c:catAx>
      <c:valAx>
        <c:axId val="75852407"/>
        <c:scaling>
          <c:orientation val="minMax"/>
        </c:scaling>
        <c:delete val="0"/>
        <c:axPos val="l"/>
        <c:numFmt formatCode="\$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2670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Tracking!A8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Tracking!$B$8:$C$8</c:f>
              <c:numCache>
                <c:formatCode>0.0%</c:formatCode>
                <c:ptCount val="2"/>
                <c:pt idx="0">
                  <c:v>0.142</c:v>
                </c:pt>
                <c:pt idx="1">
                  <c:v>0.155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Tracking!A9</c:f>
              <c:strCache>
                <c:ptCount val="1"/>
                <c:pt idx="0">
                  <c:v>ROE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Tracking!$B$9:$C$9</c:f>
              <c:numCache>
                <c:formatCode>0.0%</c:formatCode>
                <c:ptCount val="2"/>
                <c:pt idx="0">
                  <c:v>0.15</c:v>
                </c:pt>
                <c:pt idx="1">
                  <c:v>0.155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831222"/>
        <c:axId val="6907323"/>
      </c:lineChart>
      <c:catAx>
        <c:axId val="68312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07323"/>
        <c:crosses val="autoZero"/>
        <c:auto val="1"/>
        <c:lblAlgn val="ctr"/>
        <c:lblOffset val="100"/>
        <c:noMultiLvlLbl val="0"/>
      </c:catAx>
      <c:valAx>
        <c:axId val="69073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312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price vs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Tracking!A10</c:f>
              <c:strCache>
                <c:ptCount val="1"/>
                <c:pt idx="0">
                  <c:v>Stock price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Tracking!$B$10:$C$10</c:f>
              <c:numCache>
                <c:formatCode>\$0.00</c:formatCode>
                <c:ptCount val="2"/>
                <c:pt idx="0">
                  <c:v>22.4</c:v>
                </c:pt>
                <c:pt idx="1">
                  <c:v>26.1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Tracking!A11</c:f>
              <c:strCache>
                <c:ptCount val="1"/>
                <c:pt idx="0">
                  <c:v>Stock price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Tracking!$B$11:$C$11</c:f>
              <c:numCache>
                <c:formatCode>\$0.00</c:formatCode>
                <c:ptCount val="2"/>
                <c:pt idx="0">
                  <c:v>25</c:v>
                </c:pt>
                <c:pt idx="1">
                  <c:v>27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1278322"/>
        <c:axId val="43819360"/>
      </c:lineChart>
      <c:catAx>
        <c:axId val="612783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819360"/>
        <c:crosses val="autoZero"/>
        <c:auto val="1"/>
        <c:lblAlgn val="ctr"/>
        <c:lblOffset val="100"/>
        <c:noMultiLvlLbl val="0"/>
      </c:catAx>
      <c:valAx>
        <c:axId val="43819360"/>
        <c:scaling>
          <c:orientation val="minMax"/>
        </c:scaling>
        <c:delete val="0"/>
        <c:axPos val="l"/>
        <c:numFmt formatCode="\$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783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Image rating and credit score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Tracking!A14</c:f>
              <c:strCache>
                <c:ptCount val="1"/>
                <c:pt idx="0">
                  <c:v>Image rating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Tracking!$B$14:$C$14</c:f>
              <c:numCache>
                <c:formatCode>0</c:formatCode>
                <c:ptCount val="2"/>
                <c:pt idx="0">
                  <c:v>68</c:v>
                </c:pt>
                <c:pt idx="1">
                  <c:v>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Tracking!A15</c:f>
              <c:strCache>
                <c:ptCount val="1"/>
                <c:pt idx="0">
                  <c:v>Image rating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Tracking!$B$15:$C$15</c:f>
              <c:numCache>
                <c:formatCode>0</c:formatCode>
                <c:ptCount val="2"/>
                <c:pt idx="0">
                  <c:v>70</c:v>
                </c:pt>
                <c:pt idx="1">
                  <c:v>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Tracking!A13</c:f>
              <c:strCache>
                <c:ptCount val="1"/>
                <c:pt idx="0">
                  <c:v>Credit rating score (AAA = 21)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Tracking!$B$13:$C$13</c:f>
              <c:numCache>
                <c:formatCode>0</c:formatCode>
                <c:ptCount val="2"/>
                <c:pt idx="0">
                  <c:v>8</c:v>
                </c:pt>
                <c:pt idx="1">
                  <c:v>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2476601"/>
        <c:axId val="89722414"/>
      </c:lineChart>
      <c:catAx>
        <c:axId val="32476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22414"/>
        <c:crosses val="autoZero"/>
        <c:auto val="1"/>
        <c:lblAlgn val="ctr"/>
        <c:lblOffset val="100"/>
        <c:noMultiLvlLbl val="0"/>
      </c:catAx>
      <c:valAx>
        <c:axId val="8972241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7660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Market share (average of regions, 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Tracking!A21</c:f>
              <c:strCache>
                <c:ptCount val="1"/>
                <c:pt idx="0">
                  <c:v>Cameras: market share (avg %)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Tracking!$B$21:$C$21</c:f>
              <c:numCache>
                <c:formatCode>0.0</c:formatCode>
                <c:ptCount val="2"/>
                <c:pt idx="0">
                  <c:v>12.225</c:v>
                </c:pt>
                <c:pt idx="1">
                  <c:v>12.975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Tracking!A22</c:f>
              <c:strCache>
                <c:ptCount val="1"/>
                <c:pt idx="0">
                  <c:v>Drones: market share (avg %)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Tracking!$B$22:$C$22</c:f>
              <c:numCache>
                <c:formatCode>0.0</c:formatCode>
                <c:ptCount val="2"/>
                <c:pt idx="0">
                  <c:v>11.975</c:v>
                </c:pt>
                <c:pt idx="1">
                  <c:v>12.55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051028"/>
        <c:axId val="67241630"/>
      </c:lineChart>
      <c:catAx>
        <c:axId val="380510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241630"/>
        <c:crosses val="autoZero"/>
        <c:auto val="1"/>
        <c:lblAlgn val="ctr"/>
        <c:lblOffset val="100"/>
        <c:noMultiLvlLbl val="0"/>
      </c:catAx>
      <c:valAx>
        <c:axId val="67241630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510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per unit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Tracking!A23</c:f>
              <c:strCache>
                <c:ptCount val="1"/>
                <c:pt idx="0">
                  <c:v>Cameras: cost per unit ($)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Tracking!$B$23:$C$23</c:f>
              <c:numCache>
                <c:formatCode>\$#,##0</c:formatCode>
                <c:ptCount val="2"/>
                <c:pt idx="0">
                  <c:v>182</c:v>
                </c:pt>
                <c:pt idx="1">
                  <c:v>176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Tracking!A24</c:f>
              <c:strCache>
                <c:ptCount val="1"/>
                <c:pt idx="0">
                  <c:v>Cameras: industry cost per unit ($)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Tracking!$B$24:$C$24</c:f>
              <c:numCache>
                <c:formatCode>\$#,##0</c:formatCode>
                <c:ptCount val="2"/>
                <c:pt idx="0">
                  <c:v>186</c:v>
                </c:pt>
                <c:pt idx="1">
                  <c:v>184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Tracking!A25</c:f>
              <c:strCache>
                <c:ptCount val="1"/>
                <c:pt idx="0">
                  <c:v>Drones: cost per unit ($)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Tracking!$B$25:$C$25</c:f>
              <c:numCache>
                <c:formatCode>\$#,##0</c:formatCode>
                <c:ptCount val="2"/>
                <c:pt idx="0">
                  <c:v>905</c:v>
                </c:pt>
                <c:pt idx="1">
                  <c:v>884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Tracking!A26</c:f>
              <c:strCache>
                <c:ptCount val="1"/>
                <c:pt idx="0">
                  <c:v>Drones: industry cost per unit ($)</c:v>
                </c:pt>
              </c:strCache>
            </c:strRef>
          </c:tx>
          <c:spPr>
            <a:solidFill>
              <a:srgbClr val="c44536"/>
            </a:solidFill>
            <a:ln w="2808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Tracking!$B$26:$C$26</c:f>
              <c:numCache>
                <c:formatCode>\$#,##0</c:formatCode>
                <c:ptCount val="2"/>
                <c:pt idx="0">
                  <c:v>890</c:v>
                </c:pt>
                <c:pt idx="1">
                  <c:v>879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71258"/>
        <c:axId val="57045210"/>
      </c:lineChart>
      <c:catAx>
        <c:axId val="24712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45210"/>
        <c:crosses val="autoZero"/>
        <c:auto val="1"/>
        <c:lblAlgn val="ctr"/>
        <c:lblOffset val="100"/>
        <c:noMultiLvlLbl val="0"/>
      </c:catAx>
      <c:valAx>
        <c:axId val="57045210"/>
        <c:scaling>
          <c:orientation val="minMax"/>
        </c:scaling>
        <c:delete val="0"/>
        <c:axPos val="l"/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12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revenues and net profit ($000s)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Tracking!A18</c:f>
              <c:strCache>
                <c:ptCount val="1"/>
                <c:pt idx="0">
                  <c:v>Net revenues ($000s)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Tracking!$B$18:$C$18</c:f>
              <c:numCache>
                <c:formatCode>#,##0</c:formatCode>
                <c:ptCount val="2"/>
                <c:pt idx="0">
                  <c:v>412000</c:v>
                </c:pt>
                <c:pt idx="1">
                  <c:v>455000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Tracking!A19</c:f>
              <c:strCache>
                <c:ptCount val="1"/>
                <c:pt idx="0">
                  <c:v>Net profit ($000s)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Tracking!$B$19:$C$19</c:f>
              <c:numCache>
                <c:formatCode>#,##0</c:formatCode>
                <c:ptCount val="2"/>
                <c:pt idx="0">
                  <c:v>18500</c:v>
                </c:pt>
                <c:pt idx="1">
                  <c:v>21900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465377"/>
        <c:axId val="26976650"/>
      </c:lineChart>
      <c:catAx>
        <c:axId val="554653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976650"/>
        <c:crosses val="autoZero"/>
        <c:auto val="1"/>
        <c:lblAlgn val="ctr"/>
        <c:lblOffset val="100"/>
        <c:noMultiLvlLbl val="0"/>
      </c:catAx>
      <c:valAx>
        <c:axId val="2697665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653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margin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Tracking!A31</c:f>
              <c:strCache>
                <c:ptCount val="1"/>
                <c:pt idx="0">
                  <c:v>Cameras: operating margin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Tracking!$B$31:$C$31</c:f>
              <c:numCache>
                <c:formatCode>0.0%</c:formatCode>
                <c:ptCount val="2"/>
                <c:pt idx="0">
                  <c:v>0.11</c:v>
                </c:pt>
                <c:pt idx="1">
                  <c:v>0.125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Tracking!A32</c:f>
              <c:strCache>
                <c:ptCount val="1"/>
                <c:pt idx="0">
                  <c:v>Drones: operating margin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Tracking!$B$5:$C$5</c:f>
              <c:strCache>
                <c:ptCount val="2"/>
                <c:pt idx="0">
                  <c:v>Year 6</c:v>
                </c:pt>
                <c:pt idx="1">
                  <c:v>Year 7</c:v>
                </c:pt>
              </c:strCache>
            </c:strRef>
          </c:cat>
          <c:val>
            <c:numRef>
              <c:f>Tracking!$B$32:$C$32</c:f>
              <c:numCache>
                <c:formatCode>0.0%</c:formatCode>
                <c:ptCount val="2"/>
                <c:pt idx="0">
                  <c:v>0.09</c:v>
                </c:pt>
                <c:pt idx="1">
                  <c:v>0.105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7553885"/>
        <c:axId val="45095540"/>
      </c:lineChart>
      <c:catAx>
        <c:axId val="275538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095540"/>
        <c:crosses val="autoZero"/>
        <c:auto val="1"/>
        <c:lblAlgn val="ctr"/>
        <c:lblOffset val="100"/>
        <c:noMultiLvlLbl val="0"/>
      </c:catAx>
      <c:valAx>
        <c:axId val="450955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5538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27</xdr:row>
      <xdr:rowOff>66600</xdr:rowOff>
    </xdr:from>
    <xdr:to>
      <xdr:col>14</xdr:col>
      <xdr:colOff>536400</xdr:colOff>
      <xdr:row>36</xdr:row>
      <xdr:rowOff>186840</xdr:rowOff>
    </xdr:to>
    <xdr:graphicFrame>
      <xdr:nvGraphicFramePr>
        <xdr:cNvPr id="0" name="Chart 1"/>
        <xdr:cNvGraphicFramePr/>
      </xdr:nvGraphicFramePr>
      <xdr:xfrm>
        <a:off x="8951760" y="5715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48</xdr:row>
      <xdr:rowOff>129600</xdr:rowOff>
    </xdr:from>
    <xdr:to>
      <xdr:col>9</xdr:col>
      <xdr:colOff>747360</xdr:colOff>
      <xdr:row>57</xdr:row>
      <xdr:rowOff>362160</xdr:rowOff>
    </xdr:to>
    <xdr:graphicFrame>
      <xdr:nvGraphicFramePr>
        <xdr:cNvPr id="1" name="Chart 2"/>
        <xdr:cNvGraphicFramePr/>
      </xdr:nvGraphicFramePr>
      <xdr:xfrm>
        <a:off x="4299480" y="11430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17</xdr:col>
      <xdr:colOff>131040</xdr:colOff>
      <xdr:row>28</xdr:row>
      <xdr:rowOff>92520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8646840" y="762120"/>
          <a:ext cx="6857640" cy="4914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33</xdr:row>
      <xdr:rowOff>131040</xdr:rowOff>
    </xdr:from>
    <xdr:to>
      <xdr:col>4</xdr:col>
      <xdr:colOff>19080</xdr:colOff>
      <xdr:row>47</xdr:row>
      <xdr:rowOff>55440</xdr:rowOff>
    </xdr:to>
    <xdr:graphicFrame>
      <xdr:nvGraphicFramePr>
        <xdr:cNvPr id="3" name="Chart 1"/>
        <xdr:cNvGraphicFramePr/>
      </xdr:nvGraphicFramePr>
      <xdr:xfrm>
        <a:off x="0" y="6667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33</xdr:row>
      <xdr:rowOff>131040</xdr:rowOff>
    </xdr:from>
    <xdr:to>
      <xdr:col>15</xdr:col>
      <xdr:colOff>579240</xdr:colOff>
      <xdr:row>47</xdr:row>
      <xdr:rowOff>55440</xdr:rowOff>
    </xdr:to>
    <xdr:graphicFrame>
      <xdr:nvGraphicFramePr>
        <xdr:cNvPr id="4" name="Chart 2"/>
        <xdr:cNvGraphicFramePr/>
      </xdr:nvGraphicFramePr>
      <xdr:xfrm>
        <a:off x="6675120" y="6667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49</xdr:row>
      <xdr:rowOff>131040</xdr:rowOff>
    </xdr:from>
    <xdr:to>
      <xdr:col>4</xdr:col>
      <xdr:colOff>19080</xdr:colOff>
      <xdr:row>63</xdr:row>
      <xdr:rowOff>55800</xdr:rowOff>
    </xdr:to>
    <xdr:graphicFrame>
      <xdr:nvGraphicFramePr>
        <xdr:cNvPr id="5" name="Chart 3"/>
        <xdr:cNvGraphicFramePr/>
      </xdr:nvGraphicFramePr>
      <xdr:xfrm>
        <a:off x="0" y="971568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49</xdr:row>
      <xdr:rowOff>131040</xdr:rowOff>
    </xdr:from>
    <xdr:to>
      <xdr:col>15</xdr:col>
      <xdr:colOff>579240</xdr:colOff>
      <xdr:row>63</xdr:row>
      <xdr:rowOff>55800</xdr:rowOff>
    </xdr:to>
    <xdr:graphicFrame>
      <xdr:nvGraphicFramePr>
        <xdr:cNvPr id="6" name="Chart 4"/>
        <xdr:cNvGraphicFramePr/>
      </xdr:nvGraphicFramePr>
      <xdr:xfrm>
        <a:off x="6675120" y="971568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65</xdr:row>
      <xdr:rowOff>130680</xdr:rowOff>
    </xdr:from>
    <xdr:to>
      <xdr:col>4</xdr:col>
      <xdr:colOff>19080</xdr:colOff>
      <xdr:row>79</xdr:row>
      <xdr:rowOff>55440</xdr:rowOff>
    </xdr:to>
    <xdr:graphicFrame>
      <xdr:nvGraphicFramePr>
        <xdr:cNvPr id="7" name="Chart 5"/>
        <xdr:cNvGraphicFramePr/>
      </xdr:nvGraphicFramePr>
      <xdr:xfrm>
        <a:off x="0" y="12763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65</xdr:row>
      <xdr:rowOff>130680</xdr:rowOff>
    </xdr:from>
    <xdr:to>
      <xdr:col>15</xdr:col>
      <xdr:colOff>579240</xdr:colOff>
      <xdr:row>79</xdr:row>
      <xdr:rowOff>55440</xdr:rowOff>
    </xdr:to>
    <xdr:graphicFrame>
      <xdr:nvGraphicFramePr>
        <xdr:cNvPr id="8" name="Chart 6"/>
        <xdr:cNvGraphicFramePr/>
      </xdr:nvGraphicFramePr>
      <xdr:xfrm>
        <a:off x="6675120" y="12763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81</xdr:row>
      <xdr:rowOff>131040</xdr:rowOff>
    </xdr:from>
    <xdr:to>
      <xdr:col>4</xdr:col>
      <xdr:colOff>19080</xdr:colOff>
      <xdr:row>95</xdr:row>
      <xdr:rowOff>55440</xdr:rowOff>
    </xdr:to>
    <xdr:graphicFrame>
      <xdr:nvGraphicFramePr>
        <xdr:cNvPr id="9" name="Chart 7"/>
        <xdr:cNvGraphicFramePr/>
      </xdr:nvGraphicFramePr>
      <xdr:xfrm>
        <a:off x="0" y="15811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81</xdr:row>
      <xdr:rowOff>131040</xdr:rowOff>
    </xdr:from>
    <xdr:to>
      <xdr:col>15</xdr:col>
      <xdr:colOff>579240</xdr:colOff>
      <xdr:row>95</xdr:row>
      <xdr:rowOff>55440</xdr:rowOff>
    </xdr:to>
    <xdr:graphicFrame>
      <xdr:nvGraphicFramePr>
        <xdr:cNvPr id="10" name="Chart 8"/>
        <xdr:cNvGraphicFramePr/>
      </xdr:nvGraphicFramePr>
      <xdr:xfrm>
        <a:off x="6675120" y="15811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4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5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6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fals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35.0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1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4" t="s">
        <v>9</v>
      </c>
      <c r="C9" s="5" t="s">
        <v>10</v>
      </c>
    </row>
    <row r="10" customFormat="false" ht="15" hidden="false" customHeight="false" outlineLevel="0" collapsed="false">
      <c r="B10" s="4" t="s">
        <v>11</v>
      </c>
      <c r="C10" s="5" t="s">
        <v>12</v>
      </c>
    </row>
    <row r="11" customFormat="false" ht="15" hidden="false" customHeight="false" outlineLevel="0" collapsed="false">
      <c r="B11" s="4" t="s">
        <v>13</v>
      </c>
      <c r="C11" s="5" t="s">
        <v>14</v>
      </c>
    </row>
    <row r="12" customFormat="false" ht="15" hidden="false" customHeight="false" outlineLevel="0" collapsed="false">
      <c r="B12" s="4" t="s">
        <v>15</v>
      </c>
      <c r="C12" s="5" t="s">
        <v>16</v>
      </c>
    </row>
    <row r="13" customFormat="false" ht="15" hidden="false" customHeight="false" outlineLevel="0" collapsed="false">
      <c r="B13" s="4" t="s">
        <v>17</v>
      </c>
      <c r="C13" s="5" t="s">
        <v>18</v>
      </c>
    </row>
    <row r="14" customFormat="false" ht="23.85" hidden="false" customHeight="false" outlineLevel="0" collapsed="false">
      <c r="B14" s="4" t="s">
        <v>19</v>
      </c>
      <c r="C14" s="5" t="s">
        <v>20</v>
      </c>
    </row>
    <row r="15" customFormat="false" ht="15" hidden="false" customHeight="false" outlineLevel="0" collapsed="false">
      <c r="B15" s="4" t="s">
        <v>21</v>
      </c>
      <c r="C15" s="5" t="s">
        <v>22</v>
      </c>
    </row>
    <row r="16" customFormat="false" ht="23.85" hidden="false" customHeight="false" outlineLevel="0" collapsed="false">
      <c r="B16" s="4" t="s">
        <v>23</v>
      </c>
      <c r="C16" s="5" t="s">
        <v>24</v>
      </c>
    </row>
    <row r="17" customFormat="false" ht="15" hidden="false" customHeight="false" outlineLevel="0" collapsed="false">
      <c r="B17" s="4" t="s">
        <v>25</v>
      </c>
      <c r="C17" s="5" t="s">
        <v>26</v>
      </c>
    </row>
    <row r="18" customFormat="false" ht="15" hidden="false" customHeight="false" outlineLevel="0" collapsed="false">
      <c r="B18" s="4" t="s">
        <v>27</v>
      </c>
      <c r="C18" s="5" t="s">
        <v>28</v>
      </c>
    </row>
    <row r="19" customFormat="false" ht="15" hidden="false" customHeight="false" outlineLevel="0" collapsed="false">
      <c r="B19" s="4" t="s">
        <v>29</v>
      </c>
      <c r="C19" s="5" t="s">
        <v>30</v>
      </c>
    </row>
    <row r="20" customFormat="false" ht="23.85" hidden="false" customHeight="false" outlineLevel="0" collapsed="false">
      <c r="B20" s="4" t="s">
        <v>31</v>
      </c>
      <c r="C20" s="5" t="s">
        <v>32</v>
      </c>
    </row>
    <row r="21" customFormat="false" ht="23.85" hidden="false" customHeight="false" outlineLevel="0" collapsed="false">
      <c r="B21" s="4" t="s">
        <v>33</v>
      </c>
      <c r="C21" s="5" t="s">
        <v>34</v>
      </c>
    </row>
    <row r="22" customFormat="false" ht="35.05" hidden="false" customHeight="false" outlineLevel="0" collapsed="false">
      <c r="B22" s="4" t="s">
        <v>35</v>
      </c>
      <c r="C22" s="5" t="s">
        <v>36</v>
      </c>
    </row>
    <row r="23" customFormat="false" ht="23.85" hidden="false" customHeight="false" outlineLevel="0" collapsed="false">
      <c r="B23" s="4" t="s">
        <v>37</v>
      </c>
      <c r="C23" s="5" t="s">
        <v>38</v>
      </c>
    </row>
    <row r="25" customFormat="false" ht="15" hidden="false" customHeight="false" outlineLevel="0" collapsed="false">
      <c r="B25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6" t="s">
        <v>40</v>
      </c>
    </row>
    <row r="2" customFormat="false" ht="15" hidden="false" customHeight="false" outlineLevel="0" collapsed="false">
      <c r="A2" s="3" t="s">
        <v>41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43</v>
      </c>
      <c r="B5" s="8" t="s">
        <v>44</v>
      </c>
      <c r="C5" s="8" t="s">
        <v>45</v>
      </c>
      <c r="D5" s="8" t="s">
        <v>46</v>
      </c>
      <c r="E5" s="8" t="s">
        <v>47</v>
      </c>
      <c r="F5" s="8" t="s">
        <v>48</v>
      </c>
      <c r="G5" s="8" t="s">
        <v>49</v>
      </c>
      <c r="H5" s="8" t="s">
        <v>50</v>
      </c>
      <c r="I5" s="8" t="s">
        <v>51</v>
      </c>
    </row>
    <row r="6" customFormat="false" ht="15" hidden="false" customHeight="false" outlineLevel="0" collapsed="false">
      <c r="A6" s="9" t="s">
        <v>52</v>
      </c>
      <c r="B6" s="9" t="s">
        <v>53</v>
      </c>
      <c r="C6" s="9" t="s">
        <v>54</v>
      </c>
      <c r="D6" s="9" t="s">
        <v>55</v>
      </c>
      <c r="E6" s="9" t="n">
        <v>5</v>
      </c>
      <c r="F6" s="9" t="n">
        <v>3</v>
      </c>
      <c r="G6" s="10" t="n">
        <f aca="false">IF(AND(ISNUMBER(E6),ISNUMBER(F6)),E6*F6,"")</f>
        <v>15</v>
      </c>
      <c r="H6" s="9" t="s">
        <v>56</v>
      </c>
      <c r="I6" s="9" t="s">
        <v>57</v>
      </c>
    </row>
    <row r="7" customFormat="false" ht="15" hidden="false" customHeight="false" outlineLevel="0" collapsed="false">
      <c r="A7" s="9" t="s">
        <v>58</v>
      </c>
      <c r="B7" s="9" t="s">
        <v>59</v>
      </c>
      <c r="C7" s="9" t="s">
        <v>60</v>
      </c>
      <c r="D7" s="9" t="s">
        <v>61</v>
      </c>
      <c r="E7" s="9" t="n">
        <v>5</v>
      </c>
      <c r="F7" s="9" t="n">
        <v>5</v>
      </c>
      <c r="G7" s="10" t="n">
        <f aca="false">IF(AND(ISNUMBER(E7),ISNUMBER(F7)),E7*F7,"")</f>
        <v>25</v>
      </c>
      <c r="H7" s="9" t="s">
        <v>62</v>
      </c>
      <c r="I7" s="9" t="s">
        <v>63</v>
      </c>
    </row>
    <row r="8" customFormat="false" ht="15" hidden="false" customHeight="false" outlineLevel="0" collapsed="false">
      <c r="A8" s="9" t="s">
        <v>64</v>
      </c>
      <c r="B8" s="9" t="s">
        <v>65</v>
      </c>
      <c r="C8" s="9" t="s">
        <v>66</v>
      </c>
      <c r="D8" s="9" t="s">
        <v>55</v>
      </c>
      <c r="E8" s="9" t="n">
        <v>5</v>
      </c>
      <c r="F8" s="9" t="n">
        <v>3</v>
      </c>
      <c r="G8" s="10" t="n">
        <f aca="false">IF(AND(ISNUMBER(E8),ISNUMBER(F8)),E8*F8,"")</f>
        <v>15</v>
      </c>
      <c r="H8" s="9" t="s">
        <v>67</v>
      </c>
      <c r="I8" s="9" t="s">
        <v>68</v>
      </c>
    </row>
    <row r="9" customFormat="false" ht="15" hidden="false" customHeight="false" outlineLevel="0" collapsed="false">
      <c r="A9" s="9" t="s">
        <v>69</v>
      </c>
      <c r="B9" s="9" t="s">
        <v>70</v>
      </c>
      <c r="C9" s="9" t="s">
        <v>71</v>
      </c>
      <c r="D9" s="9" t="s">
        <v>61</v>
      </c>
      <c r="E9" s="9" t="n">
        <v>3</v>
      </c>
      <c r="F9" s="9" t="n">
        <v>3</v>
      </c>
      <c r="G9" s="10" t="n">
        <f aca="false">IF(AND(ISNUMBER(E9),ISNUMBER(F9)),E9*F9,"")</f>
        <v>9</v>
      </c>
      <c r="H9" s="9" t="s">
        <v>72</v>
      </c>
      <c r="I9" s="9" t="s">
        <v>73</v>
      </c>
    </row>
    <row r="10" customFormat="false" ht="15" hidden="false" customHeight="false" outlineLevel="0" collapsed="false">
      <c r="A10" s="9" t="s">
        <v>74</v>
      </c>
      <c r="B10" s="9" t="s">
        <v>75</v>
      </c>
      <c r="C10" s="9" t="s">
        <v>76</v>
      </c>
      <c r="D10" s="9" t="s">
        <v>55</v>
      </c>
      <c r="E10" s="9" t="n">
        <v>3</v>
      </c>
      <c r="F10" s="9" t="n">
        <v>5</v>
      </c>
      <c r="G10" s="10" t="n">
        <f aca="false">IF(AND(ISNUMBER(E10),ISNUMBER(F10)),E10*F10,"")</f>
        <v>15</v>
      </c>
      <c r="H10" s="9" t="s">
        <v>72</v>
      </c>
      <c r="I10" s="9" t="s">
        <v>77</v>
      </c>
    </row>
    <row r="11" customFormat="false" ht="15" hidden="false" customHeight="false" outlineLevel="0" collapsed="false">
      <c r="A11" s="9" t="s">
        <v>78</v>
      </c>
      <c r="B11" s="9" t="s">
        <v>79</v>
      </c>
      <c r="C11" s="9" t="s">
        <v>80</v>
      </c>
      <c r="D11" s="9" t="s">
        <v>61</v>
      </c>
      <c r="E11" s="9" t="n">
        <v>3</v>
      </c>
      <c r="F11" s="9" t="n">
        <v>3</v>
      </c>
      <c r="G11" s="10" t="n">
        <f aca="false">IF(AND(ISNUMBER(E11),ISNUMBER(F11)),E11*F11,"")</f>
        <v>9</v>
      </c>
      <c r="H11" s="9" t="s">
        <v>81</v>
      </c>
      <c r="I11" s="9" t="s">
        <v>63</v>
      </c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10" t="str">
        <f aca="false">IF(AND(ISNUMBER(E12),ISNUMBER(F12)),E12*F12,"")</f>
        <v/>
      </c>
      <c r="H12" s="9"/>
      <c r="I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10" t="str">
        <f aca="false">IF(AND(ISNUMBER(E13),ISNUMBER(F13)),E13*F13,"")</f>
        <v/>
      </c>
      <c r="H13" s="9"/>
      <c r="I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10" t="str">
        <f aca="false">IF(AND(ISNUMBER(E14),ISNUMBER(F14)),E14*F14,"")</f>
        <v/>
      </c>
      <c r="H14" s="9"/>
      <c r="I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10" t="str">
        <f aca="false">IF(AND(ISNUMBER(E15),ISNUMBER(F15)),E15*F15,"")</f>
        <v/>
      </c>
      <c r="H15" s="9"/>
      <c r="I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10" t="str">
        <f aca="false">IF(AND(ISNUMBER(E16),ISNUMBER(F16)),E16*F16,"")</f>
        <v/>
      </c>
      <c r="H16" s="9"/>
      <c r="I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10" t="str">
        <f aca="false">IF(AND(ISNUMBER(E17),ISNUMBER(F17)),E17*F17,"")</f>
        <v/>
      </c>
      <c r="H17" s="9"/>
      <c r="I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10" t="str">
        <f aca="false">IF(AND(ISNUMBER(E18),ISNUMBER(F18)),E18*F18,"")</f>
        <v/>
      </c>
      <c r="H18" s="9"/>
      <c r="I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10" t="str">
        <f aca="false">IF(AND(ISNUMBER(E19),ISNUMBER(F19)),E19*F19,"")</f>
        <v/>
      </c>
      <c r="H19" s="9"/>
      <c r="I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0" t="str">
        <f aca="false">IF(AND(ISNUMBER(E20),ISNUMBER(F20)),E20*F20,"")</f>
        <v/>
      </c>
      <c r="H20" s="9"/>
      <c r="I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10" t="str">
        <f aca="false">IF(AND(ISNUMBER(E21),ISNUMBER(F21)),E21*F21,"")</f>
        <v/>
      </c>
      <c r="H21" s="9"/>
      <c r="I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10" t="str">
        <f aca="false">IF(AND(ISNUMBER(E22),ISNUMBER(F22)),E22*F22,"")</f>
        <v/>
      </c>
      <c r="H22" s="9"/>
      <c r="I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10" t="str">
        <f aca="false">IF(AND(ISNUMBER(E23),ISNUMBER(F23)),E23*F23,"")</f>
        <v/>
      </c>
      <c r="H23" s="9"/>
      <c r="I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10" t="str">
        <f aca="false">IF(AND(ISNUMBER(E24),ISNUMBER(F24)),E24*F24,"")</f>
        <v/>
      </c>
      <c r="H24" s="9"/>
      <c r="I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10" t="str">
        <f aca="false">IF(AND(ISNUMBER(E25),ISNUMBER(F25)),E25*F25,"")</f>
        <v/>
      </c>
      <c r="H25" s="9"/>
      <c r="I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10" t="str">
        <f aca="false">IF(AND(ISNUMBER(E26),ISNUMBER(F26)),E26*F26,"")</f>
        <v/>
      </c>
      <c r="H26" s="9"/>
      <c r="I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10" t="str">
        <f aca="false">IF(AND(ISNUMBER(E27),ISNUMBER(F27)),E27*F27,"")</f>
        <v/>
      </c>
      <c r="H27" s="9"/>
      <c r="I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10" t="str">
        <f aca="false">IF(AND(ISNUMBER(E28),ISNUMBER(F28)),E28*F28,"")</f>
        <v/>
      </c>
      <c r="H28" s="9"/>
      <c r="I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10" t="str">
        <f aca="false">IF(AND(ISNUMBER(E29),ISNUMBER(F29)),E29*F29,"")</f>
        <v/>
      </c>
      <c r="H29" s="9"/>
      <c r="I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10" t="str">
        <f aca="false">IF(AND(ISNUMBER(E30),ISNUMBER(F30)),E30*F30,"")</f>
        <v/>
      </c>
      <c r="H30" s="9"/>
      <c r="I30" s="9"/>
    </row>
    <row r="32" customFormat="false" ht="15" hidden="false" customHeight="false" outlineLevel="0" collapsed="false">
      <c r="B32" s="11" t="s">
        <v>82</v>
      </c>
      <c r="C32" s="10" t="n">
        <f aca="false">COUNTA(C6:C30)</f>
        <v>6</v>
      </c>
    </row>
    <row r="33" customFormat="false" ht="23.85" hidden="false" customHeight="false" outlineLevel="0" collapsed="false">
      <c r="B33" s="11" t="s">
        <v>83</v>
      </c>
      <c r="C33" s="10" t="n">
        <f aca="false">COUNTIF(G6:G30,"&gt;=16")</f>
        <v>1</v>
      </c>
    </row>
    <row r="34" customFormat="false" ht="23.85" hidden="false" customHeight="false" outlineLevel="0" collapsed="false">
      <c r="B34" s="11" t="s">
        <v>84</v>
      </c>
      <c r="C34" s="10" t="n">
        <f aca="false">SUMPRODUCT((C6:C30&lt;&gt;"")*(I6:I30=""))</f>
        <v>0</v>
      </c>
    </row>
  </sheetData>
  <conditionalFormatting sqref="G6:G30">
    <cfRule type="expression" priority="2" aboveAverage="0" equalAverage="0" bottom="0" percent="0" rank="0" text="" dxfId="0">
      <formula>AND(ISNUMBER(G6),G6&gt;=16)</formula>
    </cfRule>
    <cfRule type="expression" priority="3" aboveAverage="0" equalAverage="0" bottom="0" percent="0" rank="0" text="" dxfId="1">
      <formula>AND(ISNUMBER(G6),G6&gt;=9,G6&lt;16)</formula>
    </cfRule>
    <cfRule type="expression" priority="4" aboveAverage="0" equalAverage="0" bottom="0" percent="0" rank="0" text="" dxfId="2">
      <formula>AND(ISNUMBER(G6),G6&lt;9)</formula>
    </cfRule>
  </conditionalFormatting>
  <dataValidations count="4">
    <dataValidation allowBlank="true" errorStyle="stop" operator="between" showDropDown="false" showErrorMessage="false" showInputMessage="false" sqref="B6:B30" type="list">
      <formula1>"Political,Economic,Social,Technological,Environmental,Legal"</formula1>
      <formula2>0</formula2>
    </dataValidation>
    <dataValidation allowBlank="true" errorStyle="stop" operator="between" showDropDown="false" showErrorMessage="false" showInputMessage="false" sqref="D6:D30" type="list">
      <formula1>"+,-,±"</formula1>
      <formula2>0</formula2>
    </dataValidation>
    <dataValidation allowBlank="true" error="Enter a whole number from 1 to 5." errorStyle="stop" errorTitle="StratOS" operator="between" showDropDown="false" showErrorMessage="false" showInputMessage="false" sqref="E6:F30" type="whole">
      <formula1>1</formula1>
      <formula2>5</formula2>
    </dataValidation>
    <dataValidation allowBlank="true" errorStyle="stop" operator="between" showDropDown="false" showErrorMessage="false" showInputMessage="false" sqref="H6:H30" type="list">
      <formula1>"revenue.price,revenue.volume,revenue.mix,cogs.inputs,cogs.labor,opex.sga,opex.rnd,capex,working_capital,financing,tax_and_levies"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6" t="s">
        <v>85</v>
      </c>
    </row>
    <row r="2" customFormat="false" ht="15" hidden="false" customHeight="false" outlineLevel="0" collapsed="false">
      <c r="A2" s="3" t="s">
        <v>86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87</v>
      </c>
      <c r="B5" s="8" t="s">
        <v>88</v>
      </c>
      <c r="C5" s="8" t="s">
        <v>89</v>
      </c>
      <c r="D5" s="8" t="s">
        <v>90</v>
      </c>
    </row>
    <row r="6" customFormat="false" ht="15" hidden="false" customHeight="false" outlineLevel="0" collapsed="false">
      <c r="A6" s="5" t="s">
        <v>91</v>
      </c>
      <c r="B6" s="5" t="s">
        <v>92</v>
      </c>
      <c r="C6" s="9"/>
      <c r="D6" s="9"/>
    </row>
    <row r="7" customFormat="false" ht="15" hidden="false" customHeight="false" outlineLevel="0" collapsed="false">
      <c r="A7" s="5" t="s">
        <v>91</v>
      </c>
      <c r="B7" s="5" t="s">
        <v>93</v>
      </c>
      <c r="C7" s="9"/>
      <c r="D7" s="9"/>
    </row>
    <row r="8" customFormat="false" ht="15" hidden="false" customHeight="false" outlineLevel="0" collapsed="false">
      <c r="A8" s="5" t="s">
        <v>91</v>
      </c>
      <c r="B8" s="5" t="s">
        <v>94</v>
      </c>
      <c r="C8" s="9"/>
      <c r="D8" s="9"/>
    </row>
    <row r="9" customFormat="false" ht="15" hidden="false" customHeight="false" outlineLevel="0" collapsed="false">
      <c r="A9" s="5" t="s">
        <v>91</v>
      </c>
      <c r="B9" s="5" t="s">
        <v>95</v>
      </c>
      <c r="C9" s="9"/>
      <c r="D9" s="9"/>
    </row>
    <row r="10" customFormat="false" ht="15" hidden="false" customHeight="false" outlineLevel="0" collapsed="false">
      <c r="A10" s="5" t="s">
        <v>96</v>
      </c>
      <c r="B10" s="5" t="s">
        <v>97</v>
      </c>
      <c r="C10" s="9"/>
      <c r="D10" s="9"/>
    </row>
    <row r="11" customFormat="false" ht="15" hidden="false" customHeight="false" outlineLevel="0" collapsed="false">
      <c r="A11" s="5" t="s">
        <v>96</v>
      </c>
      <c r="B11" s="5" t="s">
        <v>98</v>
      </c>
      <c r="C11" s="9"/>
      <c r="D11" s="9"/>
    </row>
    <row r="12" customFormat="false" ht="15" hidden="false" customHeight="false" outlineLevel="0" collapsed="false">
      <c r="A12" s="5" t="s">
        <v>96</v>
      </c>
      <c r="B12" s="5" t="s">
        <v>99</v>
      </c>
      <c r="C12" s="9"/>
      <c r="D12" s="9"/>
    </row>
    <row r="13" customFormat="false" ht="15" hidden="false" customHeight="false" outlineLevel="0" collapsed="false">
      <c r="A13" s="5" t="s">
        <v>96</v>
      </c>
      <c r="B13" s="5" t="s">
        <v>100</v>
      </c>
      <c r="C13" s="9"/>
      <c r="D13" s="9"/>
    </row>
    <row r="14" customFormat="false" ht="15" hidden="false" customHeight="false" outlineLevel="0" collapsed="false">
      <c r="A14" s="5" t="s">
        <v>101</v>
      </c>
      <c r="B14" s="5" t="s">
        <v>102</v>
      </c>
      <c r="C14" s="9"/>
      <c r="D14" s="9"/>
    </row>
    <row r="15" customFormat="false" ht="15" hidden="false" customHeight="false" outlineLevel="0" collapsed="false">
      <c r="A15" s="5" t="s">
        <v>101</v>
      </c>
      <c r="B15" s="5" t="s">
        <v>103</v>
      </c>
      <c r="C15" s="9"/>
      <c r="D15" s="9"/>
    </row>
    <row r="16" customFormat="false" ht="15" hidden="false" customHeight="false" outlineLevel="0" collapsed="false">
      <c r="A16" s="5" t="s">
        <v>101</v>
      </c>
      <c r="B16" s="5" t="s">
        <v>98</v>
      </c>
      <c r="C16" s="9"/>
      <c r="D16" s="9"/>
    </row>
    <row r="17" customFormat="false" ht="15" hidden="false" customHeight="false" outlineLevel="0" collapsed="false">
      <c r="A17" s="5" t="s">
        <v>101</v>
      </c>
      <c r="B17" s="5" t="s">
        <v>104</v>
      </c>
      <c r="C17" s="9"/>
      <c r="D17" s="9"/>
    </row>
    <row r="18" customFormat="false" ht="15" hidden="false" customHeight="false" outlineLevel="0" collapsed="false">
      <c r="A18" s="5" t="s">
        <v>105</v>
      </c>
      <c r="B18" s="5" t="s">
        <v>106</v>
      </c>
      <c r="C18" s="9"/>
      <c r="D18" s="9"/>
    </row>
    <row r="19" customFormat="false" ht="15" hidden="false" customHeight="false" outlineLevel="0" collapsed="false">
      <c r="A19" s="5" t="s">
        <v>105</v>
      </c>
      <c r="B19" s="5" t="s">
        <v>107</v>
      </c>
      <c r="C19" s="9"/>
      <c r="D19" s="9"/>
    </row>
    <row r="20" customFormat="false" ht="15" hidden="false" customHeight="false" outlineLevel="0" collapsed="false">
      <c r="A20" s="5" t="s">
        <v>105</v>
      </c>
      <c r="B20" s="5" t="s">
        <v>108</v>
      </c>
      <c r="C20" s="9"/>
      <c r="D20" s="9"/>
    </row>
    <row r="21" customFormat="false" ht="15" hidden="false" customHeight="false" outlineLevel="0" collapsed="false">
      <c r="A21" s="5" t="s">
        <v>105</v>
      </c>
      <c r="B21" s="5" t="s">
        <v>109</v>
      </c>
      <c r="C21" s="9"/>
      <c r="D21" s="9"/>
    </row>
    <row r="22" customFormat="false" ht="15" hidden="false" customHeight="false" outlineLevel="0" collapsed="false">
      <c r="A22" s="5" t="s">
        <v>110</v>
      </c>
      <c r="B22" s="5" t="s">
        <v>111</v>
      </c>
      <c r="C22" s="9"/>
      <c r="D22" s="9"/>
    </row>
    <row r="23" customFormat="false" ht="15" hidden="false" customHeight="false" outlineLevel="0" collapsed="false">
      <c r="A23" s="5" t="s">
        <v>110</v>
      </c>
      <c r="B23" s="5" t="s">
        <v>98</v>
      </c>
      <c r="C23" s="9"/>
      <c r="D23" s="9"/>
    </row>
    <row r="24" customFormat="false" ht="15" hidden="false" customHeight="false" outlineLevel="0" collapsed="false">
      <c r="A24" s="5" t="s">
        <v>110</v>
      </c>
      <c r="B24" s="5" t="s">
        <v>112</v>
      </c>
      <c r="C24" s="9"/>
      <c r="D24" s="9"/>
    </row>
    <row r="25" customFormat="false" ht="15" hidden="false" customHeight="false" outlineLevel="0" collapsed="false">
      <c r="A25" s="5" t="s">
        <v>110</v>
      </c>
      <c r="B25" s="5" t="s">
        <v>113</v>
      </c>
      <c r="C25" s="9"/>
      <c r="D25" s="9"/>
    </row>
    <row r="27" customFormat="false" ht="35.05" hidden="false" customHeight="false" outlineLevel="0" collapsed="false">
      <c r="A27" s="8" t="s">
        <v>87</v>
      </c>
      <c r="B27" s="8" t="s">
        <v>114</v>
      </c>
      <c r="C27" s="8" t="s">
        <v>115</v>
      </c>
      <c r="D27" s="8" t="s">
        <v>116</v>
      </c>
      <c r="E27" s="8" t="s">
        <v>117</v>
      </c>
      <c r="F27" s="8" t="s">
        <v>118</v>
      </c>
    </row>
    <row r="28" customFormat="false" ht="15" hidden="false" customHeight="false" outlineLevel="0" collapsed="false">
      <c r="A28" s="11" t="s">
        <v>91</v>
      </c>
      <c r="B28" s="12" t="str">
        <f aca="false">IFERROR(AVERAGEIF($A$6:$A$25,A28,$C$6:$C$25),"")</f>
        <v/>
      </c>
      <c r="C28" s="13" t="n">
        <v>5</v>
      </c>
      <c r="D28" s="12" t="n">
        <f aca="false">IF(ISNUMBER(C28),C28,B28)</f>
        <v>5</v>
      </c>
      <c r="E28" s="14" t="str">
        <f aca="false">IF(D28="","",IF(D28&gt;=4,"Strong",IF(D28&gt;=2.5,"Moderate","Weak")))</f>
        <v>Strong</v>
      </c>
      <c r="F28" s="13" t="n">
        <v>5</v>
      </c>
    </row>
    <row r="29" customFormat="false" ht="15" hidden="false" customHeight="false" outlineLevel="0" collapsed="false">
      <c r="A29" s="11" t="s">
        <v>96</v>
      </c>
      <c r="B29" s="12" t="str">
        <f aca="false">IFERROR(AVERAGEIF($A$6:$A$25,A29,$C$6:$C$25),"")</f>
        <v/>
      </c>
      <c r="C29" s="13" t="n">
        <v>4</v>
      </c>
      <c r="D29" s="12" t="n">
        <f aca="false">IF(ISNUMBER(C29),C29,B29)</f>
        <v>4</v>
      </c>
      <c r="E29" s="14" t="str">
        <f aca="false">IF(D29="","",IF(D29&gt;=4,"Strong",IF(D29&gt;=2.5,"Moderate","Weak")))</f>
        <v>Strong</v>
      </c>
      <c r="F29" s="13" t="n">
        <v>3</v>
      </c>
    </row>
    <row r="30" customFormat="false" ht="15" hidden="false" customHeight="false" outlineLevel="0" collapsed="false">
      <c r="A30" s="11" t="s">
        <v>101</v>
      </c>
      <c r="B30" s="12" t="str">
        <f aca="false">IFERROR(AVERAGEIF($A$6:$A$25,A30,$C$6:$C$25),"")</f>
        <v/>
      </c>
      <c r="C30" s="13" t="n">
        <v>3</v>
      </c>
      <c r="D30" s="12" t="n">
        <f aca="false">IF(ISNUMBER(C30),C30,B30)</f>
        <v>3</v>
      </c>
      <c r="E30" s="14" t="str">
        <f aca="false">IF(D30="","",IF(D30&gt;=4,"Strong",IF(D30&gt;=2.5,"Moderate","Weak")))</f>
        <v>Moderate</v>
      </c>
      <c r="F30" s="13" t="n">
        <v>4</v>
      </c>
    </row>
    <row r="31" customFormat="false" ht="15" hidden="false" customHeight="false" outlineLevel="0" collapsed="false">
      <c r="A31" s="11" t="s">
        <v>105</v>
      </c>
      <c r="B31" s="12" t="str">
        <f aca="false">IFERROR(AVERAGEIF($A$6:$A$25,A31,$C$6:$C$25),"")</f>
        <v/>
      </c>
      <c r="C31" s="13" t="n">
        <v>4</v>
      </c>
      <c r="D31" s="12" t="n">
        <f aca="false">IF(ISNUMBER(C31),C31,B31)</f>
        <v>4</v>
      </c>
      <c r="E31" s="14" t="str">
        <f aca="false">IF(D31="","",IF(D31&gt;=4,"Strong",IF(D31&gt;=2.5,"Moderate","Weak")))</f>
        <v>Strong</v>
      </c>
      <c r="F31" s="13" t="n">
        <v>4</v>
      </c>
    </row>
    <row r="32" customFormat="false" ht="15" hidden="false" customHeight="false" outlineLevel="0" collapsed="false">
      <c r="A32" s="11" t="s">
        <v>110</v>
      </c>
      <c r="B32" s="12" t="str">
        <f aca="false">IFERROR(AVERAGEIF($A$6:$A$25,A32,$C$6:$C$25),"")</f>
        <v/>
      </c>
      <c r="C32" s="13" t="n">
        <v>2</v>
      </c>
      <c r="D32" s="12" t="n">
        <f aca="false">IF(ISNUMBER(C32),C32,B32)</f>
        <v>2</v>
      </c>
      <c r="E32" s="14" t="str">
        <f aca="false">IF(D32="","",IF(D32&gt;=4,"Strong",IF(D32&gt;=2.5,"Moderate","Weak")))</f>
        <v>Weak</v>
      </c>
      <c r="F32" s="13" t="n">
        <v>2</v>
      </c>
    </row>
    <row r="34" customFormat="false" ht="15" hidden="false" customHeight="false" outlineLevel="0" collapsed="false">
      <c r="A34" s="11" t="s">
        <v>119</v>
      </c>
      <c r="B34" s="15" t="n">
        <f aca="false">IFERROR(6-AVERAGE(D28:D32),"")</f>
        <v>2.4</v>
      </c>
    </row>
    <row r="35" customFormat="false" ht="15" hidden="false" customHeight="false" outlineLevel="0" collapsed="false">
      <c r="A35" s="11" t="s">
        <v>120</v>
      </c>
      <c r="B35" s="12" t="n">
        <f aca="false">IF(COUNT(F28:F32)=5,6-AVERAGE(F28:F32),"")</f>
        <v>2.4</v>
      </c>
    </row>
    <row r="37" customFormat="false" ht="15" hidden="false" customHeight="false" outlineLevel="0" collapsed="false">
      <c r="A37" s="3" t="s">
        <v>121</v>
      </c>
    </row>
    <row r="38" customFormat="false" ht="15" hidden="false" customHeight="false" outlineLevel="0" collapsed="false">
      <c r="A38" s="3" t="s">
        <v>122</v>
      </c>
    </row>
  </sheetData>
  <conditionalFormatting sqref="E28:E32">
    <cfRule type="expression" priority="2" aboveAverage="0" equalAverage="0" bottom="0" percent="0" rank="0" text="" dxfId="0">
      <formula>E28="Weak"</formula>
    </cfRule>
    <cfRule type="expression" priority="3" aboveAverage="0" equalAverage="0" bottom="0" percent="0" rank="0" text="" dxfId="1">
      <formula>E28="Moderate"</formula>
    </cfRule>
    <cfRule type="expression" priority="4" aboveAverage="0" equalAverage="0" bottom="0" percent="0" rank="0" text="" dxfId="2">
      <formula>E28="Strong"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C6:C2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3"/>
  </cols>
  <sheetData>
    <row r="1" customFormat="false" ht="19.7" hidden="false" customHeight="false" outlineLevel="0" collapsed="false">
      <c r="A1" s="6" t="s">
        <v>123</v>
      </c>
    </row>
    <row r="2" customFormat="false" ht="15" hidden="false" customHeight="false" outlineLevel="0" collapsed="false">
      <c r="A2" s="3" t="s">
        <v>124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43</v>
      </c>
      <c r="B5" s="8" t="s">
        <v>125</v>
      </c>
      <c r="C5" s="8" t="s">
        <v>126</v>
      </c>
      <c r="D5" s="8" t="s">
        <v>127</v>
      </c>
      <c r="E5" s="16" t="s">
        <v>128</v>
      </c>
      <c r="F5" s="16" t="s">
        <v>129</v>
      </c>
      <c r="G5" s="16" t="s">
        <v>130</v>
      </c>
      <c r="H5" s="16" t="s">
        <v>131</v>
      </c>
      <c r="I5" s="16" t="s">
        <v>132</v>
      </c>
      <c r="J5" s="16" t="s">
        <v>133</v>
      </c>
    </row>
    <row r="6" customFormat="false" ht="15" hidden="false" customHeight="false" outlineLevel="0" collapsed="false">
      <c r="A6" s="9" t="s">
        <v>134</v>
      </c>
      <c r="B6" s="9" t="s">
        <v>135</v>
      </c>
      <c r="C6" s="17" t="n">
        <v>0.3</v>
      </c>
      <c r="D6" s="9" t="s">
        <v>136</v>
      </c>
      <c r="E6" s="9" t="n">
        <v>5</v>
      </c>
      <c r="F6" s="9" t="n">
        <v>4</v>
      </c>
      <c r="G6" s="9" t="n">
        <v>3</v>
      </c>
      <c r="H6" s="9" t="n">
        <v>4</v>
      </c>
      <c r="I6" s="9" t="n">
        <v>3</v>
      </c>
      <c r="J6" s="9" t="n">
        <v>2</v>
      </c>
    </row>
    <row r="7" customFormat="false" ht="15" hidden="false" customHeight="false" outlineLevel="0" collapsed="false">
      <c r="A7" s="9" t="s">
        <v>137</v>
      </c>
      <c r="B7" s="9" t="s">
        <v>138</v>
      </c>
      <c r="C7" s="17" t="n">
        <v>0.25</v>
      </c>
      <c r="D7" s="9" t="s">
        <v>139</v>
      </c>
      <c r="E7" s="9" t="n">
        <v>3</v>
      </c>
      <c r="F7" s="9" t="n">
        <v>5</v>
      </c>
      <c r="G7" s="9" t="n">
        <v>2</v>
      </c>
      <c r="H7" s="9" t="n">
        <v>3</v>
      </c>
      <c r="I7" s="9" t="n">
        <v>5</v>
      </c>
      <c r="J7" s="9" t="n">
        <v>2</v>
      </c>
    </row>
    <row r="8" customFormat="false" ht="15" hidden="false" customHeight="false" outlineLevel="0" collapsed="false">
      <c r="A8" s="9" t="s">
        <v>140</v>
      </c>
      <c r="B8" s="9" t="s">
        <v>141</v>
      </c>
      <c r="C8" s="17" t="n">
        <v>0.2</v>
      </c>
      <c r="D8" s="9" t="s">
        <v>142</v>
      </c>
      <c r="E8" s="9" t="n">
        <v>2</v>
      </c>
      <c r="F8" s="9" t="n">
        <v>4</v>
      </c>
      <c r="G8" s="9" t="n">
        <v>5</v>
      </c>
      <c r="H8" s="9" t="n">
        <v>3</v>
      </c>
      <c r="I8" s="9" t="n">
        <v>1</v>
      </c>
      <c r="J8" s="9" t="n">
        <v>5</v>
      </c>
    </row>
    <row r="9" customFormat="false" ht="15" hidden="false" customHeight="false" outlineLevel="0" collapsed="false">
      <c r="A9" s="9" t="s">
        <v>143</v>
      </c>
      <c r="B9" s="9" t="s">
        <v>144</v>
      </c>
      <c r="C9" s="17" t="n">
        <v>0.15</v>
      </c>
      <c r="D9" s="9" t="s">
        <v>145</v>
      </c>
      <c r="E9" s="9" t="n">
        <v>2</v>
      </c>
      <c r="F9" s="9" t="n">
        <v>3</v>
      </c>
      <c r="G9" s="9" t="n">
        <v>5</v>
      </c>
      <c r="H9" s="9" t="n">
        <v>3</v>
      </c>
      <c r="I9" s="9" t="n">
        <v>2</v>
      </c>
      <c r="J9" s="9" t="n">
        <v>4</v>
      </c>
    </row>
    <row r="10" customFormat="false" ht="15" hidden="false" customHeight="false" outlineLevel="0" collapsed="false">
      <c r="A10" s="9" t="s">
        <v>146</v>
      </c>
      <c r="B10" s="9" t="s">
        <v>147</v>
      </c>
      <c r="C10" s="17" t="n">
        <v>0.1</v>
      </c>
      <c r="D10" s="9" t="s">
        <v>148</v>
      </c>
      <c r="E10" s="9" t="n">
        <v>3</v>
      </c>
      <c r="F10" s="9" t="n">
        <v>5</v>
      </c>
      <c r="G10" s="9" t="n">
        <v>4</v>
      </c>
      <c r="H10" s="9" t="n">
        <v>3</v>
      </c>
      <c r="I10" s="9" t="n">
        <v>2</v>
      </c>
      <c r="J10" s="9" t="n">
        <v>3</v>
      </c>
    </row>
    <row r="11" customFormat="false" ht="15" hidden="false" customHeight="false" outlineLevel="0" collapsed="false">
      <c r="A11" s="9"/>
      <c r="B11" s="9"/>
      <c r="C11" s="17"/>
      <c r="D11" s="9"/>
      <c r="E11" s="9"/>
      <c r="F11" s="9"/>
      <c r="G11" s="9"/>
      <c r="H11" s="9"/>
      <c r="I11" s="9"/>
      <c r="J11" s="9"/>
    </row>
    <row r="12" customFormat="false" ht="15" hidden="false" customHeight="false" outlineLevel="0" collapsed="false">
      <c r="A12" s="9"/>
      <c r="B12" s="9"/>
      <c r="C12" s="17"/>
      <c r="D12" s="9"/>
      <c r="E12" s="9"/>
      <c r="F12" s="9"/>
      <c r="G12" s="9"/>
      <c r="H12" s="9"/>
      <c r="I12" s="9"/>
      <c r="J12" s="9"/>
    </row>
    <row r="13" customFormat="false" ht="15" hidden="false" customHeight="false" outlineLevel="0" collapsed="false">
      <c r="A13" s="9"/>
      <c r="B13" s="9"/>
      <c r="C13" s="17"/>
      <c r="D13" s="9"/>
      <c r="E13" s="9"/>
      <c r="F13" s="9"/>
      <c r="G13" s="9"/>
      <c r="H13" s="9"/>
      <c r="I13" s="9"/>
      <c r="J13" s="9"/>
    </row>
    <row r="14" customFormat="false" ht="15" hidden="false" customHeight="false" outlineLevel="0" collapsed="false">
      <c r="A14" s="9"/>
      <c r="B14" s="9"/>
      <c r="C14" s="17"/>
      <c r="D14" s="9"/>
      <c r="E14" s="9"/>
      <c r="F14" s="9"/>
      <c r="G14" s="9"/>
      <c r="H14" s="9"/>
      <c r="I14" s="9"/>
      <c r="J14" s="9"/>
    </row>
    <row r="15" customFormat="false" ht="15" hidden="false" customHeight="false" outlineLevel="0" collapsed="false">
      <c r="A15" s="9"/>
      <c r="B15" s="9"/>
      <c r="C15" s="17"/>
      <c r="D15" s="9"/>
      <c r="E15" s="9"/>
      <c r="F15" s="9"/>
      <c r="G15" s="9"/>
      <c r="H15" s="9"/>
      <c r="I15" s="9"/>
      <c r="J15" s="9"/>
    </row>
    <row r="16" customFormat="false" ht="15" hidden="false" customHeight="false" outlineLevel="0" collapsed="false">
      <c r="B16" s="11" t="s">
        <v>149</v>
      </c>
      <c r="C16" s="18" t="n">
        <f aca="false">SUM(C6:C15)</f>
        <v>1</v>
      </c>
      <c r="D16" s="14" t="str">
        <f aca="false">IF(ABS(C16-1)&lt;0.001,"OK","Weights must sum to 100%")</f>
        <v>OK</v>
      </c>
    </row>
    <row r="17" customFormat="false" ht="15" hidden="false" customHeight="false" outlineLevel="0" collapsed="false">
      <c r="B17" s="11" t="s">
        <v>150</v>
      </c>
      <c r="E17" s="19" t="n">
        <f aca="false">IF(COUNT(E6:E15)=0,"",SUMPRODUCT($C$6:$C$15,E6:E15))</f>
        <v>3.25</v>
      </c>
      <c r="F17" s="19" t="n">
        <f aca="false">IF(COUNT(F6:F15)=0,"",SUMPRODUCT($C$6:$C$15,F6:F15))</f>
        <v>4.2</v>
      </c>
      <c r="G17" s="19" t="n">
        <f aca="false">IF(COUNT(G6:G15)=0,"",SUMPRODUCT($C$6:$C$15,G6:G15))</f>
        <v>3.55</v>
      </c>
      <c r="H17" s="19" t="n">
        <f aca="false">IF(COUNT(H6:H15)=0,"",SUMPRODUCT($C$6:$C$15,H6:H15))</f>
        <v>3.3</v>
      </c>
      <c r="I17" s="19" t="n">
        <f aca="false">IF(COUNT(I6:I15)=0,"",SUMPRODUCT($C$6:$C$15,I6:I15))</f>
        <v>2.85</v>
      </c>
      <c r="J17" s="19" t="n">
        <f aca="false">IF(COUNT(J6:J15)=0,"",SUMPRODUCT($C$6:$C$15,J6:J15))</f>
        <v>3</v>
      </c>
    </row>
    <row r="18" customFormat="false" ht="15" hidden="false" customHeight="false" outlineLevel="0" collapsed="false">
      <c r="B18" s="11" t="s">
        <v>151</v>
      </c>
      <c r="E18" s="10" t="n">
        <f aca="false">IF(E17="","",RANK(E17,$E$17:$J$17))</f>
        <v>4</v>
      </c>
      <c r="F18" s="10" t="n">
        <f aca="false">IF(F17="","",RANK(F17,$E$17:$J$17))</f>
        <v>1</v>
      </c>
      <c r="G18" s="10" t="n">
        <f aca="false">IF(G17="","",RANK(G17,$E$17:$J$17))</f>
        <v>2</v>
      </c>
      <c r="H18" s="10" t="n">
        <f aca="false">IF(H17="","",RANK(H17,$E$17:$J$17))</f>
        <v>3</v>
      </c>
      <c r="I18" s="10" t="n">
        <f aca="false">IF(I17="","",RANK(I17,$E$17:$J$17))</f>
        <v>6</v>
      </c>
      <c r="J18" s="10" t="n">
        <f aca="false">IF(J17="","",RANK(J17,$E$17:$J$17))</f>
        <v>5</v>
      </c>
    </row>
  </sheetData>
  <conditionalFormatting sqref="D16">
    <cfRule type="expression" priority="2" aboveAverage="0" equalAverage="0" bottom="0" percent="0" rank="0" text="" dxfId="0">
      <formula>D16="OK"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D16&lt;&gt;"OK"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E6:J1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36"/>
  </cols>
  <sheetData>
    <row r="1" customFormat="false" ht="19.7" hidden="false" customHeight="false" outlineLevel="0" collapsed="false">
      <c r="A1" s="6" t="s">
        <v>152</v>
      </c>
    </row>
    <row r="2" customFormat="false" ht="15" hidden="false" customHeight="false" outlineLevel="0" collapsed="false">
      <c r="A2" s="3" t="s">
        <v>153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154</v>
      </c>
      <c r="B5" s="8" t="s">
        <v>155</v>
      </c>
      <c r="C5" s="8" t="s">
        <v>156</v>
      </c>
      <c r="D5" s="8" t="s">
        <v>157</v>
      </c>
      <c r="E5" s="8" t="s">
        <v>158</v>
      </c>
      <c r="F5" s="8" t="s">
        <v>159</v>
      </c>
      <c r="G5" s="8" t="s">
        <v>160</v>
      </c>
      <c r="H5" s="8" t="s">
        <v>161</v>
      </c>
      <c r="I5" s="8" t="s">
        <v>162</v>
      </c>
      <c r="J5" s="8" t="s">
        <v>163</v>
      </c>
      <c r="K5" s="8" t="s">
        <v>164</v>
      </c>
    </row>
    <row r="6" customFormat="false" ht="15" hidden="false" customHeight="false" outlineLevel="0" collapsed="false">
      <c r="A6" s="9" t="s">
        <v>165</v>
      </c>
      <c r="B6" s="9" t="s">
        <v>166</v>
      </c>
      <c r="C6" s="9" t="s">
        <v>167</v>
      </c>
      <c r="D6" s="9" t="s">
        <v>167</v>
      </c>
      <c r="E6" s="9" t="s">
        <v>167</v>
      </c>
      <c r="F6" s="9" t="s">
        <v>167</v>
      </c>
      <c r="G6" s="14" t="str">
        <f aca="false">IF(A6="","",IF(C6&lt;&gt;"Yes",IF(C6="No","Competitive disadvantage","Undetermined"),IF(D6&lt;&gt;"Yes",IF(D6="No","Competitive parity","Undetermined beyond valuable"),IF(E6&lt;&gt;"Yes",IF(E6="No","Temporary advantage","Undetermined beyond rare"),IF(F6="Yes","Sustained advantage",IF(F6="No","Unexploited advantage","Undetermined beyond inimitable"))))))</f>
        <v>Sustained advantage</v>
      </c>
      <c r="H6" s="9" t="s">
        <v>134</v>
      </c>
      <c r="I6" s="17" t="n">
        <v>0.3</v>
      </c>
      <c r="J6" s="14" t="str">
        <f aca="false">IF(A6="","",IF(AND(C6="Yes",D6="Yes",E6="Yes",N(I6)&lt;0.1),"Competence trap",IF(AND(OR(G6="Temporary advantage",G6="Unexploited advantage",G6="Sustained advantage"),N(I6)&gt;=0.1),"Supported",IF(AND(G6="Competitive parity",N(I6)&gt;=0.1),"Table stakes",""))))</f>
        <v>Supported</v>
      </c>
      <c r="K6" s="9" t="s">
        <v>168</v>
      </c>
    </row>
    <row r="7" customFormat="false" ht="15" hidden="false" customHeight="false" outlineLevel="0" collapsed="false">
      <c r="A7" s="9" t="s">
        <v>169</v>
      </c>
      <c r="B7" s="9" t="s">
        <v>166</v>
      </c>
      <c r="C7" s="9" t="s">
        <v>167</v>
      </c>
      <c r="D7" s="9" t="s">
        <v>167</v>
      </c>
      <c r="E7" s="9" t="s">
        <v>170</v>
      </c>
      <c r="F7" s="9" t="s">
        <v>167</v>
      </c>
      <c r="G7" s="14" t="str">
        <f aca="false">IF(A7="","",IF(C7&lt;&gt;"Yes",IF(C7="No","Competitive disadvantage","Undetermined"),IF(D7&lt;&gt;"Yes",IF(D7="No","Competitive parity","Undetermined beyond valuable"),IF(E7&lt;&gt;"Yes",IF(E7="No","Temporary advantage","Undetermined beyond rare"),IF(F7="Yes","Sustained advantage",IF(F7="No","Unexploited advantage","Undetermined beyond inimitable"))))))</f>
        <v>Temporary advantage</v>
      </c>
      <c r="H7" s="9" t="s">
        <v>137</v>
      </c>
      <c r="I7" s="17" t="n">
        <v>0.25</v>
      </c>
      <c r="J7" s="14" t="str">
        <f aca="false">IF(A7="","",IF(AND(C7="Yes",D7="Yes",E7="Yes",N(I7)&lt;0.1),"Competence trap",IF(AND(OR(G7="Temporary advantage",G7="Unexploited advantage",G7="Sustained advantage"),N(I7)&gt;=0.1),"Supported",IF(AND(G7="Competitive parity",N(I7)&gt;=0.1),"Table stakes",""))))</f>
        <v>Supported</v>
      </c>
      <c r="K7" s="9" t="s">
        <v>171</v>
      </c>
    </row>
    <row r="8" customFormat="false" ht="15" hidden="false" customHeight="false" outlineLevel="0" collapsed="false">
      <c r="A8" s="9" t="s">
        <v>172</v>
      </c>
      <c r="B8" s="9" t="s">
        <v>166</v>
      </c>
      <c r="C8" s="9" t="s">
        <v>167</v>
      </c>
      <c r="D8" s="9" t="s">
        <v>170</v>
      </c>
      <c r="E8" s="9" t="s">
        <v>170</v>
      </c>
      <c r="F8" s="9" t="s">
        <v>173</v>
      </c>
      <c r="G8" s="14" t="str">
        <f aca="false">IF(A8="","",IF(C8&lt;&gt;"Yes",IF(C8="No","Competitive disadvantage","Undetermined"),IF(D8&lt;&gt;"Yes",IF(D8="No","Competitive parity","Undetermined beyond valuable"),IF(E8&lt;&gt;"Yes",IF(E8="No","Temporary advantage","Undetermined beyond rare"),IF(F8="Yes","Sustained advantage",IF(F8="No","Unexploited advantage","Undetermined beyond inimitable"))))))</f>
        <v>Competitive parity</v>
      </c>
      <c r="H8" s="9" t="s">
        <v>137</v>
      </c>
      <c r="I8" s="17" t="n">
        <v>0.25</v>
      </c>
      <c r="J8" s="14" t="str">
        <f aca="false">IF(A8="","",IF(AND(C8="Yes",D8="Yes",E8="Yes",N(I8)&lt;0.1),"Competence trap",IF(AND(OR(G8="Temporary advantage",G8="Unexploited advantage",G8="Sustained advantage"),N(I8)&gt;=0.1),"Supported",IF(AND(G8="Competitive parity",N(I8)&gt;=0.1),"Table stakes",""))))</f>
        <v>Table stakes</v>
      </c>
      <c r="K8" s="9" t="s">
        <v>68</v>
      </c>
    </row>
    <row r="9" customFormat="false" ht="15" hidden="false" customHeight="false" outlineLevel="0" collapsed="false">
      <c r="A9" s="9" t="s">
        <v>174</v>
      </c>
      <c r="B9" s="9" t="s">
        <v>175</v>
      </c>
      <c r="C9" s="9" t="s">
        <v>167</v>
      </c>
      <c r="D9" s="9" t="s">
        <v>167</v>
      </c>
      <c r="E9" s="9" t="s">
        <v>173</v>
      </c>
      <c r="F9" s="9" t="s">
        <v>167</v>
      </c>
      <c r="G9" s="14" t="str">
        <f aca="false">IF(A9="","",IF(C9&lt;&gt;"Yes",IF(C9="No","Competitive disadvantage","Undetermined"),IF(D9&lt;&gt;"Yes",IF(D9="No","Competitive parity","Undetermined beyond valuable"),IF(E9&lt;&gt;"Yes",IF(E9="No","Temporary advantage","Undetermined beyond rare"),IF(F9="Yes","Sustained advantage",IF(F9="No","Unexploited advantage","Undetermined beyond inimitable"))))))</f>
        <v>Undetermined beyond rare</v>
      </c>
      <c r="H9" s="9" t="s">
        <v>134</v>
      </c>
      <c r="I9" s="17" t="n">
        <v>0.3</v>
      </c>
      <c r="J9" s="14" t="str">
        <f aca="false">IF(A9="","",IF(AND(C9="Yes",D9="Yes",E9="Yes",N(I9)&lt;0.1),"Competence trap",IF(AND(OR(G9="Temporary advantage",G9="Unexploited advantage",G9="Sustained advantage"),N(I9)&gt;=0.1),"Supported",IF(AND(G9="Competitive parity",N(I9)&gt;=0.1),"Table stakes",""))))</f>
        <v/>
      </c>
      <c r="K9" s="9" t="s">
        <v>171</v>
      </c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14" t="str">
        <f aca="false">IF(A10="","",IF(C10&lt;&gt;"Yes",IF(C10="No","Competitive disadvantage","Undetermined"),IF(D10&lt;&gt;"Yes",IF(D10="No","Competitive parity","Undetermined beyond valuable"),IF(E10&lt;&gt;"Yes",IF(E10="No","Temporary advantage","Undetermined beyond rare"),IF(F10="Yes","Sustained advantage",IF(F10="No","Unexploited advantage","Undetermined beyond inimitable"))))))</f>
        <v/>
      </c>
      <c r="H10" s="9"/>
      <c r="I10" s="17"/>
      <c r="J10" s="14" t="str">
        <f aca="false">IF(A10="","",IF(AND(C10="Yes",D10="Yes",E10="Yes",N(I10)&lt;0.1),"Competence trap",IF(AND(OR(G10="Temporary advantage",G10="Unexploited advantage",G10="Sustained advantage"),N(I10)&gt;=0.1),"Supported",IF(AND(G10="Competitive parity",N(I10)&gt;=0.1),"Table stakes",""))))</f>
        <v/>
      </c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14" t="str">
        <f aca="false">IF(A11="","",IF(C11&lt;&gt;"Yes",IF(C11="No","Competitive disadvantage","Undetermined"),IF(D11&lt;&gt;"Yes",IF(D11="No","Competitive parity","Undetermined beyond valuable"),IF(E11&lt;&gt;"Yes",IF(E11="No","Temporary advantage","Undetermined beyond rare"),IF(F11="Yes","Sustained advantage",IF(F11="No","Unexploited advantage","Undetermined beyond inimitable"))))))</f>
        <v/>
      </c>
      <c r="H11" s="9"/>
      <c r="I11" s="17"/>
      <c r="J11" s="14" t="str">
        <f aca="false">IF(A11="","",IF(AND(C11="Yes",D11="Yes",E11="Yes",N(I11)&lt;0.1),"Competence trap",IF(AND(OR(G11="Temporary advantage",G11="Unexploited advantage",G11="Sustained advantage"),N(I11)&gt;=0.1),"Supported",IF(AND(G11="Competitive parity",N(I11)&gt;=0.1),"Table stakes",""))))</f>
        <v/>
      </c>
      <c r="K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14" t="str">
        <f aca="false">IF(A12="","",IF(C12&lt;&gt;"Yes",IF(C12="No","Competitive disadvantage","Undetermined"),IF(D12&lt;&gt;"Yes",IF(D12="No","Competitive parity","Undetermined beyond valuable"),IF(E12&lt;&gt;"Yes",IF(E12="No","Temporary advantage","Undetermined beyond rare"),IF(F12="Yes","Sustained advantage",IF(F12="No","Unexploited advantage","Undetermined beyond inimitable"))))))</f>
        <v/>
      </c>
      <c r="H12" s="9"/>
      <c r="I12" s="17"/>
      <c r="J12" s="14" t="str">
        <f aca="false">IF(A12="","",IF(AND(C12="Yes",D12="Yes",E12="Yes",N(I12)&lt;0.1),"Competence trap",IF(AND(OR(G12="Temporary advantage",G12="Unexploited advantage",G12="Sustained advantage"),N(I12)&gt;=0.1),"Supported",IF(AND(G12="Competitive parity",N(I12)&gt;=0.1),"Table stakes",""))))</f>
        <v/>
      </c>
      <c r="K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14" t="str">
        <f aca="false">IF(A13="","",IF(C13&lt;&gt;"Yes",IF(C13="No","Competitive disadvantage","Undetermined"),IF(D13&lt;&gt;"Yes",IF(D13="No","Competitive parity","Undetermined beyond valuable"),IF(E13&lt;&gt;"Yes",IF(E13="No","Temporary advantage","Undetermined beyond rare"),IF(F13="Yes","Sustained advantage",IF(F13="No","Unexploited advantage","Undetermined beyond inimitable"))))))</f>
        <v/>
      </c>
      <c r="H13" s="9"/>
      <c r="I13" s="17"/>
      <c r="J13" s="14" t="str">
        <f aca="false">IF(A13="","",IF(AND(C13="Yes",D13="Yes",E13="Yes",N(I13)&lt;0.1),"Competence trap",IF(AND(OR(G13="Temporary advantage",G13="Unexploited advantage",G13="Sustained advantage"),N(I13)&gt;=0.1),"Supported",IF(AND(G13="Competitive parity",N(I13)&gt;=0.1),"Table stakes",""))))</f>
        <v/>
      </c>
      <c r="K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14" t="str">
        <f aca="false">IF(A14="","",IF(C14&lt;&gt;"Yes",IF(C14="No","Competitive disadvantage","Undetermined"),IF(D14&lt;&gt;"Yes",IF(D14="No","Competitive parity","Undetermined beyond valuable"),IF(E14&lt;&gt;"Yes",IF(E14="No","Temporary advantage","Undetermined beyond rare"),IF(F14="Yes","Sustained advantage",IF(F14="No","Unexploited advantage","Undetermined beyond inimitable"))))))</f>
        <v/>
      </c>
      <c r="H14" s="9"/>
      <c r="I14" s="17"/>
      <c r="J14" s="14" t="str">
        <f aca="false">IF(A14="","",IF(AND(C14="Yes",D14="Yes",E14="Yes",N(I14)&lt;0.1),"Competence trap",IF(AND(OR(G14="Temporary advantage",G14="Unexploited advantage",G14="Sustained advantage"),N(I14)&gt;=0.1),"Supported",IF(AND(G14="Competitive parity",N(I14)&gt;=0.1),"Table stakes",""))))</f>
        <v/>
      </c>
      <c r="K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14" t="str">
        <f aca="false">IF(A15="","",IF(C15&lt;&gt;"Yes",IF(C15="No","Competitive disadvantage","Undetermined"),IF(D15&lt;&gt;"Yes",IF(D15="No","Competitive parity","Undetermined beyond valuable"),IF(E15&lt;&gt;"Yes",IF(E15="No","Temporary advantage","Undetermined beyond rare"),IF(F15="Yes","Sustained advantage",IF(F15="No","Unexploited advantage","Undetermined beyond inimitable"))))))</f>
        <v/>
      </c>
      <c r="H15" s="9"/>
      <c r="I15" s="17"/>
      <c r="J15" s="14" t="str">
        <f aca="false">IF(A15="","",IF(AND(C15="Yes",D15="Yes",E15="Yes",N(I15)&lt;0.1),"Competence trap",IF(AND(OR(G15="Temporary advantage",G15="Unexploited advantage",G15="Sustained advantage"),N(I15)&gt;=0.1),"Supported",IF(AND(G15="Competitive parity",N(I15)&gt;=0.1),"Table stakes",""))))</f>
        <v/>
      </c>
      <c r="K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14" t="str">
        <f aca="false">IF(A16="","",IF(C16&lt;&gt;"Yes",IF(C16="No","Competitive disadvantage","Undetermined"),IF(D16&lt;&gt;"Yes",IF(D16="No","Competitive parity","Undetermined beyond valuable"),IF(E16&lt;&gt;"Yes",IF(E16="No","Temporary advantage","Undetermined beyond rare"),IF(F16="Yes","Sustained advantage",IF(F16="No","Unexploited advantage","Undetermined beyond inimitable"))))))</f>
        <v/>
      </c>
      <c r="H16" s="9"/>
      <c r="I16" s="17"/>
      <c r="J16" s="14" t="str">
        <f aca="false">IF(A16="","",IF(AND(C16="Yes",D16="Yes",E16="Yes",N(I16)&lt;0.1),"Competence trap",IF(AND(OR(G16="Temporary advantage",G16="Unexploited advantage",G16="Sustained advantage"),N(I16)&gt;=0.1),"Supported",IF(AND(G16="Competitive parity",N(I16)&gt;=0.1),"Table stakes",""))))</f>
        <v/>
      </c>
      <c r="K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14" t="str">
        <f aca="false">IF(A17="","",IF(C17&lt;&gt;"Yes",IF(C17="No","Competitive disadvantage","Undetermined"),IF(D17&lt;&gt;"Yes",IF(D17="No","Competitive parity","Undetermined beyond valuable"),IF(E17&lt;&gt;"Yes",IF(E17="No","Temporary advantage","Undetermined beyond rare"),IF(F17="Yes","Sustained advantage",IF(F17="No","Unexploited advantage","Undetermined beyond inimitable"))))))</f>
        <v/>
      </c>
      <c r="H17" s="9"/>
      <c r="I17" s="17"/>
      <c r="J17" s="14" t="str">
        <f aca="false">IF(A17="","",IF(AND(C17="Yes",D17="Yes",E17="Yes",N(I17)&lt;0.1),"Competence trap",IF(AND(OR(G17="Temporary advantage",G17="Unexploited advantage",G17="Sustained advantage"),N(I17)&gt;=0.1),"Supported",IF(AND(G17="Competitive parity",N(I17)&gt;=0.1),"Table stakes",""))))</f>
        <v/>
      </c>
      <c r="K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14" t="str">
        <f aca="false">IF(A18="","",IF(C18&lt;&gt;"Yes",IF(C18="No","Competitive disadvantage","Undetermined"),IF(D18&lt;&gt;"Yes",IF(D18="No","Competitive parity","Undetermined beyond valuable"),IF(E18&lt;&gt;"Yes",IF(E18="No","Temporary advantage","Undetermined beyond rare"),IF(F18="Yes","Sustained advantage",IF(F18="No","Unexploited advantage","Undetermined beyond inimitable"))))))</f>
        <v/>
      </c>
      <c r="H18" s="9"/>
      <c r="I18" s="17"/>
      <c r="J18" s="14" t="str">
        <f aca="false">IF(A18="","",IF(AND(C18="Yes",D18="Yes",E18="Yes",N(I18)&lt;0.1),"Competence trap",IF(AND(OR(G18="Temporary advantage",G18="Unexploited advantage",G18="Sustained advantage"),N(I18)&gt;=0.1),"Supported",IF(AND(G18="Competitive parity",N(I18)&gt;=0.1),"Table stakes",""))))</f>
        <v/>
      </c>
      <c r="K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14" t="str">
        <f aca="false">IF(A19="","",IF(C19&lt;&gt;"Yes",IF(C19="No","Competitive disadvantage","Undetermined"),IF(D19&lt;&gt;"Yes",IF(D19="No","Competitive parity","Undetermined beyond valuable"),IF(E19&lt;&gt;"Yes",IF(E19="No","Temporary advantage","Undetermined beyond rare"),IF(F19="Yes","Sustained advantage",IF(F19="No","Unexploited advantage","Undetermined beyond inimitable"))))))</f>
        <v/>
      </c>
      <c r="H19" s="9"/>
      <c r="I19" s="17"/>
      <c r="J19" s="14" t="str">
        <f aca="false">IF(A19="","",IF(AND(C19="Yes",D19="Yes",E19="Yes",N(I19)&lt;0.1),"Competence trap",IF(AND(OR(G19="Temporary advantage",G19="Unexploited advantage",G19="Sustained advantage"),N(I19)&gt;=0.1),"Supported",IF(AND(G19="Competitive parity",N(I19)&gt;=0.1),"Table stakes",""))))</f>
        <v/>
      </c>
      <c r="K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4" t="str">
        <f aca="false">IF(A20="","",IF(C20&lt;&gt;"Yes",IF(C20="No","Competitive disadvantage","Undetermined"),IF(D20&lt;&gt;"Yes",IF(D20="No","Competitive parity","Undetermined beyond valuable"),IF(E20&lt;&gt;"Yes",IF(E20="No","Temporary advantage","Undetermined beyond rare"),IF(F20="Yes","Sustained advantage",IF(F20="No","Unexploited advantage","Undetermined beyond inimitable"))))))</f>
        <v/>
      </c>
      <c r="H20" s="9"/>
      <c r="I20" s="17"/>
      <c r="J20" s="14" t="str">
        <f aca="false">IF(A20="","",IF(AND(C20="Yes",D20="Yes",E20="Yes",N(I20)&lt;0.1),"Competence trap",IF(AND(OR(G20="Temporary advantage",G20="Unexploited advantage",G20="Sustained advantage"),N(I20)&gt;=0.1),"Supported",IF(AND(G20="Competitive parity",N(I20)&gt;=0.1),"Table stakes",""))))</f>
        <v/>
      </c>
      <c r="K20" s="9"/>
    </row>
  </sheetData>
  <conditionalFormatting sqref="G6:G20">
    <cfRule type="expression" priority="2" aboveAverage="0" equalAverage="0" bottom="0" percent="0" rank="0" text="" dxfId="0">
      <formula>G6="Sustained advantage"</formula>
    </cfRule>
    <cfRule type="expression" priority="3" aboveAverage="0" equalAverage="0" bottom="0" percent="0" rank="0" text="" dxfId="1">
      <formula>OR(G6="Temporary advantage",G6="Unexploited advantage",G6="Competitive parity")</formula>
    </cfRule>
    <cfRule type="expression" priority="4" aboveAverage="0" equalAverage="0" bottom="0" percent="0" rank="0" text="" dxfId="2">
      <formula>G6="Competitive disadvantage"</formula>
    </cfRule>
  </conditionalFormatting>
  <conditionalFormatting sqref="J6:J20">
    <cfRule type="expression" priority="5" aboveAverage="0" equalAverage="0" bottom="0" percent="0" rank="0" text="" dxfId="2">
      <formula>J6="Competence trap"</formula>
    </cfRule>
    <cfRule type="expression" priority="6" aboveAverage="0" equalAverage="0" bottom="0" percent="0" rank="0" text="" dxfId="0">
      <formula>J6="Supported"</formula>
    </cfRule>
  </conditionalFormatting>
  <dataValidations count="2">
    <dataValidation allowBlank="true" errorStyle="stop" operator="between" showDropDown="false" showErrorMessage="false" showInputMessage="false" sqref="C6:F20" type="list">
      <formula1>"Yes,No,?"</formula1>
      <formula2>0</formula2>
    </dataValidation>
    <dataValidation allowBlank="true" errorStyle="stop" operator="between" showDropDown="false" showErrorMessage="false" showInputMessage="false" sqref="B6:B20" type="list">
      <formula1>"resource,capability"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5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6" t="s">
        <v>176</v>
      </c>
    </row>
    <row r="2" customFormat="false" ht="15" hidden="false" customHeight="false" outlineLevel="0" collapsed="false">
      <c r="A2" s="3" t="s">
        <v>177</v>
      </c>
    </row>
    <row r="3" customFormat="false" ht="15" hidden="false" customHeight="false" outlineLevel="0" collapsed="false">
      <c r="A3" s="7" t="s">
        <v>42</v>
      </c>
    </row>
    <row r="5" customFormat="false" ht="15" hidden="false" customHeight="false" outlineLevel="0" collapsed="false">
      <c r="A5" s="8" t="s">
        <v>43</v>
      </c>
      <c r="B5" s="8" t="s">
        <v>178</v>
      </c>
      <c r="C5" s="8" t="s">
        <v>179</v>
      </c>
      <c r="E5" s="8" t="s">
        <v>43</v>
      </c>
      <c r="F5" s="8" t="s">
        <v>180</v>
      </c>
      <c r="G5" s="8" t="s">
        <v>179</v>
      </c>
    </row>
    <row r="6" customFormat="false" ht="15" hidden="false" customHeight="false" outlineLevel="0" collapsed="false">
      <c r="A6" s="11" t="s">
        <v>181</v>
      </c>
      <c r="B6" s="9" t="s">
        <v>182</v>
      </c>
      <c r="C6" s="9" t="s">
        <v>183</v>
      </c>
      <c r="E6" s="11" t="s">
        <v>184</v>
      </c>
      <c r="F6" s="9" t="s">
        <v>185</v>
      </c>
      <c r="G6" s="9" t="s">
        <v>143</v>
      </c>
    </row>
    <row r="7" customFormat="false" ht="15" hidden="false" customHeight="false" outlineLevel="0" collapsed="false">
      <c r="A7" s="11" t="s">
        <v>186</v>
      </c>
      <c r="B7" s="9" t="s">
        <v>169</v>
      </c>
      <c r="C7" s="9" t="s">
        <v>187</v>
      </c>
      <c r="E7" s="11" t="s">
        <v>188</v>
      </c>
      <c r="F7" s="9" t="s">
        <v>189</v>
      </c>
      <c r="G7" s="9" t="s">
        <v>190</v>
      </c>
    </row>
    <row r="8" customFormat="false" ht="15" hidden="false" customHeight="false" outlineLevel="0" collapsed="false">
      <c r="A8" s="11" t="s">
        <v>191</v>
      </c>
      <c r="B8" s="9"/>
      <c r="C8" s="9"/>
      <c r="E8" s="11" t="s">
        <v>192</v>
      </c>
      <c r="F8" s="9"/>
      <c r="G8" s="9"/>
    </row>
    <row r="9" customFormat="false" ht="15" hidden="false" customHeight="false" outlineLevel="0" collapsed="false">
      <c r="A9" s="11" t="s">
        <v>193</v>
      </c>
      <c r="B9" s="9"/>
      <c r="C9" s="9"/>
      <c r="E9" s="11" t="s">
        <v>194</v>
      </c>
      <c r="F9" s="9"/>
      <c r="G9" s="9"/>
    </row>
    <row r="10" customFormat="false" ht="15" hidden="false" customHeight="false" outlineLevel="0" collapsed="false">
      <c r="A10" s="11" t="s">
        <v>195</v>
      </c>
      <c r="B10" s="9"/>
      <c r="C10" s="9"/>
      <c r="E10" s="11" t="s">
        <v>196</v>
      </c>
      <c r="F10" s="9"/>
      <c r="G10" s="9"/>
    </row>
    <row r="11" customFormat="false" ht="15" hidden="false" customHeight="false" outlineLevel="0" collapsed="false">
      <c r="A11" s="11" t="s">
        <v>197</v>
      </c>
      <c r="B11" s="9"/>
      <c r="C11" s="9"/>
      <c r="E11" s="11" t="s">
        <v>198</v>
      </c>
      <c r="F11" s="9"/>
      <c r="G11" s="9"/>
    </row>
    <row r="14" customFormat="false" ht="15" hidden="false" customHeight="false" outlineLevel="0" collapsed="false">
      <c r="A14" s="8" t="s">
        <v>43</v>
      </c>
      <c r="B14" s="8" t="s">
        <v>199</v>
      </c>
      <c r="C14" s="8" t="s">
        <v>179</v>
      </c>
      <c r="E14" s="8" t="s">
        <v>43</v>
      </c>
      <c r="F14" s="8" t="s">
        <v>200</v>
      </c>
      <c r="G14" s="8" t="s">
        <v>179</v>
      </c>
    </row>
    <row r="15" customFormat="false" ht="15" hidden="false" customHeight="false" outlineLevel="0" collapsed="false">
      <c r="A15" s="11" t="s">
        <v>201</v>
      </c>
      <c r="B15" s="9" t="s">
        <v>202</v>
      </c>
      <c r="C15" s="9" t="s">
        <v>184</v>
      </c>
      <c r="E15" s="11" t="s">
        <v>203</v>
      </c>
      <c r="F15" s="9" t="s">
        <v>60</v>
      </c>
      <c r="G15" s="9" t="s">
        <v>58</v>
      </c>
    </row>
    <row r="16" customFormat="false" ht="15" hidden="false" customHeight="false" outlineLevel="0" collapsed="false">
      <c r="A16" s="11" t="s">
        <v>204</v>
      </c>
      <c r="B16" s="9" t="s">
        <v>205</v>
      </c>
      <c r="C16" s="9" t="s">
        <v>74</v>
      </c>
      <c r="E16" s="11" t="s">
        <v>206</v>
      </c>
      <c r="F16" s="9" t="s">
        <v>207</v>
      </c>
      <c r="G16" s="9" t="s">
        <v>78</v>
      </c>
    </row>
    <row r="17" customFormat="false" ht="15" hidden="false" customHeight="false" outlineLevel="0" collapsed="false">
      <c r="A17" s="11" t="s">
        <v>208</v>
      </c>
      <c r="B17" s="9"/>
      <c r="C17" s="9"/>
      <c r="E17" s="11" t="s">
        <v>209</v>
      </c>
      <c r="F17" s="9"/>
      <c r="G17" s="9"/>
    </row>
    <row r="18" customFormat="false" ht="15" hidden="false" customHeight="false" outlineLevel="0" collapsed="false">
      <c r="A18" s="11" t="s">
        <v>210</v>
      </c>
      <c r="B18" s="9"/>
      <c r="C18" s="9"/>
      <c r="E18" s="11" t="s">
        <v>211</v>
      </c>
      <c r="F18" s="9"/>
      <c r="G18" s="9"/>
    </row>
    <row r="19" customFormat="false" ht="15" hidden="false" customHeight="false" outlineLevel="0" collapsed="false">
      <c r="A19" s="11" t="s">
        <v>212</v>
      </c>
      <c r="B19" s="9"/>
      <c r="C19" s="9"/>
      <c r="E19" s="11" t="s">
        <v>213</v>
      </c>
      <c r="F19" s="9"/>
      <c r="G19" s="9"/>
    </row>
    <row r="20" customFormat="false" ht="15" hidden="false" customHeight="false" outlineLevel="0" collapsed="false">
      <c r="A20" s="11" t="s">
        <v>214</v>
      </c>
      <c r="B20" s="9"/>
      <c r="C20" s="9"/>
      <c r="E20" s="11" t="s">
        <v>215</v>
      </c>
      <c r="F20" s="9"/>
      <c r="G20" s="9"/>
    </row>
    <row r="23" customFormat="false" ht="15" hidden="false" customHeight="false" outlineLevel="0" collapsed="false">
      <c r="A23" s="8" t="s">
        <v>216</v>
      </c>
      <c r="B23" s="8" t="s">
        <v>217</v>
      </c>
      <c r="C23" s="8" t="s">
        <v>218</v>
      </c>
    </row>
    <row r="24" customFormat="false" ht="15" hidden="false" customHeight="false" outlineLevel="0" collapsed="false">
      <c r="A24" s="9" t="s">
        <v>219</v>
      </c>
      <c r="B24" s="9" t="s">
        <v>220</v>
      </c>
      <c r="C24" s="9" t="s">
        <v>221</v>
      </c>
    </row>
    <row r="25" customFormat="false" ht="15" hidden="false" customHeight="false" outlineLevel="0" collapsed="false">
      <c r="A25" s="9" t="s">
        <v>222</v>
      </c>
      <c r="B25" s="9" t="s">
        <v>223</v>
      </c>
      <c r="C25" s="9" t="s">
        <v>224</v>
      </c>
    </row>
    <row r="26" customFormat="false" ht="15" hidden="false" customHeight="false" outlineLevel="0" collapsed="false">
      <c r="A26" s="9" t="s">
        <v>225</v>
      </c>
      <c r="B26" s="9" t="s">
        <v>226</v>
      </c>
      <c r="C26" s="9" t="s">
        <v>227</v>
      </c>
    </row>
    <row r="27" customFormat="false" ht="15" hidden="false" customHeight="false" outlineLevel="0" collapsed="false">
      <c r="A27" s="9"/>
      <c r="B27" s="9"/>
      <c r="C27" s="9"/>
    </row>
    <row r="28" customFormat="false" ht="15" hidden="false" customHeight="false" outlineLevel="0" collapsed="false">
      <c r="A28" s="9"/>
      <c r="B28" s="9"/>
      <c r="C28" s="9"/>
    </row>
    <row r="29" customFormat="false" ht="15" hidden="false" customHeight="false" outlineLevel="0" collapsed="false">
      <c r="A29" s="9"/>
      <c r="B29" s="9"/>
      <c r="C29" s="9"/>
    </row>
    <row r="30" customFormat="false" ht="15" hidden="false" customHeight="false" outlineLevel="0" collapsed="false">
      <c r="A30" s="9"/>
      <c r="B30" s="9"/>
      <c r="C30" s="9"/>
    </row>
    <row r="31" customFormat="false" ht="15" hidden="false" customHeight="false" outlineLevel="0" collapsed="false">
      <c r="A31" s="9"/>
      <c r="B31" s="9"/>
      <c r="C31" s="9"/>
    </row>
    <row r="32" customFormat="false" ht="15" hidden="false" customHeight="false" outlineLevel="0" collapsed="false">
      <c r="A32" s="9"/>
      <c r="B32" s="9"/>
      <c r="C32" s="9"/>
    </row>
    <row r="33" customFormat="false" ht="15" hidden="false" customHeight="false" outlineLevel="0" collapsed="false">
      <c r="A33" s="9"/>
      <c r="B33" s="9"/>
      <c r="C33" s="9"/>
    </row>
    <row r="34" customFormat="false" ht="15" hidden="false" customHeight="false" outlineLevel="0" collapsed="false">
      <c r="A34" s="9"/>
      <c r="B34" s="9"/>
      <c r="C34" s="9"/>
    </row>
    <row r="35" customFormat="false" ht="15" hidden="false" customHeight="false" outlineLevel="0" collapsed="false">
      <c r="A35" s="9"/>
      <c r="B35" s="9"/>
      <c r="C35" s="9"/>
    </row>
  </sheetData>
  <dataValidations count="1">
    <dataValidation allowBlank="true" errorStyle="stop" operator="between" showDropDown="false" showErrorMessage="false" showInputMessage="false" sqref="A24:A35" type="list">
      <formula1>"SO,WO,ST,WT"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8" min="4" style="0" width="15"/>
  </cols>
  <sheetData>
    <row r="1" customFormat="false" ht="19.7" hidden="false" customHeight="false" outlineLevel="0" collapsed="false">
      <c r="A1" s="6" t="s">
        <v>17</v>
      </c>
    </row>
    <row r="2" customFormat="false" ht="15" hidden="false" customHeight="false" outlineLevel="0" collapsed="false">
      <c r="A2" s="3" t="s">
        <v>228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229</v>
      </c>
      <c r="B5" s="8" t="s">
        <v>230</v>
      </c>
      <c r="C5" s="8" t="s">
        <v>231</v>
      </c>
      <c r="D5" s="16" t="s">
        <v>232</v>
      </c>
      <c r="E5" s="16" t="s">
        <v>233</v>
      </c>
      <c r="F5" s="16" t="s">
        <v>234</v>
      </c>
      <c r="G5" s="16" t="s">
        <v>235</v>
      </c>
      <c r="H5" s="16" t="s">
        <v>236</v>
      </c>
    </row>
    <row r="6" customFormat="false" ht="15" hidden="false" customHeight="false" outlineLevel="0" collapsed="false">
      <c r="A6" s="9" t="s">
        <v>237</v>
      </c>
      <c r="B6" s="9" t="n">
        <v>5</v>
      </c>
      <c r="C6" s="9" t="s">
        <v>238</v>
      </c>
      <c r="D6" s="9" t="n">
        <v>4</v>
      </c>
      <c r="E6" s="9" t="n">
        <v>3</v>
      </c>
      <c r="F6" s="9" t="n">
        <v>1</v>
      </c>
      <c r="G6" s="9"/>
      <c r="H6" s="9"/>
    </row>
    <row r="7" customFormat="false" ht="15" hidden="false" customHeight="false" outlineLevel="0" collapsed="false">
      <c r="A7" s="9" t="s">
        <v>239</v>
      </c>
      <c r="B7" s="9" t="n">
        <v>4</v>
      </c>
      <c r="C7" s="9" t="s">
        <v>240</v>
      </c>
      <c r="D7" s="9" t="n">
        <v>5</v>
      </c>
      <c r="E7" s="9" t="n">
        <v>4</v>
      </c>
      <c r="F7" s="9" t="n">
        <v>1</v>
      </c>
      <c r="G7" s="9"/>
      <c r="H7" s="9"/>
    </row>
    <row r="8" customFormat="false" ht="15" hidden="false" customHeight="false" outlineLevel="0" collapsed="false">
      <c r="A8" s="9" t="s">
        <v>241</v>
      </c>
      <c r="B8" s="9" t="n">
        <v>3</v>
      </c>
      <c r="C8" s="9" t="s">
        <v>238</v>
      </c>
      <c r="D8" s="9" t="n">
        <v>1</v>
      </c>
      <c r="E8" s="9" t="n">
        <v>4</v>
      </c>
      <c r="F8" s="9" t="n">
        <v>5</v>
      </c>
      <c r="G8" s="9"/>
      <c r="H8" s="9"/>
    </row>
    <row r="9" customFormat="false" ht="15" hidden="false" customHeight="false" outlineLevel="0" collapsed="false">
      <c r="A9" s="9" t="s">
        <v>242</v>
      </c>
      <c r="B9" s="9" t="n">
        <v>3</v>
      </c>
      <c r="C9" s="9" t="s">
        <v>243</v>
      </c>
      <c r="D9" s="9" t="n">
        <v>3</v>
      </c>
      <c r="E9" s="9" t="n">
        <v>5</v>
      </c>
      <c r="F9" s="9" t="n">
        <v>1</v>
      </c>
      <c r="G9" s="9"/>
      <c r="H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</row>
    <row r="14" customFormat="false" ht="15" hidden="false" customHeight="false" outlineLevel="0" collapsed="false">
      <c r="A14" s="11" t="s">
        <v>150</v>
      </c>
      <c r="D14" s="19" t="n">
        <f aca="false">IF(COUNT(D6:D13)=0,"",SUMPRODUCT($B$6:$B$13,D6:D13)/SUMPRODUCT($B$6:$B$13*(D6:D13&lt;&gt;"")))</f>
        <v>3.46666666666667</v>
      </c>
      <c r="E14" s="19" t="n">
        <f aca="false">IF(COUNT(E6:E13)=0,"",SUMPRODUCT($B$6:$B$13,E6:E13)/SUMPRODUCT($B$6:$B$13*(E6:E13&lt;&gt;"")))</f>
        <v>3.86666666666667</v>
      </c>
      <c r="F14" s="19" t="n">
        <f aca="false">IF(COUNT(F6:F13)=0,"",SUMPRODUCT($B$6:$B$13,F6:F13)/SUMPRODUCT($B$6:$B$13*(F6:F13&lt;&gt;"")))</f>
        <v>1.8</v>
      </c>
      <c r="G14" s="19" t="str">
        <f aca="false">IF(COUNT(G6:G13)=0,"",SUMPRODUCT($B$6:$B$13,G6:G13)/SUMPRODUCT($B$6:$B$13*(G6:G13&lt;&gt;"")))</f>
        <v/>
      </c>
      <c r="H14" s="19" t="str">
        <f aca="false">IF(COUNT(H6:H13)=0,"",SUMPRODUCT($B$6:$B$13,H6:H13)/SUMPRODUCT($B$6:$B$13*(H6:H13&lt;&gt;"")))</f>
        <v/>
      </c>
    </row>
    <row r="15" customFormat="false" ht="15" hidden="false" customHeight="false" outlineLevel="0" collapsed="false">
      <c r="A15" s="11" t="s">
        <v>151</v>
      </c>
      <c r="D15" s="10" t="n">
        <f aca="false">IF(D14="","",RANK(D14,$D$14:$H$14))</f>
        <v>2</v>
      </c>
      <c r="E15" s="10" t="n">
        <f aca="false">IF(E14="","",RANK(E14,$D$14:$H$14))</f>
        <v>1</v>
      </c>
      <c r="F15" s="10" t="n">
        <f aca="false">IF(F14="","",RANK(F14,$D$14:$H$14))</f>
        <v>3</v>
      </c>
      <c r="G15" s="10" t="str">
        <f aca="false">IF(G14="","",RANK(G14,$D$14:$H$14))</f>
        <v/>
      </c>
      <c r="H15" s="10" t="str">
        <f aca="false">IF(H14="","",RANK(H14,$D$14:$H$14))</f>
        <v/>
      </c>
    </row>
    <row r="17" customFormat="false" ht="23.85" hidden="false" customHeight="false" outlineLevel="0" collapsed="false">
      <c r="A17" s="5" t="s">
        <v>244</v>
      </c>
    </row>
  </sheetData>
  <dataValidations count="1">
    <dataValidation allowBlank="true" error="Enter a whole number from 1 to 5." errorStyle="stop" errorTitle="StratOS" operator="between" showDropDown="false" showErrorMessage="false" showInputMessage="false" sqref="B6:H13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9.7" hidden="false" customHeight="false" outlineLevel="0" collapsed="false">
      <c r="A1" s="6" t="s">
        <v>19</v>
      </c>
    </row>
    <row r="2" customFormat="false" ht="15" hidden="false" customHeight="false" outlineLevel="0" collapsed="false">
      <c r="A2" s="3" t="s">
        <v>245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246</v>
      </c>
      <c r="B5" s="8" t="s">
        <v>247</v>
      </c>
      <c r="C5" s="8" t="s">
        <v>248</v>
      </c>
      <c r="D5" s="8" t="s">
        <v>249</v>
      </c>
      <c r="E5" s="8" t="s">
        <v>250</v>
      </c>
      <c r="F5" s="8" t="s">
        <v>251</v>
      </c>
      <c r="G5" s="8" t="s">
        <v>252</v>
      </c>
      <c r="H5" s="8" t="s">
        <v>253</v>
      </c>
      <c r="I5" s="8" t="s">
        <v>254</v>
      </c>
      <c r="J5" s="8" t="s">
        <v>255</v>
      </c>
      <c r="K5" s="8" t="s">
        <v>256</v>
      </c>
    </row>
    <row r="6" customFormat="false" ht="15" hidden="false" customHeight="false" outlineLevel="0" collapsed="false">
      <c r="A6" s="9" t="s">
        <v>232</v>
      </c>
      <c r="B6" s="17" t="n">
        <v>0.3</v>
      </c>
      <c r="C6" s="13" t="n">
        <v>620</v>
      </c>
      <c r="D6" s="17" t="n">
        <v>0.5</v>
      </c>
      <c r="E6" s="13" t="n">
        <v>-35</v>
      </c>
      <c r="F6" s="17" t="n">
        <v>0.2</v>
      </c>
      <c r="G6" s="13" t="n">
        <v>-540</v>
      </c>
      <c r="H6" s="14" t="str">
        <f aca="false">IF(A6="","",IF(ABS(B6+D6+F6-1)&lt;0.001,"OK","Must sum to 100%"))</f>
        <v>OK</v>
      </c>
      <c r="I6" s="19" t="n">
        <f aca="false">IF(A6="","",B6*C6+D6*E6+F6*G6)</f>
        <v>60.5</v>
      </c>
      <c r="J6" s="12" t="n">
        <f aca="false">IF(A6="","",MIN(C6,E6,G6))</f>
        <v>-540</v>
      </c>
      <c r="K6" s="12" t="n">
        <f aca="false">IF(A6="","",MAX(C6,E6,G6))</f>
        <v>620</v>
      </c>
    </row>
    <row r="7" customFormat="false" ht="15" hidden="false" customHeight="false" outlineLevel="0" collapsed="false">
      <c r="A7" s="9" t="s">
        <v>233</v>
      </c>
      <c r="B7" s="17" t="n">
        <v>0.3</v>
      </c>
      <c r="C7" s="13" t="n">
        <v>260</v>
      </c>
      <c r="D7" s="17" t="n">
        <v>0.5</v>
      </c>
      <c r="E7" s="13" t="n">
        <v>40</v>
      </c>
      <c r="F7" s="17" t="n">
        <v>0.2</v>
      </c>
      <c r="G7" s="13" t="n">
        <v>-60</v>
      </c>
      <c r="H7" s="14" t="str">
        <f aca="false">IF(A7="","",IF(ABS(B7+D7+F7-1)&lt;0.001,"OK","Must sum to 100%"))</f>
        <v>OK</v>
      </c>
      <c r="I7" s="19" t="n">
        <f aca="false">IF(A7="","",B7*C7+D7*E7+F7*G7)</f>
        <v>86</v>
      </c>
      <c r="J7" s="12" t="n">
        <f aca="false">IF(A7="","",MIN(C7,E7,G7))</f>
        <v>-60</v>
      </c>
      <c r="K7" s="12" t="n">
        <f aca="false">IF(A7="","",MAX(C7,E7,G7))</f>
        <v>260</v>
      </c>
    </row>
    <row r="8" customFormat="false" ht="15" hidden="false" customHeight="false" outlineLevel="0" collapsed="false">
      <c r="A8" s="9" t="s">
        <v>234</v>
      </c>
      <c r="B8" s="17" t="n">
        <v>0.3</v>
      </c>
      <c r="C8" s="13" t="n">
        <v>0</v>
      </c>
      <c r="D8" s="17" t="n">
        <v>0.5</v>
      </c>
      <c r="E8" s="13" t="n">
        <v>0</v>
      </c>
      <c r="F8" s="17" t="n">
        <v>0.2</v>
      </c>
      <c r="G8" s="13" t="n">
        <v>0</v>
      </c>
      <c r="H8" s="14" t="str">
        <f aca="false">IF(A8="","",IF(ABS(B8+D8+F8-1)&lt;0.001,"OK","Must sum to 100%"))</f>
        <v>OK</v>
      </c>
      <c r="I8" s="19" t="n">
        <f aca="false">IF(A8="","",B8*C8+D8*E8+F8*G8)</f>
        <v>0</v>
      </c>
      <c r="J8" s="12" t="n">
        <f aca="false">IF(A8="","",MIN(C8,E8,G8))</f>
        <v>0</v>
      </c>
      <c r="K8" s="12" t="n">
        <f aca="false">IF(A8="","",MAX(C8,E8,G8))</f>
        <v>0</v>
      </c>
    </row>
    <row r="9" customFormat="false" ht="15" hidden="false" customHeight="false" outlineLevel="0" collapsed="false">
      <c r="A9" s="9"/>
      <c r="B9" s="17"/>
      <c r="C9" s="13"/>
      <c r="D9" s="17"/>
      <c r="E9" s="13"/>
      <c r="F9" s="17"/>
      <c r="G9" s="13"/>
      <c r="H9" s="14" t="str">
        <f aca="false">IF(A9="","",IF(ABS(B9+D9+F9-1)&lt;0.001,"OK","Must sum to 100%"))</f>
        <v/>
      </c>
      <c r="I9" s="19" t="str">
        <f aca="false">IF(A9="","",B9*C9+D9*E9+F9*G9)</f>
        <v/>
      </c>
      <c r="J9" s="12" t="str">
        <f aca="false">IF(A9="","",MIN(C9,E9,G9))</f>
        <v/>
      </c>
      <c r="K9" s="12" t="str">
        <f aca="false">IF(A9="","",MAX(C9,E9,G9))</f>
        <v/>
      </c>
    </row>
    <row r="10" customFormat="false" ht="15" hidden="false" customHeight="false" outlineLevel="0" collapsed="false">
      <c r="A10" s="9"/>
      <c r="B10" s="17"/>
      <c r="C10" s="13"/>
      <c r="D10" s="17"/>
      <c r="E10" s="13"/>
      <c r="F10" s="17"/>
      <c r="G10" s="13"/>
      <c r="H10" s="14" t="str">
        <f aca="false">IF(A10="","",IF(ABS(B10+D10+F10-1)&lt;0.001,"OK","Must sum to 100%"))</f>
        <v/>
      </c>
      <c r="I10" s="19" t="str">
        <f aca="false">IF(A10="","",B10*C10+D10*E10+F10*G10)</f>
        <v/>
      </c>
      <c r="J10" s="12" t="str">
        <f aca="false">IF(A10="","",MIN(C10,E10,G10))</f>
        <v/>
      </c>
      <c r="K10" s="12" t="str">
        <f aca="false">IF(A10="","",MAX(C10,E10,G10))</f>
        <v/>
      </c>
    </row>
    <row r="11" customFormat="false" ht="15" hidden="false" customHeight="false" outlineLevel="0" collapsed="false">
      <c r="A11" s="9"/>
      <c r="B11" s="17"/>
      <c r="C11" s="13"/>
      <c r="D11" s="17"/>
      <c r="E11" s="13"/>
      <c r="F11" s="17"/>
      <c r="G11" s="13"/>
      <c r="H11" s="14" t="str">
        <f aca="false">IF(A11="","",IF(ABS(B11+D11+F11-1)&lt;0.001,"OK","Must sum to 100%"))</f>
        <v/>
      </c>
      <c r="I11" s="19" t="str">
        <f aca="false">IF(A11="","",B11*C11+D11*E11+F11*G11)</f>
        <v/>
      </c>
      <c r="J11" s="12" t="str">
        <f aca="false">IF(A11="","",MIN(C11,E11,G11))</f>
        <v/>
      </c>
      <c r="K11" s="12" t="str">
        <f aca="false">IF(A11="","",MAX(C11,E11,G11))</f>
        <v/>
      </c>
    </row>
    <row r="13" customFormat="false" ht="15" hidden="false" customHeight="false" outlineLevel="0" collapsed="false">
      <c r="A13" s="11" t="s">
        <v>257</v>
      </c>
      <c r="B13" s="20" t="str">
        <f aca="false">IFERROR(INDEX(A6:A11,MATCH(MAX(I6:I11),I6:I11,0)),"")</f>
        <v>B. Partner</v>
      </c>
    </row>
    <row r="14" customFormat="false" ht="23.85" hidden="false" customHeight="false" outlineLevel="0" collapsed="false">
      <c r="A14" s="11" t="s">
        <v>258</v>
      </c>
      <c r="B14" s="20" t="str">
        <f aca="false">IFERROR(INDEX(A6:A11,MATCH(MAX(J6:J11),J6:J11,0)),"")</f>
        <v>0. Do nothing</v>
      </c>
    </row>
    <row r="15" customFormat="false" ht="23.85" hidden="false" customHeight="true" outlineLevel="0" collapsed="false">
      <c r="A15" s="11" t="s">
        <v>259</v>
      </c>
      <c r="B15" s="19" t="n">
        <f aca="false">IFERROR(INDEX(B6:B11,MATCH(MAX(I6:I11),I6:I11,0))*MAX(C6:C11)+INDEX(D6:D11,MATCH(MAX(I6:I11),I6:I11,0))*MAX(E6:E11)+INDEX(F6:F11,MATCH(MAX(I6:I11),I6:I11,0))*MAX(G6:G11)-MAX(I6:I11),"")</f>
        <v>120</v>
      </c>
      <c r="C15" s="21" t="s">
        <v>260</v>
      </c>
      <c r="D15" s="21"/>
      <c r="E15" s="21"/>
      <c r="F15" s="21"/>
      <c r="G15" s="21"/>
      <c r="H15" s="21"/>
      <c r="I15" s="21"/>
      <c r="J15" s="21"/>
      <c r="K15" s="21"/>
    </row>
    <row r="18" customFormat="false" ht="23.85" hidden="false" customHeight="true" outlineLevel="0" collapsed="false">
      <c r="A18" s="11" t="s">
        <v>261</v>
      </c>
      <c r="B18" s="21" t="s">
        <v>262</v>
      </c>
      <c r="C18" s="21"/>
      <c r="D18" s="21"/>
      <c r="E18" s="21"/>
      <c r="F18" s="21"/>
      <c r="G18" s="21"/>
      <c r="H18" s="21"/>
      <c r="I18" s="21"/>
      <c r="J18" s="21"/>
      <c r="K18" s="21"/>
    </row>
    <row r="19" customFormat="false" ht="30" hidden="false" customHeight="true" outlineLevel="0" collapsed="false">
      <c r="A19" s="8" t="s">
        <v>263</v>
      </c>
      <c r="B19" s="8" t="s">
        <v>264</v>
      </c>
      <c r="C19" s="8" t="s">
        <v>265</v>
      </c>
      <c r="D19" s="8" t="s">
        <v>266</v>
      </c>
      <c r="E19" s="8" t="s">
        <v>267</v>
      </c>
      <c r="F19" s="8" t="s">
        <v>268</v>
      </c>
      <c r="G19" s="8" t="s">
        <v>269</v>
      </c>
    </row>
    <row r="20" customFormat="false" ht="15" hidden="false" customHeight="false" outlineLevel="0" collapsed="false">
      <c r="A20" s="5" t="s">
        <v>270</v>
      </c>
      <c r="B20" s="22" t="n">
        <f aca="false">IF(B6="","",B6)</f>
        <v>0.3</v>
      </c>
      <c r="C20" s="17" t="n">
        <v>0.8</v>
      </c>
      <c r="D20" s="17" t="n">
        <v>0.2</v>
      </c>
      <c r="E20" s="14" t="str">
        <f aca="false">IF(C20="","",IF(ABS(C20+D20-1)&lt;0.001,"OK","Must sum to 100%"))</f>
        <v>OK</v>
      </c>
      <c r="F20" s="23" t="n">
        <f aca="false">IFERROR(B20*C20/SUMPRODUCT($B$20:$B$22,$C$20:$C$22),"")</f>
        <v>0.461538461538462</v>
      </c>
      <c r="G20" s="23" t="n">
        <f aca="false">IFERROR(B20*D20/SUMPRODUCT($B$20:$B$22,$D$20:$D$22),"")</f>
        <v>0.125</v>
      </c>
    </row>
    <row r="21" customFormat="false" ht="15" hidden="false" customHeight="false" outlineLevel="0" collapsed="false">
      <c r="A21" s="5" t="s">
        <v>271</v>
      </c>
      <c r="B21" s="22" t="n">
        <f aca="false">IF(D6="","",D6)</f>
        <v>0.5</v>
      </c>
      <c r="C21" s="17" t="n">
        <v>0.5</v>
      </c>
      <c r="D21" s="17" t="n">
        <v>0.5</v>
      </c>
      <c r="E21" s="14" t="str">
        <f aca="false">IF(C21="","",IF(ABS(C21+D21-1)&lt;0.001,"OK","Must sum to 100%"))</f>
        <v>OK</v>
      </c>
      <c r="F21" s="23" t="n">
        <f aca="false">IFERROR(B21*C21/SUMPRODUCT($B$20:$B$22,$C$20:$C$22),"")</f>
        <v>0.480769230769231</v>
      </c>
      <c r="G21" s="23" t="n">
        <f aca="false">IFERROR(B21*D21/SUMPRODUCT($B$20:$B$22,$D$20:$D$22),"")</f>
        <v>0.520833333333333</v>
      </c>
    </row>
    <row r="22" customFormat="false" ht="15" hidden="false" customHeight="false" outlineLevel="0" collapsed="false">
      <c r="A22" s="5" t="s">
        <v>272</v>
      </c>
      <c r="B22" s="22" t="n">
        <f aca="false">IF(F6="","",F6)</f>
        <v>0.2</v>
      </c>
      <c r="C22" s="17" t="n">
        <v>0.15</v>
      </c>
      <c r="D22" s="17" t="n">
        <v>0.85</v>
      </c>
      <c r="E22" s="14" t="str">
        <f aca="false">IF(C22="","",IF(ABS(C22+D22-1)&lt;0.001,"OK","Must sum to 100%"))</f>
        <v>OK</v>
      </c>
      <c r="F22" s="23" t="n">
        <f aca="false">IFERROR(B22*C22/SUMPRODUCT($B$20:$B$22,$C$20:$C$22),"")</f>
        <v>0.0576923076923077</v>
      </c>
      <c r="G22" s="23" t="n">
        <f aca="false">IFERROR(B22*D22/SUMPRODUCT($B$20:$B$22,$D$20:$D$22),"")</f>
        <v>0.354166666666667</v>
      </c>
    </row>
    <row r="23" customFormat="false" ht="15" hidden="false" customHeight="false" outlineLevel="0" collapsed="false">
      <c r="A23" s="11" t="s">
        <v>273</v>
      </c>
      <c r="F23" s="24" t="n">
        <f aca="false">IFERROR(SUMPRODUCT(B20:B22,C20:C22),"")</f>
        <v>0.52</v>
      </c>
      <c r="G23" s="24" t="n">
        <f aca="false">IFERROR(SUMPRODUCT(B20:B22,D20:D22),"")</f>
        <v>0.48</v>
      </c>
    </row>
    <row r="25" customFormat="false" ht="30" hidden="false" customHeight="true" outlineLevel="0" collapsed="false">
      <c r="A25" s="8" t="s">
        <v>246</v>
      </c>
      <c r="B25" s="8" t="s">
        <v>274</v>
      </c>
      <c r="C25" s="8" t="s">
        <v>275</v>
      </c>
      <c r="D25" s="8" t="s">
        <v>276</v>
      </c>
    </row>
    <row r="26" customFormat="false" ht="15" hidden="false" customHeight="false" outlineLevel="0" collapsed="false">
      <c r="A26" s="14" t="str">
        <f aca="false">IF(A6="","",A6)</f>
        <v>A. EU plant</v>
      </c>
      <c r="B26" s="25" t="n">
        <f aca="false">IF(A6="","",I6)</f>
        <v>60.5</v>
      </c>
      <c r="C26" s="25" t="n">
        <f aca="false">IF(OR(A6="",F20=""),"",C6*F20+E6*F21+G6*F22)</f>
        <v>238.173076923077</v>
      </c>
      <c r="D26" s="25" t="n">
        <f aca="false">IF(OR(A6="",G20=""),"",C6*G20+E6*G21+G6*G22)</f>
        <v>-131.979166666667</v>
      </c>
    </row>
    <row r="27" customFormat="false" ht="15" hidden="false" customHeight="false" outlineLevel="0" collapsed="false">
      <c r="A27" s="14" t="str">
        <f aca="false">IF(A7="","",A7)</f>
        <v>B. Partner</v>
      </c>
      <c r="B27" s="25" t="n">
        <f aca="false">IF(A7="","",I7)</f>
        <v>86</v>
      </c>
      <c r="C27" s="25" t="n">
        <f aca="false">IF(OR(A7="",F20=""),"",C7*F20+E7*F21+G7*F22)</f>
        <v>135.769230769231</v>
      </c>
      <c r="D27" s="25" t="n">
        <f aca="false">IF(OR(A7="",G20=""),"",C7*G20+E7*G21+G7*G22)</f>
        <v>32.0833333333333</v>
      </c>
    </row>
    <row r="28" customFormat="false" ht="15" hidden="false" customHeight="false" outlineLevel="0" collapsed="false">
      <c r="A28" s="14" t="str">
        <f aca="false">IF(A8="","",A8)</f>
        <v>0. Do nothing</v>
      </c>
      <c r="B28" s="25" t="n">
        <f aca="false">IF(A8="","",I8)</f>
        <v>0</v>
      </c>
      <c r="C28" s="25" t="n">
        <f aca="false">IF(OR(A8="",F20=""),"",C8*F20+E8*F21+G8*F22)</f>
        <v>0</v>
      </c>
      <c r="D28" s="25" t="n">
        <f aca="false">IF(OR(A8="",G20=""),"",C8*G20+E8*G21+G8*G22)</f>
        <v>0</v>
      </c>
    </row>
    <row r="29" customFormat="false" ht="15" hidden="false" customHeight="false" outlineLevel="0" collapsed="false">
      <c r="A29" s="14" t="str">
        <f aca="false">IF(A9="","",A9)</f>
        <v/>
      </c>
      <c r="B29" s="25" t="str">
        <f aca="false">IF(A9="","",I9)</f>
        <v/>
      </c>
      <c r="C29" s="25" t="str">
        <f aca="false">IF(OR(A9="",F20=""),"",C9*F20+E9*F21+G9*F22)</f>
        <v/>
      </c>
      <c r="D29" s="25" t="str">
        <f aca="false">IF(OR(A9="",G20=""),"",C9*G20+E9*G21+G9*G22)</f>
        <v/>
      </c>
    </row>
    <row r="30" customFormat="false" ht="15" hidden="false" customHeight="false" outlineLevel="0" collapsed="false">
      <c r="A30" s="14" t="str">
        <f aca="false">IF(A10="","",A10)</f>
        <v/>
      </c>
      <c r="B30" s="25" t="str">
        <f aca="false">IF(A10="","",I10)</f>
        <v/>
      </c>
      <c r="C30" s="25" t="str">
        <f aca="false">IF(OR(A10="",F20=""),"",C10*F20+E10*F21+G10*F22)</f>
        <v/>
      </c>
      <c r="D30" s="25" t="str">
        <f aca="false">IF(OR(A10="",G20=""),"",C10*G20+E10*G21+G10*G22)</f>
        <v/>
      </c>
    </row>
    <row r="31" customFormat="false" ht="15" hidden="false" customHeight="false" outlineLevel="0" collapsed="false">
      <c r="A31" s="14" t="str">
        <f aca="false">IF(A11="","",A11)</f>
        <v/>
      </c>
      <c r="B31" s="25" t="str">
        <f aca="false">IF(A11="","",I11)</f>
        <v/>
      </c>
      <c r="C31" s="25" t="str">
        <f aca="false">IF(OR(A11="",F20=""),"",C11*F20+E11*F21+G11*F22)</f>
        <v/>
      </c>
      <c r="D31" s="25" t="str">
        <f aca="false">IF(OR(A11="",G20=""),"",C11*G20+E11*G21+G11*G22)</f>
        <v/>
      </c>
    </row>
    <row r="33" customFormat="false" ht="23.85" hidden="false" customHeight="true" outlineLevel="0" collapsed="false">
      <c r="A33" s="11" t="s">
        <v>277</v>
      </c>
      <c r="B33" s="20" t="str">
        <f aca="false">IFERROR(INDEX(A26:A31,MATCH(MAX(C26:C31),C26:C31,0)),"")</f>
        <v>A. EU plant</v>
      </c>
      <c r="C33" s="21" t="s">
        <v>278</v>
      </c>
      <c r="D33" s="21"/>
      <c r="E33" s="21"/>
      <c r="F33" s="21"/>
      <c r="G33" s="21"/>
      <c r="H33" s="21"/>
      <c r="I33" s="21"/>
      <c r="J33" s="21"/>
      <c r="K33" s="21"/>
    </row>
    <row r="34" customFormat="false" ht="23.85" hidden="false" customHeight="false" outlineLevel="0" collapsed="false">
      <c r="A34" s="11" t="s">
        <v>279</v>
      </c>
      <c r="B34" s="20" t="str">
        <f aca="false">IFERROR(INDEX(A26:A31,MATCH(MAX(D26:D31),D26:D31,0)),"")</f>
        <v>B. Partner</v>
      </c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23.85" hidden="false" customHeight="false" outlineLevel="0" collapsed="false">
      <c r="A35" s="11" t="s">
        <v>280</v>
      </c>
      <c r="B35" s="19" t="n">
        <f aca="false">IFERROR(F23*MAX(C26:C31)+G23*MAX(D26:D31),"")</f>
        <v>139.25</v>
      </c>
    </row>
    <row r="36" customFormat="false" ht="15" hidden="false" customHeight="false" outlineLevel="0" collapsed="false">
      <c r="A36" s="11" t="s">
        <v>281</v>
      </c>
      <c r="B36" s="19" t="n">
        <f aca="false">IFERROR(B35-MAX(I6:I11),"")</f>
        <v>53.25</v>
      </c>
    </row>
    <row r="37" customFormat="false" ht="15" hidden="false" customHeight="false" outlineLevel="0" collapsed="false">
      <c r="A37" s="11" t="s">
        <v>282</v>
      </c>
      <c r="B37" s="26" t="n">
        <v>25</v>
      </c>
    </row>
    <row r="38" customFormat="false" ht="23.85" hidden="false" customHeight="false" outlineLevel="0" collapsed="false">
      <c r="A38" s="11" t="s">
        <v>283</v>
      </c>
      <c r="B38" s="19" t="n">
        <f aca="false">IFERROR(IF(B37="","",B36-B37),"")</f>
        <v>28.25</v>
      </c>
    </row>
    <row r="39" customFormat="false" ht="15" hidden="false" customHeight="false" outlineLevel="0" collapsed="false">
      <c r="A39" s="11" t="s">
        <v>284</v>
      </c>
      <c r="B39" s="18" t="n">
        <f aca="false">IFERROR(B36/B15,"")</f>
        <v>0.44375</v>
      </c>
    </row>
  </sheetData>
  <mergeCells count="3">
    <mergeCell ref="C15:K15"/>
    <mergeCell ref="B18:K18"/>
    <mergeCell ref="C33:K34"/>
  </mergeCells>
  <conditionalFormatting sqref="H6:H11">
    <cfRule type="expression" priority="2" aboveAverage="0" equalAverage="0" bottom="0" percent="0" rank="0" text="" dxfId="0">
      <formula>H6="OK"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H6="Must sum to 100%"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6" t="s">
        <v>21</v>
      </c>
    </row>
    <row r="2" customFormat="false" ht="15" hidden="false" customHeight="false" outlineLevel="0" collapsed="false">
      <c r="A2" s="3" t="s">
        <v>285</v>
      </c>
    </row>
    <row r="3" customFormat="false" ht="15" hidden="false" customHeight="false" outlineLevel="0" collapsed="false">
      <c r="A3" s="7" t="s">
        <v>42</v>
      </c>
    </row>
    <row r="4" customFormat="false" ht="15" hidden="false" customHeight="false" outlineLevel="0" collapsed="false">
      <c r="A4" s="3" t="s">
        <v>286</v>
      </c>
    </row>
    <row r="5" customFormat="false" ht="15" hidden="false" customHeight="false" outlineLevel="0" collapsed="false">
      <c r="A5" s="11" t="s">
        <v>287</v>
      </c>
    </row>
    <row r="6" customFormat="false" ht="15" hidden="false" customHeight="false" outlineLevel="0" collapsed="false">
      <c r="A6" s="5" t="s">
        <v>288</v>
      </c>
      <c r="B6" s="27" t="n">
        <v>0.1</v>
      </c>
    </row>
    <row r="7" customFormat="false" ht="15" hidden="false" customHeight="false" outlineLevel="0" collapsed="false">
      <c r="A7" s="5" t="s">
        <v>289</v>
      </c>
      <c r="B7" s="27" t="n">
        <v>0.21</v>
      </c>
    </row>
    <row r="8" customFormat="false" ht="15" hidden="false" customHeight="false" outlineLevel="0" collapsed="false">
      <c r="A8" s="5" t="s">
        <v>290</v>
      </c>
      <c r="B8" s="27" t="n">
        <v>0.05</v>
      </c>
    </row>
    <row r="10" customFormat="false" ht="15" hidden="false" customHeight="false" outlineLevel="0" collapsed="false">
      <c r="A10" s="8" t="s">
        <v>291</v>
      </c>
      <c r="B10" s="8" t="s">
        <v>292</v>
      </c>
      <c r="C10" s="8" t="s">
        <v>293</v>
      </c>
      <c r="D10" s="8" t="s">
        <v>294</v>
      </c>
      <c r="E10" s="8" t="s">
        <v>295</v>
      </c>
      <c r="F10" s="8" t="s">
        <v>296</v>
      </c>
      <c r="G10" s="8" t="s">
        <v>297</v>
      </c>
    </row>
    <row r="11" customFormat="false" ht="15" hidden="false" customHeight="false" outlineLevel="0" collapsed="false">
      <c r="A11" s="5" t="s">
        <v>298</v>
      </c>
      <c r="B11" s="28" t="n">
        <v>0</v>
      </c>
      <c r="C11" s="28" t="n">
        <v>32400</v>
      </c>
      <c r="D11" s="28" t="n">
        <v>64800</v>
      </c>
      <c r="E11" s="28" t="n">
        <v>97200</v>
      </c>
      <c r="F11" s="28" t="n">
        <v>108000</v>
      </c>
      <c r="G11" s="28" t="n">
        <v>108000</v>
      </c>
    </row>
    <row r="12" customFormat="false" ht="15" hidden="false" customHeight="false" outlineLevel="0" collapsed="false">
      <c r="A12" s="5" t="s">
        <v>299</v>
      </c>
      <c r="B12" s="29" t="n">
        <v>32000</v>
      </c>
      <c r="C12" s="29" t="n">
        <v>32000</v>
      </c>
      <c r="D12" s="29" t="n">
        <v>32000</v>
      </c>
      <c r="E12" s="29" t="n">
        <v>32000</v>
      </c>
      <c r="F12" s="29" t="n">
        <v>32000</v>
      </c>
      <c r="G12" s="29" t="n">
        <v>32000</v>
      </c>
    </row>
    <row r="13" customFormat="false" ht="15" hidden="false" customHeight="false" outlineLevel="0" collapsed="false">
      <c r="A13" s="5" t="s">
        <v>300</v>
      </c>
      <c r="B13" s="29" t="n">
        <v>20000</v>
      </c>
      <c r="C13" s="29" t="n">
        <v>20000</v>
      </c>
      <c r="D13" s="29" t="n">
        <v>20000</v>
      </c>
      <c r="E13" s="29" t="n">
        <v>20000</v>
      </c>
      <c r="F13" s="29" t="n">
        <v>20000</v>
      </c>
      <c r="G13" s="29" t="n">
        <v>20000</v>
      </c>
    </row>
    <row r="14" customFormat="false" ht="15" hidden="false" customHeight="false" outlineLevel="0" collapsed="false">
      <c r="A14" s="5" t="s">
        <v>301</v>
      </c>
      <c r="B14" s="29" t="n">
        <v>0</v>
      </c>
      <c r="C14" s="29" t="n">
        <v>180000000</v>
      </c>
      <c r="D14" s="29" t="n">
        <v>180000000</v>
      </c>
      <c r="E14" s="29" t="n">
        <v>180000000</v>
      </c>
      <c r="F14" s="29" t="n">
        <v>180000000</v>
      </c>
      <c r="G14" s="29" t="n">
        <v>180000000</v>
      </c>
    </row>
    <row r="15" customFormat="false" ht="15" hidden="false" customHeight="false" outlineLevel="0" collapsed="false">
      <c r="A15" s="5" t="s">
        <v>302</v>
      </c>
      <c r="B15" s="29" t="n">
        <v>2000000000</v>
      </c>
      <c r="C15" s="29" t="n">
        <v>100000000</v>
      </c>
      <c r="D15" s="29" t="n">
        <v>100000000</v>
      </c>
      <c r="E15" s="29" t="n">
        <v>50000000</v>
      </c>
      <c r="F15" s="29" t="n">
        <v>50000000</v>
      </c>
      <c r="G15" s="29" t="n">
        <v>50000000</v>
      </c>
    </row>
    <row r="16" customFormat="false" ht="15" hidden="false" customHeight="false" outlineLevel="0" collapsed="false">
      <c r="A16" s="5" t="s">
        <v>303</v>
      </c>
      <c r="B16" s="30" t="n">
        <f aca="false">B11*B12</f>
        <v>0</v>
      </c>
      <c r="C16" s="30" t="n">
        <f aca="false">C11*C12</f>
        <v>1036800000</v>
      </c>
      <c r="D16" s="30" t="n">
        <f aca="false">D11*D12</f>
        <v>2073600000</v>
      </c>
      <c r="E16" s="30" t="n">
        <f aca="false">E11*E12</f>
        <v>3110400000</v>
      </c>
      <c r="F16" s="30" t="n">
        <f aca="false">F11*F12</f>
        <v>3456000000</v>
      </c>
      <c r="G16" s="30" t="n">
        <f aca="false">G11*G12</f>
        <v>3456000000</v>
      </c>
    </row>
    <row r="17" customFormat="false" ht="15" hidden="false" customHeight="false" outlineLevel="0" collapsed="false">
      <c r="A17" s="5" t="s">
        <v>304</v>
      </c>
      <c r="B17" s="30" t="n">
        <f aca="false">B11*(B12-B13)</f>
        <v>0</v>
      </c>
      <c r="C17" s="30" t="n">
        <f aca="false">C11*(C12-C13)</f>
        <v>388800000</v>
      </c>
      <c r="D17" s="30" t="n">
        <f aca="false">D11*(D12-D13)</f>
        <v>777600000</v>
      </c>
      <c r="E17" s="30" t="n">
        <f aca="false">E11*(E12-E13)</f>
        <v>1166400000</v>
      </c>
      <c r="F17" s="30" t="n">
        <f aca="false">F11*(F12-F13)</f>
        <v>1296000000</v>
      </c>
      <c r="G17" s="30" t="n">
        <f aca="false">G11*(G12-G13)</f>
        <v>1296000000</v>
      </c>
    </row>
    <row r="18" customFormat="false" ht="15" hidden="false" customHeight="false" outlineLevel="0" collapsed="false">
      <c r="A18" s="5" t="s">
        <v>305</v>
      </c>
      <c r="B18" s="30" t="n">
        <f aca="false">B17-B14</f>
        <v>0</v>
      </c>
      <c r="C18" s="30" t="n">
        <f aca="false">C17-C14</f>
        <v>208800000</v>
      </c>
      <c r="D18" s="30" t="n">
        <f aca="false">D17-D14</f>
        <v>597600000</v>
      </c>
      <c r="E18" s="30" t="n">
        <f aca="false">E17-E14</f>
        <v>986400000</v>
      </c>
      <c r="F18" s="30" t="n">
        <f aca="false">F17-F14</f>
        <v>1116000000</v>
      </c>
      <c r="G18" s="30" t="n">
        <f aca="false">G17-G14</f>
        <v>1116000000</v>
      </c>
    </row>
    <row r="19" customFormat="false" ht="15" hidden="false" customHeight="false" outlineLevel="0" collapsed="false">
      <c r="A19" s="5" t="s">
        <v>306</v>
      </c>
      <c r="B19" s="30" t="n">
        <f aca="false">MAX(0,B18)*$B$7</f>
        <v>0</v>
      </c>
      <c r="C19" s="30" t="n">
        <f aca="false">MAX(0,C18)*$B$7</f>
        <v>43848000</v>
      </c>
      <c r="D19" s="30" t="n">
        <f aca="false">MAX(0,D18)*$B$7</f>
        <v>125496000</v>
      </c>
      <c r="E19" s="30" t="n">
        <f aca="false">MAX(0,E18)*$B$7</f>
        <v>207144000</v>
      </c>
      <c r="F19" s="30" t="n">
        <f aca="false">MAX(0,F18)*$B$7</f>
        <v>234360000</v>
      </c>
      <c r="G19" s="30" t="n">
        <f aca="false">MAX(0,G18)*$B$7</f>
        <v>234360000</v>
      </c>
    </row>
    <row r="20" customFormat="false" ht="15" hidden="false" customHeight="false" outlineLevel="0" collapsed="false">
      <c r="A20" s="5" t="s">
        <v>307</v>
      </c>
      <c r="B20" s="30" t="n">
        <f aca="false">B16*$B$8</f>
        <v>0</v>
      </c>
      <c r="C20" s="30" t="n">
        <f aca="false">C16*$B$8</f>
        <v>51840000</v>
      </c>
      <c r="D20" s="30" t="n">
        <f aca="false">D16*$B$8</f>
        <v>103680000</v>
      </c>
      <c r="E20" s="30" t="n">
        <f aca="false">E16*$B$8</f>
        <v>155520000</v>
      </c>
      <c r="F20" s="30" t="n">
        <f aca="false">F16*$B$8</f>
        <v>172800000</v>
      </c>
      <c r="G20" s="30" t="n">
        <f aca="false">G16*$B$8</f>
        <v>172800000</v>
      </c>
    </row>
    <row r="21" customFormat="false" ht="15" hidden="false" customHeight="false" outlineLevel="0" collapsed="false">
      <c r="A21" s="5" t="s">
        <v>308</v>
      </c>
      <c r="B21" s="30" t="n">
        <f aca="false">B20</f>
        <v>0</v>
      </c>
      <c r="C21" s="30" t="n">
        <f aca="false">C20-B20</f>
        <v>51840000</v>
      </c>
      <c r="D21" s="30" t="n">
        <f aca="false">D20-C20</f>
        <v>51840000</v>
      </c>
      <c r="E21" s="30" t="n">
        <f aca="false">E20-D20</f>
        <v>51840000</v>
      </c>
      <c r="F21" s="30" t="n">
        <f aca="false">F20-E20</f>
        <v>17280000</v>
      </c>
      <c r="G21" s="30" t="n">
        <f aca="false">G20-F20</f>
        <v>0</v>
      </c>
    </row>
    <row r="22" customFormat="false" ht="15" hidden="false" customHeight="false" outlineLevel="0" collapsed="false">
      <c r="A22" s="11" t="s">
        <v>309</v>
      </c>
      <c r="B22" s="31" t="n">
        <f aca="false">B18-B19-B21-B15</f>
        <v>-2000000000</v>
      </c>
      <c r="C22" s="31" t="n">
        <f aca="false">C18-C19-C21-C15</f>
        <v>13112000</v>
      </c>
      <c r="D22" s="31" t="n">
        <f aca="false">D18-D19-D21-D15</f>
        <v>320264000</v>
      </c>
      <c r="E22" s="31" t="n">
        <f aca="false">E18-E19-E21-E15</f>
        <v>677416000</v>
      </c>
      <c r="F22" s="31" t="n">
        <f aca="false">F18-F19-F21-F15</f>
        <v>814360000</v>
      </c>
      <c r="G22" s="31" t="n">
        <f aca="false">G18-G19-G21-G15+G20</f>
        <v>1004440000</v>
      </c>
    </row>
    <row r="23" customFormat="false" ht="15" hidden="false" customHeight="false" outlineLevel="0" collapsed="false">
      <c r="A23" s="5" t="s">
        <v>310</v>
      </c>
      <c r="B23" s="30" t="n">
        <f aca="false">B22</f>
        <v>-2000000000</v>
      </c>
      <c r="C23" s="30" t="n">
        <f aca="false">B23+C22</f>
        <v>-1986888000</v>
      </c>
      <c r="D23" s="30" t="n">
        <f aca="false">C23+D22</f>
        <v>-1666624000</v>
      </c>
      <c r="E23" s="30" t="n">
        <f aca="false">D23+E22</f>
        <v>-989208000</v>
      </c>
      <c r="F23" s="30" t="n">
        <f aca="false">E23+F22</f>
        <v>-174848000</v>
      </c>
      <c r="G23" s="30" t="n">
        <f aca="false">F23+G22</f>
        <v>829592000</v>
      </c>
    </row>
    <row r="25" customFormat="false" ht="15" hidden="false" customHeight="false" outlineLevel="0" collapsed="false">
      <c r="A25" s="11" t="s">
        <v>311</v>
      </c>
      <c r="B25" s="31" t="n">
        <f aca="false">IF(COUNT(B11:G11)=0,"",B22+NPV($B$6,C22:G22))</f>
        <v>-34549289.8522835</v>
      </c>
    </row>
    <row r="26" customFormat="false" ht="15" hidden="false" customHeight="false" outlineLevel="0" collapsed="false">
      <c r="A26" s="11" t="s">
        <v>312</v>
      </c>
      <c r="B26" s="24" t="n">
        <f aca="false">IFERROR(IRR(B22:G22),"n/a")</f>
        <v>0.0949319301494521</v>
      </c>
    </row>
    <row r="27" customFormat="false" ht="15" hidden="false" customHeight="false" outlineLevel="0" collapsed="false">
      <c r="A27" s="11" t="s">
        <v>313</v>
      </c>
      <c r="B27" s="20" t="str">
        <f aca="false">IF(ISNUMBER(B26),IF(B26&gt;=$B$6,"Yes","No"),"")</f>
        <v>No</v>
      </c>
    </row>
    <row r="29" customFormat="false" ht="35.05" hidden="false" customHeight="false" outlineLevel="0" collapsed="false">
      <c r="A29" s="5" t="s">
        <v>314</v>
      </c>
    </row>
  </sheetData>
  <conditionalFormatting sqref="B27">
    <cfRule type="expression" priority="2" aboveAverage="0" equalAverage="0" bottom="0" percent="0" rank="0" text="" dxfId="0">
      <formula>B27="Yes"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B27="No"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U10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7" min="5" style="0" width="12"/>
    <col collapsed="false" customWidth="true" hidden="false" outlineLevel="0" max="10" min="8" style="0" width="15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6"/>
  </cols>
  <sheetData>
    <row r="1" customFormat="false" ht="19.7" hidden="false" customHeight="false" outlineLevel="0" collapsed="false">
      <c r="A1" s="6" t="s">
        <v>315</v>
      </c>
    </row>
    <row r="2" customFormat="false" ht="15" hidden="false" customHeight="false" outlineLevel="0" collapsed="false">
      <c r="A2" s="3" t="s">
        <v>316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317</v>
      </c>
      <c r="B5" s="8" t="s">
        <v>318</v>
      </c>
      <c r="C5" s="8" t="s">
        <v>319</v>
      </c>
      <c r="D5" s="8" t="s">
        <v>320</v>
      </c>
      <c r="E5" s="8" t="s">
        <v>321</v>
      </c>
      <c r="F5" s="8" t="s">
        <v>322</v>
      </c>
      <c r="G5" s="8" t="s">
        <v>323</v>
      </c>
    </row>
    <row r="6" customFormat="false" ht="15" hidden="false" customHeight="false" outlineLevel="0" collapsed="false">
      <c r="A6" s="5" t="s">
        <v>299</v>
      </c>
      <c r="B6" s="27" t="n">
        <v>-0.08</v>
      </c>
      <c r="C6" s="27" t="n">
        <v>0</v>
      </c>
      <c r="D6" s="27" t="n">
        <v>0.04</v>
      </c>
      <c r="E6" s="23" t="n">
        <f aca="false">IF(B6="",F6,B6)</f>
        <v>-0.08</v>
      </c>
      <c r="F6" s="23" t="n">
        <f aca="false">IF(C6="",0,C6)</f>
        <v>0</v>
      </c>
      <c r="G6" s="23" t="n">
        <f aca="false">IF(D6="",F6,D6)</f>
        <v>0.04</v>
      </c>
    </row>
    <row r="7" customFormat="false" ht="15" hidden="false" customHeight="false" outlineLevel="0" collapsed="false">
      <c r="A7" s="5" t="s">
        <v>298</v>
      </c>
      <c r="B7" s="27" t="n">
        <v>-0.2</v>
      </c>
      <c r="C7" s="27" t="n">
        <v>0</v>
      </c>
      <c r="D7" s="27" t="n">
        <v>0.15</v>
      </c>
      <c r="E7" s="23" t="n">
        <f aca="false">IF(B7="",F7,B7)</f>
        <v>-0.2</v>
      </c>
      <c r="F7" s="23" t="n">
        <f aca="false">IF(C7="",0,C7)</f>
        <v>0</v>
      </c>
      <c r="G7" s="23" t="n">
        <f aca="false">IF(D7="",F7,D7)</f>
        <v>0.15</v>
      </c>
    </row>
    <row r="8" customFormat="false" ht="15" hidden="false" customHeight="false" outlineLevel="0" collapsed="false">
      <c r="A8" s="5" t="s">
        <v>300</v>
      </c>
      <c r="B8" s="27" t="n">
        <v>-0.05</v>
      </c>
      <c r="C8" s="27" t="n">
        <v>0</v>
      </c>
      <c r="D8" s="27" t="n">
        <v>0.08</v>
      </c>
      <c r="E8" s="23" t="n">
        <f aca="false">IF(B8="",F8,B8)</f>
        <v>-0.05</v>
      </c>
      <c r="F8" s="23" t="n">
        <f aca="false">IF(C8="",0,C8)</f>
        <v>0</v>
      </c>
      <c r="G8" s="23" t="n">
        <f aca="false">IF(D8="",F8,D8)</f>
        <v>0.08</v>
      </c>
    </row>
    <row r="9" customFormat="false" ht="15" hidden="false" customHeight="false" outlineLevel="0" collapsed="false">
      <c r="A9" s="5" t="s">
        <v>301</v>
      </c>
      <c r="B9" s="27" t="n">
        <v>-0.05</v>
      </c>
      <c r="C9" s="27" t="n">
        <v>0</v>
      </c>
      <c r="D9" s="27" t="n">
        <v>0.1</v>
      </c>
      <c r="E9" s="23" t="n">
        <f aca="false">IF(B9="",F9,B9)</f>
        <v>-0.05</v>
      </c>
      <c r="F9" s="23" t="n">
        <f aca="false">IF(C9="",0,C9)</f>
        <v>0</v>
      </c>
      <c r="G9" s="23" t="n">
        <f aca="false">IF(D9="",F9,D9)</f>
        <v>0.1</v>
      </c>
    </row>
    <row r="10" customFormat="false" ht="15" hidden="false" customHeight="false" outlineLevel="0" collapsed="false">
      <c r="A10" s="5" t="s">
        <v>302</v>
      </c>
      <c r="B10" s="27" t="n">
        <v>-0.05</v>
      </c>
      <c r="C10" s="27" t="n">
        <v>0</v>
      </c>
      <c r="D10" s="27" t="n">
        <v>0.2</v>
      </c>
      <c r="E10" s="23" t="n">
        <f aca="false">IF(B10="",F10,B10)</f>
        <v>-0.05</v>
      </c>
      <c r="F10" s="23" t="n">
        <f aca="false">IF(C10="",0,C10)</f>
        <v>0</v>
      </c>
      <c r="G10" s="23" t="n">
        <f aca="false">IF(D10="",F10,D10)</f>
        <v>0.2</v>
      </c>
    </row>
    <row r="11" customFormat="false" ht="15" hidden="false" customHeight="false" outlineLevel="0" collapsed="false">
      <c r="A11" s="5" t="s">
        <v>324</v>
      </c>
      <c r="B11" s="27" t="n">
        <v>0.09</v>
      </c>
      <c r="C11" s="27" t="n">
        <v>0.1</v>
      </c>
      <c r="D11" s="27" t="n">
        <v>0.12</v>
      </c>
      <c r="E11" s="23" t="n">
        <f aca="false">IF(B11="",F11,B11)</f>
        <v>0.09</v>
      </c>
      <c r="F11" s="23" t="n">
        <f aca="false">IF(C11="",'Business Case'!$B$6,C11)</f>
        <v>0.1</v>
      </c>
      <c r="G11" s="23" t="n">
        <f aca="false">IF(D11="",F11,D11)</f>
        <v>0.12</v>
      </c>
    </row>
    <row r="12" customFormat="false" ht="15" hidden="false" customHeight="false" outlineLevel="0" collapsed="false">
      <c r="A12" s="5" t="s">
        <v>325</v>
      </c>
      <c r="B12" s="14" t="str">
        <f aca="false">IF(SUMPRODUCT((E6:E11&gt;F6:F11)+(F6:F11&gt;G6:G11))=0,"OK","Need low &lt;= likely &lt;= high")</f>
        <v>OK</v>
      </c>
      <c r="C12" s="14"/>
      <c r="D12" s="14"/>
    </row>
    <row r="14" customFormat="false" ht="35.05" hidden="false" customHeight="false" outlineLevel="0" collapsed="false">
      <c r="A14" s="11" t="s">
        <v>326</v>
      </c>
    </row>
    <row r="15" customFormat="false" ht="15" hidden="false" customHeight="false" outlineLevel="0" collapsed="false">
      <c r="A15" s="8" t="s">
        <v>263</v>
      </c>
      <c r="B15" s="8" t="s">
        <v>327</v>
      </c>
      <c r="C15" s="8" t="s">
        <v>328</v>
      </c>
      <c r="D15" s="8" t="s">
        <v>329</v>
      </c>
      <c r="E15" s="8" t="s">
        <v>330</v>
      </c>
      <c r="F15" s="8" t="s">
        <v>331</v>
      </c>
      <c r="G15" s="8" t="s">
        <v>332</v>
      </c>
      <c r="H15" s="8" t="s">
        <v>333</v>
      </c>
      <c r="I15" s="8" t="s">
        <v>334</v>
      </c>
      <c r="J15" s="8" t="s">
        <v>335</v>
      </c>
      <c r="K15" s="8" t="s">
        <v>336</v>
      </c>
      <c r="L15" s="8" t="s">
        <v>337</v>
      </c>
      <c r="M15" s="8" t="s">
        <v>338</v>
      </c>
      <c r="N15" s="8" t="s">
        <v>311</v>
      </c>
    </row>
    <row r="16" customFormat="false" ht="15" hidden="false" customHeight="false" outlineLevel="0" collapsed="false">
      <c r="A16" s="5" t="s">
        <v>339</v>
      </c>
      <c r="B16" s="25" t="n">
        <f aca="false">1</f>
        <v>1</v>
      </c>
      <c r="C16" s="25" t="n">
        <f aca="false">1</f>
        <v>1</v>
      </c>
      <c r="D16" s="25" t="n">
        <f aca="false">1</f>
        <v>1</v>
      </c>
      <c r="E16" s="25" t="n">
        <f aca="false">1</f>
        <v>1</v>
      </c>
      <c r="F16" s="25" t="n">
        <f aca="false">1</f>
        <v>1</v>
      </c>
      <c r="G16" s="23" t="n">
        <f aca="false">'Business Case'!$B$6</f>
        <v>0.1</v>
      </c>
      <c r="H16" s="30" t="n">
        <f aca="false">(('Business Case'!B11*$C16*'Business Case'!B12*$B16)-'Business Case'!B11*$C16*'Business Case'!B13*$D16-'Business Case'!B14*$E16)-MAX(0,(('Business Case'!B11*$C16*'Business Case'!B12*$B16)-'Business Case'!B11*$C16*'Business Case'!B13*$D16-'Business Case'!B14*$E16))*'Business Case'!$B$7-'Business Case'!$B$8*('Business Case'!B11*$C16*'Business Case'!B12*$B16)-'Business Case'!B15*$F16</f>
        <v>-2000000000</v>
      </c>
      <c r="I16" s="30" t="n">
        <f aca="false">(('Business Case'!C11*$C16*'Business Case'!C12*$B16)-'Business Case'!C11*$C16*'Business Case'!C13*$D16-'Business Case'!C14*$E16)-MAX(0,(('Business Case'!C11*$C16*'Business Case'!C12*$B16)-'Business Case'!C11*$C16*'Business Case'!C13*$D16-'Business Case'!C14*$E16))*'Business Case'!$B$7-'Business Case'!$B$8*(('Business Case'!C11*$C16*'Business Case'!C12*$B16)-('Business Case'!B11*$C16*'Business Case'!B12*$B16))-'Business Case'!C15*$F16</f>
        <v>13112000</v>
      </c>
      <c r="J16" s="30" t="n">
        <f aca="false">(('Business Case'!D11*$C16*'Business Case'!D12*$B16)-'Business Case'!D11*$C16*'Business Case'!D13*$D16-'Business Case'!D14*$E16)-MAX(0,(('Business Case'!D11*$C16*'Business Case'!D12*$B16)-'Business Case'!D11*$C16*'Business Case'!D13*$D16-'Business Case'!D14*$E16))*'Business Case'!$B$7-'Business Case'!$B$8*(('Business Case'!D11*$C16*'Business Case'!D12*$B16)-('Business Case'!C11*$C16*'Business Case'!C12*$B16))-'Business Case'!D15*$F16</f>
        <v>320264000</v>
      </c>
      <c r="K16" s="30" t="n">
        <f aca="false">(('Business Case'!E11*$C16*'Business Case'!E12*$B16)-'Business Case'!E11*$C16*'Business Case'!E13*$D16-'Business Case'!E14*$E16)-MAX(0,(('Business Case'!E11*$C16*'Business Case'!E12*$B16)-'Business Case'!E11*$C16*'Business Case'!E13*$D16-'Business Case'!E14*$E16))*'Business Case'!$B$7-'Business Case'!$B$8*(('Business Case'!E11*$C16*'Business Case'!E12*$B16)-('Business Case'!D11*$C16*'Business Case'!D12*$B16))-'Business Case'!E15*$F16</f>
        <v>677416000</v>
      </c>
      <c r="L16" s="30" t="n">
        <f aca="false">(('Business Case'!F11*$C16*'Business Case'!F12*$B16)-'Business Case'!F11*$C16*'Business Case'!F13*$D16-'Business Case'!F14*$E16)-MAX(0,(('Business Case'!F11*$C16*'Business Case'!F12*$B16)-'Business Case'!F11*$C16*'Business Case'!F13*$D16-'Business Case'!F14*$E16))*'Business Case'!$B$7-'Business Case'!$B$8*(('Business Case'!F11*$C16*'Business Case'!F12*$B16)-('Business Case'!E11*$C16*'Business Case'!E12*$B16))-'Business Case'!F15*$F16</f>
        <v>814360000</v>
      </c>
      <c r="M16" s="30" t="n">
        <f aca="false">(('Business Case'!G11*$C16*'Business Case'!G12*$B16)-'Business Case'!G11*$C16*'Business Case'!G13*$D16-'Business Case'!G14*$E16)-MAX(0,(('Business Case'!G11*$C16*'Business Case'!G12*$B16)-'Business Case'!G11*$C16*'Business Case'!G13*$D16-'Business Case'!G14*$E16))*'Business Case'!$B$7-'Business Case'!$B$8*(('Business Case'!G11*$C16*'Business Case'!G12*$B16)-('Business Case'!F11*$C16*'Business Case'!F12*$B16))-'Business Case'!G15*$F16+'Business Case'!$B$8*('Business Case'!G11*$C16*'Business Case'!G12*$B16)</f>
        <v>1004440000</v>
      </c>
      <c r="N16" s="31" t="n">
        <f aca="false">IF(COUNT('Business Case'!B11:G11)=0,"",H16+NPV(G16,I16:M16))</f>
        <v>-34549289.8522835</v>
      </c>
    </row>
    <row r="17" customFormat="false" ht="15" hidden="false" customHeight="false" outlineLevel="0" collapsed="false">
      <c r="A17" s="5" t="s">
        <v>340</v>
      </c>
      <c r="B17" s="25" t="n">
        <f aca="false">1+E6</f>
        <v>0.92</v>
      </c>
      <c r="C17" s="25" t="n">
        <f aca="false">1</f>
        <v>1</v>
      </c>
      <c r="D17" s="25" t="n">
        <f aca="false">1</f>
        <v>1</v>
      </c>
      <c r="E17" s="25" t="n">
        <f aca="false">1</f>
        <v>1</v>
      </c>
      <c r="F17" s="25" t="n">
        <f aca="false">1</f>
        <v>1</v>
      </c>
      <c r="G17" s="23" t="n">
        <f aca="false">'Business Case'!$B$6</f>
        <v>0.1</v>
      </c>
      <c r="H17" s="30" t="n">
        <f aca="false">(('Business Case'!B11*$C17*'Business Case'!B12*$B17)-'Business Case'!B11*$C17*'Business Case'!B13*$D17-'Business Case'!B14*$E17)-MAX(0,(('Business Case'!B11*$C17*'Business Case'!B12*$B17)-'Business Case'!B11*$C17*'Business Case'!B13*$D17-'Business Case'!B14*$E17))*'Business Case'!$B$7-'Business Case'!$B$8*('Business Case'!B11*$C17*'Business Case'!B12*$B17)-'Business Case'!B15*$F17</f>
        <v>-2000000000</v>
      </c>
      <c r="I17" s="30" t="n">
        <f aca="false">(('Business Case'!C11*$C17*'Business Case'!C12*$B17)-'Business Case'!C11*$C17*'Business Case'!C13*$D17-'Business Case'!C14*$E17)-MAX(0,(('Business Case'!C11*$C17*'Business Case'!C12*$B17)-'Business Case'!C11*$C17*'Business Case'!C13*$D17-'Business Case'!C14*$E17))*'Business Case'!$B$7-'Business Case'!$B$8*(('Business Case'!C11*$C17*'Business Case'!C12*$B17)-('Business Case'!B11*$C17*'Business Case'!B12*$B17))-'Business Case'!C15*$F17</f>
        <v>-48266560</v>
      </c>
      <c r="J17" s="30" t="n">
        <f aca="false">(('Business Case'!D11*$C17*'Business Case'!D12*$B17)-'Business Case'!D11*$C17*'Business Case'!D13*$D17-'Business Case'!D14*$E17)-MAX(0,(('Business Case'!D11*$C17*'Business Case'!D12*$B17)-'Business Case'!D11*$C17*'Business Case'!D13*$D17-'Business Case'!D14*$E17))*'Business Case'!$B$7-'Business Case'!$B$8*(('Business Case'!D11*$C17*'Business Case'!D12*$B17)-('Business Case'!C11*$C17*'Business Case'!C12*$B17))-'Business Case'!D15*$F17</f>
        <v>193359680</v>
      </c>
      <c r="K17" s="30" t="n">
        <f aca="false">(('Business Case'!E11*$C17*'Business Case'!E12*$B17)-'Business Case'!E11*$C17*'Business Case'!E13*$D17-'Business Case'!E14*$E17)-MAX(0,(('Business Case'!E11*$C17*'Business Case'!E12*$B17)-'Business Case'!E11*$C17*'Business Case'!E13*$D17-'Business Case'!E14*$E17))*'Business Case'!$B$7-'Business Case'!$B$8*(('Business Case'!E11*$C17*'Business Case'!E12*$B17)-('Business Case'!D11*$C17*'Business Case'!D12*$B17))-'Business Case'!E15*$F17</f>
        <v>484985920</v>
      </c>
      <c r="L17" s="30" t="n">
        <f aca="false">(('Business Case'!F11*$C17*'Business Case'!F12*$B17)-'Business Case'!F11*$C17*'Business Case'!F13*$D17-'Business Case'!F14*$E17)-MAX(0,(('Business Case'!F11*$C17*'Business Case'!F12*$B17)-'Business Case'!F11*$C17*'Business Case'!F13*$D17-'Business Case'!F14*$E17))*'Business Case'!$B$7-'Business Case'!$B$8*(('Business Case'!F11*$C17*'Business Case'!F12*$B17)-('Business Case'!E11*$C17*'Business Case'!E12*$B17))-'Business Case'!F15*$F17</f>
        <v>597323200</v>
      </c>
      <c r="M17" s="30" t="n">
        <f aca="false">(('Business Case'!G11*$C17*'Business Case'!G12*$B17)-'Business Case'!G11*$C17*'Business Case'!G13*$D17-'Business Case'!G14*$E17)-MAX(0,(('Business Case'!G11*$C17*'Business Case'!G12*$B17)-'Business Case'!G11*$C17*'Business Case'!G13*$D17-'Business Case'!G14*$E17))*'Business Case'!$B$7-'Business Case'!$B$8*(('Business Case'!G11*$C17*'Business Case'!G12*$B17)-('Business Case'!F11*$C17*'Business Case'!F12*$B17))-'Business Case'!G15*$F17+'Business Case'!$B$8*('Business Case'!G11*$C17*'Business Case'!G12*$B17)</f>
        <v>772196800</v>
      </c>
      <c r="N17" s="31" t="n">
        <f aca="false">IF(COUNT('Business Case'!B11:G11)=0,"",H17+NPV(G17,I17:M17))</f>
        <v>-632246961.034704</v>
      </c>
    </row>
    <row r="18" customFormat="false" ht="15" hidden="false" customHeight="false" outlineLevel="0" collapsed="false">
      <c r="A18" s="5" t="s">
        <v>341</v>
      </c>
      <c r="B18" s="25" t="n">
        <f aca="false">1+G6</f>
        <v>1.04</v>
      </c>
      <c r="C18" s="25" t="n">
        <f aca="false">1</f>
        <v>1</v>
      </c>
      <c r="D18" s="25" t="n">
        <f aca="false">1</f>
        <v>1</v>
      </c>
      <c r="E18" s="25" t="n">
        <f aca="false">1</f>
        <v>1</v>
      </c>
      <c r="F18" s="25" t="n">
        <f aca="false">1</f>
        <v>1</v>
      </c>
      <c r="G18" s="23" t="n">
        <f aca="false">'Business Case'!$B$6</f>
        <v>0.1</v>
      </c>
      <c r="H18" s="30" t="n">
        <f aca="false">(('Business Case'!B11*$C18*'Business Case'!B12*$B18)-'Business Case'!B11*$C18*'Business Case'!B13*$D18-'Business Case'!B14*$E18)-MAX(0,(('Business Case'!B11*$C18*'Business Case'!B12*$B18)-'Business Case'!B11*$C18*'Business Case'!B13*$D18-'Business Case'!B14*$E18))*'Business Case'!$B$7-'Business Case'!$B$8*('Business Case'!B11*$C18*'Business Case'!B12*$B18)-'Business Case'!B15*$F18</f>
        <v>-2000000000</v>
      </c>
      <c r="I18" s="30" t="n">
        <f aca="false">(('Business Case'!C11*$C18*'Business Case'!C12*$B18)-'Business Case'!C11*$C18*'Business Case'!C13*$D18-'Business Case'!C14*$E18)-MAX(0,(('Business Case'!C11*$C18*'Business Case'!C12*$B18)-'Business Case'!C11*$C18*'Business Case'!C13*$D18-'Business Case'!C14*$E18))*'Business Case'!$B$7-'Business Case'!$B$8*(('Business Case'!C11*$C18*'Business Case'!C12*$B18)-('Business Case'!B11*$C18*'Business Case'!B12*$B18))-'Business Case'!C15*$F18</f>
        <v>43801280</v>
      </c>
      <c r="J18" s="30" t="n">
        <f aca="false">(('Business Case'!D11*$C18*'Business Case'!D12*$B18)-'Business Case'!D11*$C18*'Business Case'!D13*$D18-'Business Case'!D14*$E18)-MAX(0,(('Business Case'!D11*$C18*'Business Case'!D12*$B18)-'Business Case'!D11*$C18*'Business Case'!D13*$D18-'Business Case'!D14*$E18))*'Business Case'!$B$7-'Business Case'!$B$8*(('Business Case'!D11*$C18*'Business Case'!D12*$B18)-('Business Case'!C11*$C18*'Business Case'!C12*$B18))-'Business Case'!D15*$F18</f>
        <v>383716160</v>
      </c>
      <c r="K18" s="30" t="n">
        <f aca="false">(('Business Case'!E11*$C18*'Business Case'!E12*$B18)-'Business Case'!E11*$C18*'Business Case'!E13*$D18-'Business Case'!E14*$E18)-MAX(0,(('Business Case'!E11*$C18*'Business Case'!E12*$B18)-'Business Case'!E11*$C18*'Business Case'!E13*$D18-'Business Case'!E14*$E18))*'Business Case'!$B$7-'Business Case'!$B$8*(('Business Case'!E11*$C18*'Business Case'!E12*$B18)-('Business Case'!D11*$C18*'Business Case'!D12*$B18))-'Business Case'!E15*$F18</f>
        <v>773631040</v>
      </c>
      <c r="L18" s="30" t="n">
        <f aca="false">(('Business Case'!F11*$C18*'Business Case'!F12*$B18)-'Business Case'!F11*$C18*'Business Case'!F13*$D18-'Business Case'!F14*$E18)-MAX(0,(('Business Case'!F11*$C18*'Business Case'!F12*$B18)-'Business Case'!F11*$C18*'Business Case'!F13*$D18-'Business Case'!F14*$E18))*'Business Case'!$B$7-'Business Case'!$B$8*(('Business Case'!F11*$C18*'Business Case'!F12*$B18)-('Business Case'!E11*$C18*'Business Case'!E12*$B18))-'Business Case'!F15*$F18</f>
        <v>922878400</v>
      </c>
      <c r="M18" s="30" t="n">
        <f aca="false">(('Business Case'!G11*$C18*'Business Case'!G12*$B18)-'Business Case'!G11*$C18*'Business Case'!G13*$D18-'Business Case'!G14*$E18)-MAX(0,(('Business Case'!G11*$C18*'Business Case'!G12*$B18)-'Business Case'!G11*$C18*'Business Case'!G13*$D18-'Business Case'!G14*$E18))*'Business Case'!$B$7-'Business Case'!$B$8*(('Business Case'!G11*$C18*'Business Case'!G12*$B18)-('Business Case'!F11*$C18*'Business Case'!F12*$B18))-'Business Case'!G15*$F18+'Business Case'!$B$8*('Business Case'!G11*$C18*'Business Case'!G12*$B18)</f>
        <v>1120561600</v>
      </c>
      <c r="N18" s="31" t="n">
        <f aca="false">IF(COUNT('Business Case'!B11:G11)=0,"",H18+NPV(G18,I18:M18))</f>
        <v>264299545.738927</v>
      </c>
    </row>
    <row r="19" customFormat="false" ht="15" hidden="false" customHeight="false" outlineLevel="0" collapsed="false">
      <c r="A19" s="5" t="s">
        <v>342</v>
      </c>
      <c r="B19" s="25" t="n">
        <f aca="false">1</f>
        <v>1</v>
      </c>
      <c r="C19" s="25" t="n">
        <f aca="false">1+E7</f>
        <v>0.8</v>
      </c>
      <c r="D19" s="25" t="n">
        <f aca="false">1</f>
        <v>1</v>
      </c>
      <c r="E19" s="25" t="n">
        <f aca="false">1</f>
        <v>1</v>
      </c>
      <c r="F19" s="25" t="n">
        <f aca="false">1</f>
        <v>1</v>
      </c>
      <c r="G19" s="23" t="n">
        <f aca="false">'Business Case'!$B$6</f>
        <v>0.1</v>
      </c>
      <c r="H19" s="30" t="n">
        <f aca="false">(('Business Case'!B11*$C19*'Business Case'!B12*$B19)-'Business Case'!B11*$C19*'Business Case'!B13*$D19-'Business Case'!B14*$E19)-MAX(0,(('Business Case'!B11*$C19*'Business Case'!B12*$B19)-'Business Case'!B11*$C19*'Business Case'!B13*$D19-'Business Case'!B14*$E19))*'Business Case'!$B$7-'Business Case'!$B$8*('Business Case'!B11*$C19*'Business Case'!B12*$B19)-'Business Case'!B15*$F19</f>
        <v>-2000000000</v>
      </c>
      <c r="I19" s="30" t="n">
        <f aca="false">(('Business Case'!C11*$C19*'Business Case'!C12*$B19)-'Business Case'!C11*$C19*'Business Case'!C13*$D19-'Business Case'!C14*$E19)-MAX(0,(('Business Case'!C11*$C19*'Business Case'!C12*$B19)-'Business Case'!C11*$C19*'Business Case'!C13*$D19-'Business Case'!C14*$E19))*'Business Case'!$B$7-'Business Case'!$B$8*(('Business Case'!C11*$C19*'Business Case'!C12*$B19)-('Business Case'!B11*$C19*'Business Case'!B12*$B19))-'Business Case'!C15*$F19</f>
        <v>-37950400</v>
      </c>
      <c r="J19" s="30" t="n">
        <f aca="false">(('Business Case'!D11*$C19*'Business Case'!D12*$B19)-'Business Case'!D11*$C19*'Business Case'!D13*$D19-'Business Case'!D14*$E19)-MAX(0,(('Business Case'!D11*$C19*'Business Case'!D12*$B19)-'Business Case'!D11*$C19*'Business Case'!D13*$D19-'Business Case'!D14*$E19))*'Business Case'!$B$7-'Business Case'!$B$8*(('Business Case'!D11*$C19*'Business Case'!D12*$B19)-('Business Case'!C11*$C19*'Business Case'!C12*$B19))-'Business Case'!D15*$F19</f>
        <v>207771200</v>
      </c>
      <c r="K19" s="30" t="n">
        <f aca="false">(('Business Case'!E11*$C19*'Business Case'!E12*$B19)-'Business Case'!E11*$C19*'Business Case'!E13*$D19-'Business Case'!E14*$E19)-MAX(0,(('Business Case'!E11*$C19*'Business Case'!E12*$B19)-'Business Case'!E11*$C19*'Business Case'!E13*$D19-'Business Case'!E14*$E19))*'Business Case'!$B$7-'Business Case'!$B$8*(('Business Case'!E11*$C19*'Business Case'!E12*$B19)-('Business Case'!D11*$C19*'Business Case'!D12*$B19))-'Business Case'!E15*$F19</f>
        <v>503492800</v>
      </c>
      <c r="L19" s="30" t="n">
        <f aca="false">(('Business Case'!F11*$C19*'Business Case'!F12*$B19)-'Business Case'!F11*$C19*'Business Case'!F13*$D19-'Business Case'!F14*$E19)-MAX(0,(('Business Case'!F11*$C19*'Business Case'!F12*$B19)-'Business Case'!F11*$C19*'Business Case'!F13*$D19-'Business Case'!F14*$E19))*'Business Case'!$B$7-'Business Case'!$B$8*(('Business Case'!F11*$C19*'Business Case'!F12*$B19)-('Business Case'!E11*$C19*'Business Case'!E12*$B19))-'Business Case'!F15*$F19</f>
        <v>613048000</v>
      </c>
      <c r="M19" s="30" t="n">
        <f aca="false">(('Business Case'!G11*$C19*'Business Case'!G12*$B19)-'Business Case'!G11*$C19*'Business Case'!G13*$D19-'Business Case'!G14*$E19)-MAX(0,(('Business Case'!G11*$C19*'Business Case'!G12*$B19)-'Business Case'!G11*$C19*'Business Case'!G13*$D19-'Business Case'!G14*$E19))*'Business Case'!$B$7-'Business Case'!$B$8*(('Business Case'!G11*$C19*'Business Case'!G12*$B19)-('Business Case'!F11*$C19*'Business Case'!F12*$B19))-'Business Case'!G15*$F19+'Business Case'!$B$8*('Business Case'!G11*$C19*'Business Case'!G12*$B19)</f>
        <v>765112000</v>
      </c>
      <c r="N19" s="31" t="n">
        <f aca="false">IF(COUNT('Business Case'!B11:G11)=0,"",H19+NPV(G19,I19:M19))</f>
        <v>-590712647.198714</v>
      </c>
    </row>
    <row r="20" customFormat="false" ht="15" hidden="false" customHeight="false" outlineLevel="0" collapsed="false">
      <c r="A20" s="5" t="s">
        <v>343</v>
      </c>
      <c r="B20" s="25" t="n">
        <f aca="false">1</f>
        <v>1</v>
      </c>
      <c r="C20" s="25" t="n">
        <f aca="false">1+G7</f>
        <v>1.15</v>
      </c>
      <c r="D20" s="25" t="n">
        <f aca="false">1</f>
        <v>1</v>
      </c>
      <c r="E20" s="25" t="n">
        <f aca="false">1</f>
        <v>1</v>
      </c>
      <c r="F20" s="25" t="n">
        <f aca="false">1</f>
        <v>1</v>
      </c>
      <c r="G20" s="23" t="n">
        <f aca="false">'Business Case'!$B$6</f>
        <v>0.1</v>
      </c>
      <c r="H20" s="30" t="n">
        <f aca="false">(('Business Case'!B11*$C20*'Business Case'!B12*$B20)-'Business Case'!B11*$C20*'Business Case'!B13*$D20-'Business Case'!B14*$E20)-MAX(0,(('Business Case'!B11*$C20*'Business Case'!B12*$B20)-'Business Case'!B11*$C20*'Business Case'!B13*$D20-'Business Case'!B14*$E20))*'Business Case'!$B$7-'Business Case'!$B$8*('Business Case'!B11*$C20*'Business Case'!B12*$B20)-'Business Case'!B15*$F20</f>
        <v>-2000000000</v>
      </c>
      <c r="I20" s="30" t="n">
        <f aca="false">(('Business Case'!C11*$C20*'Business Case'!C12*$B20)-'Business Case'!C11*$C20*'Business Case'!C13*$D20-'Business Case'!C14*$E20)-MAX(0,(('Business Case'!C11*$C20*'Business Case'!C12*$B20)-'Business Case'!C11*$C20*'Business Case'!C13*$D20-'Business Case'!C14*$E20))*'Business Case'!$B$7-'Business Case'!$B$8*(('Business Case'!C11*$C20*'Business Case'!C12*$B20)-('Business Case'!B11*$C20*'Business Case'!B12*$B20))-'Business Case'!C15*$F20</f>
        <v>51408800</v>
      </c>
      <c r="J20" s="30" t="n">
        <f aca="false">(('Business Case'!D11*$C20*'Business Case'!D12*$B20)-'Business Case'!D11*$C20*'Business Case'!D13*$D20-'Business Case'!D14*$E20)-MAX(0,(('Business Case'!D11*$C20*'Business Case'!D12*$B20)-'Business Case'!D11*$C20*'Business Case'!D13*$D20-'Business Case'!D14*$E20))*'Business Case'!$B$7-'Business Case'!$B$8*(('Business Case'!D11*$C20*'Business Case'!D12*$B20)-('Business Case'!C11*$C20*'Business Case'!C12*$B20))-'Business Case'!D15*$F20</f>
        <v>404633600</v>
      </c>
      <c r="K20" s="30" t="n">
        <f aca="false">(('Business Case'!E11*$C20*'Business Case'!E12*$B20)-'Business Case'!E11*$C20*'Business Case'!E13*$D20-'Business Case'!E14*$E20)-MAX(0,(('Business Case'!E11*$C20*'Business Case'!E12*$B20)-'Business Case'!E11*$C20*'Business Case'!E13*$D20-'Business Case'!E14*$E20))*'Business Case'!$B$7-'Business Case'!$B$8*(('Business Case'!E11*$C20*'Business Case'!E12*$B20)-('Business Case'!D11*$C20*'Business Case'!D12*$B20))-'Business Case'!E15*$F20</f>
        <v>807858400</v>
      </c>
      <c r="L20" s="30" t="n">
        <f aca="false">(('Business Case'!F11*$C20*'Business Case'!F12*$B20)-'Business Case'!F11*$C20*'Business Case'!F13*$D20-'Business Case'!F14*$E20)-MAX(0,(('Business Case'!F11*$C20*'Business Case'!F12*$B20)-'Business Case'!F11*$C20*'Business Case'!F13*$D20-'Business Case'!F14*$E20))*'Business Case'!$B$7-'Business Case'!$B$8*(('Business Case'!F11*$C20*'Business Case'!F12*$B20)-('Business Case'!E11*$C20*'Business Case'!E12*$B20))-'Business Case'!F15*$F20</f>
        <v>965344000</v>
      </c>
      <c r="M20" s="30" t="n">
        <f aca="false">(('Business Case'!G11*$C20*'Business Case'!G12*$B20)-'Business Case'!G11*$C20*'Business Case'!G13*$D20-'Business Case'!G14*$E20)-MAX(0,(('Business Case'!G11*$C20*'Business Case'!G12*$B20)-'Business Case'!G11*$C20*'Business Case'!G13*$D20-'Business Case'!G14*$E20))*'Business Case'!$B$7-'Business Case'!$B$8*(('Business Case'!G11*$C20*'Business Case'!G12*$B20)-('Business Case'!F11*$C20*'Business Case'!F12*$B20))-'Business Case'!G15*$F20+'Business Case'!$B$8*('Business Case'!G11*$C20*'Business Case'!G12*$B20)</f>
        <v>1183936000</v>
      </c>
      <c r="N20" s="31" t="n">
        <f aca="false">IF(COUNT('Business Case'!B11:G11)=0,"",H20+NPV(G20,I20:M20))</f>
        <v>382573228.157539</v>
      </c>
    </row>
    <row r="21" customFormat="false" ht="15" hidden="false" customHeight="false" outlineLevel="0" collapsed="false">
      <c r="A21" s="5" t="s">
        <v>344</v>
      </c>
      <c r="B21" s="25" t="n">
        <f aca="false">1</f>
        <v>1</v>
      </c>
      <c r="C21" s="25" t="n">
        <f aca="false">1</f>
        <v>1</v>
      </c>
      <c r="D21" s="25" t="n">
        <f aca="false">1+E8</f>
        <v>0.95</v>
      </c>
      <c r="E21" s="25" t="n">
        <f aca="false">1</f>
        <v>1</v>
      </c>
      <c r="F21" s="25" t="n">
        <f aca="false">1</f>
        <v>1</v>
      </c>
      <c r="G21" s="23" t="n">
        <f aca="false">'Business Case'!$B$6</f>
        <v>0.1</v>
      </c>
      <c r="H21" s="30" t="n">
        <f aca="false">(('Business Case'!B11*$C21*'Business Case'!B12*$B21)-'Business Case'!B11*$C21*'Business Case'!B13*$D21-'Business Case'!B14*$E21)-MAX(0,(('Business Case'!B11*$C21*'Business Case'!B12*$B21)-'Business Case'!B11*$C21*'Business Case'!B13*$D21-'Business Case'!B14*$E21))*'Business Case'!$B$7-'Business Case'!$B$8*('Business Case'!B11*$C21*'Business Case'!B12*$B21)-'Business Case'!B15*$F21</f>
        <v>-2000000000</v>
      </c>
      <c r="I21" s="30" t="n">
        <f aca="false">(('Business Case'!C11*$C21*'Business Case'!C12*$B21)-'Business Case'!C11*$C21*'Business Case'!C13*$D21-'Business Case'!C14*$E21)-MAX(0,(('Business Case'!C11*$C21*'Business Case'!C12*$B21)-'Business Case'!C11*$C21*'Business Case'!C13*$D21-'Business Case'!C14*$E21))*'Business Case'!$B$7-'Business Case'!$B$8*(('Business Case'!C11*$C21*'Business Case'!C12*$B21)-('Business Case'!B11*$C21*'Business Case'!B12*$B21))-'Business Case'!C15*$F21</f>
        <v>38708000</v>
      </c>
      <c r="J21" s="30" t="n">
        <f aca="false">(('Business Case'!D11*$C21*'Business Case'!D12*$B21)-'Business Case'!D11*$C21*'Business Case'!D13*$D21-'Business Case'!D14*$E21)-MAX(0,(('Business Case'!D11*$C21*'Business Case'!D12*$B21)-'Business Case'!D11*$C21*'Business Case'!D13*$D21-'Business Case'!D14*$E21))*'Business Case'!$B$7-'Business Case'!$B$8*(('Business Case'!D11*$C21*'Business Case'!D12*$B21)-('Business Case'!C11*$C21*'Business Case'!C12*$B21))-'Business Case'!D15*$F21</f>
        <v>371456000</v>
      </c>
      <c r="K21" s="30" t="n">
        <f aca="false">(('Business Case'!E11*$C21*'Business Case'!E12*$B21)-'Business Case'!E11*$C21*'Business Case'!E13*$D21-'Business Case'!E14*$E21)-MAX(0,(('Business Case'!E11*$C21*'Business Case'!E12*$B21)-'Business Case'!E11*$C21*'Business Case'!E13*$D21-'Business Case'!E14*$E21))*'Business Case'!$B$7-'Business Case'!$B$8*(('Business Case'!E11*$C21*'Business Case'!E12*$B21)-('Business Case'!D11*$C21*'Business Case'!D12*$B21))-'Business Case'!E15*$F21</f>
        <v>754204000</v>
      </c>
      <c r="L21" s="30" t="n">
        <f aca="false">(('Business Case'!F11*$C21*'Business Case'!F12*$B21)-'Business Case'!F11*$C21*'Business Case'!F13*$D21-'Business Case'!F14*$E21)-MAX(0,(('Business Case'!F11*$C21*'Business Case'!F12*$B21)-'Business Case'!F11*$C21*'Business Case'!F13*$D21-'Business Case'!F14*$E21))*'Business Case'!$B$7-'Business Case'!$B$8*(('Business Case'!F11*$C21*'Business Case'!F12*$B21)-('Business Case'!E11*$C21*'Business Case'!E12*$B21))-'Business Case'!F15*$F21</f>
        <v>899680000</v>
      </c>
      <c r="M21" s="30" t="n">
        <f aca="false">(('Business Case'!G11*$C21*'Business Case'!G12*$B21)-'Business Case'!G11*$C21*'Business Case'!G13*$D21-'Business Case'!G14*$E21)-MAX(0,(('Business Case'!G11*$C21*'Business Case'!G12*$B21)-'Business Case'!G11*$C21*'Business Case'!G13*$D21-'Business Case'!G14*$E21))*'Business Case'!$B$7-'Business Case'!$B$8*(('Business Case'!G11*$C21*'Business Case'!G12*$B21)-('Business Case'!F11*$C21*'Business Case'!F12*$B21))-'Business Case'!G15*$F21+'Business Case'!$B$8*('Business Case'!G11*$C21*'Business Case'!G12*$B21)</f>
        <v>1089760000</v>
      </c>
      <c r="N21" s="31" t="n">
        <f aca="false">IF(COUNT('Business Case'!B11:G11)=0,"",H21+NPV(G21,I21:M21))</f>
        <v>199970915.300122</v>
      </c>
    </row>
    <row r="22" customFormat="false" ht="15" hidden="false" customHeight="false" outlineLevel="0" collapsed="false">
      <c r="A22" s="5" t="s">
        <v>345</v>
      </c>
      <c r="B22" s="25" t="n">
        <f aca="false">1</f>
        <v>1</v>
      </c>
      <c r="C22" s="25" t="n">
        <f aca="false">1</f>
        <v>1</v>
      </c>
      <c r="D22" s="25" t="n">
        <f aca="false">1+G8</f>
        <v>1.08</v>
      </c>
      <c r="E22" s="25" t="n">
        <f aca="false">1</f>
        <v>1</v>
      </c>
      <c r="F22" s="25" t="n">
        <f aca="false">1</f>
        <v>1</v>
      </c>
      <c r="G22" s="23" t="n">
        <f aca="false">'Business Case'!$B$6</f>
        <v>0.1</v>
      </c>
      <c r="H22" s="30" t="n">
        <f aca="false">(('Business Case'!B11*$C22*'Business Case'!B12*$B22)-'Business Case'!B11*$C22*'Business Case'!B13*$D22-'Business Case'!B14*$E22)-MAX(0,(('Business Case'!B11*$C22*'Business Case'!B12*$B22)-'Business Case'!B11*$C22*'Business Case'!B13*$D22-'Business Case'!B14*$E22))*'Business Case'!$B$7-'Business Case'!$B$8*('Business Case'!B11*$C22*'Business Case'!B12*$B22)-'Business Case'!B15*$F22</f>
        <v>-2000000000</v>
      </c>
      <c r="I22" s="30" t="n">
        <f aca="false">(('Business Case'!C11*$C22*'Business Case'!C12*$B22)-'Business Case'!C11*$C22*'Business Case'!C13*$D22-'Business Case'!C14*$E22)-MAX(0,(('Business Case'!C11*$C22*'Business Case'!C12*$B22)-'Business Case'!C11*$C22*'Business Case'!C13*$D22-'Business Case'!C14*$E22))*'Business Case'!$B$7-'Business Case'!$B$8*(('Business Case'!C11*$C22*'Business Case'!C12*$B22)-('Business Case'!B11*$C22*'Business Case'!B12*$B22))-'Business Case'!C15*$F22</f>
        <v>-27841600</v>
      </c>
      <c r="J22" s="30" t="n">
        <f aca="false">(('Business Case'!D11*$C22*'Business Case'!D12*$B22)-'Business Case'!D11*$C22*'Business Case'!D13*$D22-'Business Case'!D14*$E22)-MAX(0,(('Business Case'!D11*$C22*'Business Case'!D12*$B22)-'Business Case'!D11*$C22*'Business Case'!D13*$D22-'Business Case'!D14*$E22))*'Business Case'!$B$7-'Business Case'!$B$8*(('Business Case'!D11*$C22*'Business Case'!D12*$B22)-('Business Case'!C11*$C22*'Business Case'!C12*$B22))-'Business Case'!D15*$F22</f>
        <v>238356800</v>
      </c>
      <c r="K22" s="30" t="n">
        <f aca="false">(('Business Case'!E11*$C22*'Business Case'!E12*$B22)-'Business Case'!E11*$C22*'Business Case'!E13*$D22-'Business Case'!E14*$E22)-MAX(0,(('Business Case'!E11*$C22*'Business Case'!E12*$B22)-'Business Case'!E11*$C22*'Business Case'!E13*$D22-'Business Case'!E14*$E22))*'Business Case'!$B$7-'Business Case'!$B$8*(('Business Case'!E11*$C22*'Business Case'!E12*$B22)-('Business Case'!D11*$C22*'Business Case'!D12*$B22))-'Business Case'!E15*$F22</f>
        <v>554555200</v>
      </c>
      <c r="L22" s="30" t="n">
        <f aca="false">(('Business Case'!F11*$C22*'Business Case'!F12*$B22)-'Business Case'!F11*$C22*'Business Case'!F13*$D22-'Business Case'!F14*$E22)-MAX(0,(('Business Case'!F11*$C22*'Business Case'!F12*$B22)-'Business Case'!F11*$C22*'Business Case'!F13*$D22-'Business Case'!F14*$E22))*'Business Case'!$B$7-'Business Case'!$B$8*(('Business Case'!F11*$C22*'Business Case'!F12*$B22)-('Business Case'!E11*$C22*'Business Case'!E12*$B22))-'Business Case'!F15*$F22</f>
        <v>677848000</v>
      </c>
      <c r="M22" s="30" t="n">
        <f aca="false">(('Business Case'!G11*$C22*'Business Case'!G12*$B22)-'Business Case'!G11*$C22*'Business Case'!G13*$D22-'Business Case'!G14*$E22)-MAX(0,(('Business Case'!G11*$C22*'Business Case'!G12*$B22)-'Business Case'!G11*$C22*'Business Case'!G13*$D22-'Business Case'!G14*$E22))*'Business Case'!$B$7-'Business Case'!$B$8*(('Business Case'!G11*$C22*'Business Case'!G12*$B22)-('Business Case'!F11*$C22*'Business Case'!F12*$B22))-'Business Case'!G15*$F22+'Business Case'!$B$8*('Business Case'!G11*$C22*'Business Case'!G12*$B22)</f>
        <v>867928000</v>
      </c>
      <c r="N22" s="31" t="n">
        <f aca="false">IF(COUNT('Business Case'!B11:G11)=0,"",H22+NPV(G22,I22:M22))</f>
        <v>-409781618.096132</v>
      </c>
    </row>
    <row r="23" customFormat="false" ht="15" hidden="false" customHeight="false" outlineLevel="0" collapsed="false">
      <c r="A23" s="5" t="s">
        <v>346</v>
      </c>
      <c r="B23" s="25" t="n">
        <f aca="false">1</f>
        <v>1</v>
      </c>
      <c r="C23" s="25" t="n">
        <f aca="false">1</f>
        <v>1</v>
      </c>
      <c r="D23" s="25" t="n">
        <f aca="false">1</f>
        <v>1</v>
      </c>
      <c r="E23" s="25" t="n">
        <f aca="false">1+E9</f>
        <v>0.95</v>
      </c>
      <c r="F23" s="25" t="n">
        <f aca="false">1</f>
        <v>1</v>
      </c>
      <c r="G23" s="23" t="n">
        <f aca="false">'Business Case'!$B$6</f>
        <v>0.1</v>
      </c>
      <c r="H23" s="30" t="n">
        <f aca="false">(('Business Case'!B11*$C23*'Business Case'!B12*$B23)-'Business Case'!B11*$C23*'Business Case'!B13*$D23-'Business Case'!B14*$E23)-MAX(0,(('Business Case'!B11*$C23*'Business Case'!B12*$B23)-'Business Case'!B11*$C23*'Business Case'!B13*$D23-'Business Case'!B14*$E23))*'Business Case'!$B$7-'Business Case'!$B$8*('Business Case'!B11*$C23*'Business Case'!B12*$B23)-'Business Case'!B15*$F23</f>
        <v>-2000000000</v>
      </c>
      <c r="I23" s="30" t="n">
        <f aca="false">(('Business Case'!C11*$C23*'Business Case'!C12*$B23)-'Business Case'!C11*$C23*'Business Case'!C13*$D23-'Business Case'!C14*$E23)-MAX(0,(('Business Case'!C11*$C23*'Business Case'!C12*$B23)-'Business Case'!C11*$C23*'Business Case'!C13*$D23-'Business Case'!C14*$E23))*'Business Case'!$B$7-'Business Case'!$B$8*(('Business Case'!C11*$C23*'Business Case'!C12*$B23)-('Business Case'!B11*$C23*'Business Case'!B12*$B23))-'Business Case'!C15*$F23</f>
        <v>20222000</v>
      </c>
      <c r="J23" s="30" t="n">
        <f aca="false">(('Business Case'!D11*$C23*'Business Case'!D12*$B23)-'Business Case'!D11*$C23*'Business Case'!D13*$D23-'Business Case'!D14*$E23)-MAX(0,(('Business Case'!D11*$C23*'Business Case'!D12*$B23)-'Business Case'!D11*$C23*'Business Case'!D13*$D23-'Business Case'!D14*$E23))*'Business Case'!$B$7-'Business Case'!$B$8*(('Business Case'!D11*$C23*'Business Case'!D12*$B23)-('Business Case'!C11*$C23*'Business Case'!C12*$B23))-'Business Case'!D15*$F23</f>
        <v>327374000</v>
      </c>
      <c r="K23" s="30" t="n">
        <f aca="false">(('Business Case'!E11*$C23*'Business Case'!E12*$B23)-'Business Case'!E11*$C23*'Business Case'!E13*$D23-'Business Case'!E14*$E23)-MAX(0,(('Business Case'!E11*$C23*'Business Case'!E12*$B23)-'Business Case'!E11*$C23*'Business Case'!E13*$D23-'Business Case'!E14*$E23))*'Business Case'!$B$7-'Business Case'!$B$8*(('Business Case'!E11*$C23*'Business Case'!E12*$B23)-('Business Case'!D11*$C23*'Business Case'!D12*$B23))-'Business Case'!E15*$F23</f>
        <v>684526000</v>
      </c>
      <c r="L23" s="30" t="n">
        <f aca="false">(('Business Case'!F11*$C23*'Business Case'!F12*$B23)-'Business Case'!F11*$C23*'Business Case'!F13*$D23-'Business Case'!F14*$E23)-MAX(0,(('Business Case'!F11*$C23*'Business Case'!F12*$B23)-'Business Case'!F11*$C23*'Business Case'!F13*$D23-'Business Case'!F14*$E23))*'Business Case'!$B$7-'Business Case'!$B$8*(('Business Case'!F11*$C23*'Business Case'!F12*$B23)-('Business Case'!E11*$C23*'Business Case'!E12*$B23))-'Business Case'!F15*$F23</f>
        <v>821470000</v>
      </c>
      <c r="M23" s="30" t="n">
        <f aca="false">(('Business Case'!G11*$C23*'Business Case'!G12*$B23)-'Business Case'!G11*$C23*'Business Case'!G13*$D23-'Business Case'!G14*$E23)-MAX(0,(('Business Case'!G11*$C23*'Business Case'!G12*$B23)-'Business Case'!G11*$C23*'Business Case'!G13*$D23-'Business Case'!G14*$E23))*'Business Case'!$B$7-'Business Case'!$B$8*(('Business Case'!G11*$C23*'Business Case'!G12*$B23)-('Business Case'!F11*$C23*'Business Case'!F12*$B23))-'Business Case'!G15*$F23+'Business Case'!$B$8*('Business Case'!G11*$C23*'Business Case'!G12*$B23)</f>
        <v>1011550000</v>
      </c>
      <c r="N23" s="31" t="n">
        <f aca="false">IF(COUNT('Business Case'!B11:G11)=0,"",H23+NPV(G23,I23:M23))</f>
        <v>-7596795.92178941</v>
      </c>
    </row>
    <row r="24" customFormat="false" ht="15" hidden="false" customHeight="false" outlineLevel="0" collapsed="false">
      <c r="A24" s="5" t="s">
        <v>347</v>
      </c>
      <c r="B24" s="25" t="n">
        <f aca="false">1</f>
        <v>1</v>
      </c>
      <c r="C24" s="25" t="n">
        <f aca="false">1</f>
        <v>1</v>
      </c>
      <c r="D24" s="25" t="n">
        <f aca="false">1</f>
        <v>1</v>
      </c>
      <c r="E24" s="25" t="n">
        <f aca="false">1+G9</f>
        <v>1.1</v>
      </c>
      <c r="F24" s="25" t="n">
        <f aca="false">1</f>
        <v>1</v>
      </c>
      <c r="G24" s="23" t="n">
        <f aca="false">'Business Case'!$B$6</f>
        <v>0.1</v>
      </c>
      <c r="H24" s="30" t="n">
        <f aca="false">(('Business Case'!B11*$C24*'Business Case'!B12*$B24)-'Business Case'!B11*$C24*'Business Case'!B13*$D24-'Business Case'!B14*$E24)-MAX(0,(('Business Case'!B11*$C24*'Business Case'!B12*$B24)-'Business Case'!B11*$C24*'Business Case'!B13*$D24-'Business Case'!B14*$E24))*'Business Case'!$B$7-'Business Case'!$B$8*('Business Case'!B11*$C24*'Business Case'!B12*$B24)-'Business Case'!B15*$F24</f>
        <v>-2000000000</v>
      </c>
      <c r="I24" s="30" t="n">
        <f aca="false">(('Business Case'!C11*$C24*'Business Case'!C12*$B24)-'Business Case'!C11*$C24*'Business Case'!C13*$D24-'Business Case'!C14*$E24)-MAX(0,(('Business Case'!C11*$C24*'Business Case'!C12*$B24)-'Business Case'!C11*$C24*'Business Case'!C13*$D24-'Business Case'!C14*$E24))*'Business Case'!$B$7-'Business Case'!$B$8*(('Business Case'!C11*$C24*'Business Case'!C12*$B24)-('Business Case'!B11*$C24*'Business Case'!B12*$B24))-'Business Case'!C15*$F24</f>
        <v>-1108000.00000003</v>
      </c>
      <c r="J24" s="30" t="n">
        <f aca="false">(('Business Case'!D11*$C24*'Business Case'!D12*$B24)-'Business Case'!D11*$C24*'Business Case'!D13*$D24-'Business Case'!D14*$E24)-MAX(0,(('Business Case'!D11*$C24*'Business Case'!D12*$B24)-'Business Case'!D11*$C24*'Business Case'!D13*$D24-'Business Case'!D14*$E24))*'Business Case'!$B$7-'Business Case'!$B$8*(('Business Case'!D11*$C24*'Business Case'!D12*$B24)-('Business Case'!C11*$C24*'Business Case'!C12*$B24))-'Business Case'!D15*$F24</f>
        <v>306044000</v>
      </c>
      <c r="K24" s="30" t="n">
        <f aca="false">(('Business Case'!E11*$C24*'Business Case'!E12*$B24)-'Business Case'!E11*$C24*'Business Case'!E13*$D24-'Business Case'!E14*$E24)-MAX(0,(('Business Case'!E11*$C24*'Business Case'!E12*$B24)-'Business Case'!E11*$C24*'Business Case'!E13*$D24-'Business Case'!E14*$E24))*'Business Case'!$B$7-'Business Case'!$B$8*(('Business Case'!E11*$C24*'Business Case'!E12*$B24)-('Business Case'!D11*$C24*'Business Case'!D12*$B24))-'Business Case'!E15*$F24</f>
        <v>663196000</v>
      </c>
      <c r="L24" s="30" t="n">
        <f aca="false">(('Business Case'!F11*$C24*'Business Case'!F12*$B24)-'Business Case'!F11*$C24*'Business Case'!F13*$D24-'Business Case'!F14*$E24)-MAX(0,(('Business Case'!F11*$C24*'Business Case'!F12*$B24)-'Business Case'!F11*$C24*'Business Case'!F13*$D24-'Business Case'!F14*$E24))*'Business Case'!$B$7-'Business Case'!$B$8*(('Business Case'!F11*$C24*'Business Case'!F12*$B24)-('Business Case'!E11*$C24*'Business Case'!E12*$B24))-'Business Case'!F15*$F24</f>
        <v>800140000</v>
      </c>
      <c r="M24" s="30" t="n">
        <f aca="false">(('Business Case'!G11*$C24*'Business Case'!G12*$B24)-'Business Case'!G11*$C24*'Business Case'!G13*$D24-'Business Case'!G14*$E24)-MAX(0,(('Business Case'!G11*$C24*'Business Case'!G12*$B24)-'Business Case'!G11*$C24*'Business Case'!G13*$D24-'Business Case'!G14*$E24))*'Business Case'!$B$7-'Business Case'!$B$8*(('Business Case'!G11*$C24*'Business Case'!G12*$B24)-('Business Case'!F11*$C24*'Business Case'!F12*$B24))-'Business Case'!G15*$F24+'Business Case'!$B$8*('Business Case'!G11*$C24*'Business Case'!G12*$B24)</f>
        <v>990220000</v>
      </c>
      <c r="N24" s="31" t="n">
        <f aca="false">IF(COUNT('Business Case'!B11:G11)=0,"",H24+NPV(G24,I24:M24))</f>
        <v>-88454277.7132716</v>
      </c>
    </row>
    <row r="25" customFormat="false" ht="15" hidden="false" customHeight="false" outlineLevel="0" collapsed="false">
      <c r="A25" s="5" t="s">
        <v>348</v>
      </c>
      <c r="B25" s="25" t="n">
        <f aca="false">1</f>
        <v>1</v>
      </c>
      <c r="C25" s="25" t="n">
        <f aca="false">1</f>
        <v>1</v>
      </c>
      <c r="D25" s="25" t="n">
        <f aca="false">1</f>
        <v>1</v>
      </c>
      <c r="E25" s="25" t="n">
        <f aca="false">1</f>
        <v>1</v>
      </c>
      <c r="F25" s="25" t="n">
        <f aca="false">1+E10</f>
        <v>0.95</v>
      </c>
      <c r="G25" s="23" t="n">
        <f aca="false">'Business Case'!$B$6</f>
        <v>0.1</v>
      </c>
      <c r="H25" s="30" t="n">
        <f aca="false">(('Business Case'!B11*$C25*'Business Case'!B12*$B25)-'Business Case'!B11*$C25*'Business Case'!B13*$D25-'Business Case'!B14*$E25)-MAX(0,(('Business Case'!B11*$C25*'Business Case'!B12*$B25)-'Business Case'!B11*$C25*'Business Case'!B13*$D25-'Business Case'!B14*$E25))*'Business Case'!$B$7-'Business Case'!$B$8*('Business Case'!B11*$C25*'Business Case'!B12*$B25)-'Business Case'!B15*$F25</f>
        <v>-1900000000</v>
      </c>
      <c r="I25" s="30" t="n">
        <f aca="false">(('Business Case'!C11*$C25*'Business Case'!C12*$B25)-'Business Case'!C11*$C25*'Business Case'!C13*$D25-'Business Case'!C14*$E25)-MAX(0,(('Business Case'!C11*$C25*'Business Case'!C12*$B25)-'Business Case'!C11*$C25*'Business Case'!C13*$D25-'Business Case'!C14*$E25))*'Business Case'!$B$7-'Business Case'!$B$8*(('Business Case'!C11*$C25*'Business Case'!C12*$B25)-('Business Case'!B11*$C25*'Business Case'!B12*$B25))-'Business Case'!C15*$F25</f>
        <v>18112000</v>
      </c>
      <c r="J25" s="30" t="n">
        <f aca="false">(('Business Case'!D11*$C25*'Business Case'!D12*$B25)-'Business Case'!D11*$C25*'Business Case'!D13*$D25-'Business Case'!D14*$E25)-MAX(0,(('Business Case'!D11*$C25*'Business Case'!D12*$B25)-'Business Case'!D11*$C25*'Business Case'!D13*$D25-'Business Case'!D14*$E25))*'Business Case'!$B$7-'Business Case'!$B$8*(('Business Case'!D11*$C25*'Business Case'!D12*$B25)-('Business Case'!C11*$C25*'Business Case'!C12*$B25))-'Business Case'!D15*$F25</f>
        <v>325264000</v>
      </c>
      <c r="K25" s="30" t="n">
        <f aca="false">(('Business Case'!E11*$C25*'Business Case'!E12*$B25)-'Business Case'!E11*$C25*'Business Case'!E13*$D25-'Business Case'!E14*$E25)-MAX(0,(('Business Case'!E11*$C25*'Business Case'!E12*$B25)-'Business Case'!E11*$C25*'Business Case'!E13*$D25-'Business Case'!E14*$E25))*'Business Case'!$B$7-'Business Case'!$B$8*(('Business Case'!E11*$C25*'Business Case'!E12*$B25)-('Business Case'!D11*$C25*'Business Case'!D12*$B25))-'Business Case'!E15*$F25</f>
        <v>679916000</v>
      </c>
      <c r="L25" s="30" t="n">
        <f aca="false">(('Business Case'!F11*$C25*'Business Case'!F12*$B25)-'Business Case'!F11*$C25*'Business Case'!F13*$D25-'Business Case'!F14*$E25)-MAX(0,(('Business Case'!F11*$C25*'Business Case'!F12*$B25)-'Business Case'!F11*$C25*'Business Case'!F13*$D25-'Business Case'!F14*$E25))*'Business Case'!$B$7-'Business Case'!$B$8*(('Business Case'!F11*$C25*'Business Case'!F12*$B25)-('Business Case'!E11*$C25*'Business Case'!E12*$B25))-'Business Case'!F15*$F25</f>
        <v>816860000</v>
      </c>
      <c r="M25" s="30" t="n">
        <f aca="false">(('Business Case'!G11*$C25*'Business Case'!G12*$B25)-'Business Case'!G11*$C25*'Business Case'!G13*$D25-'Business Case'!G14*$E25)-MAX(0,(('Business Case'!G11*$C25*'Business Case'!G12*$B25)-'Business Case'!G11*$C25*'Business Case'!G13*$D25-'Business Case'!G14*$E25))*'Business Case'!$B$7-'Business Case'!$B$8*(('Business Case'!G11*$C25*'Business Case'!G12*$B25)-('Business Case'!F11*$C25*'Business Case'!F12*$B25))-'Business Case'!G15*$F25+'Business Case'!$B$8*('Business Case'!G11*$C25*'Business Case'!G12*$B25)</f>
        <v>1006940000</v>
      </c>
      <c r="N25" s="31" t="n">
        <f aca="false">IF(COUNT('Business Case'!B11:G11)=0,"",H25+NPV(G25,I25:M25))</f>
        <v>79266520.0464444</v>
      </c>
    </row>
    <row r="26" customFormat="false" ht="15" hidden="false" customHeight="false" outlineLevel="0" collapsed="false">
      <c r="A26" s="5" t="s">
        <v>349</v>
      </c>
      <c r="B26" s="25" t="n">
        <f aca="false">1</f>
        <v>1</v>
      </c>
      <c r="C26" s="25" t="n">
        <f aca="false">1</f>
        <v>1</v>
      </c>
      <c r="D26" s="25" t="n">
        <f aca="false">1</f>
        <v>1</v>
      </c>
      <c r="E26" s="25" t="n">
        <f aca="false">1</f>
        <v>1</v>
      </c>
      <c r="F26" s="25" t="n">
        <f aca="false">1+G10</f>
        <v>1.2</v>
      </c>
      <c r="G26" s="23" t="n">
        <f aca="false">'Business Case'!$B$6</f>
        <v>0.1</v>
      </c>
      <c r="H26" s="30" t="n">
        <f aca="false">(('Business Case'!B11*$C26*'Business Case'!B12*$B26)-'Business Case'!B11*$C26*'Business Case'!B13*$D26-'Business Case'!B14*$E26)-MAX(0,(('Business Case'!B11*$C26*'Business Case'!B12*$B26)-'Business Case'!B11*$C26*'Business Case'!B13*$D26-'Business Case'!B14*$E26))*'Business Case'!$B$7-'Business Case'!$B$8*('Business Case'!B11*$C26*'Business Case'!B12*$B26)-'Business Case'!B15*$F26</f>
        <v>-2400000000</v>
      </c>
      <c r="I26" s="30" t="n">
        <f aca="false">(('Business Case'!C11*$C26*'Business Case'!C12*$B26)-'Business Case'!C11*$C26*'Business Case'!C13*$D26-'Business Case'!C14*$E26)-MAX(0,(('Business Case'!C11*$C26*'Business Case'!C12*$B26)-'Business Case'!C11*$C26*'Business Case'!C13*$D26-'Business Case'!C14*$E26))*'Business Case'!$B$7-'Business Case'!$B$8*(('Business Case'!C11*$C26*'Business Case'!C12*$B26)-('Business Case'!B11*$C26*'Business Case'!B12*$B26))-'Business Case'!C15*$F26</f>
        <v>-6888000</v>
      </c>
      <c r="J26" s="30" t="n">
        <f aca="false">(('Business Case'!D11*$C26*'Business Case'!D12*$B26)-'Business Case'!D11*$C26*'Business Case'!D13*$D26-'Business Case'!D14*$E26)-MAX(0,(('Business Case'!D11*$C26*'Business Case'!D12*$B26)-'Business Case'!D11*$C26*'Business Case'!D13*$D26-'Business Case'!D14*$E26))*'Business Case'!$B$7-'Business Case'!$B$8*(('Business Case'!D11*$C26*'Business Case'!D12*$B26)-('Business Case'!C11*$C26*'Business Case'!C12*$B26))-'Business Case'!D15*$F26</f>
        <v>300264000</v>
      </c>
      <c r="K26" s="30" t="n">
        <f aca="false">(('Business Case'!E11*$C26*'Business Case'!E12*$B26)-'Business Case'!E11*$C26*'Business Case'!E13*$D26-'Business Case'!E14*$E26)-MAX(0,(('Business Case'!E11*$C26*'Business Case'!E12*$B26)-'Business Case'!E11*$C26*'Business Case'!E13*$D26-'Business Case'!E14*$E26))*'Business Case'!$B$7-'Business Case'!$B$8*(('Business Case'!E11*$C26*'Business Case'!E12*$B26)-('Business Case'!D11*$C26*'Business Case'!D12*$B26))-'Business Case'!E15*$F26</f>
        <v>667416000</v>
      </c>
      <c r="L26" s="30" t="n">
        <f aca="false">(('Business Case'!F11*$C26*'Business Case'!F12*$B26)-'Business Case'!F11*$C26*'Business Case'!F13*$D26-'Business Case'!F14*$E26)-MAX(0,(('Business Case'!F11*$C26*'Business Case'!F12*$B26)-'Business Case'!F11*$C26*'Business Case'!F13*$D26-'Business Case'!F14*$E26))*'Business Case'!$B$7-'Business Case'!$B$8*(('Business Case'!F11*$C26*'Business Case'!F12*$B26)-('Business Case'!E11*$C26*'Business Case'!E12*$B26))-'Business Case'!F15*$F26</f>
        <v>804360000</v>
      </c>
      <c r="M26" s="30" t="n">
        <f aca="false">(('Business Case'!G11*$C26*'Business Case'!G12*$B26)-'Business Case'!G11*$C26*'Business Case'!G13*$D26-'Business Case'!G14*$E26)-MAX(0,(('Business Case'!G11*$C26*'Business Case'!G12*$B26)-'Business Case'!G11*$C26*'Business Case'!G13*$D26-'Business Case'!G14*$E26))*'Business Case'!$B$7-'Business Case'!$B$8*(('Business Case'!G11*$C26*'Business Case'!G12*$B26)-('Business Case'!F11*$C26*'Business Case'!F12*$B26))-'Business Case'!G15*$F26+'Business Case'!$B$8*('Business Case'!G11*$C26*'Business Case'!G12*$B26)</f>
        <v>994440000</v>
      </c>
      <c r="N26" s="31" t="n">
        <f aca="false">IF(COUNT('Business Case'!B11:G11)=0,"",H26+NPV(G26,I26:M26))</f>
        <v>-489812529.447194</v>
      </c>
    </row>
    <row r="27" customFormat="false" ht="15" hidden="false" customHeight="false" outlineLevel="0" collapsed="false">
      <c r="A27" s="5" t="s">
        <v>350</v>
      </c>
      <c r="B27" s="25" t="n">
        <f aca="false">1</f>
        <v>1</v>
      </c>
      <c r="C27" s="25" t="n">
        <f aca="false">1</f>
        <v>1</v>
      </c>
      <c r="D27" s="25" t="n">
        <f aca="false">1</f>
        <v>1</v>
      </c>
      <c r="E27" s="25" t="n">
        <f aca="false">1</f>
        <v>1</v>
      </c>
      <c r="F27" s="25" t="n">
        <f aca="false">1</f>
        <v>1</v>
      </c>
      <c r="G27" s="23" t="n">
        <f aca="false">E11</f>
        <v>0.09</v>
      </c>
      <c r="H27" s="30" t="n">
        <f aca="false">(('Business Case'!B11*$C27*'Business Case'!B12*$B27)-'Business Case'!B11*$C27*'Business Case'!B13*$D27-'Business Case'!B14*$E27)-MAX(0,(('Business Case'!B11*$C27*'Business Case'!B12*$B27)-'Business Case'!B11*$C27*'Business Case'!B13*$D27-'Business Case'!B14*$E27))*'Business Case'!$B$7-'Business Case'!$B$8*('Business Case'!B11*$C27*'Business Case'!B12*$B27)-'Business Case'!B15*$F27</f>
        <v>-2000000000</v>
      </c>
      <c r="I27" s="30" t="n">
        <f aca="false">(('Business Case'!C11*$C27*'Business Case'!C12*$B27)-'Business Case'!C11*$C27*'Business Case'!C13*$D27-'Business Case'!C14*$E27)-MAX(0,(('Business Case'!C11*$C27*'Business Case'!C12*$B27)-'Business Case'!C11*$C27*'Business Case'!C13*$D27-'Business Case'!C14*$E27))*'Business Case'!$B$7-'Business Case'!$B$8*(('Business Case'!C11*$C27*'Business Case'!C12*$B27)-('Business Case'!B11*$C27*'Business Case'!B12*$B27))-'Business Case'!C15*$F27</f>
        <v>13112000</v>
      </c>
      <c r="J27" s="30" t="n">
        <f aca="false">(('Business Case'!D11*$C27*'Business Case'!D12*$B27)-'Business Case'!D11*$C27*'Business Case'!D13*$D27-'Business Case'!D14*$E27)-MAX(0,(('Business Case'!D11*$C27*'Business Case'!D12*$B27)-'Business Case'!D11*$C27*'Business Case'!D13*$D27-'Business Case'!D14*$E27))*'Business Case'!$B$7-'Business Case'!$B$8*(('Business Case'!D11*$C27*'Business Case'!D12*$B27)-('Business Case'!C11*$C27*'Business Case'!C12*$B27))-'Business Case'!D15*$F27</f>
        <v>320264000</v>
      </c>
      <c r="K27" s="30" t="n">
        <f aca="false">(('Business Case'!E11*$C27*'Business Case'!E12*$B27)-'Business Case'!E11*$C27*'Business Case'!E13*$D27-'Business Case'!E14*$E27)-MAX(0,(('Business Case'!E11*$C27*'Business Case'!E12*$B27)-'Business Case'!E11*$C27*'Business Case'!E13*$D27-'Business Case'!E14*$E27))*'Business Case'!$B$7-'Business Case'!$B$8*(('Business Case'!E11*$C27*'Business Case'!E12*$B27)-('Business Case'!D11*$C27*'Business Case'!D12*$B27))-'Business Case'!E15*$F27</f>
        <v>677416000</v>
      </c>
      <c r="L27" s="30" t="n">
        <f aca="false">(('Business Case'!F11*$C27*'Business Case'!F12*$B27)-'Business Case'!F11*$C27*'Business Case'!F13*$D27-'Business Case'!F14*$E27)-MAX(0,(('Business Case'!F11*$C27*'Business Case'!F12*$B27)-'Business Case'!F11*$C27*'Business Case'!F13*$D27-'Business Case'!F14*$E27))*'Business Case'!$B$7-'Business Case'!$B$8*(('Business Case'!F11*$C27*'Business Case'!F12*$B27)-('Business Case'!E11*$C27*'Business Case'!E12*$B27))-'Business Case'!F15*$F27</f>
        <v>814360000</v>
      </c>
      <c r="M27" s="30" t="n">
        <f aca="false">(('Business Case'!G11*$C27*'Business Case'!G12*$B27)-'Business Case'!G11*$C27*'Business Case'!G13*$D27-'Business Case'!G14*$E27)-MAX(0,(('Business Case'!G11*$C27*'Business Case'!G12*$B27)-'Business Case'!G11*$C27*'Business Case'!G13*$D27-'Business Case'!G14*$E27))*'Business Case'!$B$7-'Business Case'!$B$8*(('Business Case'!G11*$C27*'Business Case'!G12*$B27)-('Business Case'!F11*$C27*'Business Case'!F12*$B27))-'Business Case'!G15*$F27+'Business Case'!$B$8*('Business Case'!G11*$C27*'Business Case'!G12*$B27)</f>
        <v>1004440000</v>
      </c>
      <c r="N27" s="31" t="n">
        <f aca="false">IF(COUNT('Business Case'!B11:G11)=0,"",H27+NPV(G27,I27:M27))</f>
        <v>34408840.0272958</v>
      </c>
    </row>
    <row r="28" customFormat="false" ht="15" hidden="false" customHeight="false" outlineLevel="0" collapsed="false">
      <c r="A28" s="5" t="s">
        <v>351</v>
      </c>
      <c r="B28" s="25" t="n">
        <f aca="false">1</f>
        <v>1</v>
      </c>
      <c r="C28" s="25" t="n">
        <f aca="false">1</f>
        <v>1</v>
      </c>
      <c r="D28" s="25" t="n">
        <f aca="false">1</f>
        <v>1</v>
      </c>
      <c r="E28" s="25" t="n">
        <f aca="false">1</f>
        <v>1</v>
      </c>
      <c r="F28" s="25" t="n">
        <f aca="false">1</f>
        <v>1</v>
      </c>
      <c r="G28" s="23" t="n">
        <f aca="false">G11</f>
        <v>0.12</v>
      </c>
      <c r="H28" s="30" t="n">
        <f aca="false">(('Business Case'!B11*$C28*'Business Case'!B12*$B28)-'Business Case'!B11*$C28*'Business Case'!B13*$D28-'Business Case'!B14*$E28)-MAX(0,(('Business Case'!B11*$C28*'Business Case'!B12*$B28)-'Business Case'!B11*$C28*'Business Case'!B13*$D28-'Business Case'!B14*$E28))*'Business Case'!$B$7-'Business Case'!$B$8*('Business Case'!B11*$C28*'Business Case'!B12*$B28)-'Business Case'!B15*$F28</f>
        <v>-2000000000</v>
      </c>
      <c r="I28" s="30" t="n">
        <f aca="false">(('Business Case'!C11*$C28*'Business Case'!C12*$B28)-'Business Case'!C11*$C28*'Business Case'!C13*$D28-'Business Case'!C14*$E28)-MAX(0,(('Business Case'!C11*$C28*'Business Case'!C12*$B28)-'Business Case'!C11*$C28*'Business Case'!C13*$D28-'Business Case'!C14*$E28))*'Business Case'!$B$7-'Business Case'!$B$8*(('Business Case'!C11*$C28*'Business Case'!C12*$B28)-('Business Case'!B11*$C28*'Business Case'!B12*$B28))-'Business Case'!C15*$F28</f>
        <v>13112000</v>
      </c>
      <c r="J28" s="30" t="n">
        <f aca="false">(('Business Case'!D11*$C28*'Business Case'!D12*$B28)-'Business Case'!D11*$C28*'Business Case'!D13*$D28-'Business Case'!D14*$E28)-MAX(0,(('Business Case'!D11*$C28*'Business Case'!D12*$B28)-'Business Case'!D11*$C28*'Business Case'!D13*$D28-'Business Case'!D14*$E28))*'Business Case'!$B$7-'Business Case'!$B$8*(('Business Case'!D11*$C28*'Business Case'!D12*$B28)-('Business Case'!C11*$C28*'Business Case'!C12*$B28))-'Business Case'!D15*$F28</f>
        <v>320264000</v>
      </c>
      <c r="K28" s="30" t="n">
        <f aca="false">(('Business Case'!E11*$C28*'Business Case'!E12*$B28)-'Business Case'!E11*$C28*'Business Case'!E13*$D28-'Business Case'!E14*$E28)-MAX(0,(('Business Case'!E11*$C28*'Business Case'!E12*$B28)-'Business Case'!E11*$C28*'Business Case'!E13*$D28-'Business Case'!E14*$E28))*'Business Case'!$B$7-'Business Case'!$B$8*(('Business Case'!E11*$C28*'Business Case'!E12*$B28)-('Business Case'!D11*$C28*'Business Case'!D12*$B28))-'Business Case'!E15*$F28</f>
        <v>677416000</v>
      </c>
      <c r="L28" s="30" t="n">
        <f aca="false">(('Business Case'!F11*$C28*'Business Case'!F12*$B28)-'Business Case'!F11*$C28*'Business Case'!F13*$D28-'Business Case'!F14*$E28)-MAX(0,(('Business Case'!F11*$C28*'Business Case'!F12*$B28)-'Business Case'!F11*$C28*'Business Case'!F13*$D28-'Business Case'!F14*$E28))*'Business Case'!$B$7-'Business Case'!$B$8*(('Business Case'!F11*$C28*'Business Case'!F12*$B28)-('Business Case'!E11*$C28*'Business Case'!E12*$B28))-'Business Case'!F15*$F28</f>
        <v>814360000</v>
      </c>
      <c r="M28" s="30" t="n">
        <f aca="false">(('Business Case'!G11*$C28*'Business Case'!G12*$B28)-'Business Case'!G11*$C28*'Business Case'!G13*$D28-'Business Case'!G14*$E28)-MAX(0,(('Business Case'!G11*$C28*'Business Case'!G12*$B28)-'Business Case'!G11*$C28*'Business Case'!G13*$D28-'Business Case'!G14*$E28))*'Business Case'!$B$7-'Business Case'!$B$8*(('Business Case'!G11*$C28*'Business Case'!G12*$B28)-('Business Case'!F11*$C28*'Business Case'!F12*$B28))-'Business Case'!G15*$F28+'Business Case'!$B$8*('Business Case'!G11*$C28*'Business Case'!G12*$B28)</f>
        <v>1004440000</v>
      </c>
      <c r="N28" s="31" t="n">
        <f aca="false">IF(COUNT('Business Case'!B11:G11)=0,"",H28+NPV(G28,I28:M28))</f>
        <v>-163322295.50234</v>
      </c>
    </row>
    <row r="30" customFormat="false" ht="23.85" hidden="false" customHeight="false" outlineLevel="0" collapsed="false">
      <c r="A30" s="11" t="s">
        <v>352</v>
      </c>
    </row>
    <row r="31" customFormat="false" ht="30" hidden="false" customHeight="true" outlineLevel="0" collapsed="false">
      <c r="A31" s="8" t="s">
        <v>317</v>
      </c>
      <c r="B31" s="8" t="s">
        <v>353</v>
      </c>
      <c r="C31" s="8" t="s">
        <v>354</v>
      </c>
      <c r="D31" s="8" t="s">
        <v>355</v>
      </c>
      <c r="E31" s="8" t="s">
        <v>356</v>
      </c>
      <c r="F31" s="8" t="s">
        <v>357</v>
      </c>
      <c r="G31" s="8" t="s">
        <v>358</v>
      </c>
      <c r="H31" s="8" t="s">
        <v>359</v>
      </c>
    </row>
    <row r="32" customFormat="false" ht="23.85" hidden="false" customHeight="false" outlineLevel="0" collapsed="false">
      <c r="A32" s="14" t="str">
        <f aca="false">INDEX($A$40:$A$45,MATCH(LARGE($D$40:$D$45,1),$D$40:$D$45,0))</f>
        <v>Units</v>
      </c>
      <c r="B32" s="30" t="n">
        <f aca="false">INDEX($B$40:$B$45,MATCH(LARGE($D$40:$D$45,1),$D$40:$D$45,0))</f>
        <v>-590712647.198714</v>
      </c>
      <c r="C32" s="30" t="n">
        <f aca="false">INDEX($C$40:$C$45,MATCH(LARGE($D$40:$D$45,1),$D$40:$D$45,0))</f>
        <v>382573228.157539</v>
      </c>
      <c r="D32" s="32" t="n">
        <f aca="false">IFERROR(ABS(C32-B32),"")</f>
        <v>973285875.356253</v>
      </c>
      <c r="E32" s="30" t="n">
        <f aca="false">IFERROR(B32-$N$16,"")</f>
        <v>-556163357.34643</v>
      </c>
      <c r="F32" s="30" t="n">
        <f aca="false">IFERROR(C32-$N$16,"")</f>
        <v>417122518.009823</v>
      </c>
      <c r="G32" s="14" t="str">
        <f aca="false">IF(B32="","",IF(MIN(B32,C32)&lt;0,IF(MAX(B32,C32)&gt;0,"Yes","Below zero"),"No"))</f>
        <v>Yes</v>
      </c>
      <c r="H32" s="14" t="n">
        <f aca="false">1</f>
        <v>1</v>
      </c>
    </row>
    <row r="33" customFormat="false" ht="23.85" hidden="false" customHeight="false" outlineLevel="0" collapsed="false">
      <c r="A33" s="14" t="str">
        <f aca="false">INDEX($A$40:$A$45,MATCH(LARGE($D$40:$D$45,2),$D$40:$D$45,0))</f>
        <v>Price per unit</v>
      </c>
      <c r="B33" s="30" t="n">
        <f aca="false">INDEX($B$40:$B$45,MATCH(LARGE($D$40:$D$45,2),$D$40:$D$45,0))</f>
        <v>-632246961.034704</v>
      </c>
      <c r="C33" s="30" t="n">
        <f aca="false">INDEX($C$40:$C$45,MATCH(LARGE($D$40:$D$45,2),$D$40:$D$45,0))</f>
        <v>264299545.738927</v>
      </c>
      <c r="D33" s="32" t="n">
        <f aca="false">IFERROR(ABS(C33-B33),"")</f>
        <v>896546506.773631</v>
      </c>
      <c r="E33" s="30" t="n">
        <f aca="false">IFERROR(B33-$N$16,"")</f>
        <v>-597697671.18242</v>
      </c>
      <c r="F33" s="30" t="n">
        <f aca="false">IFERROR(C33-$N$16,"")</f>
        <v>298848835.59121</v>
      </c>
      <c r="G33" s="14" t="str">
        <f aca="false">IF(B33="","",IF(MIN(B33,C33)&lt;0,IF(MAX(B33,C33)&gt;0,"Yes","Below zero"),"No"))</f>
        <v>Yes</v>
      </c>
      <c r="H33" s="14" t="n">
        <f aca="false">2</f>
        <v>2</v>
      </c>
    </row>
    <row r="34" customFormat="false" ht="23.85" hidden="false" customHeight="false" outlineLevel="0" collapsed="false">
      <c r="A34" s="14" t="str">
        <f aca="false">INDEX($A$40:$A$45,MATCH(LARGE($D$40:$D$45,3),$D$40:$D$45,0))</f>
        <v>Variable cost per unit</v>
      </c>
      <c r="B34" s="30" t="n">
        <f aca="false">INDEX($B$40:$B$45,MATCH(LARGE($D$40:$D$45,3),$D$40:$D$45,0))</f>
        <v>199970915.300122</v>
      </c>
      <c r="C34" s="30" t="n">
        <f aca="false">INDEX($C$40:$C$45,MATCH(LARGE($D$40:$D$45,3),$D$40:$D$45,0))</f>
        <v>-409781618.096132</v>
      </c>
      <c r="D34" s="32" t="n">
        <f aca="false">IFERROR(ABS(C34-B34),"")</f>
        <v>609752533.396254</v>
      </c>
      <c r="E34" s="30" t="n">
        <f aca="false">IFERROR(B34-$N$16,"")</f>
        <v>234520205.152405</v>
      </c>
      <c r="F34" s="30" t="n">
        <f aca="false">IFERROR(C34-$N$16,"")</f>
        <v>-375232328.243848</v>
      </c>
      <c r="G34" s="14" t="str">
        <f aca="false">IF(B34="","",IF(MIN(B34,C34)&lt;0,IF(MAX(B34,C34)&gt;0,"Yes","Below zero"),"No"))</f>
        <v>Yes</v>
      </c>
      <c r="H34" s="14" t="n">
        <f aca="false">3</f>
        <v>3</v>
      </c>
    </row>
    <row r="35" customFormat="false" ht="23.85" hidden="false" customHeight="false" outlineLevel="0" collapsed="false">
      <c r="A35" s="14" t="str">
        <f aca="false">INDEX($A$40:$A$45,MATCH(LARGE($D$40:$D$45,4),$D$40:$D$45,0))</f>
        <v>Capex</v>
      </c>
      <c r="B35" s="30" t="n">
        <f aca="false">INDEX($B$40:$B$45,MATCH(LARGE($D$40:$D$45,4),$D$40:$D$45,0))</f>
        <v>79266520.0464444</v>
      </c>
      <c r="C35" s="30" t="n">
        <f aca="false">INDEX($C$40:$C$45,MATCH(LARGE($D$40:$D$45,4),$D$40:$D$45,0))</f>
        <v>-489812529.447194</v>
      </c>
      <c r="D35" s="32" t="n">
        <f aca="false">IFERROR(ABS(C35-B35),"")</f>
        <v>569079049.493639</v>
      </c>
      <c r="E35" s="30" t="n">
        <f aca="false">IFERROR(B35-$N$16,"")</f>
        <v>113815809.898728</v>
      </c>
      <c r="F35" s="30" t="n">
        <f aca="false">IFERROR(C35-$N$16,"")</f>
        <v>-455263239.594911</v>
      </c>
      <c r="G35" s="14" t="str">
        <f aca="false">IF(B35="","",IF(MIN(B35,C35)&lt;0,IF(MAX(B35,C35)&gt;0,"Yes","Below zero"),"No"))</f>
        <v>Yes</v>
      </c>
      <c r="H35" s="14" t="n">
        <f aca="false">4</f>
        <v>4</v>
      </c>
    </row>
    <row r="36" customFormat="false" ht="23.85" hidden="false" customHeight="false" outlineLevel="0" collapsed="false">
      <c r="A36" s="14" t="str">
        <f aca="false">INDEX($A$40:$A$45,MATCH(LARGE($D$40:$D$45,5),$D$40:$D$45,0))</f>
        <v>Discount rate (absolute)</v>
      </c>
      <c r="B36" s="30" t="n">
        <f aca="false">INDEX($B$40:$B$45,MATCH(LARGE($D$40:$D$45,5),$D$40:$D$45,0))</f>
        <v>34408840.0272958</v>
      </c>
      <c r="C36" s="30" t="n">
        <f aca="false">INDEX($C$40:$C$45,MATCH(LARGE($D$40:$D$45,5),$D$40:$D$45,0))</f>
        <v>-163322295.50234</v>
      </c>
      <c r="D36" s="32" t="n">
        <f aca="false">IFERROR(ABS(C36-B36),"")</f>
        <v>197731135.529635</v>
      </c>
      <c r="E36" s="30" t="n">
        <f aca="false">IFERROR(B36-$N$16,"")</f>
        <v>68958129.8795793</v>
      </c>
      <c r="F36" s="30" t="n">
        <f aca="false">IFERROR(C36-$N$16,"")</f>
        <v>-128773005.650056</v>
      </c>
      <c r="G36" s="14" t="str">
        <f aca="false">IF(B36="","",IF(MIN(B36,C36)&lt;0,IF(MAX(B36,C36)&gt;0,"Yes","Below zero"),"No"))</f>
        <v>Yes</v>
      </c>
      <c r="H36" s="14" t="n">
        <f aca="false">5</f>
        <v>5</v>
      </c>
    </row>
    <row r="37" customFormat="false" ht="23.85" hidden="false" customHeight="false" outlineLevel="0" collapsed="false">
      <c r="A37" s="14" t="str">
        <f aca="false">INDEX($A$40:$A$45,MATCH(LARGE($D$40:$D$45,6),$D$40:$D$45,0))</f>
        <v>Fixed costs</v>
      </c>
      <c r="B37" s="30" t="n">
        <f aca="false">INDEX($B$40:$B$45,MATCH(LARGE($D$40:$D$45,6),$D$40:$D$45,0))</f>
        <v>-7596795.92178941</v>
      </c>
      <c r="C37" s="30" t="n">
        <f aca="false">INDEX($C$40:$C$45,MATCH(LARGE($D$40:$D$45,6),$D$40:$D$45,0))</f>
        <v>-88454277.7132716</v>
      </c>
      <c r="D37" s="32" t="n">
        <f aca="false">IFERROR(ABS(C37-B37),"")</f>
        <v>80857481.7914822</v>
      </c>
      <c r="E37" s="30" t="n">
        <f aca="false">IFERROR(B37-$N$16,"")</f>
        <v>26952493.9304941</v>
      </c>
      <c r="F37" s="30" t="n">
        <f aca="false">IFERROR(C37-$N$16,"")</f>
        <v>-53904987.8609881</v>
      </c>
      <c r="G37" s="14" t="str">
        <f aca="false">IF(B37="","",IF(MIN(B37,C37)&lt;0,IF(MAX(B37,C37)&gt;0,"Yes","Below zero"),"No"))</f>
        <v>Below zero</v>
      </c>
      <c r="H37" s="14" t="n">
        <f aca="false">6</f>
        <v>6</v>
      </c>
    </row>
    <row r="39" customFormat="false" ht="15" hidden="false" customHeight="false" outlineLevel="0" collapsed="false">
      <c r="A39" s="5" t="s">
        <v>360</v>
      </c>
    </row>
    <row r="40" customFormat="false" ht="23.85" hidden="false" customHeight="false" outlineLevel="0" collapsed="false">
      <c r="A40" s="5" t="s">
        <v>299</v>
      </c>
      <c r="B40" s="30" t="n">
        <f aca="false">N17</f>
        <v>-632246961.034704</v>
      </c>
      <c r="C40" s="30" t="n">
        <f aca="false">N18</f>
        <v>264299545.738927</v>
      </c>
      <c r="D40" s="33" t="n">
        <f aca="false">IFERROR(ABS(C40-B40)+ROW()/1000000000,0)</f>
        <v>896546506.773631</v>
      </c>
    </row>
    <row r="41" customFormat="false" ht="23.85" hidden="false" customHeight="false" outlineLevel="0" collapsed="false">
      <c r="A41" s="5" t="s">
        <v>298</v>
      </c>
      <c r="B41" s="30" t="n">
        <f aca="false">N19</f>
        <v>-590712647.198714</v>
      </c>
      <c r="C41" s="30" t="n">
        <f aca="false">N20</f>
        <v>382573228.157539</v>
      </c>
      <c r="D41" s="33" t="n">
        <f aca="false">IFERROR(ABS(C41-B41)+ROW()/1000000000,0)</f>
        <v>973285875.356253</v>
      </c>
    </row>
    <row r="42" customFormat="false" ht="23.85" hidden="false" customHeight="false" outlineLevel="0" collapsed="false">
      <c r="A42" s="5" t="s">
        <v>300</v>
      </c>
      <c r="B42" s="30" t="n">
        <f aca="false">N21</f>
        <v>199970915.300122</v>
      </c>
      <c r="C42" s="30" t="n">
        <f aca="false">N22</f>
        <v>-409781618.096132</v>
      </c>
      <c r="D42" s="33" t="n">
        <f aca="false">IFERROR(ABS(C42-B42)+ROW()/1000000000,0)</f>
        <v>609752533.396254</v>
      </c>
    </row>
    <row r="43" customFormat="false" ht="23.85" hidden="false" customHeight="false" outlineLevel="0" collapsed="false">
      <c r="A43" s="5" t="s">
        <v>301</v>
      </c>
      <c r="B43" s="30" t="n">
        <f aca="false">N23</f>
        <v>-7596795.92178941</v>
      </c>
      <c r="C43" s="30" t="n">
        <f aca="false">N24</f>
        <v>-88454277.7132716</v>
      </c>
      <c r="D43" s="33" t="n">
        <f aca="false">IFERROR(ABS(C43-B43)+ROW()/1000000000,0)</f>
        <v>80857481.7914823</v>
      </c>
    </row>
    <row r="44" customFormat="false" ht="23.85" hidden="false" customHeight="false" outlineLevel="0" collapsed="false">
      <c r="A44" s="5" t="s">
        <v>302</v>
      </c>
      <c r="B44" s="30" t="n">
        <f aca="false">N25</f>
        <v>79266520.0464444</v>
      </c>
      <c r="C44" s="30" t="n">
        <f aca="false">N26</f>
        <v>-489812529.447194</v>
      </c>
      <c r="D44" s="33" t="n">
        <f aca="false">IFERROR(ABS(C44-B44)+ROW()/1000000000,0)</f>
        <v>569079049.493639</v>
      </c>
    </row>
    <row r="45" customFormat="false" ht="23.85" hidden="false" customHeight="false" outlineLevel="0" collapsed="false">
      <c r="A45" s="5" t="s">
        <v>324</v>
      </c>
      <c r="B45" s="30" t="n">
        <f aca="false">N27</f>
        <v>34408840.0272958</v>
      </c>
      <c r="C45" s="30" t="n">
        <f aca="false">N28</f>
        <v>-163322295.50234</v>
      </c>
      <c r="D45" s="33" t="n">
        <f aca="false">IFERROR(ABS(C45-B45)+ROW()/1000000000,0)</f>
        <v>197731135.529636</v>
      </c>
    </row>
    <row r="48" customFormat="false" ht="15" hidden="false" customHeight="true" outlineLevel="0" collapsed="false">
      <c r="A48" s="34" t="s">
        <v>361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</row>
    <row r="49" customFormat="false" ht="23.85" hidden="false" customHeight="false" outlineLevel="0" collapsed="false">
      <c r="A49" s="5" t="s">
        <v>362</v>
      </c>
      <c r="B49" s="30" t="n">
        <f aca="false">IFERROR(AVERAGE($N$81:$N$1080),"")</f>
        <v>-340984460.748694</v>
      </c>
    </row>
    <row r="50" customFormat="false" ht="23.85" hidden="false" customHeight="false" outlineLevel="0" collapsed="false">
      <c r="A50" s="11" t="s">
        <v>363</v>
      </c>
      <c r="B50" s="31" t="n">
        <f aca="false">IFERROR(MEDIAN($N$81:$N$1080),"")</f>
        <v>-337139615.836334</v>
      </c>
    </row>
    <row r="51" customFormat="false" ht="23.85" hidden="false" customHeight="false" outlineLevel="0" collapsed="false">
      <c r="A51" s="5" t="s">
        <v>364</v>
      </c>
      <c r="B51" s="30" t="n">
        <f aca="false">IFERROR(PERCENTILE($N$81:$N$1080,0.1),"")</f>
        <v>-732575281.717785</v>
      </c>
    </row>
    <row r="52" customFormat="false" ht="15" hidden="false" customHeight="false" outlineLevel="0" collapsed="false">
      <c r="A52" s="5" t="s">
        <v>365</v>
      </c>
      <c r="B52" s="30" t="n">
        <f aca="false">IFERROR(PERCENTILE($N$81:$N$1080,0.9),"")</f>
        <v>41793127.6574245</v>
      </c>
    </row>
    <row r="53" customFormat="false" ht="23.85" hidden="false" customHeight="false" outlineLevel="0" collapsed="false">
      <c r="A53" s="5" t="s">
        <v>366</v>
      </c>
      <c r="B53" s="30" t="n">
        <f aca="false">IFERROR(STDEV($N$81:$N$1080),"")</f>
        <v>304652773.326598</v>
      </c>
    </row>
    <row r="54" customFormat="false" ht="15" hidden="false" customHeight="false" outlineLevel="0" collapsed="false">
      <c r="A54" s="11" t="s">
        <v>367</v>
      </c>
      <c r="B54" s="24" t="n">
        <f aca="false">IFERROR(COUNTIF($N$81:$N$1080,"&lt;0")/COUNT($N$81:$N$1080),"")</f>
        <v>0.873</v>
      </c>
    </row>
    <row r="55" customFormat="false" ht="23.85" hidden="false" customHeight="false" outlineLevel="0" collapsed="false">
      <c r="A55" s="5" t="s">
        <v>368</v>
      </c>
      <c r="B55" s="30" t="n">
        <f aca="false">IFERROR(N16,"")</f>
        <v>-34549289.8522835</v>
      </c>
    </row>
    <row r="56" customFormat="false" ht="30" hidden="false" customHeight="true" outlineLevel="0" collapsed="false">
      <c r="A56" s="21" t="s">
        <v>369</v>
      </c>
      <c r="B56" s="21"/>
      <c r="C56" s="21"/>
      <c r="D56" s="21"/>
      <c r="E56" s="21"/>
      <c r="F56" s="21"/>
      <c r="G56" s="21"/>
      <c r="H56" s="21"/>
    </row>
    <row r="58" customFormat="false" ht="30" hidden="false" customHeight="true" outlineLevel="0" collapsed="false">
      <c r="A58" s="8" t="s">
        <v>370</v>
      </c>
      <c r="B58" s="8" t="s">
        <v>371</v>
      </c>
      <c r="C58" s="8" t="s">
        <v>372</v>
      </c>
    </row>
    <row r="59" customFormat="false" ht="15" hidden="false" customHeight="false" outlineLevel="0" collapsed="false">
      <c r="A59" s="35" t="n">
        <f aca="false">MIN($N$81:$N$1080)+(MAX($N$81:$N$1080)-MIN($N$81:$N$1080))*0/20</f>
        <v>-1145918771.59556</v>
      </c>
      <c r="B59" s="35" t="n">
        <f aca="false">MIN($N$81:$N$1080)+(MAX($N$81:$N$1080)-MIN($N$81:$N$1080))*1/20</f>
        <v>-1053223949.15691</v>
      </c>
      <c r="C59" s="10" t="n">
        <f aca="false">COUNTIFS($N$81:$N$1080,"&gt;="&amp;A59,$N$81:$N$1080,"&lt;"&amp;B59)</f>
        <v>6</v>
      </c>
    </row>
    <row r="60" customFormat="false" ht="15" hidden="false" customHeight="false" outlineLevel="0" collapsed="false">
      <c r="A60" s="35" t="n">
        <f aca="false">MIN($N$81:$N$1080)+(MAX($N$81:$N$1080)-MIN($N$81:$N$1080))*1/20</f>
        <v>-1053223949.15691</v>
      </c>
      <c r="B60" s="35" t="n">
        <f aca="false">MIN($N$81:$N$1080)+(MAX($N$81:$N$1080)-MIN($N$81:$N$1080))*2/20</f>
        <v>-960529126.718267</v>
      </c>
      <c r="C60" s="10" t="n">
        <f aca="false">COUNTIFS($N$81:$N$1080,"&gt;="&amp;A60,$N$81:$N$1080,"&lt;"&amp;B60)</f>
        <v>11</v>
      </c>
    </row>
    <row r="61" customFormat="false" ht="15" hidden="false" customHeight="false" outlineLevel="0" collapsed="false">
      <c r="A61" s="35" t="n">
        <f aca="false">MIN($N$81:$N$1080)+(MAX($N$81:$N$1080)-MIN($N$81:$N$1080))*2/20</f>
        <v>-960529126.718267</v>
      </c>
      <c r="B61" s="35" t="n">
        <f aca="false">MIN($N$81:$N$1080)+(MAX($N$81:$N$1080)-MIN($N$81:$N$1080))*3/20</f>
        <v>-867834304.279623</v>
      </c>
      <c r="C61" s="10" t="n">
        <f aca="false">COUNTIFS($N$81:$N$1080,"&gt;="&amp;A61,$N$81:$N$1080,"&lt;"&amp;B61)</f>
        <v>28</v>
      </c>
    </row>
    <row r="62" customFormat="false" ht="15" hidden="false" customHeight="false" outlineLevel="0" collapsed="false">
      <c r="A62" s="35" t="n">
        <f aca="false">MIN($N$81:$N$1080)+(MAX($N$81:$N$1080)-MIN($N$81:$N$1080))*3/20</f>
        <v>-867834304.279623</v>
      </c>
      <c r="B62" s="35" t="n">
        <f aca="false">MIN($N$81:$N$1080)+(MAX($N$81:$N$1080)-MIN($N$81:$N$1080))*4/20</f>
        <v>-775139481.840978</v>
      </c>
      <c r="C62" s="10" t="n">
        <f aca="false">COUNTIFS($N$81:$N$1080,"&gt;="&amp;A62,$N$81:$N$1080,"&lt;"&amp;B62)</f>
        <v>33</v>
      </c>
    </row>
    <row r="63" customFormat="false" ht="15" hidden="false" customHeight="false" outlineLevel="0" collapsed="false">
      <c r="A63" s="35" t="n">
        <f aca="false">MIN($N$81:$N$1080)+(MAX($N$81:$N$1080)-MIN($N$81:$N$1080))*4/20</f>
        <v>-775139481.840978</v>
      </c>
      <c r="B63" s="35" t="n">
        <f aca="false">MIN($N$81:$N$1080)+(MAX($N$81:$N$1080)-MIN($N$81:$N$1080))*5/20</f>
        <v>-682444659.402334</v>
      </c>
      <c r="C63" s="10" t="n">
        <f aca="false">COUNTIFS($N$81:$N$1080,"&gt;="&amp;A63,$N$81:$N$1080,"&lt;"&amp;B63)</f>
        <v>56</v>
      </c>
    </row>
    <row r="64" customFormat="false" ht="15" hidden="false" customHeight="false" outlineLevel="0" collapsed="false">
      <c r="A64" s="35" t="n">
        <f aca="false">MIN($N$81:$N$1080)+(MAX($N$81:$N$1080)-MIN($N$81:$N$1080))*5/20</f>
        <v>-682444659.402334</v>
      </c>
      <c r="B64" s="35" t="n">
        <f aca="false">MIN($N$81:$N$1080)+(MAX($N$81:$N$1080)-MIN($N$81:$N$1080))*6/20</f>
        <v>-589749836.96369</v>
      </c>
      <c r="C64" s="10" t="n">
        <f aca="false">COUNTIFS($N$81:$N$1080,"&gt;="&amp;A64,$N$81:$N$1080,"&lt;"&amp;B64)</f>
        <v>82</v>
      </c>
    </row>
    <row r="65" customFormat="false" ht="15" hidden="false" customHeight="false" outlineLevel="0" collapsed="false">
      <c r="A65" s="35" t="n">
        <f aca="false">MIN($N$81:$N$1080)+(MAX($N$81:$N$1080)-MIN($N$81:$N$1080))*6/20</f>
        <v>-589749836.96369</v>
      </c>
      <c r="B65" s="35" t="n">
        <f aca="false">MIN($N$81:$N$1080)+(MAX($N$81:$N$1080)-MIN($N$81:$N$1080))*7/20</f>
        <v>-497055014.525046</v>
      </c>
      <c r="C65" s="10" t="n">
        <f aca="false">COUNTIFS($N$81:$N$1080,"&gt;="&amp;A65,$N$81:$N$1080,"&lt;"&amp;B65)</f>
        <v>100</v>
      </c>
    </row>
    <row r="66" customFormat="false" ht="15" hidden="false" customHeight="false" outlineLevel="0" collapsed="false">
      <c r="A66" s="35" t="n">
        <f aca="false">MIN($N$81:$N$1080)+(MAX($N$81:$N$1080)-MIN($N$81:$N$1080))*7/20</f>
        <v>-497055014.525046</v>
      </c>
      <c r="B66" s="35" t="n">
        <f aca="false">MIN($N$81:$N$1080)+(MAX($N$81:$N$1080)-MIN($N$81:$N$1080))*8/20</f>
        <v>-404360192.086401</v>
      </c>
      <c r="C66" s="10" t="n">
        <f aca="false">COUNTIFS($N$81:$N$1080,"&gt;="&amp;A66,$N$81:$N$1080,"&lt;"&amp;B66)</f>
        <v>94</v>
      </c>
    </row>
    <row r="67" customFormat="false" ht="15" hidden="false" customHeight="false" outlineLevel="0" collapsed="false">
      <c r="A67" s="35" t="n">
        <f aca="false">MIN($N$81:$N$1080)+(MAX($N$81:$N$1080)-MIN($N$81:$N$1080))*8/20</f>
        <v>-404360192.086401</v>
      </c>
      <c r="B67" s="35" t="n">
        <f aca="false">MIN($N$81:$N$1080)+(MAX($N$81:$N$1080)-MIN($N$81:$N$1080))*9/20</f>
        <v>-311665369.647757</v>
      </c>
      <c r="C67" s="10" t="n">
        <f aca="false">COUNTIFS($N$81:$N$1080,"&gt;="&amp;A67,$N$81:$N$1080,"&lt;"&amp;B67)</f>
        <v>133</v>
      </c>
    </row>
    <row r="68" customFormat="false" ht="15" hidden="false" customHeight="false" outlineLevel="0" collapsed="false">
      <c r="A68" s="35" t="n">
        <f aca="false">MIN($N$81:$N$1080)+(MAX($N$81:$N$1080)-MIN($N$81:$N$1080))*9/20</f>
        <v>-311665369.647757</v>
      </c>
      <c r="B68" s="35" t="n">
        <f aca="false">MIN($N$81:$N$1080)+(MAX($N$81:$N$1080)-MIN($N$81:$N$1080))*10/20</f>
        <v>-218970547.209113</v>
      </c>
      <c r="C68" s="10" t="n">
        <f aca="false">COUNTIFS($N$81:$N$1080,"&gt;="&amp;A68,$N$81:$N$1080,"&lt;"&amp;B68)</f>
        <v>118</v>
      </c>
    </row>
    <row r="69" customFormat="false" ht="15" hidden="false" customHeight="false" outlineLevel="0" collapsed="false">
      <c r="A69" s="35" t="n">
        <f aca="false">MIN($N$81:$N$1080)+(MAX($N$81:$N$1080)-MIN($N$81:$N$1080))*10/20</f>
        <v>-218970547.209113</v>
      </c>
      <c r="B69" s="35" t="n">
        <f aca="false">MIN($N$81:$N$1080)+(MAX($N$81:$N$1080)-MIN($N$81:$N$1080))*11/20</f>
        <v>-126275724.770468</v>
      </c>
      <c r="C69" s="10" t="n">
        <f aca="false">COUNTIFS($N$81:$N$1080,"&gt;="&amp;A69,$N$81:$N$1080,"&lt;"&amp;B69)</f>
        <v>94</v>
      </c>
    </row>
    <row r="70" customFormat="false" ht="15" hidden="false" customHeight="false" outlineLevel="0" collapsed="false">
      <c r="A70" s="35" t="n">
        <f aca="false">MIN($N$81:$N$1080)+(MAX($N$81:$N$1080)-MIN($N$81:$N$1080))*11/20</f>
        <v>-126275724.770468</v>
      </c>
      <c r="B70" s="35" t="n">
        <f aca="false">MIN($N$81:$N$1080)+(MAX($N$81:$N$1080)-MIN($N$81:$N$1080))*12/20</f>
        <v>-33580902.3318243</v>
      </c>
      <c r="C70" s="10" t="n">
        <f aca="false">COUNTIFS($N$81:$N$1080,"&gt;="&amp;A70,$N$81:$N$1080,"&lt;"&amp;B70)</f>
        <v>89</v>
      </c>
    </row>
    <row r="71" customFormat="false" ht="15" hidden="false" customHeight="false" outlineLevel="0" collapsed="false">
      <c r="A71" s="35" t="n">
        <f aca="false">MIN($N$81:$N$1080)+(MAX($N$81:$N$1080)-MIN($N$81:$N$1080))*12/20</f>
        <v>-33580902.3318243</v>
      </c>
      <c r="B71" s="35" t="n">
        <f aca="false">MIN($N$81:$N$1080)+(MAX($N$81:$N$1080)-MIN($N$81:$N$1080))*13/20</f>
        <v>59113920.1068199</v>
      </c>
      <c r="C71" s="10" t="n">
        <f aca="false">COUNTIFS($N$81:$N$1080,"&gt;="&amp;A71,$N$81:$N$1080,"&lt;"&amp;B71)</f>
        <v>68</v>
      </c>
    </row>
    <row r="72" customFormat="false" ht="15" hidden="false" customHeight="false" outlineLevel="0" collapsed="false">
      <c r="A72" s="35" t="n">
        <f aca="false">MIN($N$81:$N$1080)+(MAX($N$81:$N$1080)-MIN($N$81:$N$1080))*13/20</f>
        <v>59113920.1068199</v>
      </c>
      <c r="B72" s="35" t="n">
        <f aca="false">MIN($N$81:$N$1080)+(MAX($N$81:$N$1080)-MIN($N$81:$N$1080))*14/20</f>
        <v>151808742.545464</v>
      </c>
      <c r="C72" s="10" t="n">
        <f aca="false">COUNTIFS($N$81:$N$1080,"&gt;="&amp;A72,$N$81:$N$1080,"&lt;"&amp;B72)</f>
        <v>38</v>
      </c>
    </row>
    <row r="73" customFormat="false" ht="15" hidden="false" customHeight="false" outlineLevel="0" collapsed="false">
      <c r="A73" s="35" t="n">
        <f aca="false">MIN($N$81:$N$1080)+(MAX($N$81:$N$1080)-MIN($N$81:$N$1080))*14/20</f>
        <v>151808742.545464</v>
      </c>
      <c r="B73" s="35" t="n">
        <f aca="false">MIN($N$81:$N$1080)+(MAX($N$81:$N$1080)-MIN($N$81:$N$1080))*15/20</f>
        <v>244503564.984108</v>
      </c>
      <c r="C73" s="10" t="n">
        <f aca="false">COUNTIFS($N$81:$N$1080,"&gt;="&amp;A73,$N$81:$N$1080,"&lt;"&amp;B73)</f>
        <v>20</v>
      </c>
    </row>
    <row r="74" customFormat="false" ht="15" hidden="false" customHeight="false" outlineLevel="0" collapsed="false">
      <c r="A74" s="35" t="n">
        <f aca="false">MIN($N$81:$N$1080)+(MAX($N$81:$N$1080)-MIN($N$81:$N$1080))*15/20</f>
        <v>244503564.984108</v>
      </c>
      <c r="B74" s="35" t="n">
        <f aca="false">MIN($N$81:$N$1080)+(MAX($N$81:$N$1080)-MIN($N$81:$N$1080))*16/20</f>
        <v>337198387.422753</v>
      </c>
      <c r="C74" s="10" t="n">
        <f aca="false">COUNTIFS($N$81:$N$1080,"&gt;="&amp;A74,$N$81:$N$1080,"&lt;"&amp;B74)</f>
        <v>16</v>
      </c>
    </row>
    <row r="75" customFormat="false" ht="15" hidden="false" customHeight="false" outlineLevel="0" collapsed="false">
      <c r="A75" s="35" t="n">
        <f aca="false">MIN($N$81:$N$1080)+(MAX($N$81:$N$1080)-MIN($N$81:$N$1080))*16/20</f>
        <v>337198387.422753</v>
      </c>
      <c r="B75" s="35" t="n">
        <f aca="false">MIN($N$81:$N$1080)+(MAX($N$81:$N$1080)-MIN($N$81:$N$1080))*17/20</f>
        <v>429893209.861397</v>
      </c>
      <c r="C75" s="10" t="n">
        <f aca="false">COUNTIFS($N$81:$N$1080,"&gt;="&amp;A75,$N$81:$N$1080,"&lt;"&amp;B75)</f>
        <v>5</v>
      </c>
    </row>
    <row r="76" customFormat="false" ht="15" hidden="false" customHeight="false" outlineLevel="0" collapsed="false">
      <c r="A76" s="35" t="n">
        <f aca="false">MIN($N$81:$N$1080)+(MAX($N$81:$N$1080)-MIN($N$81:$N$1080))*17/20</f>
        <v>429893209.861397</v>
      </c>
      <c r="B76" s="35" t="n">
        <f aca="false">MIN($N$81:$N$1080)+(MAX($N$81:$N$1080)-MIN($N$81:$N$1080))*18/20</f>
        <v>522588032.300041</v>
      </c>
      <c r="C76" s="10" t="n">
        <f aca="false">COUNTIFS($N$81:$N$1080,"&gt;="&amp;A76,$N$81:$N$1080,"&lt;"&amp;B76)</f>
        <v>6</v>
      </c>
    </row>
    <row r="77" customFormat="false" ht="15" hidden="false" customHeight="false" outlineLevel="0" collapsed="false">
      <c r="A77" s="35" t="n">
        <f aca="false">MIN($N$81:$N$1080)+(MAX($N$81:$N$1080)-MIN($N$81:$N$1080))*18/20</f>
        <v>522588032.300041</v>
      </c>
      <c r="B77" s="35" t="n">
        <f aca="false">MIN($N$81:$N$1080)+(MAX($N$81:$N$1080)-MIN($N$81:$N$1080))*19/20</f>
        <v>615282854.738685</v>
      </c>
      <c r="C77" s="10" t="n">
        <f aca="false">COUNTIFS($N$81:$N$1080,"&gt;="&amp;A77,$N$81:$N$1080,"&lt;"&amp;B77)</f>
        <v>2</v>
      </c>
    </row>
    <row r="78" customFormat="false" ht="15" hidden="false" customHeight="false" outlineLevel="0" collapsed="false">
      <c r="A78" s="35" t="n">
        <f aca="false">MIN($N$81:$N$1080)+(MAX($N$81:$N$1080)-MIN($N$81:$N$1080))*19/20</f>
        <v>615282854.738685</v>
      </c>
      <c r="B78" s="35" t="n">
        <f aca="false">MIN($N$81:$N$1080)+(MAX($N$81:$N$1080)-MIN($N$81:$N$1080))*20/20</f>
        <v>707977677.17733</v>
      </c>
      <c r="C78" s="10" t="n">
        <f aca="false">COUNTIFS($N$81:$N$1080,"&gt;="&amp;A78,$N$81:$N$1080,"&lt;="&amp;B78)</f>
        <v>1</v>
      </c>
    </row>
    <row r="80" customFormat="false" ht="23.85" hidden="false" customHeight="false" outlineLevel="0" collapsed="false">
      <c r="A80" s="8" t="s">
        <v>373</v>
      </c>
      <c r="B80" s="8" t="s">
        <v>327</v>
      </c>
      <c r="C80" s="8" t="s">
        <v>328</v>
      </c>
      <c r="D80" s="8" t="s">
        <v>329</v>
      </c>
      <c r="E80" s="8" t="s">
        <v>330</v>
      </c>
      <c r="F80" s="8" t="s">
        <v>331</v>
      </c>
      <c r="G80" s="8" t="s">
        <v>332</v>
      </c>
      <c r="H80" s="8" t="s">
        <v>333</v>
      </c>
      <c r="I80" s="8" t="s">
        <v>334</v>
      </c>
      <c r="J80" s="8" t="s">
        <v>335</v>
      </c>
      <c r="K80" s="8" t="s">
        <v>336</v>
      </c>
      <c r="L80" s="8" t="s">
        <v>337</v>
      </c>
      <c r="M80" s="8" t="s">
        <v>338</v>
      </c>
      <c r="N80" s="8" t="s">
        <v>311</v>
      </c>
      <c r="P80" s="8" t="s">
        <v>374</v>
      </c>
      <c r="Q80" s="8" t="s">
        <v>375</v>
      </c>
      <c r="R80" s="8" t="s">
        <v>376</v>
      </c>
      <c r="S80" s="8" t="s">
        <v>377</v>
      </c>
      <c r="T80" s="8" t="s">
        <v>378</v>
      </c>
      <c r="U80" s="8" t="s">
        <v>379</v>
      </c>
    </row>
    <row r="81" customFormat="false" ht="15" hidden="false" customHeight="false" outlineLevel="0" collapsed="false">
      <c r="A81" s="36" t="n">
        <v>1</v>
      </c>
      <c r="B81" s="37" t="n">
        <f aca="false">1+IF($G$6=$E$6,$F$6,IF(P81&lt;($F$6-$E$6)/($G$6-$E$6),$E$6+SQRT(P81*($G$6-$E$6)*($F$6-$E$6)),$G$6-SQRT((1-P81)*($G$6-$E$6)*($G$6-$F$6))))</f>
        <v>0.95630236420679</v>
      </c>
      <c r="C81" s="37" t="n">
        <f aca="false">1+IF($G$7=$E$7,$F$7,IF(Q81&lt;($F$7-$E$7)/($G$7-$E$7),$E$7+SQRT(Q81*($G$7-$E$7)*($F$7-$E$7)),$G$7-SQRT((1-Q81)*($G$7-$E$7)*($G$7-$F$7))))</f>
        <v>1.11502399230823</v>
      </c>
      <c r="D81" s="37" t="n">
        <f aca="false">1+IF($G$8=$E$8,$F$8,IF(R81&lt;($F$8-$E$8)/($G$8-$E$8),$E$8+SQRT(R81*($G$8-$E$8)*($F$8-$E$8)),$G$8-SQRT((1-R81)*($G$8-$E$8)*($G$8-$F$8))))</f>
        <v>1.05114163578612</v>
      </c>
      <c r="E81" s="37" t="n">
        <f aca="false">1+IF($G$9=$E$9,$F$9,IF(S81&lt;($F$9-$E$9)/($G$9-$E$9),$E$9+SQRT(S81*($G$9-$E$9)*($F$9-$E$9)),$G$9-SQRT((1-S81)*($G$9-$E$9)*($G$9-$F$9))))</f>
        <v>1.01005688565603</v>
      </c>
      <c r="F81" s="37" t="n">
        <f aca="false">1+IF($G$10=$E$10,$F$10,IF(T81&lt;($F$10-$E$10)/($G$10-$E$10),$E$10+SQRT(T81*($G$10-$E$10)*($F$10-$E$10)),$G$10-SQRT((1-T81)*($G$10-$E$10)*($G$10-$F$10))))</f>
        <v>1.07527824878482</v>
      </c>
      <c r="G81" s="38" t="n">
        <f aca="false">IF($G$11=$E$11,$F$11,IF(U81&lt;($F$11-$E$11)/($G$11-$E$11),$E$11+SQRT(U81*($G$11-$E$11)*($F$11-$E$11)),$G$11-SQRT((1-U81)*($G$11-$E$11)*($G$11-$F$11))))</f>
        <v>0.103845633240883</v>
      </c>
      <c r="H81" s="39" t="n">
        <f aca="false">(('Business Case'!B11*$C81*'Business Case'!B12*$B81)-'Business Case'!B11*$C81*'Business Case'!B13*$D81-'Business Case'!B14*$E81)-MAX(0,(('Business Case'!B11*$C81*'Business Case'!B12*$B81)-'Business Case'!B11*$C81*'Business Case'!B13*$D81-'Business Case'!B14*$E81))*'Business Case'!$B$7-'Business Case'!$B$8*('Business Case'!B11*$C81*'Business Case'!B12*$B81)-'Business Case'!B15*$F81</f>
        <v>-2150556497.56964</v>
      </c>
      <c r="I81" s="39" t="n">
        <f aca="false">(('Business Case'!C11*$C81*'Business Case'!C12*$B81)-'Business Case'!C11*$C81*'Business Case'!C13*$D81-'Business Case'!C14*$E81)-MAX(0,(('Business Case'!C11*$C81*'Business Case'!C12*$B81)-'Business Case'!C11*$C81*'Business Case'!C13*$D81-'Business Case'!C14*$E81))*'Business Case'!$B$7-'Business Case'!$B$8*(('Business Case'!C11*$C81*'Business Case'!C12*$B81)-('Business Case'!B11*$C81*'Business Case'!B12*$B81))-'Business Case'!C15*$F81</f>
        <v>-33053256.5215625</v>
      </c>
      <c r="J81" s="39" t="n">
        <f aca="false">(('Business Case'!D11*$C81*'Business Case'!D12*$B81)-'Business Case'!D11*$C81*'Business Case'!D13*$D81-'Business Case'!D14*$E81)-MAX(0,(('Business Case'!D11*$C81*'Business Case'!D12*$B81)-'Business Case'!D11*$C81*'Business Case'!D13*$D81-'Business Case'!D14*$E81))*'Business Case'!$B$7-'Business Case'!$B$8*(('Business Case'!D11*$C81*'Business Case'!D12*$B81)-('Business Case'!C11*$C81*'Business Case'!C12*$B81))-'Business Case'!D15*$F81</f>
        <v>240328397.122412</v>
      </c>
      <c r="K81" s="39" t="n">
        <f aca="false">(('Business Case'!E11*$C81*'Business Case'!E12*$B81)-'Business Case'!E11*$C81*'Business Case'!E13*$D81-'Business Case'!E14*$E81)-MAX(0,(('Business Case'!E11*$C81*'Business Case'!E12*$B81)-'Business Case'!E11*$C81*'Business Case'!E13*$D81-'Business Case'!E14*$E81))*'Business Case'!$B$7-'Business Case'!$B$8*(('Business Case'!E11*$C81*'Business Case'!E12*$B81)-('Business Case'!D11*$C81*'Business Case'!D12*$B81))-'Business Case'!E15*$F81</f>
        <v>567473963.205627</v>
      </c>
      <c r="L81" s="39" t="n">
        <f aca="false">(('Business Case'!F11*$C81*'Business Case'!F12*$B81)-'Business Case'!F11*$C81*'Business Case'!F13*$D81-'Business Case'!F14*$E81)-MAX(0,(('Business Case'!F11*$C81*'Business Case'!F12*$B81)-'Business Case'!F11*$C81*'Business Case'!F13*$D81-'Business Case'!F14*$E81))*'Business Case'!$B$7-'Business Case'!$B$8*(('Business Case'!F11*$C81*'Business Case'!F12*$B81)-('Business Case'!E11*$C81*'Business Case'!E12*$B81))-'Business Case'!F15*$F81</f>
        <v>695452511.851463</v>
      </c>
      <c r="M81" s="39" t="n">
        <f aca="false">(('Business Case'!G11*$C81*'Business Case'!G12*$B81)-'Business Case'!G11*$C81*'Business Case'!G13*$D81-'Business Case'!G14*$E81)-MAX(0,(('Business Case'!G11*$C81*'Business Case'!G12*$B81)-'Business Case'!G11*$C81*'Business Case'!G13*$D81-'Business Case'!G14*$E81))*'Business Case'!$B$7-'Business Case'!$B$8*(('Business Case'!G11*$C81*'Business Case'!G12*$B81)-('Business Case'!F11*$C81*'Business Case'!F12*$B81))-'Business Case'!G15*$F81+'Business Case'!$B$8*('Business Case'!G11*$C81*'Business Case'!G12*$B81)</f>
        <v>898134831.056278</v>
      </c>
      <c r="N81" s="39" t="n">
        <f aca="false">IF(COUNT('Business Case'!B11:G11)=0,"",H81+NPV(G81,I81:M81))</f>
        <v>-544909288.98047</v>
      </c>
      <c r="P81" s="40" t="n">
        <f aca="true">RAND()</f>
        <v>0.137277254896085</v>
      </c>
      <c r="Q81" s="40" t="n">
        <f aca="true">RAND()</f>
        <v>0.976698645446582</v>
      </c>
      <c r="R81" s="40" t="n">
        <f aca="true">RAND()</f>
        <v>0.919922578355666</v>
      </c>
      <c r="S81" s="40" t="n">
        <f aca="true">RAND()</f>
        <v>0.460682412140481</v>
      </c>
      <c r="T81" s="40" t="n">
        <f aca="true">RAND()</f>
        <v>0.688889695476369</v>
      </c>
      <c r="U81" s="40" t="n">
        <f aca="true">RAND()</f>
        <v>0.565060724353209</v>
      </c>
    </row>
    <row r="82" customFormat="false" ht="15" hidden="false" customHeight="false" outlineLevel="0" collapsed="false">
      <c r="A82" s="36" t="n">
        <v>2</v>
      </c>
      <c r="B82" s="37" t="n">
        <f aca="false">1+IF($G$6=$E$6,$F$6,IF(P82&lt;($F$6-$E$6)/($G$6-$E$6),$E$6+SQRT(P82*($G$6-$E$6)*($F$6-$E$6)),$G$6-SQRT((1-P82)*($G$6-$E$6)*($G$6-$F$6))))</f>
        <v>0.963899130192819</v>
      </c>
      <c r="C82" s="37" t="n">
        <f aca="false">1+IF($G$7=$E$7,$F$7,IF(Q82&lt;($F$7-$E$7)/($G$7-$E$7),$E$7+SQRT(Q82*($G$7-$E$7)*($F$7-$E$7)),$G$7-SQRT((1-Q82)*($G$7-$E$7)*($G$7-$F$7))))</f>
        <v>1.1194630731836</v>
      </c>
      <c r="D82" s="37" t="n">
        <f aca="false">1+IF($G$8=$E$8,$F$8,IF(R82&lt;($F$8-$E$8)/($G$8-$E$8),$E$8+SQRT(R82*($G$8-$E$8)*($F$8-$E$8)),$G$8-SQRT((1-R82)*($G$8-$E$8)*($G$8-$F$8))))</f>
        <v>1.0143502222258</v>
      </c>
      <c r="E82" s="37" t="n">
        <f aca="false">1+IF($G$9=$E$9,$F$9,IF(S82&lt;($F$9-$E$9)/($G$9-$E$9),$E$9+SQRT(S82*($G$9-$E$9)*($F$9-$E$9)),$G$9-SQRT((1-S82)*($G$9-$E$9)*($G$9-$F$9))))</f>
        <v>1.06578571301583</v>
      </c>
      <c r="F82" s="37" t="n">
        <f aca="false">1+IF($G$10=$E$10,$F$10,IF(T82&lt;($F$10-$E$10)/($G$10-$E$10),$E$10+SQRT(T82*($G$10-$E$10)*($F$10-$E$10)),$G$10-SQRT((1-T82)*($G$10-$E$10)*($G$10-$F$10))))</f>
        <v>0.964313530559863</v>
      </c>
      <c r="G82" s="38" t="n">
        <f aca="false">IF($G$11=$E$11,$F$11,IF(U82&lt;($F$11-$E$11)/($G$11-$E$11),$E$11+SQRT(U82*($G$11-$E$11)*($F$11-$E$11)),$G$11-SQRT((1-U82)*($G$11-$E$11)*($G$11-$F$11))))</f>
        <v>0.105635941356913</v>
      </c>
      <c r="H82" s="39" t="n">
        <f aca="false">(('Business Case'!B11*$C82*'Business Case'!B12*$B82)-'Business Case'!B11*$C82*'Business Case'!B13*$D82-'Business Case'!B14*$E82)-MAX(0,(('Business Case'!B11*$C82*'Business Case'!B12*$B82)-'Business Case'!B11*$C82*'Business Case'!B13*$D82-'Business Case'!B14*$E82))*'Business Case'!$B$7-'Business Case'!$B$8*('Business Case'!B11*$C82*'Business Case'!B12*$B82)-'Business Case'!B15*$F82</f>
        <v>-1928627061.11973</v>
      </c>
      <c r="I82" s="39" t="n">
        <f aca="false">(('Business Case'!C11*$C82*'Business Case'!C12*$B82)-'Business Case'!C11*$C82*'Business Case'!C13*$D82-'Business Case'!C14*$E82)-MAX(0,(('Business Case'!C11*$C82*'Business Case'!C12*$B82)-'Business Case'!C11*$C82*'Business Case'!C13*$D82-'Business Case'!C14*$E82))*'Business Case'!$B$7-'Business Case'!$B$8*(('Business Case'!C11*$C82*'Business Case'!C12*$B82)-('Business Case'!B11*$C82*'Business Case'!B12*$B82))-'Business Case'!C15*$F82</f>
        <v>-1404086.59448573</v>
      </c>
      <c r="J82" s="39" t="n">
        <f aca="false">(('Business Case'!D11*$C82*'Business Case'!D12*$B82)-'Business Case'!D11*$C82*'Business Case'!D13*$D82-'Business Case'!D14*$E82)-MAX(0,(('Business Case'!D11*$C82*'Business Case'!D12*$B82)-'Business Case'!D11*$C82*'Business Case'!D13*$D82-'Business Case'!D14*$E82))*'Business Case'!$B$7-'Business Case'!$B$8*(('Business Case'!D11*$C82*'Business Case'!D12*$B82)-('Business Case'!C11*$C82*'Business Case'!C12*$B82))-'Business Case'!D15*$F82</f>
        <v>301115833.431943</v>
      </c>
      <c r="K82" s="39" t="n">
        <f aca="false">(('Business Case'!E11*$C82*'Business Case'!E12*$B82)-'Business Case'!E11*$C82*'Business Case'!E13*$D82-'Business Case'!E14*$E82)-MAX(0,(('Business Case'!E11*$C82*'Business Case'!E12*$B82)-'Business Case'!E11*$C82*'Business Case'!E13*$D82-'Business Case'!E14*$E82))*'Business Case'!$B$7-'Business Case'!$B$8*(('Business Case'!E11*$C82*'Business Case'!E12*$B82)-('Business Case'!D11*$C82*'Business Case'!D12*$B82))-'Business Case'!E15*$F82</f>
        <v>651851429.986365</v>
      </c>
      <c r="L82" s="39" t="n">
        <f aca="false">(('Business Case'!F11*$C82*'Business Case'!F12*$B82)-'Business Case'!F11*$C82*'Business Case'!F13*$D82-'Business Case'!F14*$E82)-MAX(0,(('Business Case'!F11*$C82*'Business Case'!F12*$B82)-'Business Case'!F11*$C82*'Business Case'!F13*$D82-'Business Case'!F14*$E82))*'Business Case'!$B$7-'Business Case'!$B$8*(('Business Case'!F11*$C82*'Business Case'!F12*$B82)-('Business Case'!E11*$C82*'Business Case'!E12*$B82))-'Business Case'!F15*$F82</f>
        <v>789983353.444561</v>
      </c>
      <c r="M82" s="39" t="n">
        <f aca="false">(('Business Case'!G11*$C82*'Business Case'!G12*$B82)-'Business Case'!G11*$C82*'Business Case'!G13*$D82-'Business Case'!G14*$E82)-MAX(0,(('Business Case'!G11*$C82*'Business Case'!G12*$B82)-'Business Case'!G11*$C82*'Business Case'!G13*$D82-'Business Case'!G14*$E82))*'Business Case'!$B$7-'Business Case'!$B$8*(('Business Case'!G11*$C82*'Business Case'!G12*$B82)-('Business Case'!F11*$C82*'Business Case'!F12*$B82))-'Business Case'!G15*$F82+'Business Case'!$B$8*('Business Case'!G11*$C82*'Business Case'!G12*$B82)</f>
        <v>995089079.082846</v>
      </c>
      <c r="N82" s="39" t="n">
        <f aca="false">IF(COUNT('Business Case'!B11:G11)=0,"",H82+NPV(G82,I82:M82))</f>
        <v>-70341980.5493796</v>
      </c>
      <c r="P82" s="40" t="n">
        <f aca="true">RAND()</f>
        <v>0.200743086633966</v>
      </c>
      <c r="Q82" s="40" t="n">
        <f aca="true">RAND()</f>
        <v>0.982238020963992</v>
      </c>
      <c r="R82" s="40" t="n">
        <f aca="true">RAND()</f>
        <v>0.585587180595913</v>
      </c>
      <c r="S82" s="40" t="n">
        <f aca="true">RAND()</f>
        <v>0.921958837744307</v>
      </c>
      <c r="T82" s="40" t="n">
        <f aca="true">RAND()</f>
        <v>0.0163901725670503</v>
      </c>
      <c r="U82" s="40" t="n">
        <f aca="true">RAND()</f>
        <v>0.65612303216328</v>
      </c>
    </row>
    <row r="83" customFormat="false" ht="15" hidden="false" customHeight="false" outlineLevel="0" collapsed="false">
      <c r="A83" s="36" t="n">
        <v>3</v>
      </c>
      <c r="B83" s="37" t="n">
        <f aca="false">1+IF($G$6=$E$6,$F$6,IF(P83&lt;($F$6-$E$6)/($G$6-$E$6),$E$6+SQRT(P83*($G$6-$E$6)*($F$6-$E$6)),$G$6-SQRT((1-P83)*($G$6-$E$6)*($G$6-$F$6))))</f>
        <v>0.981622796377172</v>
      </c>
      <c r="C83" s="37" t="n">
        <f aca="false">1+IF($G$7=$E$7,$F$7,IF(Q83&lt;($F$7-$E$7)/($G$7-$E$7),$E$7+SQRT(Q83*($G$7-$E$7)*($F$7-$E$7)),$G$7-SQRT((1-Q83)*($G$7-$E$7)*($G$7-$F$7))))</f>
        <v>0.971861030116058</v>
      </c>
      <c r="D83" s="37" t="n">
        <f aca="false">1+IF($G$8=$E$8,$F$8,IF(R83&lt;($F$8-$E$8)/($G$8-$E$8),$E$8+SQRT(R83*($G$8-$E$8)*($F$8-$E$8)),$G$8-SQRT((1-R83)*($G$8-$E$8)*($G$8-$F$8))))</f>
        <v>0.979269434871416</v>
      </c>
      <c r="E83" s="37" t="n">
        <f aca="false">1+IF($G$9=$E$9,$F$9,IF(S83&lt;($F$9-$E$9)/($G$9-$E$9),$E$9+SQRT(S83*($G$9-$E$9)*($F$9-$E$9)),$G$9-SQRT((1-S83)*($G$9-$E$9)*($G$9-$F$9))))</f>
        <v>1.05292489130631</v>
      </c>
      <c r="F83" s="37" t="n">
        <f aca="false">1+IF($G$10=$E$10,$F$10,IF(T83&lt;($F$10-$E$10)/($G$10-$E$10),$E$10+SQRT(T83*($G$10-$E$10)*($F$10-$E$10)),$G$10-SQRT((1-T83)*($G$10-$E$10)*($G$10-$F$10))))</f>
        <v>1.05396993657513</v>
      </c>
      <c r="G83" s="38" t="n">
        <f aca="false">IF($G$11=$E$11,$F$11,IF(U83&lt;($F$11-$E$11)/($G$11-$E$11),$E$11+SQRT(U83*($G$11-$E$11)*($F$11-$E$11)),$G$11-SQRT((1-U83)*($G$11-$E$11)*($G$11-$F$11))))</f>
        <v>0.110544090795386</v>
      </c>
      <c r="H83" s="39" t="n">
        <f aca="false">(('Business Case'!B11*$C83*'Business Case'!B12*$B83)-'Business Case'!B11*$C83*'Business Case'!B13*$D83-'Business Case'!B14*$E83)-MAX(0,(('Business Case'!B11*$C83*'Business Case'!B12*$B83)-'Business Case'!B11*$C83*'Business Case'!B13*$D83-'Business Case'!B14*$E83))*'Business Case'!$B$7-'Business Case'!$B$8*('Business Case'!B11*$C83*'Business Case'!B12*$B83)-'Business Case'!B15*$F83</f>
        <v>-2107939873.15025</v>
      </c>
      <c r="I83" s="39" t="n">
        <f aca="false">(('Business Case'!C11*$C83*'Business Case'!C12*$B83)-'Business Case'!C11*$C83*'Business Case'!C13*$D83-'Business Case'!C14*$E83)-MAX(0,(('Business Case'!C11*$C83*'Business Case'!C12*$B83)-'Business Case'!C11*$C83*'Business Case'!C13*$D83-'Business Case'!C14*$E83))*'Business Case'!$B$7-'Business Case'!$B$8*(('Business Case'!C11*$C83*'Business Case'!C12*$B83)-('Business Case'!B11*$C83*'Business Case'!B12*$B83))-'Business Case'!C15*$F83</f>
        <v>-10384191.7974203</v>
      </c>
      <c r="J83" s="39" t="n">
        <f aca="false">(('Business Case'!D11*$C83*'Business Case'!D12*$B83)-'Business Case'!D11*$C83*'Business Case'!D13*$D83-'Business Case'!D14*$E83)-MAX(0,(('Business Case'!D11*$C83*'Business Case'!D12*$B83)-'Business Case'!D11*$C83*'Business Case'!D13*$D83-'Business Case'!D14*$E83))*'Business Case'!$B$7-'Business Case'!$B$8*(('Business Case'!D11*$C83*'Business Case'!D12*$B83)-('Business Case'!C11*$C83*'Business Case'!C12*$B83))-'Business Case'!D15*$F83</f>
        <v>283809938.443469</v>
      </c>
      <c r="K83" s="39" t="n">
        <f aca="false">(('Business Case'!E11*$C83*'Business Case'!E12*$B83)-'Business Case'!E11*$C83*'Business Case'!E13*$D83-'Business Case'!E14*$E83)-MAX(0,(('Business Case'!E11*$C83*'Business Case'!E12*$B83)-'Business Case'!E11*$C83*'Business Case'!E13*$D83-'Business Case'!E14*$E83))*'Business Case'!$B$7-'Business Case'!$B$8*(('Business Case'!E11*$C83*'Business Case'!E12*$B83)-('Business Case'!D11*$C83*'Business Case'!D12*$B83))-'Business Case'!E15*$F83</f>
        <v>630702565.513115</v>
      </c>
      <c r="L83" s="39" t="n">
        <f aca="false">(('Business Case'!F11*$C83*'Business Case'!F12*$B83)-'Business Case'!F11*$C83*'Business Case'!F13*$D83-'Business Case'!F14*$E83)-MAX(0,(('Business Case'!F11*$C83*'Business Case'!F12*$B83)-'Business Case'!F11*$C83*'Business Case'!F13*$D83-'Business Case'!F14*$E83))*'Business Case'!$B$7-'Business Case'!$B$8*(('Business Case'!F11*$C83*'Business Case'!F12*$B83)-('Business Case'!E11*$C83*'Business Case'!E12*$B83))-'Business Case'!F15*$F83</f>
        <v>761737548.151438</v>
      </c>
      <c r="M83" s="39" t="n">
        <f aca="false">(('Business Case'!G11*$C83*'Business Case'!G12*$B83)-'Business Case'!G11*$C83*'Business Case'!G13*$D83-'Business Case'!G14*$E83)-MAX(0,(('Business Case'!G11*$C83*'Business Case'!G12*$B83)-'Business Case'!G11*$C83*'Business Case'!G13*$D83-'Business Case'!G14*$E83))*'Business Case'!$B$7-'Business Case'!$B$8*(('Business Case'!G11*$C83*'Business Case'!G12*$B83)-('Business Case'!F11*$C83*'Business Case'!F12*$B83))-'Business Case'!G15*$F83+'Business Case'!$B$8*('Business Case'!G11*$C83*'Business Case'!G12*$B83)</f>
        <v>943074047.220584</v>
      </c>
      <c r="N83" s="39" t="n">
        <f aca="false">IF(COUNT('Business Case'!B11:G11)=0,"",H83+NPV(G83,I83:M83))</f>
        <v>-367586383.354888</v>
      </c>
      <c r="P83" s="40" t="n">
        <f aca="true">RAND()</f>
        <v>0.395559274306503</v>
      </c>
      <c r="Q83" s="40" t="n">
        <f aca="true">RAND()</f>
        <v>0.421945909607893</v>
      </c>
      <c r="R83" s="40" t="n">
        <f aca="true">RAND()</f>
        <v>0.131799971952624</v>
      </c>
      <c r="S83" s="40" t="n">
        <f aca="true">RAND()</f>
        <v>0.852262276098487</v>
      </c>
      <c r="T83" s="40" t="n">
        <f aca="true">RAND()</f>
        <v>0.57350441152255</v>
      </c>
      <c r="U83" s="40" t="n">
        <f aca="true">RAND()</f>
        <v>0.850976301856814</v>
      </c>
    </row>
    <row r="84" customFormat="false" ht="15" hidden="false" customHeight="false" outlineLevel="0" collapsed="false">
      <c r="A84" s="36" t="n">
        <v>4</v>
      </c>
      <c r="B84" s="37" t="n">
        <f aca="false">1+IF($G$6=$E$6,$F$6,IF(P84&lt;($F$6-$E$6)/($G$6-$E$6),$E$6+SQRT(P84*($G$6-$E$6)*($F$6-$E$6)),$G$6-SQRT((1-P84)*($G$6-$E$6)*($G$6-$F$6))))</f>
        <v>1.0076580844571</v>
      </c>
      <c r="C84" s="37" t="n">
        <f aca="false">1+IF($G$7=$E$7,$F$7,IF(Q84&lt;($F$7-$E$7)/($G$7-$E$7),$E$7+SQRT(Q84*($G$7-$E$7)*($F$7-$E$7)),$G$7-SQRT((1-Q84)*($G$7-$E$7)*($G$7-$F$7))))</f>
        <v>1.05436988721609</v>
      </c>
      <c r="D84" s="37" t="n">
        <f aca="false">1+IF($G$8=$E$8,$F$8,IF(R84&lt;($F$8-$E$8)/($G$8-$E$8),$E$8+SQRT(R84*($G$8-$E$8)*($F$8-$E$8)),$G$8-SQRT((1-R84)*($G$8-$E$8)*($G$8-$F$8))))</f>
        <v>0.99037685996917</v>
      </c>
      <c r="E84" s="37" t="n">
        <f aca="false">1+IF($G$9=$E$9,$F$9,IF(S84&lt;($F$9-$E$9)/($G$9-$E$9),$E$9+SQRT(S84*($G$9-$E$9)*($F$9-$E$9)),$G$9-SQRT((1-S84)*($G$9-$E$9)*($G$9-$F$9))))</f>
        <v>0.996537255724705</v>
      </c>
      <c r="F84" s="37" t="n">
        <f aca="false">1+IF($G$10=$E$10,$F$10,IF(T84&lt;($F$10-$E$10)/($G$10-$E$10),$E$10+SQRT(T84*($G$10-$E$10)*($F$10-$E$10)),$G$10-SQRT((1-T84)*($G$10-$E$10)*($G$10-$F$10))))</f>
        <v>1.01975789748931</v>
      </c>
      <c r="G84" s="38" t="n">
        <f aca="false">IF($G$11=$E$11,$F$11,IF(U84&lt;($F$11-$E$11)/($G$11-$E$11),$E$11+SQRT(U84*($G$11-$E$11)*($F$11-$E$11)),$G$11-SQRT((1-U84)*($G$11-$E$11)*($G$11-$F$11))))</f>
        <v>0.106350076884108</v>
      </c>
      <c r="H84" s="39" t="n">
        <f aca="false">(('Business Case'!B11*$C84*'Business Case'!B12*$B84)-'Business Case'!B11*$C84*'Business Case'!B13*$D84-'Business Case'!B14*$E84)-MAX(0,(('Business Case'!B11*$C84*'Business Case'!B12*$B84)-'Business Case'!B11*$C84*'Business Case'!B13*$D84-'Business Case'!B14*$E84))*'Business Case'!$B$7-'Business Case'!$B$8*('Business Case'!B11*$C84*'Business Case'!B12*$B84)-'Business Case'!B15*$F84</f>
        <v>-2039515794.97863</v>
      </c>
      <c r="I84" s="39" t="n">
        <f aca="false">(('Business Case'!C11*$C84*'Business Case'!C12*$B84)-'Business Case'!C11*$C84*'Business Case'!C13*$D84-'Business Case'!C14*$E84)-MAX(0,(('Business Case'!C11*$C84*'Business Case'!C12*$B84)-'Business Case'!C11*$C84*'Business Case'!C13*$D84-'Business Case'!C14*$E84))*'Business Case'!$B$7-'Business Case'!$B$8*(('Business Case'!C11*$C84*'Business Case'!C12*$B84)-('Business Case'!B11*$C84*'Business Case'!B12*$B84))-'Business Case'!C15*$F84</f>
        <v>36898995.3665268</v>
      </c>
      <c r="J84" s="39" t="n">
        <f aca="false">(('Business Case'!D11*$C84*'Business Case'!D12*$B84)-'Business Case'!D11*$C84*'Business Case'!D13*$D84-'Business Case'!D14*$E84)-MAX(0,(('Business Case'!D11*$C84*'Business Case'!D12*$B84)-'Business Case'!D11*$C84*'Business Case'!D13*$D84-'Business Case'!D14*$E84))*'Business Case'!$B$7-'Business Case'!$B$8*(('Business Case'!D11*$C84*'Business Case'!D12*$B84)-('Business Case'!C11*$C84*'Business Case'!C12*$B84))-'Business Case'!D15*$F84</f>
        <v>372558492.876294</v>
      </c>
      <c r="K84" s="39" t="n">
        <f aca="false">(('Business Case'!E11*$C84*'Business Case'!E12*$B84)-'Business Case'!E11*$C84*'Business Case'!E13*$D84-'Business Case'!E14*$E84)-MAX(0,(('Business Case'!E11*$C84*'Business Case'!E12*$B84)-'Business Case'!E11*$C84*'Business Case'!E13*$D84-'Business Case'!E14*$E84))*'Business Case'!$B$7-'Business Case'!$B$8*(('Business Case'!E11*$C84*'Business Case'!E12*$B84)-('Business Case'!D11*$C84*'Business Case'!D12*$B84))-'Business Case'!E15*$F84</f>
        <v>759205885.260527</v>
      </c>
      <c r="L84" s="39" t="n">
        <f aca="false">(('Business Case'!F11*$C84*'Business Case'!F12*$B84)-'Business Case'!F11*$C84*'Business Case'!F13*$D84-'Business Case'!F14*$E84)-MAX(0,(('Business Case'!F11*$C84*'Business Case'!F12*$B84)-'Business Case'!F11*$C84*'Business Case'!F13*$D84-'Business Case'!F14*$E84))*'Business Case'!$B$7-'Business Case'!$B$8*(('Business Case'!F11*$C84*'Business Case'!F12*$B84)-('Business Case'!E11*$C84*'Business Case'!E12*$B84))-'Business Case'!F15*$F84</f>
        <v>907810460.85062</v>
      </c>
      <c r="M84" s="39" t="n">
        <f aca="false">(('Business Case'!G11*$C84*'Business Case'!G12*$B84)-'Business Case'!G11*$C84*'Business Case'!G13*$D84-'Business Case'!G14*$E84)-MAX(0,(('Business Case'!G11*$C84*'Business Case'!G12*$B84)-'Business Case'!G11*$C84*'Business Case'!G13*$D84-'Business Case'!G14*$E84))*'Business Case'!$B$7-'Business Case'!$B$8*(('Business Case'!G11*$C84*'Business Case'!G12*$B84)-('Business Case'!F11*$C84*'Business Case'!F12*$B84))-'Business Case'!G15*$F84+'Business Case'!$B$8*('Business Case'!G11*$C84*'Business Case'!G12*$B84)</f>
        <v>1109759881.16156</v>
      </c>
      <c r="N84" s="39" t="n">
        <f aca="false">IF(COUNT('Business Case'!B11:G11)=0,"",H84+NPV(G84,I84:M84))</f>
        <v>134306026.321644</v>
      </c>
      <c r="P84" s="40" t="n">
        <f aca="true">RAND()</f>
        <v>0.782083437294983</v>
      </c>
      <c r="Q84" s="40" t="n">
        <f aca="true">RAND()</f>
        <v>0.825807267217845</v>
      </c>
      <c r="R84" s="40" t="n">
        <f aca="true">RAND()</f>
        <v>0.250813972456914</v>
      </c>
      <c r="S84" s="40" t="n">
        <f aca="true">RAND()</f>
        <v>0.288762156051545</v>
      </c>
      <c r="T84" s="40" t="n">
        <f aca="true">RAND()</f>
        <v>0.350255689650552</v>
      </c>
      <c r="U84" s="40" t="n">
        <f aca="true">RAND()</f>
        <v>0.689465998217049</v>
      </c>
    </row>
    <row r="85" customFormat="false" ht="15" hidden="false" customHeight="false" outlineLevel="0" collapsed="false">
      <c r="A85" s="36" t="n">
        <v>5</v>
      </c>
      <c r="B85" s="37" t="n">
        <f aca="false">1+IF($G$6=$E$6,$F$6,IF(P85&lt;($F$6-$E$6)/($G$6-$E$6),$E$6+SQRT(P85*($G$6-$E$6)*($F$6-$E$6)),$G$6-SQRT((1-P85)*($G$6-$E$6)*($G$6-$F$6))))</f>
        <v>0.977772674504553</v>
      </c>
      <c r="C85" s="37" t="n">
        <f aca="false">1+IF($G$7=$E$7,$F$7,IF(Q85&lt;($F$7-$E$7)/($G$7-$E$7),$E$7+SQRT(Q85*($G$7-$E$7)*($F$7-$E$7)),$G$7-SQRT((1-Q85)*($G$7-$E$7)*($G$7-$F$7))))</f>
        <v>1.05726461299249</v>
      </c>
      <c r="D85" s="37" t="n">
        <f aca="false">1+IF($G$8=$E$8,$F$8,IF(R85&lt;($F$8-$E$8)/($G$8-$E$8),$E$8+SQRT(R85*($G$8-$E$8)*($F$8-$E$8)),$G$8-SQRT((1-R85)*($G$8-$E$8)*($G$8-$F$8))))</f>
        <v>1.02244675302449</v>
      </c>
      <c r="E85" s="37" t="n">
        <f aca="false">1+IF($G$9=$E$9,$F$9,IF(S85&lt;($F$9-$E$9)/($G$9-$E$9),$E$9+SQRT(S85*($G$9-$E$9)*($F$9-$E$9)),$G$9-SQRT((1-S85)*($G$9-$E$9)*($G$9-$F$9))))</f>
        <v>1.01093508517647</v>
      </c>
      <c r="F85" s="37" t="n">
        <f aca="false">1+IF($G$10=$E$10,$F$10,IF(T85&lt;($F$10-$E$10)/($G$10-$E$10),$E$10+SQRT(T85*($G$10-$E$10)*($F$10-$E$10)),$G$10-SQRT((1-T85)*($G$10-$E$10)*($G$10-$F$10))))</f>
        <v>1.06577077689998</v>
      </c>
      <c r="G85" s="38" t="n">
        <f aca="false">IF($G$11=$E$11,$F$11,IF(U85&lt;($F$11-$E$11)/($G$11-$E$11),$E$11+SQRT(U85*($G$11-$E$11)*($F$11-$E$11)),$G$11-SQRT((1-U85)*($G$11-$E$11)*($G$11-$F$11))))</f>
        <v>0.11023508040042</v>
      </c>
      <c r="H85" s="39" t="n">
        <f aca="false">(('Business Case'!B11*$C85*'Business Case'!B12*$B85)-'Business Case'!B11*$C85*'Business Case'!B13*$D85-'Business Case'!B14*$E85)-MAX(0,(('Business Case'!B11*$C85*'Business Case'!B12*$B85)-'Business Case'!B11*$C85*'Business Case'!B13*$D85-'Business Case'!B14*$E85))*'Business Case'!$B$7-'Business Case'!$B$8*('Business Case'!B11*$C85*'Business Case'!B12*$B85)-'Business Case'!B15*$F85</f>
        <v>-2131541553.79995</v>
      </c>
      <c r="I85" s="39" t="n">
        <f aca="false">(('Business Case'!C11*$C85*'Business Case'!C12*$B85)-'Business Case'!C11*$C85*'Business Case'!C13*$D85-'Business Case'!C14*$E85)-MAX(0,(('Business Case'!C11*$C85*'Business Case'!C12*$B85)-'Business Case'!C11*$C85*'Business Case'!C13*$D85-'Business Case'!C14*$E85))*'Business Case'!$B$7-'Business Case'!$B$8*(('Business Case'!C11*$C85*'Business Case'!C12*$B85)-('Business Case'!B11*$C85*'Business Case'!B12*$B85))-'Business Case'!C15*$F85</f>
        <v>-10578748.4273732</v>
      </c>
      <c r="J85" s="39" t="n">
        <f aca="false">(('Business Case'!D11*$C85*'Business Case'!D12*$B85)-'Business Case'!D11*$C85*'Business Case'!D13*$D85-'Business Case'!D14*$E85)-MAX(0,(('Business Case'!D11*$C85*'Business Case'!D12*$B85)-'Business Case'!D11*$C85*'Business Case'!D13*$D85-'Business Case'!D14*$E85))*'Business Case'!$B$7-'Business Case'!$B$8*(('Business Case'!D11*$C85*'Business Case'!D12*$B85)-('Business Case'!C11*$C85*'Business Case'!C12*$B85))-'Business Case'!D15*$F85</f>
        <v>282764898.94746</v>
      </c>
      <c r="K85" s="39" t="n">
        <f aca="false">(('Business Case'!E11*$C85*'Business Case'!E12*$B85)-'Business Case'!E11*$C85*'Business Case'!E13*$D85-'Business Case'!E14*$E85)-MAX(0,(('Business Case'!E11*$C85*'Business Case'!E12*$B85)-'Business Case'!E11*$C85*'Business Case'!E13*$D85-'Business Case'!E14*$E85))*'Business Case'!$B$7-'Business Case'!$B$8*(('Business Case'!E11*$C85*'Business Case'!E12*$B85)-('Business Case'!D11*$C85*'Business Case'!D12*$B85))-'Business Case'!E15*$F85</f>
        <v>629397085.167293</v>
      </c>
      <c r="L85" s="39" t="n">
        <f aca="false">(('Business Case'!F11*$C85*'Business Case'!F12*$B85)-'Business Case'!F11*$C85*'Business Case'!F13*$D85-'Business Case'!F14*$E85)-MAX(0,(('Business Case'!F11*$C85*'Business Case'!F12*$B85)-'Business Case'!F11*$C85*'Business Case'!F13*$D85-'Business Case'!F14*$E85))*'Business Case'!$B$7-'Business Case'!$B$8*(('Business Case'!F11*$C85*'Business Case'!F12*$B85)-('Business Case'!E11*$C85*'Business Case'!E12*$B85))-'Business Case'!F15*$F85</f>
        <v>762905200.292314</v>
      </c>
      <c r="M85" s="39" t="n">
        <f aca="false">(('Business Case'!G11*$C85*'Business Case'!G12*$B85)-'Business Case'!G11*$C85*'Business Case'!G13*$D85-'Business Case'!G14*$E85)-MAX(0,(('Business Case'!G11*$C85*'Business Case'!G12*$B85)-'Business Case'!G11*$C85*'Business Case'!G13*$D85-'Business Case'!G14*$E85))*'Business Case'!$B$7-'Business Case'!$B$8*(('Business Case'!G11*$C85*'Business Case'!G12*$B85)-('Business Case'!F11*$C85*'Business Case'!F12*$B85))-'Business Case'!G15*$F85+'Business Case'!$B$8*('Business Case'!G11*$C85*'Business Case'!G12*$B85)</f>
        <v>959403146.62607</v>
      </c>
      <c r="N85" s="39" t="n">
        <f aca="false">IF(COUNT('Business Case'!B11:G11)=0,"",H85+NPV(G85,I85:M85))</f>
        <v>-380870997.869934</v>
      </c>
      <c r="P85" s="40" t="n">
        <f aca="true">RAND()</f>
        <v>0.347675199938435</v>
      </c>
      <c r="Q85" s="40" t="n">
        <f aca="true">RAND()</f>
        <v>0.836193295172724</v>
      </c>
      <c r="R85" s="40" t="n">
        <f aca="true">RAND()</f>
        <v>0.681502284863086</v>
      </c>
      <c r="S85" s="40" t="n">
        <f aca="true">RAND()</f>
        <v>0.471162729831827</v>
      </c>
      <c r="T85" s="40" t="n">
        <f aca="true">RAND()</f>
        <v>0.639650313319274</v>
      </c>
      <c r="U85" s="40" t="n">
        <f aca="true">RAND()</f>
        <v>0.841077242022906</v>
      </c>
    </row>
    <row r="86" customFormat="false" ht="15" hidden="false" customHeight="false" outlineLevel="0" collapsed="false">
      <c r="A86" s="36" t="n">
        <v>6</v>
      </c>
      <c r="B86" s="37" t="n">
        <f aca="false">1+IF($G$6=$E$6,$F$6,IF(P86&lt;($F$6-$E$6)/($G$6-$E$6),$E$6+SQRT(P86*($G$6-$E$6)*($F$6-$E$6)),$G$6-SQRT((1-P86)*($G$6-$E$6)*($G$6-$F$6))))</f>
        <v>1.02346495074207</v>
      </c>
      <c r="C86" s="37" t="n">
        <f aca="false">1+IF($G$7=$E$7,$F$7,IF(Q86&lt;($F$7-$E$7)/($G$7-$E$7),$E$7+SQRT(Q86*($G$7-$E$7)*($F$7-$E$7)),$G$7-SQRT((1-Q86)*($G$7-$E$7)*($G$7-$F$7))))</f>
        <v>1.05903067666515</v>
      </c>
      <c r="D86" s="37" t="n">
        <f aca="false">1+IF($G$8=$E$8,$F$8,IF(R86&lt;($F$8-$E$8)/($G$8-$E$8),$E$8+SQRT(R86*($G$8-$E$8)*($F$8-$E$8)),$G$8-SQRT((1-R86)*($G$8-$E$8)*($G$8-$F$8))))</f>
        <v>1.01846321354427</v>
      </c>
      <c r="E86" s="37" t="n">
        <f aca="false">1+IF($G$9=$E$9,$F$9,IF(S86&lt;($F$9-$E$9)/($G$9-$E$9),$E$9+SQRT(S86*($G$9-$E$9)*($F$9-$E$9)),$G$9-SQRT((1-S86)*($G$9-$E$9)*($G$9-$F$9))))</f>
        <v>1.03269345170394</v>
      </c>
      <c r="F86" s="37" t="n">
        <f aca="false">1+IF($G$10=$E$10,$F$10,IF(T86&lt;($F$10-$E$10)/($G$10-$E$10),$E$10+SQRT(T86*($G$10-$E$10)*($F$10-$E$10)),$G$10-SQRT((1-T86)*($G$10-$E$10)*($G$10-$F$10))))</f>
        <v>1.05261053615728</v>
      </c>
      <c r="G86" s="38" t="n">
        <f aca="false">IF($G$11=$E$11,$F$11,IF(U86&lt;($F$11-$E$11)/($G$11-$E$11),$E$11+SQRT(U86*($G$11-$E$11)*($F$11-$E$11)),$G$11-SQRT((1-U86)*($G$11-$E$11)*($G$11-$F$11))))</f>
        <v>0.116883311294423</v>
      </c>
      <c r="H86" s="39" t="n">
        <f aca="false">(('Business Case'!B11*$C86*'Business Case'!B12*$B86)-'Business Case'!B11*$C86*'Business Case'!B13*$D86-'Business Case'!B14*$E86)-MAX(0,(('Business Case'!B11*$C86*'Business Case'!B12*$B86)-'Business Case'!B11*$C86*'Business Case'!B13*$D86-'Business Case'!B14*$E86))*'Business Case'!$B$7-'Business Case'!$B$8*('Business Case'!B11*$C86*'Business Case'!B12*$B86)-'Business Case'!B15*$F86</f>
        <v>-2105221072.31456</v>
      </c>
      <c r="I86" s="39" t="n">
        <f aca="false">(('Business Case'!C11*$C86*'Business Case'!C12*$B86)-'Business Case'!C11*$C86*'Business Case'!C13*$D86-'Business Case'!C14*$E86)-MAX(0,(('Business Case'!C11*$C86*'Business Case'!C12*$B86)-'Business Case'!C11*$C86*'Business Case'!C13*$D86-'Business Case'!C14*$E86))*'Business Case'!$B$7-'Business Case'!$B$8*(('Business Case'!C11*$C86*'Business Case'!C12*$B86)-('Business Case'!B11*$C86*'Business Case'!B12*$B86))-'Business Case'!C15*$F86</f>
        <v>27329343.8062646</v>
      </c>
      <c r="J86" s="39" t="n">
        <f aca="false">(('Business Case'!D11*$C86*'Business Case'!D12*$B86)-'Business Case'!D11*$C86*'Business Case'!D13*$D86-'Business Case'!D14*$E86)-MAX(0,(('Business Case'!D11*$C86*'Business Case'!D12*$B86)-'Business Case'!D11*$C86*'Business Case'!D13*$D86-'Business Case'!D14*$E86))*'Business Case'!$B$7-'Business Case'!$B$8*(('Business Case'!D11*$C86*'Business Case'!D12*$B86)-('Business Case'!C11*$C86*'Business Case'!C12*$B86))-'Business Case'!D15*$F86</f>
        <v>362957129.660892</v>
      </c>
      <c r="K86" s="39" t="n">
        <f aca="false">(('Business Case'!E11*$C86*'Business Case'!E12*$B86)-'Business Case'!E11*$C86*'Business Case'!E13*$D86-'Business Case'!E14*$E86)-MAX(0,(('Business Case'!E11*$C86*'Business Case'!E12*$B86)-'Business Case'!E11*$C86*'Business Case'!E13*$D86-'Business Case'!E14*$E86))*'Business Case'!$B$7-'Business Case'!$B$8*(('Business Case'!E11*$C86*'Business Case'!E12*$B86)-('Business Case'!D11*$C86*'Business Case'!D12*$B86))-'Business Case'!E15*$F86</f>
        <v>751215442.323383</v>
      </c>
      <c r="L86" s="39" t="n">
        <f aca="false">(('Business Case'!F11*$C86*'Business Case'!F12*$B86)-'Business Case'!F11*$C86*'Business Case'!F13*$D86-'Business Case'!F14*$E86)-MAX(0,(('Business Case'!F11*$C86*'Business Case'!F12*$B86)-'Business Case'!F11*$C86*'Business Case'!F13*$D86-'Business Case'!F14*$E86))*'Business Case'!$B$7-'Business Case'!$B$8*(('Business Case'!F11*$C86*'Business Case'!F12*$B86)-('Business Case'!E11*$C86*'Business Case'!E12*$B86))-'Business Case'!F15*$F86</f>
        <v>900550290.675149</v>
      </c>
      <c r="M86" s="39" t="n">
        <f aca="false">(('Business Case'!G11*$C86*'Business Case'!G12*$B86)-'Business Case'!G11*$C86*'Business Case'!G13*$D86-'Business Case'!G14*$E86)-MAX(0,(('Business Case'!G11*$C86*'Business Case'!G12*$B86)-'Business Case'!G11*$C86*'Business Case'!G13*$D86-'Business Case'!G14*$E86))*'Business Case'!$B$7-'Business Case'!$B$8*(('Business Case'!G11*$C86*'Business Case'!G12*$B86)-('Business Case'!F11*$C86*'Business Case'!F12*$B86))-'Business Case'!G15*$F86+'Business Case'!$B$8*('Business Case'!G11*$C86*'Business Case'!G12*$B86)</f>
        <v>1106574349.20971</v>
      </c>
      <c r="N86" s="39" t="n">
        <f aca="false">IF(COUNT('Business Case'!B11:G11)=0,"",H86+NPV(G86,I86:M86))</f>
        <v>-35157462.1217721</v>
      </c>
      <c r="P86" s="40" t="n">
        <f aca="true">RAND()</f>
        <v>0.943040030424578</v>
      </c>
      <c r="Q86" s="40" t="n">
        <f aca="true">RAND()</f>
        <v>0.842372994514268</v>
      </c>
      <c r="R86" s="40" t="n">
        <f aca="true">RAND()</f>
        <v>0.635886914682865</v>
      </c>
      <c r="S86" s="40" t="n">
        <f aca="true">RAND()</f>
        <v>0.697988570431318</v>
      </c>
      <c r="T86" s="40" t="n">
        <f aca="true">RAND()</f>
        <v>0.56552691896312</v>
      </c>
      <c r="U86" s="40" t="n">
        <f aca="true">RAND()</f>
        <v>0.983810419187543</v>
      </c>
    </row>
    <row r="87" customFormat="false" ht="15" hidden="false" customHeight="false" outlineLevel="0" collapsed="false">
      <c r="A87" s="36" t="n">
        <v>7</v>
      </c>
      <c r="B87" s="37" t="n">
        <f aca="false">1+IF($G$6=$E$6,$F$6,IF(P87&lt;($F$6-$E$6)/($G$6-$E$6),$E$6+SQRT(P87*($G$6-$E$6)*($F$6-$E$6)),$G$6-SQRT((1-P87)*($G$6-$E$6)*($G$6-$F$6))))</f>
        <v>0.962375302826933</v>
      </c>
      <c r="C87" s="37" t="n">
        <f aca="false">1+IF($G$7=$E$7,$F$7,IF(Q87&lt;($F$7-$E$7)/($G$7-$E$7),$E$7+SQRT(Q87*($G$7-$E$7)*($F$7-$E$7)),$G$7-SQRT((1-Q87)*($G$7-$E$7)*($G$7-$F$7))))</f>
        <v>1.03301148604987</v>
      </c>
      <c r="D87" s="37" t="n">
        <f aca="false">1+IF($G$8=$E$8,$F$8,IF(R87&lt;($F$8-$E$8)/($G$8-$E$8),$E$8+SQRT(R87*($G$8-$E$8)*($F$8-$E$8)),$G$8-SQRT((1-R87)*($G$8-$E$8)*($G$8-$F$8))))</f>
        <v>1.03013551154092</v>
      </c>
      <c r="E87" s="37" t="n">
        <f aca="false">1+IF($G$9=$E$9,$F$9,IF(S87&lt;($F$9-$E$9)/($G$9-$E$9),$E$9+SQRT(S87*($G$9-$E$9)*($F$9-$E$9)),$G$9-SQRT((1-S87)*($G$9-$E$9)*($G$9-$F$9))))</f>
        <v>0.993750968157777</v>
      </c>
      <c r="F87" s="37" t="n">
        <f aca="false">1+IF($G$10=$E$10,$F$10,IF(T87&lt;($F$10-$E$10)/($G$10-$E$10),$E$10+SQRT(T87*($G$10-$E$10)*($F$10-$E$10)),$G$10-SQRT((1-T87)*($G$10-$E$10)*($G$10-$F$10))))</f>
        <v>0.995621482372934</v>
      </c>
      <c r="G87" s="38" t="n">
        <f aca="false">IF($G$11=$E$11,$F$11,IF(U87&lt;($F$11-$E$11)/($G$11-$E$11),$E$11+SQRT(U87*($G$11-$E$11)*($F$11-$E$11)),$G$11-SQRT((1-U87)*($G$11-$E$11)*($G$11-$F$11))))</f>
        <v>0.10867609696627</v>
      </c>
      <c r="H87" s="39" t="n">
        <f aca="false">(('Business Case'!B11*$C87*'Business Case'!B12*$B87)-'Business Case'!B11*$C87*'Business Case'!B13*$D87-'Business Case'!B14*$E87)-MAX(0,(('Business Case'!B11*$C87*'Business Case'!B12*$B87)-'Business Case'!B11*$C87*'Business Case'!B13*$D87-'Business Case'!B14*$E87))*'Business Case'!$B$7-'Business Case'!$B$8*('Business Case'!B11*$C87*'Business Case'!B12*$B87)-'Business Case'!B15*$F87</f>
        <v>-1991242964.74587</v>
      </c>
      <c r="I87" s="39" t="n">
        <f aca="false">(('Business Case'!C11*$C87*'Business Case'!C12*$B87)-'Business Case'!C11*$C87*'Business Case'!C13*$D87-'Business Case'!C14*$E87)-MAX(0,(('Business Case'!C11*$C87*'Business Case'!C12*$B87)-'Business Case'!C11*$C87*'Business Case'!C13*$D87-'Business Case'!C14*$E87))*'Business Case'!$B$7-'Business Case'!$B$8*(('Business Case'!C11*$C87*'Business Case'!C12*$B87)-('Business Case'!B11*$C87*'Business Case'!B12*$B87))-'Business Case'!C15*$F87</f>
        <v>-22889355.6838407</v>
      </c>
      <c r="J87" s="39" t="n">
        <f aca="false">(('Business Case'!D11*$C87*'Business Case'!D12*$B87)-'Business Case'!D11*$C87*'Business Case'!D13*$D87-'Business Case'!D14*$E87)-MAX(0,(('Business Case'!D11*$C87*'Business Case'!D12*$B87)-'Business Case'!D11*$C87*'Business Case'!D13*$D87-'Business Case'!D14*$E87))*'Business Case'!$B$7-'Business Case'!$B$8*(('Business Case'!D11*$C87*'Business Case'!D12*$B87)-('Business Case'!C11*$C87*'Business Case'!C12*$B87))-'Business Case'!D15*$F87</f>
        <v>246631287.951943</v>
      </c>
      <c r="K87" s="39" t="n">
        <f aca="false">(('Business Case'!E11*$C87*'Business Case'!E12*$B87)-'Business Case'!E11*$C87*'Business Case'!E13*$D87-'Business Case'!E14*$E87)-MAX(0,(('Business Case'!E11*$C87*'Business Case'!E12*$B87)-'Business Case'!E11*$C87*'Business Case'!E13*$D87-'Business Case'!E14*$E87))*'Business Case'!$B$7-'Business Case'!$B$8*(('Business Case'!E11*$C87*'Business Case'!E12*$B87)-('Business Case'!D11*$C87*'Business Case'!D12*$B87))-'Business Case'!E15*$F87</f>
        <v>565933005.706374</v>
      </c>
      <c r="L87" s="39" t="n">
        <f aca="false">(('Business Case'!F11*$C87*'Business Case'!F12*$B87)-'Business Case'!F11*$C87*'Business Case'!F13*$D87-'Business Case'!F14*$E87)-MAX(0,(('Business Case'!F11*$C87*'Business Case'!F12*$B87)-'Business Case'!F11*$C87*'Business Case'!F13*$D87-'Business Case'!F14*$E87))*'Business Case'!$B$7-'Business Case'!$B$8*(('Business Case'!F11*$C87*'Business Case'!F12*$B87)-('Business Case'!E11*$C87*'Business Case'!E12*$B87))-'Business Case'!F15*$F87</f>
        <v>690130862.525165</v>
      </c>
      <c r="M87" s="39" t="n">
        <f aca="false">(('Business Case'!G11*$C87*'Business Case'!G12*$B87)-'Business Case'!G11*$C87*'Business Case'!G13*$D87-'Business Case'!G14*$E87)-MAX(0,(('Business Case'!G11*$C87*'Business Case'!G12*$B87)-'Business Case'!G11*$C87*'Business Case'!G13*$D87-'Business Case'!G14*$E87))*'Business Case'!$B$7-'Business Case'!$B$8*(('Business Case'!G11*$C87*'Business Case'!G12*$B87)-('Business Case'!F11*$C87*'Business Case'!F12*$B87))-'Business Case'!G15*$F87+'Business Case'!$B$8*('Business Case'!G11*$C87*'Business Case'!G12*$B87)</f>
        <v>879097895.029581</v>
      </c>
      <c r="N87" s="39" t="n">
        <f aca="false">IF(COUNT('Business Case'!B11:G11)=0,"",H87+NPV(G87,I87:M87))</f>
        <v>-414339195.08273</v>
      </c>
      <c r="P87" s="40" t="n">
        <f aca="true">RAND()</f>
        <v>0.18704857184107</v>
      </c>
      <c r="Q87" s="40" t="n">
        <f aca="true">RAND()</f>
        <v>0.739308335309325</v>
      </c>
      <c r="R87" s="40" t="n">
        <f aca="true">RAND()</f>
        <v>0.760916614491763</v>
      </c>
      <c r="S87" s="40" t="n">
        <f aca="true">RAND()</f>
        <v>0.255219628632375</v>
      </c>
      <c r="T87" s="40" t="n">
        <f aca="true">RAND()</f>
        <v>0.166505572312311</v>
      </c>
      <c r="U87" s="40" t="n">
        <f aca="true">RAND()</f>
        <v>0.786282033471124</v>
      </c>
    </row>
    <row r="88" customFormat="false" ht="15" hidden="false" customHeight="false" outlineLevel="0" collapsed="false">
      <c r="A88" s="36" t="n">
        <v>8</v>
      </c>
      <c r="B88" s="37" t="n">
        <f aca="false">1+IF($G$6=$E$6,$F$6,IF(P88&lt;($F$6-$E$6)/($G$6-$E$6),$E$6+SQRT(P88*($G$6-$E$6)*($F$6-$E$6)),$G$6-SQRT((1-P88)*($G$6-$E$6)*($G$6-$F$6))))</f>
        <v>0.992956432539528</v>
      </c>
      <c r="C88" s="37" t="n">
        <f aca="false">1+IF($G$7=$E$7,$F$7,IF(Q88&lt;($F$7-$E$7)/($G$7-$E$7),$E$7+SQRT(Q88*($G$7-$E$7)*($F$7-$E$7)),$G$7-SQRT((1-Q88)*($G$7-$E$7)*($G$7-$F$7))))</f>
        <v>1.13352790785806</v>
      </c>
      <c r="D88" s="37" t="n">
        <f aca="false">1+IF($G$8=$E$8,$F$8,IF(R88&lt;($F$8-$E$8)/($G$8-$E$8),$E$8+SQRT(R88*($G$8-$E$8)*($F$8-$E$8)),$G$8-SQRT((1-R88)*($G$8-$E$8)*($G$8-$F$8))))</f>
        <v>1.01131127823259</v>
      </c>
      <c r="E88" s="37" t="n">
        <f aca="false">1+IF($G$9=$E$9,$F$9,IF(S88&lt;($F$9-$E$9)/($G$9-$E$9),$E$9+SQRT(S88*($G$9-$E$9)*($F$9-$E$9)),$G$9-SQRT((1-S88)*($G$9-$E$9)*($G$9-$F$9))))</f>
        <v>0.979161362822865</v>
      </c>
      <c r="F88" s="37" t="n">
        <f aca="false">1+IF($G$10=$E$10,$F$10,IF(T88&lt;($F$10-$E$10)/($G$10-$E$10),$E$10+SQRT(T88*($G$10-$E$10)*($F$10-$E$10)),$G$10-SQRT((1-T88)*($G$10-$E$10)*($G$10-$F$10))))</f>
        <v>1.1712712055326</v>
      </c>
      <c r="G88" s="38" t="n">
        <f aca="false">IF($G$11=$E$11,$F$11,IF(U88&lt;($F$11-$E$11)/($G$11-$E$11),$E$11+SQRT(U88*($G$11-$E$11)*($F$11-$E$11)),$G$11-SQRT((1-U88)*($G$11-$E$11)*($G$11-$F$11))))</f>
        <v>0.0995773279341814</v>
      </c>
      <c r="H88" s="39" t="n">
        <f aca="false">(('Business Case'!B11*$C88*'Business Case'!B12*$B88)-'Business Case'!B11*$C88*'Business Case'!B13*$D88-'Business Case'!B14*$E88)-MAX(0,(('Business Case'!B11*$C88*'Business Case'!B12*$B88)-'Business Case'!B11*$C88*'Business Case'!B13*$D88-'Business Case'!B14*$E88))*'Business Case'!$B$7-'Business Case'!$B$8*('Business Case'!B11*$C88*'Business Case'!B12*$B88)-'Business Case'!B15*$F88</f>
        <v>-2342542411.06521</v>
      </c>
      <c r="I88" s="39" t="n">
        <f aca="false">(('Business Case'!C11*$C88*'Business Case'!C12*$B88)-'Business Case'!C11*$C88*'Business Case'!C13*$D88-'Business Case'!C14*$E88)-MAX(0,(('Business Case'!C11*$C88*'Business Case'!C12*$B88)-'Business Case'!C11*$C88*'Business Case'!C13*$D88-'Business Case'!C14*$E88))*'Business Case'!$B$7-'Business Case'!$B$8*(('Business Case'!C11*$C88*'Business Case'!C12*$B88)-('Business Case'!B11*$C88*'Business Case'!B12*$B88))-'Business Case'!C15*$F88</f>
        <v>20350110.1396498</v>
      </c>
      <c r="J88" s="39" t="n">
        <f aca="false">(('Business Case'!D11*$C88*'Business Case'!D12*$B88)-'Business Case'!D11*$C88*'Business Case'!D13*$D88-'Business Case'!D14*$E88)-MAX(0,(('Business Case'!D11*$C88*'Business Case'!D12*$B88)-'Business Case'!D11*$C88*'Business Case'!D13*$D88-'Business Case'!D14*$E88))*'Business Case'!$B$7-'Business Case'!$B$8*(('Business Case'!D11*$C88*'Business Case'!D12*$B88)-('Business Case'!C11*$C88*'Business Case'!C12*$B88))-'Business Case'!D15*$F88</f>
        <v>355412278.647238</v>
      </c>
      <c r="K88" s="39" t="n">
        <f aca="false">(('Business Case'!E11*$C88*'Business Case'!E12*$B88)-'Business Case'!E11*$C88*'Business Case'!E13*$D88-'Business Case'!E14*$E88)-MAX(0,(('Business Case'!E11*$C88*'Business Case'!E12*$B88)-'Business Case'!E11*$C88*'Business Case'!E13*$D88-'Business Case'!E14*$E88))*'Business Case'!$B$7-'Business Case'!$B$8*(('Business Case'!E11*$C88*'Business Case'!E12*$B88)-('Business Case'!D11*$C88*'Business Case'!D12*$B88))-'Business Case'!E15*$F88</f>
        <v>749038007.431457</v>
      </c>
      <c r="L88" s="39" t="n">
        <f aca="false">(('Business Case'!F11*$C88*'Business Case'!F12*$B88)-'Business Case'!F11*$C88*'Business Case'!F13*$D88-'Business Case'!F14*$E88)-MAX(0,(('Business Case'!F11*$C88*'Business Case'!F12*$B88)-'Business Case'!F11*$C88*'Business Case'!F13*$D88-'Business Case'!F14*$E88))*'Business Case'!$B$7-'Business Case'!$B$8*(('Business Case'!F11*$C88*'Business Case'!F12*$B88)-('Business Case'!E11*$C88*'Business Case'!E12*$B88))-'Business Case'!F15*$F88</f>
        <v>899624191.614831</v>
      </c>
      <c r="M88" s="39" t="n">
        <f aca="false">(('Business Case'!G11*$C88*'Business Case'!G12*$B88)-'Business Case'!G11*$C88*'Business Case'!G13*$D88-'Business Case'!G14*$E88)-MAX(0,(('Business Case'!G11*$C88*'Business Case'!G12*$B88)-'Business Case'!G11*$C88*'Business Case'!G13*$D88-'Business Case'!G14*$E88))*'Business Case'!$B$7-'Business Case'!$B$8*(('Business Case'!G11*$C88*'Business Case'!G12*$B88)-('Business Case'!F11*$C88*'Business Case'!F12*$B88))-'Business Case'!G15*$F88+'Business Case'!$B$8*('Business Case'!G11*$C88*'Business Case'!G12*$B88)</f>
        <v>1113567562.35948</v>
      </c>
      <c r="N88" s="39" t="n">
        <f aca="false">IF(COUNT('Business Case'!B11:G11)=0,"",H88+NPV(G88,I88:M88))</f>
        <v>-158499083.442981</v>
      </c>
      <c r="P88" s="40" t="n">
        <f aca="true">RAND()</f>
        <v>0.554441775926538</v>
      </c>
      <c r="Q88" s="40" t="n">
        <f aca="true">RAND()</f>
        <v>0.994831812961285</v>
      </c>
      <c r="R88" s="40" t="n">
        <f aca="true">RAND()</f>
        <v>0.546332644419124</v>
      </c>
      <c r="S88" s="40" t="n">
        <f aca="true">RAND()</f>
        <v>0.113384677558232</v>
      </c>
      <c r="T88" s="40" t="n">
        <f aca="true">RAND()</f>
        <v>0.983493127369003</v>
      </c>
      <c r="U88" s="40" t="n">
        <f aca="true">RAND()</f>
        <v>0.305750701196171</v>
      </c>
    </row>
    <row r="89" customFormat="false" ht="15" hidden="false" customHeight="false" outlineLevel="0" collapsed="false">
      <c r="A89" s="36" t="n">
        <v>9</v>
      </c>
      <c r="B89" s="37" t="n">
        <f aca="false">1+IF($G$6=$E$6,$F$6,IF(P89&lt;($F$6-$E$6)/($G$6-$E$6),$E$6+SQRT(P89*($G$6-$E$6)*($F$6-$E$6)),$G$6-SQRT((1-P89)*($G$6-$E$6)*($G$6-$F$6))))</f>
        <v>0.964913292786786</v>
      </c>
      <c r="C89" s="37" t="n">
        <f aca="false">1+IF($G$7=$E$7,$F$7,IF(Q89&lt;($F$7-$E$7)/($G$7-$E$7),$E$7+SQRT(Q89*($G$7-$E$7)*($F$7-$E$7)),$G$7-SQRT((1-Q89)*($G$7-$E$7)*($G$7-$F$7))))</f>
        <v>0.903503344072749</v>
      </c>
      <c r="D89" s="37" t="n">
        <f aca="false">1+IF($G$8=$E$8,$F$8,IF(R89&lt;($F$8-$E$8)/($G$8-$E$8),$E$8+SQRT(R89*($G$8-$E$8)*($F$8-$E$8)),$G$8-SQRT((1-R89)*($G$8-$E$8)*($G$8-$F$8))))</f>
        <v>1.02258943196549</v>
      </c>
      <c r="E89" s="37" t="n">
        <f aca="false">1+IF($G$9=$E$9,$F$9,IF(S89&lt;($F$9-$E$9)/($G$9-$E$9),$E$9+SQRT(S89*($G$9-$E$9)*($F$9-$E$9)),$G$9-SQRT((1-S89)*($G$9-$E$9)*($G$9-$F$9))))</f>
        <v>1.01268707424927</v>
      </c>
      <c r="F89" s="37" t="n">
        <f aca="false">1+IF($G$10=$E$10,$F$10,IF(T89&lt;($F$10-$E$10)/($G$10-$E$10),$E$10+SQRT(T89*($G$10-$E$10)*($F$10-$E$10)),$G$10-SQRT((1-T89)*($G$10-$E$10)*($G$10-$F$10))))</f>
        <v>0.991616749754665</v>
      </c>
      <c r="G89" s="38" t="n">
        <f aca="false">IF($G$11=$E$11,$F$11,IF(U89&lt;($F$11-$E$11)/($G$11-$E$11),$E$11+SQRT(U89*($G$11-$E$11)*($F$11-$E$11)),$G$11-SQRT((1-U89)*($G$11-$E$11)*($G$11-$F$11))))</f>
        <v>0.0989847467572993</v>
      </c>
      <c r="H89" s="39" t="n">
        <f aca="false">(('Business Case'!B11*$C89*'Business Case'!B12*$B89)-'Business Case'!B11*$C89*'Business Case'!B13*$D89-'Business Case'!B14*$E89)-MAX(0,(('Business Case'!B11*$C89*'Business Case'!B12*$B89)-'Business Case'!B11*$C89*'Business Case'!B13*$D89-'Business Case'!B14*$E89))*'Business Case'!$B$7-'Business Case'!$B$8*('Business Case'!B11*$C89*'Business Case'!B12*$B89)-'Business Case'!B15*$F89</f>
        <v>-1983233499.50933</v>
      </c>
      <c r="I89" s="39" t="n">
        <f aca="false">(('Business Case'!C11*$C89*'Business Case'!C12*$B89)-'Business Case'!C11*$C89*'Business Case'!C13*$D89-'Business Case'!C14*$E89)-MAX(0,(('Business Case'!C11*$C89*'Business Case'!C12*$B89)-'Business Case'!C11*$C89*'Business Case'!C13*$D89-'Business Case'!C14*$E89))*'Business Case'!$B$7-'Business Case'!$B$8*(('Business Case'!C11*$C89*'Business Case'!C12*$B89)-('Business Case'!B11*$C89*'Business Case'!B12*$B89))-'Business Case'!C15*$F89</f>
        <v>-47260616.4411612</v>
      </c>
      <c r="J89" s="39" t="n">
        <f aca="false">(('Business Case'!D11*$C89*'Business Case'!D12*$B89)-'Business Case'!D11*$C89*'Business Case'!D13*$D89-'Business Case'!D14*$E89)-MAX(0,(('Business Case'!D11*$C89*'Business Case'!D12*$B89)-'Business Case'!D11*$C89*'Business Case'!D13*$D89-'Business Case'!D14*$E89))*'Business Case'!$B$7-'Business Case'!$B$8*(('Business Case'!D11*$C89*'Business Case'!D12*$B89)-('Business Case'!C11*$C89*'Business Case'!C12*$B89))-'Business Case'!D15*$F89</f>
        <v>193838779.781708</v>
      </c>
      <c r="K89" s="39" t="n">
        <f aca="false">(('Business Case'!E11*$C89*'Business Case'!E12*$B89)-'Business Case'!E11*$C89*'Business Case'!E13*$D89-'Business Case'!E14*$E89)-MAX(0,(('Business Case'!E11*$C89*'Business Case'!E12*$B89)-'Business Case'!E11*$C89*'Business Case'!E13*$D89-'Business Case'!E14*$E89))*'Business Case'!$B$7-'Business Case'!$B$8*(('Business Case'!E11*$C89*'Business Case'!E12*$B89)-('Business Case'!D11*$C89*'Business Case'!D12*$B89))-'Business Case'!E15*$F89</f>
        <v>484519013.492309</v>
      </c>
      <c r="L89" s="39" t="n">
        <f aca="false">(('Business Case'!F11*$C89*'Business Case'!F12*$B89)-'Business Case'!F11*$C89*'Business Case'!F13*$D89-'Business Case'!F14*$E89)-MAX(0,(('Business Case'!F11*$C89*'Business Case'!F12*$B89)-'Business Case'!F11*$C89*'Business Case'!F13*$D89-'Business Case'!F14*$E89))*'Business Case'!$B$7-'Business Case'!$B$8*(('Business Case'!F11*$C89*'Business Case'!F12*$B89)-('Business Case'!E11*$C89*'Business Case'!E12*$B89))-'Business Case'!F15*$F89</f>
        <v>595014969.386811</v>
      </c>
      <c r="M89" s="39" t="n">
        <f aca="false">(('Business Case'!G11*$C89*'Business Case'!G12*$B89)-'Business Case'!G11*$C89*'Business Case'!G13*$D89-'Business Case'!G14*$E89)-MAX(0,(('Business Case'!G11*$C89*'Business Case'!G12*$B89)-'Business Case'!G11*$C89*'Business Case'!G13*$D89-'Business Case'!G14*$E89))*'Business Case'!$B$7-'Business Case'!$B$8*(('Business Case'!G11*$C89*'Business Case'!G12*$B89)-('Business Case'!F11*$C89*'Business Case'!F12*$B89))-'Business Case'!G15*$F89+'Business Case'!$B$8*('Business Case'!G11*$C89*'Business Case'!G12*$B89)</f>
        <v>760727167.064644</v>
      </c>
      <c r="N89" s="39" t="n">
        <f aca="false">IF(COUNT('Business Case'!B11:G11)=0,"",H89+NPV(G89,I89:M89))</f>
        <v>-618263175.105935</v>
      </c>
      <c r="P89" s="40" t="n">
        <f aca="true">RAND()</f>
        <v>0.210125403015788</v>
      </c>
      <c r="Q89" s="40" t="n">
        <f aca="true">RAND()</f>
        <v>0.153042031917741</v>
      </c>
      <c r="R89" s="40" t="n">
        <f aca="true">RAND()</f>
        <v>0.683079488264864</v>
      </c>
      <c r="S89" s="40" t="n">
        <f aca="true">RAND()</f>
        <v>0.491763533123113</v>
      </c>
      <c r="T89" s="40" t="n">
        <f aca="true">RAND()</f>
        <v>0.138556308811392</v>
      </c>
      <c r="U89" s="40" t="n">
        <f aca="true">RAND()</f>
        <v>0.269085580976002</v>
      </c>
    </row>
    <row r="90" customFormat="false" ht="15" hidden="false" customHeight="false" outlineLevel="0" collapsed="false">
      <c r="A90" s="36" t="n">
        <v>10</v>
      </c>
      <c r="B90" s="37" t="n">
        <f aca="false">1+IF($G$6=$E$6,$F$6,IF(P90&lt;($F$6-$E$6)/($G$6-$E$6),$E$6+SQRT(P90*($G$6-$E$6)*($F$6-$E$6)),$G$6-SQRT((1-P90)*($G$6-$E$6)*($G$6-$F$6))))</f>
        <v>0.980589073886096</v>
      </c>
      <c r="C90" s="37" t="n">
        <f aca="false">1+IF($G$7=$E$7,$F$7,IF(Q90&lt;($F$7-$E$7)/($G$7-$E$7),$E$7+SQRT(Q90*($G$7-$E$7)*($F$7-$E$7)),$G$7-SQRT((1-Q90)*($G$7-$E$7)*($G$7-$F$7))))</f>
        <v>0.885689556380371</v>
      </c>
      <c r="D90" s="37" t="n">
        <f aca="false">1+IF($G$8=$E$8,$F$8,IF(R90&lt;($F$8-$E$8)/($G$8-$E$8),$E$8+SQRT(R90*($G$8-$E$8)*($F$8-$E$8)),$G$8-SQRT((1-R90)*($G$8-$E$8)*($G$8-$F$8))))</f>
        <v>0.996638862624887</v>
      </c>
      <c r="E90" s="37" t="n">
        <f aca="false">1+IF($G$9=$E$9,$F$9,IF(S90&lt;($F$9-$E$9)/($G$9-$E$9),$E$9+SQRT(S90*($G$9-$E$9)*($F$9-$E$9)),$G$9-SQRT((1-S90)*($G$9-$E$9)*($G$9-$F$9))))</f>
        <v>1.07127975076765</v>
      </c>
      <c r="F90" s="37" t="n">
        <f aca="false">1+IF($G$10=$E$10,$F$10,IF(T90&lt;($F$10-$E$10)/($G$10-$E$10),$E$10+SQRT(T90*($G$10-$E$10)*($F$10-$E$10)),$G$10-SQRT((1-T90)*($G$10-$E$10)*($G$10-$F$10))))</f>
        <v>0.989649104691913</v>
      </c>
      <c r="G90" s="38" t="n">
        <f aca="false">IF($G$11=$E$11,$F$11,IF(U90&lt;($F$11-$E$11)/($G$11-$E$11),$E$11+SQRT(U90*($G$11-$E$11)*($F$11-$E$11)),$G$11-SQRT((1-U90)*($G$11-$E$11)*($G$11-$F$11))))</f>
        <v>0.102804190328047</v>
      </c>
      <c r="H90" s="39" t="n">
        <f aca="false">(('Business Case'!B11*$C90*'Business Case'!B12*$B90)-'Business Case'!B11*$C90*'Business Case'!B13*$D90-'Business Case'!B14*$E90)-MAX(0,(('Business Case'!B11*$C90*'Business Case'!B12*$B90)-'Business Case'!B11*$C90*'Business Case'!B13*$D90-'Business Case'!B14*$E90))*'Business Case'!$B$7-'Business Case'!$B$8*('Business Case'!B11*$C90*'Business Case'!B12*$B90)-'Business Case'!B15*$F90</f>
        <v>-1979298209.38383</v>
      </c>
      <c r="I90" s="39" t="n">
        <f aca="false">(('Business Case'!C11*$C90*'Business Case'!C12*$B90)-'Business Case'!C11*$C90*'Business Case'!C13*$D90-'Business Case'!C14*$E90)-MAX(0,(('Business Case'!C11*$C90*'Business Case'!C12*$B90)-'Business Case'!C11*$C90*'Business Case'!C13*$D90-'Business Case'!C14*$E90))*'Business Case'!$B$7-'Business Case'!$B$8*(('Business Case'!C11*$C90*'Business Case'!C12*$B90)-('Business Case'!B11*$C90*'Business Case'!B12*$B90))-'Business Case'!C15*$F90</f>
        <v>-36840066.3249904</v>
      </c>
      <c r="J90" s="39" t="n">
        <f aca="false">(('Business Case'!D11*$C90*'Business Case'!D12*$B90)-'Business Case'!D11*$C90*'Business Case'!D13*$D90-'Business Case'!D14*$E90)-MAX(0,(('Business Case'!D11*$C90*'Business Case'!D12*$B90)-'Business Case'!D11*$C90*'Business Case'!D13*$D90-'Business Case'!D14*$E90))*'Business Case'!$B$7-'Business Case'!$B$8*(('Business Case'!D11*$C90*'Business Case'!D12*$B90)-('Business Case'!C11*$C90*'Business Case'!C12*$B90))-'Business Case'!D15*$F90</f>
        <v>222643668.87384</v>
      </c>
      <c r="K90" s="39" t="n">
        <f aca="false">(('Business Case'!E11*$C90*'Business Case'!E12*$B90)-'Business Case'!E11*$C90*'Business Case'!E13*$D90-'Business Case'!E14*$E90)-MAX(0,(('Business Case'!E11*$C90*'Business Case'!E12*$B90)-'Business Case'!E11*$C90*'Business Case'!E13*$D90-'Business Case'!E14*$E90))*'Business Case'!$B$7-'Business Case'!$B$8*(('Business Case'!E11*$C90*'Business Case'!E12*$B90)-('Business Case'!D11*$C90*'Business Case'!D12*$B90))-'Business Case'!E15*$F90</f>
        <v>531609859.307267</v>
      </c>
      <c r="L90" s="39" t="n">
        <f aca="false">(('Business Case'!F11*$C90*'Business Case'!F12*$B90)-'Business Case'!F11*$C90*'Business Case'!F13*$D90-'Business Case'!F14*$E90)-MAX(0,(('Business Case'!F11*$C90*'Business Case'!F12*$B90)-'Business Case'!F11*$C90*'Business Case'!F13*$D90-'Business Case'!F14*$E90))*'Business Case'!$B$7-'Business Case'!$B$8*(('Business Case'!F11*$C90*'Business Case'!F12*$B90)-('Business Case'!E11*$C90*'Business Case'!E12*$B90))-'Business Case'!F15*$F90</f>
        <v>648119711.370523</v>
      </c>
      <c r="M90" s="39" t="n">
        <f aca="false">(('Business Case'!G11*$C90*'Business Case'!G12*$B90)-'Business Case'!G11*$C90*'Business Case'!G13*$D90-'Business Case'!G14*$E90)-MAX(0,(('Business Case'!G11*$C90*'Business Case'!G12*$B90)-'Business Case'!G11*$C90*'Business Case'!G13*$D90-'Business Case'!G14*$E90))*'Business Case'!$B$7-'Business Case'!$B$8*(('Business Case'!G11*$C90*'Business Case'!G12*$B90)-('Business Case'!F11*$C90*'Business Case'!F12*$B90))-'Business Case'!G15*$F90+'Business Case'!$B$8*('Business Case'!G11*$C90*'Business Case'!G12*$B90)</f>
        <v>813203716.520577</v>
      </c>
      <c r="N90" s="39" t="n">
        <f aca="false">IF(COUNT('Business Case'!B11:G11)=0,"",H90+NPV(G90,I90:M90))</f>
        <v>-496530751.125623</v>
      </c>
      <c r="P90" s="40" t="n">
        <f aca="true">RAND()</f>
        <v>0.382399570247371</v>
      </c>
      <c r="Q90" s="40" t="n">
        <f aca="true">RAND()</f>
        <v>0.104895715323782</v>
      </c>
      <c r="R90" s="40" t="n">
        <f aca="true">RAND()</f>
        <v>0.334643616452789</v>
      </c>
      <c r="S90" s="40" t="n">
        <f aca="true">RAND()</f>
        <v>0.945009818935463</v>
      </c>
      <c r="T90" s="40" t="n">
        <f aca="true">RAND()</f>
        <v>0.125764120229622</v>
      </c>
      <c r="U90" s="40" t="n">
        <f aca="true">RAND()</f>
        <v>0.507173549543266</v>
      </c>
    </row>
    <row r="91" customFormat="false" ht="15" hidden="false" customHeight="false" outlineLevel="0" collapsed="false">
      <c r="A91" s="36" t="n">
        <v>11</v>
      </c>
      <c r="B91" s="37" t="n">
        <f aca="false">1+IF($G$6=$E$6,$F$6,IF(P91&lt;($F$6-$E$6)/($G$6-$E$6),$E$6+SQRT(P91*($G$6-$E$6)*($F$6-$E$6)),$G$6-SQRT((1-P91)*($G$6-$E$6)*($G$6-$F$6))))</f>
        <v>0.985821864114751</v>
      </c>
      <c r="C91" s="37" t="n">
        <f aca="false">1+IF($G$7=$E$7,$F$7,IF(Q91&lt;($F$7-$E$7)/($G$7-$E$7),$E$7+SQRT(Q91*($G$7-$E$7)*($F$7-$E$7)),$G$7-SQRT((1-Q91)*($G$7-$E$7)*($G$7-$F$7))))</f>
        <v>1.05521438336962</v>
      </c>
      <c r="D91" s="37" t="n">
        <f aca="false">1+IF($G$8=$E$8,$F$8,IF(R91&lt;($F$8-$E$8)/($G$8-$E$8),$E$8+SQRT(R91*($G$8-$E$8)*($F$8-$E$8)),$G$8-SQRT((1-R91)*($G$8-$E$8)*($G$8-$F$8))))</f>
        <v>1.00075580837706</v>
      </c>
      <c r="E91" s="37" t="n">
        <f aca="false">1+IF($G$9=$E$9,$F$9,IF(S91&lt;($F$9-$E$9)/($G$9-$E$9),$E$9+SQRT(S91*($G$9-$E$9)*($F$9-$E$9)),$G$9-SQRT((1-S91)*($G$9-$E$9)*($G$9-$F$9))))</f>
        <v>0.961999481481452</v>
      </c>
      <c r="F91" s="37" t="n">
        <f aca="false">1+IF($G$10=$E$10,$F$10,IF(T91&lt;($F$10-$E$10)/($G$10-$E$10),$E$10+SQRT(T91*($G$10-$E$10)*($F$10-$E$10)),$G$10-SQRT((1-T91)*($G$10-$E$10)*($G$10-$F$10))))</f>
        <v>1.10633976286546</v>
      </c>
      <c r="G91" s="38" t="n">
        <f aca="false">IF($G$11=$E$11,$F$11,IF(U91&lt;($F$11-$E$11)/($G$11-$E$11),$E$11+SQRT(U91*($G$11-$E$11)*($F$11-$E$11)),$G$11-SQRT((1-U91)*($G$11-$E$11)*($G$11-$F$11))))</f>
        <v>0.102426493522719</v>
      </c>
      <c r="H91" s="39" t="n">
        <f aca="false">(('Business Case'!B11*$C91*'Business Case'!B12*$B91)-'Business Case'!B11*$C91*'Business Case'!B13*$D91-'Business Case'!B14*$E91)-MAX(0,(('Business Case'!B11*$C91*'Business Case'!B12*$B91)-'Business Case'!B11*$C91*'Business Case'!B13*$D91-'Business Case'!B14*$E91))*'Business Case'!$B$7-'Business Case'!$B$8*('Business Case'!B11*$C91*'Business Case'!B12*$B91)-'Business Case'!B15*$F91</f>
        <v>-2212679525.73091</v>
      </c>
      <c r="I91" s="39" t="n">
        <f aca="false">(('Business Case'!C11*$C91*'Business Case'!C12*$B91)-'Business Case'!C11*$C91*'Business Case'!C13*$D91-'Business Case'!C14*$E91)-MAX(0,(('Business Case'!C11*$C91*'Business Case'!C12*$B91)-'Business Case'!C11*$C91*'Business Case'!C13*$D91-'Business Case'!C14*$E91))*'Business Case'!$B$7-'Business Case'!$B$8*(('Business Case'!C11*$C91*'Business Case'!C12*$B91)-('Business Case'!B11*$C91*'Business Case'!B12*$B91))-'Business Case'!C15*$F91</f>
        <v>10091778.3112354</v>
      </c>
      <c r="J91" s="39" t="n">
        <f aca="false">(('Business Case'!D11*$C91*'Business Case'!D12*$B91)-'Business Case'!D11*$C91*'Business Case'!D13*$D91-'Business Case'!D14*$E91)-MAX(0,(('Business Case'!D11*$C91*'Business Case'!D12*$B91)-'Business Case'!D11*$C91*'Business Case'!D13*$D91-'Business Case'!D14*$E91))*'Business Case'!$B$7-'Business Case'!$B$8*(('Business Case'!D11*$C91*'Business Case'!D12*$B91)-('Business Case'!C11*$C91*'Business Case'!C12*$B91))-'Business Case'!D15*$F91</f>
        <v>321540595.973621</v>
      </c>
      <c r="K91" s="39" t="n">
        <f aca="false">(('Business Case'!E11*$C91*'Business Case'!E12*$B91)-'Business Case'!E11*$C91*'Business Case'!E13*$D91-'Business Case'!E14*$E91)-MAX(0,(('Business Case'!E11*$C91*'Business Case'!E12*$B91)-'Business Case'!E11*$C91*'Business Case'!E13*$D91-'Business Case'!E14*$E91))*'Business Case'!$B$7-'Business Case'!$B$8*(('Business Case'!E11*$C91*'Business Case'!E12*$B91)-('Business Case'!D11*$C91*'Business Case'!D12*$B91))-'Business Case'!E15*$F91</f>
        <v>688306401.77928</v>
      </c>
      <c r="L91" s="39" t="n">
        <f aca="false">(('Business Case'!F11*$C91*'Business Case'!F12*$B91)-'Business Case'!F11*$C91*'Business Case'!F13*$D91-'Business Case'!F14*$E91)-MAX(0,(('Business Case'!F11*$C91*'Business Case'!F12*$B91)-'Business Case'!F11*$C91*'Business Case'!F13*$D91-'Business Case'!F14*$E91))*'Business Case'!$B$7-'Business Case'!$B$8*(('Business Case'!F11*$C91*'Business Case'!F12*$B91)-('Business Case'!E11*$C91*'Business Case'!E12*$B91))-'Business Case'!F15*$F91</f>
        <v>828073832.198703</v>
      </c>
      <c r="M91" s="39" t="n">
        <f aca="false">(('Business Case'!G11*$C91*'Business Case'!G12*$B91)-'Business Case'!G11*$C91*'Business Case'!G13*$D91-'Business Case'!G14*$E91)-MAX(0,(('Business Case'!G11*$C91*'Business Case'!G12*$B91)-'Business Case'!G11*$C91*'Business Case'!G13*$D91-'Business Case'!G14*$E91))*'Business Case'!$B$7-'Business Case'!$B$8*(('Business Case'!G11*$C91*'Business Case'!G12*$B91)-('Business Case'!F11*$C91*'Business Case'!F12*$B91))-'Business Case'!G15*$F91+'Business Case'!$B$8*('Business Case'!G11*$C91*'Business Case'!G12*$B91)</f>
        <v>1025805200.45782</v>
      </c>
      <c r="N91" s="39" t="n">
        <f aca="false">IF(COUNT('Business Case'!B11:G11)=0,"",H91+NPV(G91,I91:M91))</f>
        <v>-234642422.072241</v>
      </c>
      <c r="P91" s="40" t="n">
        <f aca="true">RAND()</f>
        <v>0.451303937035498</v>
      </c>
      <c r="Q91" s="40" t="n">
        <f aca="true">RAND()</f>
        <v>0.828870226285677</v>
      </c>
      <c r="R91" s="40" t="n">
        <f aca="true">RAND()</f>
        <v>0.396188278271766</v>
      </c>
      <c r="S91" s="40" t="n">
        <f aca="true">RAND()</f>
        <v>0.019198340776494</v>
      </c>
      <c r="T91" s="40" t="n">
        <f aca="true">RAND()</f>
        <v>0.824555199598024</v>
      </c>
      <c r="U91" s="40" t="n">
        <f aca="true">RAND()</f>
        <v>0.485286450154941</v>
      </c>
    </row>
    <row r="92" customFormat="false" ht="15" hidden="false" customHeight="false" outlineLevel="0" collapsed="false">
      <c r="A92" s="36" t="n">
        <v>12</v>
      </c>
      <c r="B92" s="37" t="n">
        <f aca="false">1+IF($G$6=$E$6,$F$6,IF(P92&lt;($F$6-$E$6)/($G$6-$E$6),$E$6+SQRT(P92*($G$6-$E$6)*($F$6-$E$6)),$G$6-SQRT((1-P92)*($G$6-$E$6)*($G$6-$F$6))))</f>
        <v>0.995692235777488</v>
      </c>
      <c r="C92" s="37" t="n">
        <f aca="false">1+IF($G$7=$E$7,$F$7,IF(Q92&lt;($F$7-$E$7)/($G$7-$E$7),$E$7+SQRT(Q92*($G$7-$E$7)*($F$7-$E$7)),$G$7-SQRT((1-Q92)*($G$7-$E$7)*($G$7-$F$7))))</f>
        <v>1.06380085186185</v>
      </c>
      <c r="D92" s="37" t="n">
        <f aca="false">1+IF($G$8=$E$8,$F$8,IF(R92&lt;($F$8-$E$8)/($G$8-$E$8),$E$8+SQRT(R92*($G$8-$E$8)*($F$8-$E$8)),$G$8-SQRT((1-R92)*($G$8-$E$8)*($G$8-$F$8))))</f>
        <v>1.0160985224861</v>
      </c>
      <c r="E92" s="37" t="n">
        <f aca="false">1+IF($G$9=$E$9,$F$9,IF(S92&lt;($F$9-$E$9)/($G$9-$E$9),$E$9+SQRT(S92*($G$9-$E$9)*($F$9-$E$9)),$G$9-SQRT((1-S92)*($G$9-$E$9)*($G$9-$F$9))))</f>
        <v>1.0643106169951</v>
      </c>
      <c r="F92" s="37" t="n">
        <f aca="false">1+IF($G$10=$E$10,$F$10,IF(T92&lt;($F$10-$E$10)/($G$10-$E$10),$E$10+SQRT(T92*($G$10-$E$10)*($F$10-$E$10)),$G$10-SQRT((1-T92)*($G$10-$E$10)*($G$10-$F$10))))</f>
        <v>1.0873984065179</v>
      </c>
      <c r="G92" s="38" t="n">
        <f aca="false">IF($G$11=$E$11,$F$11,IF(U92&lt;($F$11-$E$11)/($G$11-$E$11),$E$11+SQRT(U92*($G$11-$E$11)*($F$11-$E$11)),$G$11-SQRT((1-U92)*($G$11-$E$11)*($G$11-$F$11))))</f>
        <v>0.10397134582348</v>
      </c>
      <c r="H92" s="39" t="n">
        <f aca="false">(('Business Case'!B11*$C92*'Business Case'!B12*$B92)-'Business Case'!B11*$C92*'Business Case'!B13*$D92-'Business Case'!B14*$E92)-MAX(0,(('Business Case'!B11*$C92*'Business Case'!B12*$B92)-'Business Case'!B11*$C92*'Business Case'!B13*$D92-'Business Case'!B14*$E92))*'Business Case'!$B$7-'Business Case'!$B$8*('Business Case'!B11*$C92*'Business Case'!B12*$B92)-'Business Case'!B15*$F92</f>
        <v>-2174796813.03581</v>
      </c>
      <c r="I92" s="39" t="n">
        <f aca="false">(('Business Case'!C11*$C92*'Business Case'!C12*$B92)-'Business Case'!C11*$C92*'Business Case'!C13*$D92-'Business Case'!C14*$E92)-MAX(0,(('Business Case'!C11*$C92*'Business Case'!C12*$B92)-'Business Case'!C11*$C92*'Business Case'!C13*$D92-'Business Case'!C14*$E92))*'Business Case'!$B$7-'Business Case'!$B$8*(('Business Case'!C11*$C92*'Business Case'!C12*$B92)-('Business Case'!B11*$C92*'Business Case'!B12*$B92))-'Business Case'!C15*$F92</f>
        <v>-766555.534957007</v>
      </c>
      <c r="J92" s="39" t="n">
        <f aca="false">(('Business Case'!D11*$C92*'Business Case'!D12*$B92)-'Business Case'!D11*$C92*'Business Case'!D13*$D92-'Business Case'!D14*$E92)-MAX(0,(('Business Case'!D11*$C92*'Business Case'!D12*$B92)-'Business Case'!D11*$C92*'Business Case'!D13*$D92-'Business Case'!D14*$E92))*'Business Case'!$B$7-'Business Case'!$B$8*(('Business Case'!D11*$C92*'Business Case'!D12*$B92)-('Business Case'!C11*$C92*'Business Case'!C12*$B92))-'Business Case'!D15*$F92</f>
        <v>313461573.326642</v>
      </c>
      <c r="K92" s="39" t="n">
        <f aca="false">(('Business Case'!E11*$C92*'Business Case'!E12*$B92)-'Business Case'!E11*$C92*'Business Case'!E13*$D92-'Business Case'!E14*$E92)-MAX(0,(('Business Case'!E11*$C92*'Business Case'!E12*$B92)-'Business Case'!E11*$C92*'Business Case'!E13*$D92-'Business Case'!E14*$E92))*'Business Case'!$B$7-'Business Case'!$B$8*(('Business Case'!E11*$C92*'Business Case'!E12*$B92)-('Business Case'!D11*$C92*'Business Case'!D12*$B92))-'Business Case'!E15*$F92</f>
        <v>682059622.514137</v>
      </c>
      <c r="L92" s="39" t="n">
        <f aca="false">(('Business Case'!F11*$C92*'Business Case'!F12*$B92)-'Business Case'!F11*$C92*'Business Case'!F13*$D92-'Business Case'!F14*$E92)-MAX(0,(('Business Case'!F11*$C92*'Business Case'!F12*$B92)-'Business Case'!F11*$C92*'Business Case'!F13*$D92-'Business Case'!F14*$E92))*'Business Case'!$B$7-'Business Case'!$B$8*(('Business Case'!F11*$C92*'Business Case'!F12*$B92)-('Business Case'!E11*$C92*'Business Case'!E12*$B92))-'Business Case'!F15*$F92</f>
        <v>823408914.806711</v>
      </c>
      <c r="M92" s="39" t="n">
        <f aca="false">(('Business Case'!G11*$C92*'Business Case'!G12*$B92)-'Business Case'!G11*$C92*'Business Case'!G13*$D92-'Business Case'!G14*$E92)-MAX(0,(('Business Case'!G11*$C92*'Business Case'!G12*$B92)-'Business Case'!G11*$C92*'Business Case'!G13*$D92-'Business Case'!G14*$E92))*'Business Case'!$B$7-'Business Case'!$B$8*(('Business Case'!G11*$C92*'Business Case'!G12*$B92)-('Business Case'!F11*$C92*'Business Case'!F12*$B92))-'Business Case'!G15*$F92+'Business Case'!$B$8*('Business Case'!G11*$C92*'Business Case'!G12*$B92)</f>
        <v>1024745119.50294</v>
      </c>
      <c r="N92" s="39" t="n">
        <f aca="false">IF(COUNT('Business Case'!B11:G11)=0,"",H92+NPV(G92,I92:M92))</f>
        <v>-232087522.966329</v>
      </c>
      <c r="P92" s="40" t="n">
        <f aca="true">RAND()</f>
        <v>0.596803599686956</v>
      </c>
      <c r="Q92" s="40" t="n">
        <f aca="true">RAND()</f>
        <v>0.858470606862029</v>
      </c>
      <c r="R92" s="40" t="n">
        <f aca="true">RAND()</f>
        <v>0.607365497263486</v>
      </c>
      <c r="S92" s="40" t="n">
        <f aca="true">RAND()</f>
        <v>0.915084529381974</v>
      </c>
      <c r="T92" s="40" t="n">
        <f aca="true">RAND()</f>
        <v>0.746417622905853</v>
      </c>
      <c r="U92" s="40" t="n">
        <f aca="true">RAND()</f>
        <v>0.571803742149226</v>
      </c>
    </row>
    <row r="93" customFormat="false" ht="15" hidden="false" customHeight="false" outlineLevel="0" collapsed="false">
      <c r="A93" s="36" t="n">
        <v>13</v>
      </c>
      <c r="B93" s="37" t="n">
        <f aca="false">1+IF($G$6=$E$6,$F$6,IF(P93&lt;($F$6-$E$6)/($G$6-$E$6),$E$6+SQRT(P93*($G$6-$E$6)*($F$6-$E$6)),$G$6-SQRT((1-P93)*($G$6-$E$6)*($G$6-$F$6))))</f>
        <v>1.00653467097129</v>
      </c>
      <c r="C93" s="37" t="n">
        <f aca="false">1+IF($G$7=$E$7,$F$7,IF(Q93&lt;($F$7-$E$7)/($G$7-$E$7),$E$7+SQRT(Q93*($G$7-$E$7)*($F$7-$E$7)),$G$7-SQRT((1-Q93)*($G$7-$E$7)*($G$7-$F$7))))</f>
        <v>1.05736127729081</v>
      </c>
      <c r="D93" s="37" t="n">
        <f aca="false">1+IF($G$8=$E$8,$F$8,IF(R93&lt;($F$8-$E$8)/($G$8-$E$8),$E$8+SQRT(R93*($G$8-$E$8)*($F$8-$E$8)),$G$8-SQRT((1-R93)*($G$8-$E$8)*($G$8-$F$8))))</f>
        <v>1.05046259354167</v>
      </c>
      <c r="E93" s="37" t="n">
        <f aca="false">1+IF($G$9=$E$9,$F$9,IF(S93&lt;($F$9-$E$9)/($G$9-$E$9),$E$9+SQRT(S93*($G$9-$E$9)*($F$9-$E$9)),$G$9-SQRT((1-S93)*($G$9-$E$9)*($G$9-$F$9))))</f>
        <v>0.997454450652301</v>
      </c>
      <c r="F93" s="37" t="n">
        <f aca="false">1+IF($G$10=$E$10,$F$10,IF(T93&lt;($F$10-$E$10)/($G$10-$E$10),$E$10+SQRT(T93*($G$10-$E$10)*($F$10-$E$10)),$G$10-SQRT((1-T93)*($G$10-$E$10)*($G$10-$F$10))))</f>
        <v>1.08425265702786</v>
      </c>
      <c r="G93" s="38" t="n">
        <f aca="false">IF($G$11=$E$11,$F$11,IF(U93&lt;($F$11-$E$11)/($G$11-$E$11),$E$11+SQRT(U93*($G$11-$E$11)*($F$11-$E$11)),$G$11-SQRT((1-U93)*($G$11-$E$11)*($G$11-$F$11))))</f>
        <v>0.113466335938337</v>
      </c>
      <c r="H93" s="39" t="n">
        <f aca="false">(('Business Case'!B11*$C93*'Business Case'!B12*$B93)-'Business Case'!B11*$C93*'Business Case'!B13*$D93-'Business Case'!B14*$E93)-MAX(0,(('Business Case'!B11*$C93*'Business Case'!B12*$B93)-'Business Case'!B11*$C93*'Business Case'!B13*$D93-'Business Case'!B14*$E93))*'Business Case'!$B$7-'Business Case'!$B$8*('Business Case'!B11*$C93*'Business Case'!B12*$B93)-'Business Case'!B15*$F93</f>
        <v>-2168505314.05572</v>
      </c>
      <c r="I93" s="39" t="n">
        <f aca="false">(('Business Case'!C11*$C93*'Business Case'!C12*$B93)-'Business Case'!C11*$C93*'Business Case'!C13*$D93-'Business Case'!C14*$E93)-MAX(0,(('Business Case'!C11*$C93*'Business Case'!C12*$B93)-'Business Case'!C11*$C93*'Business Case'!C13*$D93-'Business Case'!C14*$E93))*'Business Case'!$B$7-'Business Case'!$B$8*(('Business Case'!C11*$C93*'Business Case'!C12*$B93)-('Business Case'!B11*$C93*'Business Case'!B12*$B93))-'Business Case'!C15*$F93</f>
        <v>-2319684.39586124</v>
      </c>
      <c r="J93" s="39" t="n">
        <f aca="false">(('Business Case'!D11*$C93*'Business Case'!D12*$B93)-'Business Case'!D11*$C93*'Business Case'!D13*$D93-'Business Case'!D14*$E93)-MAX(0,(('Business Case'!D11*$C93*'Business Case'!D12*$B93)-'Business Case'!D11*$C93*'Business Case'!D13*$D93-'Business Case'!D14*$E93))*'Business Case'!$B$7-'Business Case'!$B$8*(('Business Case'!D11*$C93*'Business Case'!D12*$B93)-('Business Case'!C11*$C93*'Business Case'!C12*$B93))-'Business Case'!D15*$F93</f>
        <v>300795717.305623</v>
      </c>
      <c r="K93" s="39" t="n">
        <f aca="false">(('Business Case'!E11*$C93*'Business Case'!E12*$B93)-'Business Case'!E11*$C93*'Business Case'!E13*$D93-'Business Case'!E14*$E93)-MAX(0,(('Business Case'!E11*$C93*'Business Case'!E12*$B93)-'Business Case'!E11*$C93*'Business Case'!E13*$D93-'Business Case'!E14*$E93))*'Business Case'!$B$7-'Business Case'!$B$8*(('Business Case'!E11*$C93*'Business Case'!E12*$B93)-('Business Case'!D11*$C93*'Business Case'!D12*$B93))-'Business Case'!E15*$F93</f>
        <v>658123751.8585</v>
      </c>
      <c r="L93" s="39" t="n">
        <f aca="false">(('Business Case'!F11*$C93*'Business Case'!F12*$B93)-'Business Case'!F11*$C93*'Business Case'!F13*$D93-'Business Case'!F14*$E93)-MAX(0,(('Business Case'!F11*$C93*'Business Case'!F12*$B93)-'Business Case'!F11*$C93*'Business Case'!F13*$D93-'Business Case'!F14*$E93))*'Business Case'!$B$7-'Business Case'!$B$8*(('Business Case'!F11*$C93*'Business Case'!F12*$B93)-('Business Case'!E11*$C93*'Business Case'!E12*$B93))-'Business Case'!F15*$F93</f>
        <v>795943417.43353</v>
      </c>
      <c r="M93" s="39" t="n">
        <f aca="false">(('Business Case'!G11*$C93*'Business Case'!G12*$B93)-'Business Case'!G11*$C93*'Business Case'!G13*$D93-'Business Case'!G14*$E93)-MAX(0,(('Business Case'!G11*$C93*'Business Case'!G12*$B93)-'Business Case'!G11*$C93*'Business Case'!G13*$D93-'Business Case'!G14*$E93))*'Business Case'!$B$7-'Business Case'!$B$8*(('Business Case'!G11*$C93*'Business Case'!G12*$B93)-('Business Case'!F11*$C93*'Business Case'!F12*$B93))-'Business Case'!G15*$F93+'Business Case'!$B$8*('Business Case'!G11*$C93*'Business Case'!G12*$B93)</f>
        <v>998240008.310138</v>
      </c>
      <c r="N93" s="39" t="n">
        <f aca="false">IF(COUNT('Business Case'!B11:G11)=0,"",H93+NPV(G93,I93:M93))</f>
        <v>-350182511.420805</v>
      </c>
      <c r="P93" s="40" t="n">
        <f aca="true">RAND()</f>
        <v>0.766681615208375</v>
      </c>
      <c r="Q93" s="40" t="n">
        <f aca="true">RAND()</f>
        <v>0.836534610567813</v>
      </c>
      <c r="R93" s="40" t="n">
        <f aca="true">RAND()</f>
        <v>0.916109771126505</v>
      </c>
      <c r="S93" s="40" t="n">
        <f aca="true">RAND()</f>
        <v>0.300256651561553</v>
      </c>
      <c r="T93" s="40" t="n">
        <f aca="true">RAND()</f>
        <v>0.732051051897799</v>
      </c>
      <c r="U93" s="40" t="n">
        <f aca="true">RAND()</f>
        <v>0.928852056548889</v>
      </c>
    </row>
    <row r="94" customFormat="false" ht="15" hidden="false" customHeight="false" outlineLevel="0" collapsed="false">
      <c r="A94" s="36" t="n">
        <v>14</v>
      </c>
      <c r="B94" s="37" t="n">
        <f aca="false">1+IF($G$6=$E$6,$F$6,IF(P94&lt;($F$6-$E$6)/($G$6-$E$6),$E$6+SQRT(P94*($G$6-$E$6)*($F$6-$E$6)),$G$6-SQRT((1-P94)*($G$6-$E$6)*($G$6-$F$6))))</f>
        <v>0.988607301272534</v>
      </c>
      <c r="C94" s="37" t="n">
        <f aca="false">1+IF($G$7=$E$7,$F$7,IF(Q94&lt;($F$7-$E$7)/($G$7-$E$7),$E$7+SQRT(Q94*($G$7-$E$7)*($F$7-$E$7)),$G$7-SQRT((1-Q94)*($G$7-$E$7)*($G$7-$F$7))))</f>
        <v>0.868812903118055</v>
      </c>
      <c r="D94" s="37" t="n">
        <f aca="false">1+IF($G$8=$E$8,$F$8,IF(R94&lt;($F$8-$E$8)/($G$8-$E$8),$E$8+SQRT(R94*($G$8-$E$8)*($F$8-$E$8)),$G$8-SQRT((1-R94)*($G$8-$E$8)*($G$8-$F$8))))</f>
        <v>1.0193694729071</v>
      </c>
      <c r="E94" s="37" t="n">
        <f aca="false">1+IF($G$9=$E$9,$F$9,IF(S94&lt;($F$9-$E$9)/($G$9-$E$9),$E$9+SQRT(S94*($G$9-$E$9)*($F$9-$E$9)),$G$9-SQRT((1-S94)*($G$9-$E$9)*($G$9-$F$9))))</f>
        <v>1.03095597075735</v>
      </c>
      <c r="F94" s="37" t="n">
        <f aca="false">1+IF($G$10=$E$10,$F$10,IF(T94&lt;($F$10-$E$10)/($G$10-$E$10),$E$10+SQRT(T94*($G$10-$E$10)*($F$10-$E$10)),$G$10-SQRT((1-T94)*($G$10-$E$10)*($G$10-$F$10))))</f>
        <v>1.11092962416257</v>
      </c>
      <c r="G94" s="38" t="n">
        <f aca="false">IF($G$11=$E$11,$F$11,IF(U94&lt;($F$11-$E$11)/($G$11-$E$11),$E$11+SQRT(U94*($G$11-$E$11)*($F$11-$E$11)),$G$11-SQRT((1-U94)*($G$11-$E$11)*($G$11-$F$11))))</f>
        <v>0.118407307394518</v>
      </c>
      <c r="H94" s="39" t="n">
        <f aca="false">(('Business Case'!B11*$C94*'Business Case'!B12*$B94)-'Business Case'!B11*$C94*'Business Case'!B13*$D94-'Business Case'!B14*$E94)-MAX(0,(('Business Case'!B11*$C94*'Business Case'!B12*$B94)-'Business Case'!B11*$C94*'Business Case'!B13*$D94-'Business Case'!B14*$E94))*'Business Case'!$B$7-'Business Case'!$B$8*('Business Case'!B11*$C94*'Business Case'!B12*$B94)-'Business Case'!B15*$F94</f>
        <v>-2221859248.32514</v>
      </c>
      <c r="I94" s="39" t="n">
        <f aca="false">(('Business Case'!C11*$C94*'Business Case'!C12*$B94)-'Business Case'!C11*$C94*'Business Case'!C13*$D94-'Business Case'!C14*$E94)-MAX(0,(('Business Case'!C11*$C94*'Business Case'!C12*$B94)-'Business Case'!C11*$C94*'Business Case'!C13*$D94-'Business Case'!C14*$E94))*'Business Case'!$B$7-'Business Case'!$B$8*(('Business Case'!C11*$C94*'Business Case'!C12*$B94)-('Business Case'!B11*$C94*'Business Case'!B12*$B94))-'Business Case'!C15*$F94</f>
        <v>-52085517.839894</v>
      </c>
      <c r="J94" s="39" t="n">
        <f aca="false">(('Business Case'!D11*$C94*'Business Case'!D12*$B94)-'Business Case'!D11*$C94*'Business Case'!D13*$D94-'Business Case'!D14*$E94)-MAX(0,(('Business Case'!D11*$C94*'Business Case'!D12*$B94)-'Business Case'!D11*$C94*'Business Case'!D13*$D94-'Business Case'!D14*$E94))*'Business Case'!$B$7-'Business Case'!$B$8*(('Business Case'!D11*$C94*'Business Case'!D12*$B94)-('Business Case'!C11*$C94*'Business Case'!C12*$B94))-'Business Case'!D15*$F94</f>
        <v>198050007.94549</v>
      </c>
      <c r="K94" s="39" t="n">
        <f aca="false">(('Business Case'!E11*$C94*'Business Case'!E12*$B94)-'Business Case'!E11*$C94*'Business Case'!E13*$D94-'Business Case'!E14*$E94)-MAX(0,(('Business Case'!E11*$C94*'Business Case'!E12*$B94)-'Business Case'!E11*$C94*'Business Case'!E13*$D94-'Business Case'!E14*$E94))*'Business Case'!$B$7-'Business Case'!$B$8*(('Business Case'!E11*$C94*'Business Case'!E12*$B94)-('Business Case'!D11*$C94*'Business Case'!D12*$B94))-'Business Case'!E15*$F94</f>
        <v>503732014.939003</v>
      </c>
      <c r="L94" s="39" t="n">
        <f aca="false">(('Business Case'!F11*$C94*'Business Case'!F12*$B94)-'Business Case'!F11*$C94*'Business Case'!F13*$D94-'Business Case'!F14*$E94)-MAX(0,(('Business Case'!F11*$C94*'Business Case'!F12*$B94)-'Business Case'!F11*$C94*'Business Case'!F13*$D94-'Business Case'!F14*$E94))*'Business Case'!$B$7-'Business Case'!$B$8*(('Business Case'!F11*$C94*'Business Case'!F12*$B94)-('Business Case'!E11*$C94*'Business Case'!E12*$B94))-'Business Case'!F15*$F94</f>
        <v>616794618.312348</v>
      </c>
      <c r="M94" s="39" t="n">
        <f aca="false">(('Business Case'!G11*$C94*'Business Case'!G12*$B94)-'Business Case'!G11*$C94*'Business Case'!G13*$D94-'Business Case'!G14*$E94)-MAX(0,(('Business Case'!G11*$C94*'Business Case'!G12*$B94)-'Business Case'!G11*$C94*'Business Case'!G13*$D94-'Business Case'!G14*$E94))*'Business Case'!$B$7-'Business Case'!$B$8*(('Business Case'!G11*$C94*'Business Case'!G12*$B94)-('Business Case'!F11*$C94*'Business Case'!F12*$B94))-'Business Case'!G15*$F94+'Business Case'!$B$8*('Business Case'!G11*$C94*'Business Case'!G12*$B94)</f>
        <v>780057139.592541</v>
      </c>
      <c r="N94" s="39" t="n">
        <f aca="false">IF(COUNT('Business Case'!B11:G11)=0,"",H94+NPV(G94,I94:M94))</f>
        <v>-910007910.627628</v>
      </c>
      <c r="P94" s="40" t="n">
        <f aca="true">RAND()</f>
        <v>0.490308519572938</v>
      </c>
      <c r="Q94" s="40" t="n">
        <f aca="true">RAND()</f>
        <v>0.0676459376504972</v>
      </c>
      <c r="R94" s="40" t="n">
        <f aca="true">RAND()</f>
        <v>0.646532613888184</v>
      </c>
      <c r="S94" s="40" t="n">
        <f aca="true">RAND()</f>
        <v>0.682194801729379</v>
      </c>
      <c r="T94" s="40" t="n">
        <f aca="true">RAND()</f>
        <v>0.841329362963587</v>
      </c>
      <c r="U94" s="40" t="n">
        <f aca="true">RAND()</f>
        <v>0.995772217107404</v>
      </c>
    </row>
    <row r="95" customFormat="false" ht="15" hidden="false" customHeight="false" outlineLevel="0" collapsed="false">
      <c r="A95" s="36" t="n">
        <v>15</v>
      </c>
      <c r="B95" s="37" t="n">
        <f aca="false">1+IF($G$6=$E$6,$F$6,IF(P95&lt;($F$6-$E$6)/($G$6-$E$6),$E$6+SQRT(P95*($G$6-$E$6)*($F$6-$E$6)),$G$6-SQRT((1-P95)*($G$6-$E$6)*($G$6-$F$6))))</f>
        <v>0.95976505306072</v>
      </c>
      <c r="C95" s="37" t="n">
        <f aca="false">1+IF($G$7=$E$7,$F$7,IF(Q95&lt;($F$7-$E$7)/($G$7-$E$7),$E$7+SQRT(Q95*($G$7-$E$7)*($F$7-$E$7)),$G$7-SQRT((1-Q95)*($G$7-$E$7)*($G$7-$F$7))))</f>
        <v>1.04698116665883</v>
      </c>
      <c r="D95" s="37" t="n">
        <f aca="false">1+IF($G$8=$E$8,$F$8,IF(R95&lt;($F$8-$E$8)/($G$8-$E$8),$E$8+SQRT(R95*($G$8-$E$8)*($F$8-$E$8)),$G$8-SQRT((1-R95)*($G$8-$E$8)*($G$8-$F$8))))</f>
        <v>0.968387705804548</v>
      </c>
      <c r="E95" s="37" t="n">
        <f aca="false">1+IF($G$9=$E$9,$F$9,IF(S95&lt;($F$9-$E$9)/($G$9-$E$9),$E$9+SQRT(S95*($G$9-$E$9)*($F$9-$E$9)),$G$9-SQRT((1-S95)*($G$9-$E$9)*($G$9-$F$9))))</f>
        <v>1.00192585018362</v>
      </c>
      <c r="F95" s="37" t="n">
        <f aca="false">1+IF($G$10=$E$10,$F$10,IF(T95&lt;($F$10-$E$10)/($G$10-$E$10),$E$10+SQRT(T95*($G$10-$E$10)*($F$10-$E$10)),$G$10-SQRT((1-T95)*($G$10-$E$10)*($G$10-$F$10))))</f>
        <v>1.04325545796341</v>
      </c>
      <c r="G95" s="38" t="n">
        <f aca="false">IF($G$11=$E$11,$F$11,IF(U95&lt;($F$11-$E$11)/($G$11-$E$11),$E$11+SQRT(U95*($G$11-$E$11)*($F$11-$E$11)),$G$11-SQRT((1-U95)*($G$11-$E$11)*($G$11-$F$11))))</f>
        <v>0.107379132187955</v>
      </c>
      <c r="H95" s="39" t="n">
        <f aca="false">(('Business Case'!B11*$C95*'Business Case'!B12*$B95)-'Business Case'!B11*$C95*'Business Case'!B13*$D95-'Business Case'!B14*$E95)-MAX(0,(('Business Case'!B11*$C95*'Business Case'!B12*$B95)-'Business Case'!B11*$C95*'Business Case'!B13*$D95-'Business Case'!B14*$E95))*'Business Case'!$B$7-'Business Case'!$B$8*('Business Case'!B11*$C95*'Business Case'!B12*$B95)-'Business Case'!B15*$F95</f>
        <v>-2086510915.92682</v>
      </c>
      <c r="I95" s="39" t="n">
        <f aca="false">(('Business Case'!C11*$C95*'Business Case'!C12*$B95)-'Business Case'!C11*$C95*'Business Case'!C13*$D95-'Business Case'!C14*$E95)-MAX(0,(('Business Case'!C11*$C95*'Business Case'!C12*$B95)-'Business Case'!C11*$C95*'Business Case'!C13*$D95-'Business Case'!C14*$E95))*'Business Case'!$B$7-'Business Case'!$B$8*(('Business Case'!C11*$C95*'Business Case'!C12*$B95)-('Business Case'!B11*$C95*'Business Case'!B12*$B95))-'Business Case'!C15*$F95</f>
        <v>5130888.42242542</v>
      </c>
      <c r="J95" s="39" t="n">
        <f aca="false">(('Business Case'!D11*$C95*'Business Case'!D12*$B95)-'Business Case'!D11*$C95*'Business Case'!D13*$D95-'Business Case'!D14*$E95)-MAX(0,(('Business Case'!D11*$C95*'Business Case'!D12*$B95)-'Business Case'!D11*$C95*'Business Case'!D13*$D95-'Business Case'!D14*$E95))*'Business Case'!$B$7-'Business Case'!$B$8*(('Business Case'!D11*$C95*'Business Case'!D12*$B95)-('Business Case'!C11*$C95*'Business Case'!C12*$B95))-'Business Case'!D15*$F95</f>
        <v>309152910.206246</v>
      </c>
      <c r="K95" s="39" t="n">
        <f aca="false">(('Business Case'!E11*$C95*'Business Case'!E12*$B95)-'Business Case'!E11*$C95*'Business Case'!E13*$D95-'Business Case'!E14*$E95)-MAX(0,(('Business Case'!E11*$C95*'Business Case'!E12*$B95)-'Business Case'!E11*$C95*'Business Case'!E13*$D95-'Business Case'!E14*$E95))*'Business Case'!$B$7-'Business Case'!$B$8*(('Business Case'!E11*$C95*'Business Case'!E12*$B95)-('Business Case'!D11*$C95*'Business Case'!D12*$B95))-'Business Case'!E15*$F95</f>
        <v>665337704.888238</v>
      </c>
      <c r="L95" s="39" t="n">
        <f aca="false">(('Business Case'!F11*$C95*'Business Case'!F12*$B95)-'Business Case'!F11*$C95*'Business Case'!F13*$D95-'Business Case'!F14*$E95)-MAX(0,(('Business Case'!F11*$C95*'Business Case'!F12*$B95)-'Business Case'!F11*$C95*'Business Case'!F13*$D95-'Business Case'!F14*$E95))*'Business Case'!$B$7-'Business Case'!$B$8*(('Business Case'!F11*$C95*'Business Case'!F12*$B95)-('Business Case'!E11*$C95*'Business Case'!E12*$B95))-'Business Case'!F15*$F95</f>
        <v>801406199.928806</v>
      </c>
      <c r="M95" s="39" t="n">
        <f aca="false">(('Business Case'!G11*$C95*'Business Case'!G12*$B95)-'Business Case'!G11*$C95*'Business Case'!G13*$D95-'Business Case'!G14*$E95)-MAX(0,(('Business Case'!G11*$C95*'Business Case'!G12*$B95)-'Business Case'!G11*$C95*'Business Case'!G13*$D95-'Business Case'!G14*$E95))*'Business Case'!$B$7-'Business Case'!$B$8*(('Business Case'!G11*$C95*'Business Case'!G12*$B95)-('Business Case'!F11*$C95*'Business Case'!F12*$B95))-'Business Case'!G15*$F95+'Business Case'!$B$8*('Business Case'!G11*$C95*'Business Case'!G12*$B95)</f>
        <v>992409216.048263</v>
      </c>
      <c r="N95" s="39" t="n">
        <f aca="false">IF(COUNT('Business Case'!B11:G11)=0,"",H95+NPV(G95,I95:M95))</f>
        <v>-210945896.389703</v>
      </c>
      <c r="P95" s="40" t="n">
        <f aca="true">RAND()</f>
        <v>0.164714525512694</v>
      </c>
      <c r="Q95" s="40" t="n">
        <f aca="true">RAND()</f>
        <v>0.797849904324275</v>
      </c>
      <c r="R95" s="40" t="n">
        <f aca="true">RAND()</f>
        <v>0.0520165730391704</v>
      </c>
      <c r="S95" s="40" t="n">
        <f aca="true">RAND()</f>
        <v>0.358764075853014</v>
      </c>
      <c r="T95" s="40" t="n">
        <f aca="true">RAND()</f>
        <v>0.508622970834803</v>
      </c>
      <c r="U95" s="40" t="n">
        <f aca="true">RAND()</f>
        <v>0.734522826118156</v>
      </c>
    </row>
    <row r="96" customFormat="false" ht="15" hidden="false" customHeight="false" outlineLevel="0" collapsed="false">
      <c r="A96" s="36" t="n">
        <v>16</v>
      </c>
      <c r="B96" s="37" t="n">
        <f aca="false">1+IF($G$6=$E$6,$F$6,IF(P96&lt;($F$6-$E$6)/($G$6-$E$6),$E$6+SQRT(P96*($G$6-$E$6)*($F$6-$E$6)),$G$6-SQRT((1-P96)*($G$6-$E$6)*($G$6-$F$6))))</f>
        <v>0.939644299725813</v>
      </c>
      <c r="C96" s="37" t="n">
        <f aca="false">1+IF($G$7=$E$7,$F$7,IF(Q96&lt;($F$7-$E$7)/($G$7-$E$7),$E$7+SQRT(Q96*($G$7-$E$7)*($F$7-$E$7)),$G$7-SQRT((1-Q96)*($G$7-$E$7)*($G$7-$F$7))))</f>
        <v>1.06110575120688</v>
      </c>
      <c r="D96" s="37" t="n">
        <f aca="false">1+IF($G$8=$E$8,$F$8,IF(R96&lt;($F$8-$E$8)/($G$8-$E$8),$E$8+SQRT(R96*($G$8-$E$8)*($F$8-$E$8)),$G$8-SQRT((1-R96)*($G$8-$E$8)*($G$8-$F$8))))</f>
        <v>1.03549719774839</v>
      </c>
      <c r="E96" s="37" t="n">
        <f aca="false">1+IF($G$9=$E$9,$F$9,IF(S96&lt;($F$9-$E$9)/($G$9-$E$9),$E$9+SQRT(S96*($G$9-$E$9)*($F$9-$E$9)),$G$9-SQRT((1-S96)*($G$9-$E$9)*($G$9-$F$9))))</f>
        <v>0.970100109216968</v>
      </c>
      <c r="F96" s="37" t="n">
        <f aca="false">1+IF($G$10=$E$10,$F$10,IF(T96&lt;($F$10-$E$10)/($G$10-$E$10),$E$10+SQRT(T96*($G$10-$E$10)*($F$10-$E$10)),$G$10-SQRT((1-T96)*($G$10-$E$10)*($G$10-$F$10))))</f>
        <v>1.01684564786489</v>
      </c>
      <c r="G96" s="38" t="n">
        <f aca="false">IF($G$11=$E$11,$F$11,IF(U96&lt;($F$11-$E$11)/($G$11-$E$11),$E$11+SQRT(U96*($G$11-$E$11)*($F$11-$E$11)),$G$11-SQRT((1-U96)*($G$11-$E$11)*($G$11-$F$11))))</f>
        <v>0.099062024159261</v>
      </c>
      <c r="H96" s="39" t="n">
        <f aca="false">(('Business Case'!B11*$C96*'Business Case'!B12*$B96)-'Business Case'!B11*$C96*'Business Case'!B13*$D96-'Business Case'!B14*$E96)-MAX(0,(('Business Case'!B11*$C96*'Business Case'!B12*$B96)-'Business Case'!B11*$C96*'Business Case'!B13*$D96-'Business Case'!B14*$E96))*'Business Case'!$B$7-'Business Case'!$B$8*('Business Case'!B11*$C96*'Business Case'!B12*$B96)-'Business Case'!B15*$F96</f>
        <v>-2033691295.72978</v>
      </c>
      <c r="I96" s="39" t="n">
        <f aca="false">(('Business Case'!C11*$C96*'Business Case'!C12*$B96)-'Business Case'!C11*$C96*'Business Case'!C13*$D96-'Business Case'!C14*$E96)-MAX(0,(('Business Case'!C11*$C96*'Business Case'!C12*$B96)-'Business Case'!C11*$C96*'Business Case'!C13*$D96-'Business Case'!C14*$E96))*'Business Case'!$B$7-'Business Case'!$B$8*(('Business Case'!C11*$C96*'Business Case'!C12*$B96)-('Business Case'!B11*$C96*'Business Case'!B12*$B96))-'Business Case'!C15*$F96</f>
        <v>-37138329.1099762</v>
      </c>
      <c r="J96" s="39" t="n">
        <f aca="false">(('Business Case'!D11*$C96*'Business Case'!D12*$B96)-'Business Case'!D11*$C96*'Business Case'!D13*$D96-'Business Case'!D14*$E96)-MAX(0,(('Business Case'!D11*$C96*'Business Case'!D12*$B96)-'Business Case'!D11*$C96*'Business Case'!D13*$D96-'Business Case'!D14*$E96))*'Business Case'!$B$7-'Business Case'!$B$8*(('Business Case'!D11*$C96*'Business Case'!D12*$B96)-('Business Case'!C11*$C96*'Business Case'!C12*$B96))-'Business Case'!D15*$F96</f>
        <v>217043834.649352</v>
      </c>
      <c r="K96" s="39" t="n">
        <f aca="false">(('Business Case'!E11*$C96*'Business Case'!E12*$B96)-'Business Case'!E11*$C96*'Business Case'!E13*$D96-'Business Case'!E14*$E96)-MAX(0,(('Business Case'!E11*$C96*'Business Case'!E12*$B96)-'Business Case'!E11*$C96*'Business Case'!E13*$D96-'Business Case'!E14*$E96))*'Business Case'!$B$7-'Business Case'!$B$8*(('Business Case'!E11*$C96*'Business Case'!E12*$B96)-('Business Case'!D11*$C96*'Business Case'!D12*$B96))-'Business Case'!E15*$F96</f>
        <v>522068280.801924</v>
      </c>
      <c r="L96" s="39" t="n">
        <f aca="false">(('Business Case'!F11*$C96*'Business Case'!F12*$B96)-'Business Case'!F11*$C96*'Business Case'!F13*$D96-'Business Case'!F14*$E96)-MAX(0,(('Business Case'!F11*$C96*'Business Case'!F12*$B96)-'Business Case'!F11*$C96*'Business Case'!F13*$D96-'Business Case'!F14*$E96))*'Business Case'!$B$7-'Business Case'!$B$8*(('Business Case'!F11*$C96*'Business Case'!F12*$B96)-('Business Case'!E11*$C96*'Business Case'!E12*$B96))-'Business Case'!F15*$F96</f>
        <v>641254130.423142</v>
      </c>
      <c r="M96" s="39" t="n">
        <f aca="false">(('Business Case'!G11*$C96*'Business Case'!G12*$B96)-'Business Case'!G11*$C96*'Business Case'!G13*$D96-'Business Case'!G14*$E96)-MAX(0,(('Business Case'!G11*$C96*'Business Case'!G12*$B96)-'Business Case'!G11*$C96*'Business Case'!G13*$D96-'Business Case'!G14*$E96))*'Business Case'!$B$7-'Business Case'!$B$8*(('Business Case'!G11*$C96*'Business Case'!G12*$B96)-('Business Case'!F11*$C96*'Business Case'!F12*$B96))-'Business Case'!G15*$F96+'Business Case'!$B$8*('Business Case'!G11*$C96*'Business Case'!G12*$B96)</f>
        <v>830775669.78107</v>
      </c>
      <c r="N96" s="39" t="n">
        <f aca="false">IF(COUNT('Business Case'!B11:G11)=0,"",H96+NPV(G96,I96:M96))</f>
        <v>-537024559.02209</v>
      </c>
      <c r="P96" s="40" t="n">
        <f aca="true">RAND()</f>
        <v>0.0401977616372471</v>
      </c>
      <c r="Q96" s="40" t="n">
        <f aca="true">RAND()</f>
        <v>0.849482143457272</v>
      </c>
      <c r="R96" s="40" t="n">
        <f aca="true">RAND()</f>
        <v>0.809567364591762</v>
      </c>
      <c r="S96" s="40" t="n">
        <f aca="true">RAND()</f>
        <v>0.0538685854045391</v>
      </c>
      <c r="T96" s="40" t="n">
        <f aca="true">RAND()</f>
        <v>0.329089665879371</v>
      </c>
      <c r="U96" s="40" t="n">
        <f aca="true">RAND()</f>
        <v>0.273734272876766</v>
      </c>
    </row>
    <row r="97" customFormat="false" ht="15" hidden="false" customHeight="false" outlineLevel="0" collapsed="false">
      <c r="A97" s="36" t="n">
        <v>17</v>
      </c>
      <c r="B97" s="37" t="n">
        <f aca="false">1+IF($G$6=$E$6,$F$6,IF(P97&lt;($F$6-$E$6)/($G$6-$E$6),$E$6+SQRT(P97*($G$6-$E$6)*($F$6-$E$6)),$G$6-SQRT((1-P97)*($G$6-$E$6)*($G$6-$F$6))))</f>
        <v>0.998391922706424</v>
      </c>
      <c r="C97" s="37" t="n">
        <f aca="false">1+IF($G$7=$E$7,$F$7,IF(Q97&lt;($F$7-$E$7)/($G$7-$E$7),$E$7+SQRT(Q97*($G$7-$E$7)*($F$7-$E$7)),$G$7-SQRT((1-Q97)*($G$7-$E$7)*($G$7-$F$7))))</f>
        <v>1.04470102801558</v>
      </c>
      <c r="D97" s="37" t="n">
        <f aca="false">1+IF($G$8=$E$8,$F$8,IF(R97&lt;($F$8-$E$8)/($G$8-$E$8),$E$8+SQRT(R97*($G$8-$E$8)*($F$8-$E$8)),$G$8-SQRT((1-R97)*($G$8-$E$8)*($G$8-$F$8))))</f>
        <v>1.0412463497885</v>
      </c>
      <c r="E97" s="37" t="n">
        <f aca="false">1+IF($G$9=$E$9,$F$9,IF(S97&lt;($F$9-$E$9)/($G$9-$E$9),$E$9+SQRT(S97*($G$9-$E$9)*($F$9-$E$9)),$G$9-SQRT((1-S97)*($G$9-$E$9)*($G$9-$F$9))))</f>
        <v>1.01764596676203</v>
      </c>
      <c r="F97" s="37" t="n">
        <f aca="false">1+IF($G$10=$E$10,$F$10,IF(T97&lt;($F$10-$E$10)/($G$10-$E$10),$E$10+SQRT(T97*($G$10-$E$10)*($F$10-$E$10)),$G$10-SQRT((1-T97)*($G$10-$E$10)*($G$10-$F$10))))</f>
        <v>1.05756664308405</v>
      </c>
      <c r="G97" s="38" t="n">
        <f aca="false">IF($G$11=$E$11,$F$11,IF(U97&lt;($F$11-$E$11)/($G$11-$E$11),$E$11+SQRT(U97*($G$11-$E$11)*($F$11-$E$11)),$G$11-SQRT((1-U97)*($G$11-$E$11)*($G$11-$F$11))))</f>
        <v>0.104209781784472</v>
      </c>
      <c r="H97" s="39" t="n">
        <f aca="false">(('Business Case'!B11*$C97*'Business Case'!B12*$B97)-'Business Case'!B11*$C97*'Business Case'!B13*$D97-'Business Case'!B14*$E97)-MAX(0,(('Business Case'!B11*$C97*'Business Case'!B12*$B97)-'Business Case'!B11*$C97*'Business Case'!B13*$D97-'Business Case'!B14*$E97))*'Business Case'!$B$7-'Business Case'!$B$8*('Business Case'!B11*$C97*'Business Case'!B12*$B97)-'Business Case'!B15*$F97</f>
        <v>-2115133286.1681</v>
      </c>
      <c r="I97" s="39" t="n">
        <f aca="false">(('Business Case'!C11*$C97*'Business Case'!C12*$B97)-'Business Case'!C11*$C97*'Business Case'!C13*$D97-'Business Case'!C14*$E97)-MAX(0,(('Business Case'!C11*$C97*'Business Case'!C12*$B97)-'Business Case'!C11*$C97*'Business Case'!C13*$D97-'Business Case'!C14*$E97))*'Business Case'!$B$7-'Business Case'!$B$8*(('Business Case'!C11*$C97*'Business Case'!C12*$B97)-('Business Case'!B11*$C97*'Business Case'!B12*$B97))-'Business Case'!C15*$F97</f>
        <v>-7088817.04225329</v>
      </c>
      <c r="J97" s="39" t="n">
        <f aca="false">(('Business Case'!D11*$C97*'Business Case'!D12*$B97)-'Business Case'!D11*$C97*'Business Case'!D13*$D97-'Business Case'!D14*$E97)-MAX(0,(('Business Case'!D11*$C97*'Business Case'!D12*$B97)-'Business Case'!D11*$C97*'Business Case'!D13*$D97-'Business Case'!D14*$E97))*'Business Case'!$B$7-'Business Case'!$B$8*(('Business Case'!D11*$C97*'Business Case'!D12*$B97)-('Business Case'!C11*$C97*'Business Case'!C12*$B97))-'Business Case'!D15*$F97</f>
        <v>290358498.863297</v>
      </c>
      <c r="K97" s="39" t="n">
        <f aca="false">(('Business Case'!E11*$C97*'Business Case'!E12*$B97)-'Business Case'!E11*$C97*'Business Case'!E13*$D97-'Business Case'!E14*$E97)-MAX(0,(('Business Case'!E11*$C97*'Business Case'!E12*$B97)-'Business Case'!E11*$C97*'Business Case'!E13*$D97-'Business Case'!E14*$E97))*'Business Case'!$B$7-'Business Case'!$B$8*(('Business Case'!E11*$C97*'Business Case'!E12*$B97)-('Business Case'!D11*$C97*'Business Case'!D12*$B97))-'Business Case'!E15*$F97</f>
        <v>640684146.923049</v>
      </c>
      <c r="L97" s="39" t="n">
        <f aca="false">(('Business Case'!F11*$C97*'Business Case'!F12*$B97)-'Business Case'!F11*$C97*'Business Case'!F13*$D97-'Business Case'!F14*$E97)-MAX(0,(('Business Case'!F11*$C97*'Business Case'!F12*$B97)-'Business Case'!F11*$C97*'Business Case'!F13*$D97-'Business Case'!F14*$E97))*'Business Case'!$B$7-'Business Case'!$B$8*(('Business Case'!F11*$C97*'Business Case'!F12*$B97)-('Business Case'!E11*$C97*'Business Case'!E12*$B97))-'Business Case'!F15*$F97</f>
        <v>775880060.335458</v>
      </c>
      <c r="M97" s="39" t="n">
        <f aca="false">(('Business Case'!G11*$C97*'Business Case'!G12*$B97)-'Business Case'!G11*$C97*'Business Case'!G13*$D97-'Business Case'!G14*$E97)-MAX(0,(('Business Case'!G11*$C97*'Business Case'!G12*$B97)-'Business Case'!G11*$C97*'Business Case'!G13*$D97-'Business Case'!G14*$E97))*'Business Case'!$B$7-'Business Case'!$B$8*(('Business Case'!G11*$C97*'Business Case'!G12*$B97)-('Business Case'!F11*$C97*'Business Case'!F12*$B97))-'Business Case'!G15*$F97+'Business Case'!$B$8*('Business Case'!G11*$C97*'Business Case'!G12*$B97)</f>
        <v>974137504.943532</v>
      </c>
      <c r="N97" s="39" t="n">
        <f aca="false">IF(COUNT('Business Case'!B11:G11)=0,"",H97+NPV(G97,I97:M97))</f>
        <v>-292221365.87805</v>
      </c>
      <c r="P97" s="40" t="n">
        <f aca="true">RAND()</f>
        <v>0.640134744334364</v>
      </c>
      <c r="Q97" s="40" t="n">
        <f aca="true">RAND()</f>
        <v>0.788802409505245</v>
      </c>
      <c r="R97" s="40" t="n">
        <f aca="true">RAND()</f>
        <v>0.85559178800815</v>
      </c>
      <c r="S97" s="40" t="n">
        <f aca="true">RAND()</f>
        <v>0.547854213962572</v>
      </c>
      <c r="T97" s="40" t="n">
        <f aca="true">RAND()</f>
        <v>0.594254776753064</v>
      </c>
      <c r="U97" s="40" t="n">
        <f aca="true">RAND()</f>
        <v>0.584448347843338</v>
      </c>
    </row>
    <row r="98" customFormat="false" ht="15" hidden="false" customHeight="false" outlineLevel="0" collapsed="false">
      <c r="A98" s="36" t="n">
        <v>18</v>
      </c>
      <c r="B98" s="37" t="n">
        <f aca="false">1+IF($G$6=$E$6,$F$6,IF(P98&lt;($F$6-$E$6)/($G$6-$E$6),$E$6+SQRT(P98*($G$6-$E$6)*($F$6-$E$6)),$G$6-SQRT((1-P98)*($G$6-$E$6)*($G$6-$F$6))))</f>
        <v>1.01370400779013</v>
      </c>
      <c r="C98" s="37" t="n">
        <f aca="false">1+IF($G$7=$E$7,$F$7,IF(Q98&lt;($F$7-$E$7)/($G$7-$E$7),$E$7+SQRT(Q98*($G$7-$E$7)*($F$7-$E$7)),$G$7-SQRT((1-Q98)*($G$7-$E$7)*($G$7-$F$7))))</f>
        <v>0.939691704946456</v>
      </c>
      <c r="D98" s="37" t="n">
        <f aca="false">1+IF($G$8=$E$8,$F$8,IF(R98&lt;($F$8-$E$8)/($G$8-$E$8),$E$8+SQRT(R98*($G$8-$E$8)*($F$8-$E$8)),$G$8-SQRT((1-R98)*($G$8-$E$8)*($G$8-$F$8))))</f>
        <v>1.01167915708572</v>
      </c>
      <c r="E98" s="37" t="n">
        <f aca="false">1+IF($G$9=$E$9,$F$9,IF(S98&lt;($F$9-$E$9)/($G$9-$E$9),$E$9+SQRT(S98*($G$9-$E$9)*($F$9-$E$9)),$G$9-SQRT((1-S98)*($G$9-$E$9)*($G$9-$F$9))))</f>
        <v>1.01937380558123</v>
      </c>
      <c r="F98" s="37" t="n">
        <f aca="false">1+IF($G$10=$E$10,$F$10,IF(T98&lt;($F$10-$E$10)/($G$10-$E$10),$E$10+SQRT(T98*($G$10-$E$10)*($F$10-$E$10)),$G$10-SQRT((1-T98)*($G$10-$E$10)*($G$10-$F$10))))</f>
        <v>1.0708497900711</v>
      </c>
      <c r="G98" s="38" t="n">
        <f aca="false">IF($G$11=$E$11,$F$11,IF(U98&lt;($F$11-$E$11)/($G$11-$E$11),$E$11+SQRT(U98*($G$11-$E$11)*($F$11-$E$11)),$G$11-SQRT((1-U98)*($G$11-$E$11)*($G$11-$F$11))))</f>
        <v>0.103649209824271</v>
      </c>
      <c r="H98" s="39" t="n">
        <f aca="false">(('Business Case'!B11*$C98*'Business Case'!B12*$B98)-'Business Case'!B11*$C98*'Business Case'!B13*$D98-'Business Case'!B14*$E98)-MAX(0,(('Business Case'!B11*$C98*'Business Case'!B12*$B98)-'Business Case'!B11*$C98*'Business Case'!B13*$D98-'Business Case'!B14*$E98))*'Business Case'!$B$7-'Business Case'!$B$8*('Business Case'!B11*$C98*'Business Case'!B12*$B98)-'Business Case'!B15*$F98</f>
        <v>-2141699580.14219</v>
      </c>
      <c r="I98" s="39" t="n">
        <f aca="false">(('Business Case'!C11*$C98*'Business Case'!C12*$B98)-'Business Case'!C11*$C98*'Business Case'!C13*$D98-'Business Case'!C14*$E98)-MAX(0,(('Business Case'!C11*$C98*'Business Case'!C12*$B98)-'Business Case'!C11*$C98*'Business Case'!C13*$D98-'Business Case'!C14*$E98))*'Business Case'!$B$7-'Business Case'!$B$8*(('Business Case'!C11*$C98*'Business Case'!C12*$B98)-('Business Case'!B11*$C98*'Business Case'!B12*$B98))-'Business Case'!C15*$F98</f>
        <v>-7863526.1593373</v>
      </c>
      <c r="J98" s="39" t="n">
        <f aca="false">(('Business Case'!D11*$C98*'Business Case'!D12*$B98)-'Business Case'!D11*$C98*'Business Case'!D13*$D98-'Business Case'!D14*$E98)-MAX(0,(('Business Case'!D11*$C98*'Business Case'!D12*$B98)-'Business Case'!D11*$C98*'Business Case'!D13*$D98-'Business Case'!D14*$E98))*'Business Case'!$B$7-'Business Case'!$B$8*(('Business Case'!D11*$C98*'Business Case'!D12*$B98)-('Business Case'!C11*$C98*'Business Case'!C12*$B98))-'Business Case'!D15*$F98</f>
        <v>285694071.626854</v>
      </c>
      <c r="K98" s="39" t="n">
        <f aca="false">(('Business Case'!E11*$C98*'Business Case'!E12*$B98)-'Business Case'!E11*$C98*'Business Case'!E13*$D98-'Business Case'!E14*$E98)-MAX(0,(('Business Case'!E11*$C98*'Business Case'!E12*$B98)-'Business Case'!E11*$C98*'Business Case'!E13*$D98-'Business Case'!E14*$E98))*'Business Case'!$B$7-'Business Case'!$B$8*(('Business Case'!E11*$C98*'Business Case'!E12*$B98)-('Business Case'!D11*$C98*'Business Case'!D12*$B98))-'Business Case'!E15*$F98</f>
        <v>632794158.916601</v>
      </c>
      <c r="L98" s="39" t="n">
        <f aca="false">(('Business Case'!F11*$C98*'Business Case'!F12*$B98)-'Business Case'!F11*$C98*'Business Case'!F13*$D98-'Business Case'!F14*$E98)-MAX(0,(('Business Case'!F11*$C98*'Business Case'!F12*$B98)-'Business Case'!F11*$C98*'Business Case'!F13*$D98-'Business Case'!F14*$E98))*'Business Case'!$B$7-'Business Case'!$B$8*(('Business Case'!F11*$C98*'Business Case'!F12*$B98)-('Business Case'!E11*$C98*'Business Case'!E12*$B98))-'Business Case'!F15*$F98</f>
        <v>763567484.701844</v>
      </c>
      <c r="M98" s="39" t="n">
        <f aca="false">(('Business Case'!G11*$C98*'Business Case'!G12*$B98)-'Business Case'!G11*$C98*'Business Case'!G13*$D98-'Business Case'!G14*$E98)-MAX(0,(('Business Case'!G11*$C98*'Business Case'!G12*$B98)-'Business Case'!G11*$C98*'Business Case'!G13*$D98-'Business Case'!G14*$E98))*'Business Case'!$B$7-'Business Case'!$B$8*(('Business Case'!G11*$C98*'Business Case'!G12*$B98)-('Business Case'!F11*$C98*'Business Case'!F12*$B98))-'Business Case'!G15*$F98+'Business Case'!$B$8*('Business Case'!G11*$C98*'Business Case'!G12*$B98)</f>
        <v>944631847.245995</v>
      </c>
      <c r="N98" s="39" t="n">
        <f aca="false">IF(COUNT('Business Case'!B11:G11)=0,"",H98+NPV(G98,I98:M98))</f>
        <v>-351973139.22387</v>
      </c>
      <c r="P98" s="40" t="n">
        <f aca="true">RAND()</f>
        <v>0.855941832020538</v>
      </c>
      <c r="Q98" s="40" t="n">
        <f aca="true">RAND()</f>
        <v>0.278768177583538</v>
      </c>
      <c r="R98" s="40" t="n">
        <f aca="true">RAND()</f>
        <v>0.551179079181038</v>
      </c>
      <c r="S98" s="40" t="n">
        <f aca="true">RAND()</f>
        <v>0.566627784903126</v>
      </c>
      <c r="T98" s="40" t="n">
        <f aca="true">RAND()</f>
        <v>0.6664044655064</v>
      </c>
      <c r="U98" s="40" t="n">
        <f aca="true">RAND()</f>
        <v>0.554419434382155</v>
      </c>
    </row>
    <row r="99" customFormat="false" ht="15" hidden="false" customHeight="false" outlineLevel="0" collapsed="false">
      <c r="A99" s="36" t="n">
        <v>19</v>
      </c>
      <c r="B99" s="37" t="n">
        <f aca="false">1+IF($G$6=$E$6,$F$6,IF(P99&lt;($F$6-$E$6)/($G$6-$E$6),$E$6+SQRT(P99*($G$6-$E$6)*($F$6-$E$6)),$G$6-SQRT((1-P99)*($G$6-$E$6)*($G$6-$F$6))))</f>
        <v>1.00033021726501</v>
      </c>
      <c r="C99" s="37" t="n">
        <f aca="false">1+IF($G$7=$E$7,$F$7,IF(Q99&lt;($F$7-$E$7)/($G$7-$E$7),$E$7+SQRT(Q99*($G$7-$E$7)*($F$7-$E$7)),$G$7-SQRT((1-Q99)*($G$7-$E$7)*($G$7-$F$7))))</f>
        <v>0.980590798847915</v>
      </c>
      <c r="D99" s="37" t="n">
        <f aca="false">1+IF($G$8=$E$8,$F$8,IF(R99&lt;($F$8-$E$8)/($G$8-$E$8),$E$8+SQRT(R99*($G$8-$E$8)*($F$8-$E$8)),$G$8-SQRT((1-R99)*($G$8-$E$8)*($G$8-$F$8))))</f>
        <v>1.01148911609072</v>
      </c>
      <c r="E99" s="37" t="n">
        <f aca="false">1+IF($G$9=$E$9,$F$9,IF(S99&lt;($F$9-$E$9)/($G$9-$E$9),$E$9+SQRT(S99*($G$9-$E$9)*($F$9-$E$9)),$G$9-SQRT((1-S99)*($G$9-$E$9)*($G$9-$F$9))))</f>
        <v>1.02388239807613</v>
      </c>
      <c r="F99" s="37" t="n">
        <f aca="false">1+IF($G$10=$E$10,$F$10,IF(T99&lt;($F$10-$E$10)/($G$10-$E$10),$E$10+SQRT(T99*($G$10-$E$10)*($F$10-$E$10)),$G$10-SQRT((1-T99)*($G$10-$E$10)*($G$10-$F$10))))</f>
        <v>1.12801951109959</v>
      </c>
      <c r="G99" s="38" t="n">
        <f aca="false">IF($G$11=$E$11,$F$11,IF(U99&lt;($F$11-$E$11)/($G$11-$E$11),$E$11+SQRT(U99*($G$11-$E$11)*($F$11-$E$11)),$G$11-SQRT((1-U99)*($G$11-$E$11)*($G$11-$F$11))))</f>
        <v>0.0929841836127459</v>
      </c>
      <c r="H99" s="39" t="n">
        <f aca="false">(('Business Case'!B11*$C99*'Business Case'!B12*$B99)-'Business Case'!B11*$C99*'Business Case'!B13*$D99-'Business Case'!B14*$E99)-MAX(0,(('Business Case'!B11*$C99*'Business Case'!B12*$B99)-'Business Case'!B11*$C99*'Business Case'!B13*$D99-'Business Case'!B14*$E99))*'Business Case'!$B$7-'Business Case'!$B$8*('Business Case'!B11*$C99*'Business Case'!B12*$B99)-'Business Case'!B15*$F99</f>
        <v>-2256039022.19918</v>
      </c>
      <c r="I99" s="39" t="n">
        <f aca="false">(('Business Case'!C11*$C99*'Business Case'!C12*$B99)-'Business Case'!C11*$C99*'Business Case'!C13*$D99-'Business Case'!C14*$E99)-MAX(0,(('Business Case'!C11*$C99*'Business Case'!C12*$B99)-'Business Case'!C11*$C99*'Business Case'!C13*$D99-'Business Case'!C14*$E99))*'Business Case'!$B$7-'Business Case'!$B$8*(('Business Case'!C11*$C99*'Business Case'!C12*$B99)-('Business Case'!B11*$C99*'Business Case'!B12*$B99))-'Business Case'!C15*$F99</f>
        <v>-13560347.143812</v>
      </c>
      <c r="J99" s="39" t="n">
        <f aca="false">(('Business Case'!D11*$C99*'Business Case'!D12*$B99)-'Business Case'!D11*$C99*'Business Case'!D13*$D99-'Business Case'!D14*$E99)-MAX(0,(('Business Case'!D11*$C99*'Business Case'!D12*$B99)-'Business Case'!D11*$C99*'Business Case'!D13*$D99-'Business Case'!D14*$E99))*'Business Case'!$B$7-'Business Case'!$B$8*(('Business Case'!D11*$C99*'Business Case'!D12*$B99)-('Business Case'!C11*$C99*'Business Case'!C12*$B99))-'Business Case'!D15*$F99</f>
        <v>282127947.048363</v>
      </c>
      <c r="K99" s="39" t="n">
        <f aca="false">(('Business Case'!E11*$C99*'Business Case'!E12*$B99)-'Business Case'!E11*$C99*'Business Case'!E13*$D99-'Business Case'!E14*$E99)-MAX(0,(('Business Case'!E11*$C99*'Business Case'!E12*$B99)-'Business Case'!E11*$C99*'Business Case'!E13*$D99-'Business Case'!E14*$E99))*'Business Case'!$B$7-'Business Case'!$B$8*(('Business Case'!E11*$C99*'Business Case'!E12*$B99)-('Business Case'!D11*$C99*'Business Case'!D12*$B99))-'Business Case'!E15*$F99</f>
        <v>634217216.795517</v>
      </c>
      <c r="L99" s="39" t="n">
        <f aca="false">(('Business Case'!F11*$C99*'Business Case'!F12*$B99)-'Business Case'!F11*$C99*'Business Case'!F13*$D99-'Business Case'!F14*$E99)-MAX(0,(('Business Case'!F11*$C99*'Business Case'!F12*$B99)-'Business Case'!F11*$C99*'Business Case'!F13*$D99-'Business Case'!F14*$E99))*'Business Case'!$B$7-'Business Case'!$B$8*(('Business Case'!F11*$C99*'Business Case'!F12*$B99)-('Business Case'!E11*$C99*'Business Case'!E12*$B99))-'Business Case'!F15*$F99</f>
        <v>766680390.33931</v>
      </c>
      <c r="M99" s="39" t="n">
        <f aca="false">(('Business Case'!G11*$C99*'Business Case'!G12*$B99)-'Business Case'!G11*$C99*'Business Case'!G13*$D99-'Business Case'!G14*$E99)-MAX(0,(('Business Case'!G11*$C99*'Business Case'!G12*$B99)-'Business Case'!G11*$C99*'Business Case'!G13*$D99-'Business Case'!G14*$E99))*'Business Case'!$B$7-'Business Case'!$B$8*(('Business Case'!G11*$C99*'Business Case'!G12*$B99)-('Business Case'!F11*$C99*'Business Case'!F12*$B99))-'Business Case'!G15*$F99+'Business Case'!$B$8*('Business Case'!G11*$C99*'Business Case'!G12*$B99)</f>
        <v>953132638.811183</v>
      </c>
      <c r="N99" s="39" t="n">
        <f aca="false">IF(COUNT('Business Case'!B11:G11)=0,"",H99+NPV(G99,I99:M99))</f>
        <v>-398259172.236727</v>
      </c>
      <c r="P99" s="40" t="n">
        <f aca="true">RAND()</f>
        <v>0.672147570366365</v>
      </c>
      <c r="Q99" s="40" t="n">
        <f aca="true">RAND()</f>
        <v>0.465900523264688</v>
      </c>
      <c r="R99" s="40" t="n">
        <f aca="true">RAND()</f>
        <v>0.548678729420057</v>
      </c>
      <c r="S99" s="40" t="n">
        <f aca="true">RAND()</f>
        <v>0.613740711823978</v>
      </c>
      <c r="T99" s="40" t="n">
        <f aca="true">RAND()</f>
        <v>0.896376184353158</v>
      </c>
      <c r="U99" s="40" t="n">
        <f aca="true">RAND()</f>
        <v>0.0296845061152705</v>
      </c>
    </row>
    <row r="100" customFormat="false" ht="15" hidden="false" customHeight="false" outlineLevel="0" collapsed="false">
      <c r="A100" s="36" t="n">
        <v>20</v>
      </c>
      <c r="B100" s="37" t="n">
        <f aca="false">1+IF($G$6=$E$6,$F$6,IF(P100&lt;($F$6-$E$6)/($G$6-$E$6),$E$6+SQRT(P100*($G$6-$E$6)*($F$6-$E$6)),$G$6-SQRT((1-P100)*($G$6-$E$6)*($G$6-$F$6))))</f>
        <v>0.956474274237534</v>
      </c>
      <c r="C100" s="37" t="n">
        <f aca="false">1+IF($G$7=$E$7,$F$7,IF(Q100&lt;($F$7-$E$7)/($G$7-$E$7),$E$7+SQRT(Q100*($G$7-$E$7)*($F$7-$E$7)),$G$7-SQRT((1-Q100)*($G$7-$E$7)*($G$7-$F$7))))</f>
        <v>1.00675673654813</v>
      </c>
      <c r="D100" s="37" t="n">
        <f aca="false">1+IF($G$8=$E$8,$F$8,IF(R100&lt;($F$8-$E$8)/($G$8-$E$8),$E$8+SQRT(R100*($G$8-$E$8)*($F$8-$E$8)),$G$8-SQRT((1-R100)*($G$8-$E$8)*($G$8-$F$8))))</f>
        <v>1.02051641586517</v>
      </c>
      <c r="E100" s="37" t="n">
        <f aca="false">1+IF($G$9=$E$9,$F$9,IF(S100&lt;($F$9-$E$9)/($G$9-$E$9),$E$9+SQRT(S100*($G$9-$E$9)*($F$9-$E$9)),$G$9-SQRT((1-S100)*($G$9-$E$9)*($G$9-$F$9))))</f>
        <v>1.01766878957623</v>
      </c>
      <c r="F100" s="37" t="n">
        <f aca="false">1+IF($G$10=$E$10,$F$10,IF(T100&lt;($F$10-$E$10)/($G$10-$E$10),$E$10+SQRT(T100*($G$10-$E$10)*($F$10-$E$10)),$G$10-SQRT((1-T100)*($G$10-$E$10)*($G$10-$F$10))))</f>
        <v>1.07231058972591</v>
      </c>
      <c r="G100" s="38" t="n">
        <f aca="false">IF($G$11=$E$11,$F$11,IF(U100&lt;($F$11-$E$11)/($G$11-$E$11),$E$11+SQRT(U100*($G$11-$E$11)*($F$11-$E$11)),$G$11-SQRT((1-U100)*($G$11-$E$11)*($G$11-$F$11))))</f>
        <v>0.0926004855641888</v>
      </c>
      <c r="H100" s="39" t="n">
        <f aca="false">(('Business Case'!B11*$C100*'Business Case'!B12*$B100)-'Business Case'!B11*$C100*'Business Case'!B13*$D100-'Business Case'!B14*$E100)-MAX(0,(('Business Case'!B11*$C100*'Business Case'!B12*$B100)-'Business Case'!B11*$C100*'Business Case'!B13*$D100-'Business Case'!B14*$E100))*'Business Case'!$B$7-'Business Case'!$B$8*('Business Case'!B11*$C100*'Business Case'!B12*$B100)-'Business Case'!B15*$F100</f>
        <v>-2144621179.45181</v>
      </c>
      <c r="I100" s="39" t="n">
        <f aca="false">(('Business Case'!C11*$C100*'Business Case'!C12*$B100)-'Business Case'!C11*$C100*'Business Case'!C13*$D100-'Business Case'!C14*$E100)-MAX(0,(('Business Case'!C11*$C100*'Business Case'!C12*$B100)-'Business Case'!C11*$C100*'Business Case'!C13*$D100-'Business Case'!C14*$E100))*'Business Case'!$B$7-'Business Case'!$B$8*(('Business Case'!C11*$C100*'Business Case'!C12*$B100)-('Business Case'!B11*$C100*'Business Case'!B12*$B100))-'Business Case'!C15*$F100</f>
        <v>-39100179.260878</v>
      </c>
      <c r="J100" s="39" t="n">
        <f aca="false">(('Business Case'!D11*$C100*'Business Case'!D12*$B100)-'Business Case'!D11*$C100*'Business Case'!D13*$D100-'Business Case'!D14*$E100)-MAX(0,(('Business Case'!D11*$C100*'Business Case'!D12*$B100)-'Business Case'!D11*$C100*'Business Case'!D13*$D100-'Business Case'!D14*$E100))*'Business Case'!$B$7-'Business Case'!$B$8*(('Business Case'!D11*$C100*'Business Case'!D12*$B100)-('Business Case'!C11*$C100*'Business Case'!C12*$B100))-'Business Case'!D15*$F100</f>
        <v>223661852.205575</v>
      </c>
      <c r="K100" s="39" t="n">
        <f aca="false">(('Business Case'!E11*$C100*'Business Case'!E12*$B100)-'Business Case'!E11*$C100*'Business Case'!E13*$D100-'Business Case'!E14*$E100)-MAX(0,(('Business Case'!E11*$C100*'Business Case'!E12*$B100)-'Business Case'!E11*$C100*'Business Case'!E13*$D100-'Business Case'!E14*$E100))*'Business Case'!$B$7-'Business Case'!$B$8*(('Business Case'!E11*$C100*'Business Case'!E12*$B100)-('Business Case'!D11*$C100*'Business Case'!D12*$B100))-'Business Case'!E15*$F100</f>
        <v>540039413.158324</v>
      </c>
      <c r="L100" s="39" t="n">
        <f aca="false">(('Business Case'!F11*$C100*'Business Case'!F12*$B100)-'Business Case'!F11*$C100*'Business Case'!F13*$D100-'Business Case'!F14*$E100)-MAX(0,(('Business Case'!F11*$C100*'Business Case'!F12*$B100)-'Business Case'!F11*$C100*'Business Case'!F13*$D100-'Business Case'!F14*$E100))*'Business Case'!$B$7-'Business Case'!$B$8*(('Business Case'!F11*$C100*'Business Case'!F12*$B100)-('Business Case'!E11*$C100*'Business Case'!E12*$B100))-'Business Case'!F15*$F100</f>
        <v>660905856.898475</v>
      </c>
      <c r="M100" s="39" t="n">
        <f aca="false">(('Business Case'!G11*$C100*'Business Case'!G12*$B100)-'Business Case'!G11*$C100*'Business Case'!G13*$D100-'Business Case'!G14*$E100)-MAX(0,(('Business Case'!G11*$C100*'Business Case'!G12*$B100)-'Business Case'!G11*$C100*'Business Case'!G13*$D100-'Business Case'!G14*$E100))*'Business Case'!$B$7-'Business Case'!$B$8*(('Business Case'!G11*$C100*'Business Case'!G12*$B100)-('Business Case'!F11*$C100*'Business Case'!F12*$B100))-'Business Case'!G15*$F100+'Business Case'!$B$8*('Business Case'!G11*$C100*'Business Case'!G12*$B100)</f>
        <v>843940906.447476</v>
      </c>
      <c r="N100" s="39" t="n">
        <f aca="false">IF(COUNT('Business Case'!B11:G11)=0,"",H100+NPV(G100,I100:M100))</f>
        <v>-573243774.874217</v>
      </c>
      <c r="P100" s="40" t="n">
        <f aca="true">RAND()</f>
        <v>0.138580487620294</v>
      </c>
      <c r="Q100" s="40" t="n">
        <f aca="true">RAND()</f>
        <v>0.609168904298242</v>
      </c>
      <c r="R100" s="40" t="n">
        <f aca="true">RAND()</f>
        <v>0.659779155622552</v>
      </c>
      <c r="S100" s="40" t="n">
        <f aca="true">RAND()</f>
        <v>0.548104786010464</v>
      </c>
      <c r="T100" s="40" t="n">
        <f aca="true">RAND()</f>
        <v>0.673908290077089</v>
      </c>
      <c r="U100" s="40" t="n">
        <f aca="true">RAND()</f>
        <v>0.0225417505651811</v>
      </c>
    </row>
    <row r="101" customFormat="false" ht="15" hidden="false" customHeight="false" outlineLevel="0" collapsed="false">
      <c r="A101" s="36" t="n">
        <v>21</v>
      </c>
      <c r="B101" s="37" t="n">
        <f aca="false">1+IF($G$6=$E$6,$F$6,IF(P101&lt;($F$6-$E$6)/($G$6-$E$6),$E$6+SQRT(P101*($G$6-$E$6)*($F$6-$E$6)),$G$6-SQRT((1-P101)*($G$6-$E$6)*($G$6-$F$6))))</f>
        <v>0.952081257673971</v>
      </c>
      <c r="C101" s="37" t="n">
        <f aca="false">1+IF($G$7=$E$7,$F$7,IF(Q101&lt;($F$7-$E$7)/($G$7-$E$7),$E$7+SQRT(Q101*($G$7-$E$7)*($F$7-$E$7)),$G$7-SQRT((1-Q101)*($G$7-$E$7)*($G$7-$F$7))))</f>
        <v>1.03173954502843</v>
      </c>
      <c r="D101" s="37" t="n">
        <f aca="false">1+IF($G$8=$E$8,$F$8,IF(R101&lt;($F$8-$E$8)/($G$8-$E$8),$E$8+SQRT(R101*($G$8-$E$8)*($F$8-$E$8)),$G$8-SQRT((1-R101)*($G$8-$E$8)*($G$8-$F$8))))</f>
        <v>0.988751697824741</v>
      </c>
      <c r="E101" s="37" t="n">
        <f aca="false">1+IF($G$9=$E$9,$F$9,IF(S101&lt;($F$9-$E$9)/($G$9-$E$9),$E$9+SQRT(S101*($G$9-$E$9)*($F$9-$E$9)),$G$9-SQRT((1-S101)*($G$9-$E$9)*($G$9-$F$9))))</f>
        <v>1.00372434983361</v>
      </c>
      <c r="F101" s="37" t="n">
        <f aca="false">1+IF($G$10=$E$10,$F$10,IF(T101&lt;($F$10-$E$10)/($G$10-$E$10),$E$10+SQRT(T101*($G$10-$E$10)*($F$10-$E$10)),$G$10-SQRT((1-T101)*($G$10-$E$10)*($G$10-$F$10))))</f>
        <v>0.999306411816329</v>
      </c>
      <c r="G101" s="38" t="n">
        <f aca="false">IF($G$11=$E$11,$F$11,IF(U101&lt;($F$11-$E$11)/($G$11-$E$11),$E$11+SQRT(U101*($G$11-$E$11)*($F$11-$E$11)),$G$11-SQRT((1-U101)*($G$11-$E$11)*($G$11-$F$11))))</f>
        <v>0.0931174597347909</v>
      </c>
      <c r="H101" s="39" t="n">
        <f aca="false">(('Business Case'!B11*$C101*'Business Case'!B12*$B101)-'Business Case'!B11*$C101*'Business Case'!B13*$D101-'Business Case'!B14*$E101)-MAX(0,(('Business Case'!B11*$C101*'Business Case'!B12*$B101)-'Business Case'!B11*$C101*'Business Case'!B13*$D101-'Business Case'!B14*$E101))*'Business Case'!$B$7-'Business Case'!$B$8*('Business Case'!B11*$C101*'Business Case'!B12*$B101)-'Business Case'!B15*$F101</f>
        <v>-1998612823.63266</v>
      </c>
      <c r="I101" s="39" t="n">
        <f aca="false">(('Business Case'!C11*$C101*'Business Case'!C12*$B101)-'Business Case'!C11*$C101*'Business Case'!C13*$D101-'Business Case'!C14*$E101)-MAX(0,(('Business Case'!C11*$C101*'Business Case'!C12*$B101)-'Business Case'!C11*$C101*'Business Case'!C13*$D101-'Business Case'!C14*$E101))*'Business Case'!$B$7-'Business Case'!$B$8*(('Business Case'!C11*$C101*'Business Case'!C12*$B101)-('Business Case'!B11*$C101*'Business Case'!B12*$B101))-'Business Case'!C15*$F101</f>
        <v>-11235452.8304708</v>
      </c>
      <c r="J101" s="39" t="n">
        <f aca="false">(('Business Case'!D11*$C101*'Business Case'!D12*$B101)-'Business Case'!D11*$C101*'Business Case'!D13*$D101-'Business Case'!D14*$E101)-MAX(0,(('Business Case'!D11*$C101*'Business Case'!D12*$B101)-'Business Case'!D11*$C101*'Business Case'!D13*$D101-'Business Case'!D14*$E101))*'Business Case'!$B$7-'Business Case'!$B$8*(('Business Case'!D11*$C101*'Business Case'!D12*$B101)-('Business Case'!C11*$C101*'Business Case'!C12*$B101))-'Business Case'!D15*$F101</f>
        <v>271111764.034027</v>
      </c>
      <c r="K101" s="39" t="n">
        <f aca="false">(('Business Case'!E11*$C101*'Business Case'!E12*$B101)-'Business Case'!E11*$C101*'Business Case'!E13*$D101-'Business Case'!E14*$E101)-MAX(0,(('Business Case'!E11*$C101*'Business Case'!E12*$B101)-'Business Case'!E11*$C101*'Business Case'!E13*$D101-'Business Case'!E14*$E101))*'Business Case'!$B$7-'Business Case'!$B$8*(('Business Case'!E11*$C101*'Business Case'!E12*$B101)-('Business Case'!D11*$C101*'Business Case'!D12*$B101))-'Business Case'!E15*$F101</f>
        <v>603424301.489342</v>
      </c>
      <c r="L101" s="39" t="n">
        <f aca="false">(('Business Case'!F11*$C101*'Business Case'!F12*$B101)-'Business Case'!F11*$C101*'Business Case'!F13*$D101-'Business Case'!F14*$E101)-MAX(0,(('Business Case'!F11*$C101*'Business Case'!F12*$B101)-'Business Case'!F11*$C101*'Business Case'!F13*$D101-'Business Case'!F14*$E101))*'Business Case'!$B$7-'Business Case'!$B$8*(('Business Case'!F11*$C101*'Business Case'!F12*$B101)-('Business Case'!E11*$C101*'Business Case'!E12*$B101))-'Business Case'!F15*$F101</f>
        <v>731488324.422173</v>
      </c>
      <c r="M101" s="39" t="n">
        <f aca="false">(('Business Case'!G11*$C101*'Business Case'!G12*$B101)-'Business Case'!G11*$C101*'Business Case'!G13*$D101-'Business Case'!G14*$E101)-MAX(0,(('Business Case'!G11*$C101*'Business Case'!G12*$B101)-'Business Case'!G11*$C101*'Business Case'!G13*$D101-'Business Case'!G14*$E101))*'Business Case'!$B$7-'Business Case'!$B$8*(('Business Case'!G11*$C101*'Business Case'!G12*$B101)-('Business Case'!F11*$C101*'Business Case'!F12*$B101))-'Business Case'!G15*$F101+'Business Case'!$B$8*('Business Case'!G11*$C101*'Business Case'!G12*$B101)</f>
        <v>918203886.301163</v>
      </c>
      <c r="N101" s="39" t="n">
        <f aca="false">IF(COUNT('Business Case'!B11:G11)=0,"",H101+NPV(G101,I101:M101))</f>
        <v>-219395614.885361</v>
      </c>
      <c r="P101" s="40" t="n">
        <f aca="true">RAND()</f>
        <v>0.107209072285801</v>
      </c>
      <c r="Q101" s="40" t="n">
        <f aca="true">RAND()</f>
        <v>0.733608853141259</v>
      </c>
      <c r="R101" s="40" t="n">
        <f aca="true">RAND()</f>
        <v>0.231029859123083</v>
      </c>
      <c r="S101" s="40" t="n">
        <f aca="true">RAND()</f>
        <v>0.382066612335887</v>
      </c>
      <c r="T101" s="40" t="n">
        <f aca="true">RAND()</f>
        <v>0.194489779696118</v>
      </c>
      <c r="U101" s="40" t="n">
        <f aca="true">RAND()</f>
        <v>0.0323951839934747</v>
      </c>
    </row>
    <row r="102" customFormat="false" ht="15" hidden="false" customHeight="false" outlineLevel="0" collapsed="false">
      <c r="A102" s="36" t="n">
        <v>22</v>
      </c>
      <c r="B102" s="37" t="n">
        <f aca="false">1+IF($G$6=$E$6,$F$6,IF(P102&lt;($F$6-$E$6)/($G$6-$E$6),$E$6+SQRT(P102*($G$6-$E$6)*($F$6-$E$6)),$G$6-SQRT((1-P102)*($G$6-$E$6)*($G$6-$F$6))))</f>
        <v>0.970008905218243</v>
      </c>
      <c r="C102" s="37" t="n">
        <f aca="false">1+IF($G$7=$E$7,$F$7,IF(Q102&lt;($F$7-$E$7)/($G$7-$E$7),$E$7+SQRT(Q102*($G$7-$E$7)*($F$7-$E$7)),$G$7-SQRT((1-Q102)*($G$7-$E$7)*($G$7-$F$7))))</f>
        <v>0.944771920917912</v>
      </c>
      <c r="D102" s="37" t="n">
        <f aca="false">1+IF($G$8=$E$8,$F$8,IF(R102&lt;($F$8-$E$8)/($G$8-$E$8),$E$8+SQRT(R102*($G$8-$E$8)*($F$8-$E$8)),$G$8-SQRT((1-R102)*($G$8-$E$8)*($G$8-$F$8))))</f>
        <v>1.05563172636243</v>
      </c>
      <c r="E102" s="37" t="n">
        <f aca="false">1+IF($G$9=$E$9,$F$9,IF(S102&lt;($F$9-$E$9)/($G$9-$E$9),$E$9+SQRT(S102*($G$9-$E$9)*($F$9-$E$9)),$G$9-SQRT((1-S102)*($G$9-$E$9)*($G$9-$F$9))))</f>
        <v>0.966357164354829</v>
      </c>
      <c r="F102" s="37" t="n">
        <f aca="false">1+IF($G$10=$E$10,$F$10,IF(T102&lt;($F$10-$E$10)/($G$10-$E$10),$E$10+SQRT(T102*($G$10-$E$10)*($F$10-$E$10)),$G$10-SQRT((1-T102)*($G$10-$E$10)*($G$10-$F$10))))</f>
        <v>1.04693057809867</v>
      </c>
      <c r="G102" s="38" t="n">
        <f aca="false">IF($G$11=$E$11,$F$11,IF(U102&lt;($F$11-$E$11)/($G$11-$E$11),$E$11+SQRT(U102*($G$11-$E$11)*($F$11-$E$11)),$G$11-SQRT((1-U102)*($G$11-$E$11)*($G$11-$F$11))))</f>
        <v>0.104776327838049</v>
      </c>
      <c r="H102" s="39" t="n">
        <f aca="false">(('Business Case'!B11*$C102*'Business Case'!B12*$B102)-'Business Case'!B11*$C102*'Business Case'!B13*$D102-'Business Case'!B14*$E102)-MAX(0,(('Business Case'!B11*$C102*'Business Case'!B12*$B102)-'Business Case'!B11*$C102*'Business Case'!B13*$D102-'Business Case'!B14*$E102))*'Business Case'!$B$7-'Business Case'!$B$8*('Business Case'!B11*$C102*'Business Case'!B12*$B102)-'Business Case'!B15*$F102</f>
        <v>-2093861156.19735</v>
      </c>
      <c r="I102" s="39" t="n">
        <f aca="false">(('Business Case'!C11*$C102*'Business Case'!C12*$B102)-'Business Case'!C11*$C102*'Business Case'!C13*$D102-'Business Case'!C14*$E102)-MAX(0,(('Business Case'!C11*$C102*'Business Case'!C12*$B102)-'Business Case'!C11*$C102*'Business Case'!C13*$D102-'Business Case'!C14*$E102))*'Business Case'!$B$7-'Business Case'!$B$8*(('Business Case'!C11*$C102*'Business Case'!C12*$B102)-('Business Case'!B11*$C102*'Business Case'!B12*$B102))-'Business Case'!C15*$F102</f>
        <v>-49542913.652823</v>
      </c>
      <c r="J102" s="39" t="n">
        <f aca="false">(('Business Case'!D11*$C102*'Business Case'!D12*$B102)-'Business Case'!D11*$C102*'Business Case'!D13*$D102-'Business Case'!D14*$E102)-MAX(0,(('Business Case'!D11*$C102*'Business Case'!D12*$B102)-'Business Case'!D11*$C102*'Business Case'!D13*$D102-'Business Case'!D14*$E102))*'Business Case'!$B$7-'Business Case'!$B$8*(('Business Case'!D11*$C102*'Business Case'!D12*$B102)-('Business Case'!C11*$C102*'Business Case'!C12*$B102))-'Business Case'!D15*$F102</f>
        <v>190531322.515115</v>
      </c>
      <c r="K102" s="39" t="n">
        <f aca="false">(('Business Case'!E11*$C102*'Business Case'!E12*$B102)-'Business Case'!E11*$C102*'Business Case'!E13*$D102-'Business Case'!E14*$E102)-MAX(0,(('Business Case'!E11*$C102*'Business Case'!E12*$B102)-'Business Case'!E11*$C102*'Business Case'!E13*$D102-'Business Case'!E14*$E102))*'Business Case'!$B$7-'Business Case'!$B$8*(('Business Case'!E11*$C102*'Business Case'!E12*$B102)-('Business Case'!D11*$C102*'Business Case'!D12*$B102))-'Business Case'!E15*$F102</f>
        <v>482952087.587985</v>
      </c>
      <c r="L102" s="39" t="n">
        <f aca="false">(('Business Case'!F11*$C102*'Business Case'!F12*$B102)-'Business Case'!F11*$C102*'Business Case'!F13*$D102-'Business Case'!F14*$E102)-MAX(0,(('Business Case'!F11*$C102*'Business Case'!F12*$B102)-'Business Case'!F11*$C102*'Business Case'!F13*$D102-'Business Case'!F14*$E102))*'Business Case'!$B$7-'Business Case'!$B$8*(('Business Case'!F11*$C102*'Business Case'!F12*$B102)-('Business Case'!E11*$C102*'Business Case'!E12*$B102))-'Business Case'!F15*$F102</f>
        <v>594648901.803723</v>
      </c>
      <c r="M102" s="39" t="n">
        <f aca="false">(('Business Case'!G11*$C102*'Business Case'!G12*$B102)-'Business Case'!G11*$C102*'Business Case'!G13*$D102-'Business Case'!G14*$E102)-MAX(0,(('Business Case'!G11*$C102*'Business Case'!G12*$B102)-'Business Case'!G11*$C102*'Business Case'!G13*$D102-'Business Case'!G14*$E102))*'Business Case'!$B$7-'Business Case'!$B$8*(('Business Case'!G11*$C102*'Business Case'!G12*$B102)-('Business Case'!F11*$C102*'Business Case'!F12*$B102))-'Business Case'!G15*$F102+'Business Case'!$B$8*('Business Case'!G11*$C102*'Business Case'!G12*$B102)</f>
        <v>768845280.349057</v>
      </c>
      <c r="N102" s="39" t="n">
        <f aca="false">IF(COUNT('Business Case'!B11:G11)=0,"",H102+NPV(G102,I102:M102))</f>
        <v>-758100463.184001</v>
      </c>
      <c r="P102" s="40" t="n">
        <f aca="true">RAND()</f>
        <v>0.260509437617419</v>
      </c>
      <c r="Q102" s="40" t="n">
        <f aca="true">RAND()</f>
        <v>0.299412986946602</v>
      </c>
      <c r="R102" s="40" t="n">
        <f aca="true">RAND()</f>
        <v>0.94290261922353</v>
      </c>
      <c r="S102" s="40" t="n">
        <f aca="true">RAND()</f>
        <v>0.035674243430786</v>
      </c>
      <c r="T102" s="40" t="n">
        <f aca="true">RAND()</f>
        <v>0.531395041575872</v>
      </c>
      <c r="U102" s="40" t="n">
        <f aca="true">RAND()</f>
        <v>0.613733009842404</v>
      </c>
    </row>
    <row r="103" customFormat="false" ht="15" hidden="false" customHeight="false" outlineLevel="0" collapsed="false">
      <c r="A103" s="36" t="n">
        <v>23</v>
      </c>
      <c r="B103" s="37" t="n">
        <f aca="false">1+IF($G$6=$E$6,$F$6,IF(P103&lt;($F$6-$E$6)/($G$6-$E$6),$E$6+SQRT(P103*($G$6-$E$6)*($F$6-$E$6)),$G$6-SQRT((1-P103)*($G$6-$E$6)*($G$6-$F$6))))</f>
        <v>1.00335666869248</v>
      </c>
      <c r="C103" s="37" t="n">
        <f aca="false">1+IF($G$7=$E$7,$F$7,IF(Q103&lt;($F$7-$E$7)/($G$7-$E$7),$E$7+SQRT(Q103*($G$7-$E$7)*($F$7-$E$7)),$G$7-SQRT((1-Q103)*($G$7-$E$7)*($G$7-$F$7))))</f>
        <v>0.90593962356715</v>
      </c>
      <c r="D103" s="37" t="n">
        <f aca="false">1+IF($G$8=$E$8,$F$8,IF(R103&lt;($F$8-$E$8)/($G$8-$E$8),$E$8+SQRT(R103*($G$8-$E$8)*($F$8-$E$8)),$G$8-SQRT((1-R103)*($G$8-$E$8)*($G$8-$F$8))))</f>
        <v>0.99527727779182</v>
      </c>
      <c r="E103" s="37" t="n">
        <f aca="false">1+IF($G$9=$E$9,$F$9,IF(S103&lt;($F$9-$E$9)/($G$9-$E$9),$E$9+SQRT(S103*($G$9-$E$9)*($F$9-$E$9)),$G$9-SQRT((1-S103)*($G$9-$E$9)*($G$9-$F$9))))</f>
        <v>1.0008179899125</v>
      </c>
      <c r="F103" s="37" t="n">
        <f aca="false">1+IF($G$10=$E$10,$F$10,IF(T103&lt;($F$10-$E$10)/($G$10-$E$10),$E$10+SQRT(T103*($G$10-$E$10)*($F$10-$E$10)),$G$10-SQRT((1-T103)*($G$10-$E$10)*($G$10-$F$10))))</f>
        <v>1.03109462245163</v>
      </c>
      <c r="G103" s="38" t="n">
        <f aca="false">IF($G$11=$E$11,$F$11,IF(U103&lt;($F$11-$E$11)/($G$11-$E$11),$E$11+SQRT(U103*($G$11-$E$11)*($F$11-$E$11)),$G$11-SQRT((1-U103)*($G$11-$E$11)*($G$11-$F$11))))</f>
        <v>0.0987076517379323</v>
      </c>
      <c r="H103" s="39" t="n">
        <f aca="false">(('Business Case'!B11*$C103*'Business Case'!B12*$B103)-'Business Case'!B11*$C103*'Business Case'!B13*$D103-'Business Case'!B14*$E103)-MAX(0,(('Business Case'!B11*$C103*'Business Case'!B12*$B103)-'Business Case'!B11*$C103*'Business Case'!B13*$D103-'Business Case'!B14*$E103))*'Business Case'!$B$7-'Business Case'!$B$8*('Business Case'!B11*$C103*'Business Case'!B12*$B103)-'Business Case'!B15*$F103</f>
        <v>-2062189244.90326</v>
      </c>
      <c r="I103" s="39" t="n">
        <f aca="false">(('Business Case'!C11*$C103*'Business Case'!C12*$B103)-'Business Case'!C11*$C103*'Business Case'!C13*$D103-'Business Case'!C14*$E103)-MAX(0,(('Business Case'!C11*$C103*'Business Case'!C12*$B103)-'Business Case'!C11*$C103*'Business Case'!C13*$D103-'Business Case'!C14*$E103))*'Business Case'!$B$7-'Business Case'!$B$8*(('Business Case'!C11*$C103*'Business Case'!C12*$B103)-('Business Case'!B11*$C103*'Business Case'!B12*$B103))-'Business Case'!C15*$F103</f>
        <v>-9605167.07215208</v>
      </c>
      <c r="J103" s="39" t="n">
        <f aca="false">(('Business Case'!D11*$C103*'Business Case'!D12*$B103)-'Business Case'!D11*$C103*'Business Case'!D13*$D103-'Business Case'!D14*$E103)-MAX(0,(('Business Case'!D11*$C103*'Business Case'!D12*$B103)-'Business Case'!D11*$C103*'Business Case'!D13*$D103-'Business Case'!D14*$E103))*'Business Case'!$B$7-'Business Case'!$B$8*(('Business Case'!D11*$C103*'Business Case'!D12*$B103)-('Business Case'!C11*$C103*'Business Case'!C12*$B103))-'Business Case'!D15*$F103</f>
        <v>273336998.638799</v>
      </c>
      <c r="K103" s="39" t="n">
        <f aca="false">(('Business Case'!E11*$C103*'Business Case'!E12*$B103)-'Business Case'!E11*$C103*'Business Case'!E13*$D103-'Business Case'!E14*$E103)-MAX(0,(('Business Case'!E11*$C103*'Business Case'!E12*$B103)-'Business Case'!E11*$C103*'Business Case'!E13*$D103-'Business Case'!E14*$E103))*'Business Case'!$B$7-'Business Case'!$B$8*(('Business Case'!E11*$C103*'Business Case'!E12*$B103)-('Business Case'!D11*$C103*'Business Case'!D12*$B103))-'Business Case'!E15*$F103</f>
        <v>607833895.47233</v>
      </c>
      <c r="L103" s="39" t="n">
        <f aca="false">(('Business Case'!F11*$C103*'Business Case'!F12*$B103)-'Business Case'!F11*$C103*'Business Case'!F13*$D103-'Business Case'!F14*$E103)-MAX(0,(('Business Case'!F11*$C103*'Business Case'!F12*$B103)-'Business Case'!F11*$C103*'Business Case'!F13*$D103-'Business Case'!F14*$E103))*'Business Case'!$B$7-'Business Case'!$B$8*(('Business Case'!F11*$C103*'Business Case'!F12*$B103)-('Business Case'!E11*$C103*'Business Case'!E12*$B103))-'Business Case'!F15*$F103</f>
        <v>733562318.957569</v>
      </c>
      <c r="M103" s="39" t="n">
        <f aca="false">(('Business Case'!G11*$C103*'Business Case'!G12*$B103)-'Business Case'!G11*$C103*'Business Case'!G13*$D103-'Business Case'!G14*$E103)-MAX(0,(('Business Case'!G11*$C103*'Business Case'!G12*$B103)-'Business Case'!G11*$C103*'Business Case'!G13*$D103-'Business Case'!G14*$E103))*'Business Case'!$B$7-'Business Case'!$B$8*(('Business Case'!G11*$C103*'Business Case'!G12*$B103)-('Business Case'!F11*$C103*'Business Case'!F12*$B103))-'Business Case'!G15*$F103+'Business Case'!$B$8*('Business Case'!G11*$C103*'Business Case'!G12*$B103)</f>
        <v>906341344.322971</v>
      </c>
      <c r="N103" s="39" t="n">
        <f aca="false">IF(COUNT('Business Case'!B11:G11)=0,"",H103+NPV(G103,I103:M103))</f>
        <v>-316734762.499956</v>
      </c>
      <c r="P103" s="40" t="n">
        <f aca="true">RAND()</f>
        <v>0.720263806393224</v>
      </c>
      <c r="Q103" s="40" t="n">
        <f aca="true">RAND()</f>
        <v>0.160331483450708</v>
      </c>
      <c r="R103" s="40" t="n">
        <f aca="true">RAND()</f>
        <v>0.315389520651943</v>
      </c>
      <c r="S103" s="40" t="n">
        <f aca="true">RAND()</f>
        <v>0.344195258333505</v>
      </c>
      <c r="T103" s="40" t="n">
        <f aca="true">RAND()</f>
        <v>0.429419468704862</v>
      </c>
      <c r="U103" s="40" t="n">
        <f aca="true">RAND()</f>
        <v>0.252743995963716</v>
      </c>
    </row>
    <row r="104" customFormat="false" ht="15" hidden="false" customHeight="false" outlineLevel="0" collapsed="false">
      <c r="A104" s="36" t="n">
        <v>24</v>
      </c>
      <c r="B104" s="37" t="n">
        <f aca="false">1+IF($G$6=$E$6,$F$6,IF(P104&lt;($F$6-$E$6)/($G$6-$E$6),$E$6+SQRT(P104*($G$6-$E$6)*($F$6-$E$6)),$G$6-SQRT((1-P104)*($G$6-$E$6)*($G$6-$F$6))))</f>
        <v>0.95112215343797</v>
      </c>
      <c r="C104" s="37" t="n">
        <f aca="false">1+IF($G$7=$E$7,$F$7,IF(Q104&lt;($F$7-$E$7)/($G$7-$E$7),$E$7+SQRT(Q104*($G$7-$E$7)*($F$7-$E$7)),$G$7-SQRT((1-Q104)*($G$7-$E$7)*($G$7-$F$7))))</f>
        <v>0.923020713786602</v>
      </c>
      <c r="D104" s="37" t="n">
        <f aca="false">1+IF($G$8=$E$8,$F$8,IF(R104&lt;($F$8-$E$8)/($G$8-$E$8),$E$8+SQRT(R104*($G$8-$E$8)*($F$8-$E$8)),$G$8-SQRT((1-R104)*($G$8-$E$8)*($G$8-$F$8))))</f>
        <v>0.998908236551617</v>
      </c>
      <c r="E104" s="37" t="n">
        <f aca="false">1+IF($G$9=$E$9,$F$9,IF(S104&lt;($F$9-$E$9)/($G$9-$E$9),$E$9+SQRT(S104*($G$9-$E$9)*($F$9-$E$9)),$G$9-SQRT((1-S104)*($G$9-$E$9)*($G$9-$F$9))))</f>
        <v>0.992321859557272</v>
      </c>
      <c r="F104" s="37" t="n">
        <f aca="false">1+IF($G$10=$E$10,$F$10,IF(T104&lt;($F$10-$E$10)/($G$10-$E$10),$E$10+SQRT(T104*($G$10-$E$10)*($F$10-$E$10)),$G$10-SQRT((1-T104)*($G$10-$E$10)*($G$10-$F$10))))</f>
        <v>1.0565793392924</v>
      </c>
      <c r="G104" s="38" t="n">
        <f aca="false">IF($G$11=$E$11,$F$11,IF(U104&lt;($F$11-$E$11)/($G$11-$E$11),$E$11+SQRT(U104*($G$11-$E$11)*($F$11-$E$11)),$G$11-SQRT((1-U104)*($G$11-$E$11)*($G$11-$F$11))))</f>
        <v>0.095342087902094</v>
      </c>
      <c r="H104" s="39" t="n">
        <f aca="false">(('Business Case'!B11*$C104*'Business Case'!B12*$B104)-'Business Case'!B11*$C104*'Business Case'!B13*$D104-'Business Case'!B14*$E104)-MAX(0,(('Business Case'!B11*$C104*'Business Case'!B12*$B104)-'Business Case'!B11*$C104*'Business Case'!B13*$D104-'Business Case'!B14*$E104))*'Business Case'!$B$7-'Business Case'!$B$8*('Business Case'!B11*$C104*'Business Case'!B12*$B104)-'Business Case'!B15*$F104</f>
        <v>-2113158678.58481</v>
      </c>
      <c r="I104" s="39" t="n">
        <f aca="false">(('Business Case'!C11*$C104*'Business Case'!C12*$B104)-'Business Case'!C11*$C104*'Business Case'!C13*$D104-'Business Case'!C14*$E104)-MAX(0,(('Business Case'!C11*$C104*'Business Case'!C12*$B104)-'Business Case'!C11*$C104*'Business Case'!C13*$D104-'Business Case'!C14*$E104))*'Business Case'!$B$7-'Business Case'!$B$8*(('Business Case'!C11*$C104*'Business Case'!C12*$B104)-('Business Case'!B11*$C104*'Business Case'!B12*$B104))-'Business Case'!C15*$F104</f>
        <v>-45205840.5755272</v>
      </c>
      <c r="J104" s="39" t="n">
        <f aca="false">(('Business Case'!D11*$C104*'Business Case'!D12*$B104)-'Business Case'!D11*$C104*'Business Case'!D13*$D104-'Business Case'!D14*$E104)-MAX(0,(('Business Case'!D11*$C104*'Business Case'!D12*$B104)-'Business Case'!D11*$C104*'Business Case'!D13*$D104-'Business Case'!D14*$E104))*'Business Case'!$B$7-'Business Case'!$B$8*(('Business Case'!D11*$C104*'Business Case'!D12*$B104)-('Business Case'!C11*$C104*'Business Case'!C12*$B104))-'Business Case'!D15*$F104</f>
        <v>201865039.681553</v>
      </c>
      <c r="K104" s="39" t="n">
        <f aca="false">(('Business Case'!E11*$C104*'Business Case'!E12*$B104)-'Business Case'!E11*$C104*'Business Case'!E13*$D104-'Business Case'!E14*$E104)-MAX(0,(('Business Case'!E11*$C104*'Business Case'!E12*$B104)-'Business Case'!E11*$C104*'Business Case'!E13*$D104-'Business Case'!E14*$E104))*'Business Case'!$B$7-'Business Case'!$B$8*(('Business Case'!E11*$C104*'Business Case'!E12*$B104)-('Business Case'!D11*$C104*'Business Case'!D12*$B104))-'Business Case'!E15*$F104</f>
        <v>501764886.903254</v>
      </c>
      <c r="L104" s="39" t="n">
        <f aca="false">(('Business Case'!F11*$C104*'Business Case'!F12*$B104)-'Business Case'!F11*$C104*'Business Case'!F13*$D104-'Business Case'!F14*$E104)-MAX(0,(('Business Case'!F11*$C104*'Business Case'!F12*$B104)-'Business Case'!F11*$C104*'Business Case'!F13*$D104-'Business Case'!F14*$E104))*'Business Case'!$B$7-'Business Case'!$B$8*(('Business Case'!F11*$C104*'Business Case'!F12*$B104)-('Business Case'!E11*$C104*'Business Case'!E12*$B104))-'Business Case'!F15*$F104</f>
        <v>614462259.305163</v>
      </c>
      <c r="M104" s="39" t="n">
        <f aca="false">(('Business Case'!G11*$C104*'Business Case'!G12*$B104)-'Business Case'!G11*$C104*'Business Case'!G13*$D104-'Business Case'!G14*$E104)-MAX(0,(('Business Case'!G11*$C104*'Business Case'!G12*$B104)-'Business Case'!G11*$C104*'Business Case'!G13*$D104-'Business Case'!G14*$E104))*'Business Case'!$B$7-'Business Case'!$B$8*(('Business Case'!G11*$C104*'Business Case'!G12*$B104)-('Business Case'!F11*$C104*'Business Case'!F12*$B104))-'Business Case'!G15*$F104+'Business Case'!$B$8*('Business Case'!G11*$C104*'Business Case'!G12*$B104)</f>
        <v>781334527.044348</v>
      </c>
      <c r="N104" s="39" t="n">
        <f aca="false">IF(COUNT('Business Case'!B11:G11)=0,"",H104+NPV(G104,I104:M104))</f>
        <v>-681942723.356122</v>
      </c>
      <c r="P104" s="40" t="n">
        <f aca="true">RAND()</f>
        <v>0.100894628605892</v>
      </c>
      <c r="Q104" s="40" t="n">
        <f aca="true">RAND()</f>
        <v>0.216201371722358</v>
      </c>
      <c r="R104" s="40" t="n">
        <f aca="true">RAND()</f>
        <v>0.36800240039829</v>
      </c>
      <c r="S104" s="40" t="n">
        <f aca="true">RAND()</f>
        <v>0.238818639518062</v>
      </c>
      <c r="T104" s="40" t="n">
        <f aca="true">RAND()</f>
        <v>0.588610281643937</v>
      </c>
      <c r="U104" s="40" t="n">
        <f aca="true">RAND()</f>
        <v>0.0951263438456617</v>
      </c>
    </row>
    <row r="105" customFormat="false" ht="15" hidden="false" customHeight="false" outlineLevel="0" collapsed="false">
      <c r="A105" s="36" t="n">
        <v>25</v>
      </c>
      <c r="B105" s="37" t="n">
        <f aca="false">1+IF($G$6=$E$6,$F$6,IF(P105&lt;($F$6-$E$6)/($G$6-$E$6),$E$6+SQRT(P105*($G$6-$E$6)*($F$6-$E$6)),$G$6-SQRT((1-P105)*($G$6-$E$6)*($G$6-$F$6))))</f>
        <v>0.989672877002571</v>
      </c>
      <c r="C105" s="37" t="n">
        <f aca="false">1+IF($G$7=$E$7,$F$7,IF(Q105&lt;($F$7-$E$7)/($G$7-$E$7),$E$7+SQRT(Q105*($G$7-$E$7)*($F$7-$E$7)),$G$7-SQRT((1-Q105)*($G$7-$E$7)*($G$7-$F$7))))</f>
        <v>1.04314673721699</v>
      </c>
      <c r="D105" s="37" t="n">
        <f aca="false">1+IF($G$8=$E$8,$F$8,IF(R105&lt;($F$8-$E$8)/($G$8-$E$8),$E$8+SQRT(R105*($G$8-$E$8)*($F$8-$E$8)),$G$8-SQRT((1-R105)*($G$8-$E$8)*($G$8-$F$8))))</f>
        <v>1.03155641307158</v>
      </c>
      <c r="E105" s="37" t="n">
        <f aca="false">1+IF($G$9=$E$9,$F$9,IF(S105&lt;($F$9-$E$9)/($G$9-$E$9),$E$9+SQRT(S105*($G$9-$E$9)*($F$9-$E$9)),$G$9-SQRT((1-S105)*($G$9-$E$9)*($G$9-$F$9))))</f>
        <v>1.04681065333122</v>
      </c>
      <c r="F105" s="37" t="n">
        <f aca="false">1+IF($G$10=$E$10,$F$10,IF(T105&lt;($F$10-$E$10)/($G$10-$E$10),$E$10+SQRT(T105*($G$10-$E$10)*($F$10-$E$10)),$G$10-SQRT((1-T105)*($G$10-$E$10)*($G$10-$F$10))))</f>
        <v>1.09275924705374</v>
      </c>
      <c r="G105" s="38" t="n">
        <f aca="false">IF($G$11=$E$11,$F$11,IF(U105&lt;($F$11-$E$11)/($G$11-$E$11),$E$11+SQRT(U105*($G$11-$E$11)*($F$11-$E$11)),$G$11-SQRT((1-U105)*($G$11-$E$11)*($G$11-$F$11))))</f>
        <v>0.109760887737778</v>
      </c>
      <c r="H105" s="39" t="n">
        <f aca="false">(('Business Case'!B11*$C105*'Business Case'!B12*$B105)-'Business Case'!B11*$C105*'Business Case'!B13*$D105-'Business Case'!B14*$E105)-MAX(0,(('Business Case'!B11*$C105*'Business Case'!B12*$B105)-'Business Case'!B11*$C105*'Business Case'!B13*$D105-'Business Case'!B14*$E105))*'Business Case'!$B$7-'Business Case'!$B$8*('Business Case'!B11*$C105*'Business Case'!B12*$B105)-'Business Case'!B15*$F105</f>
        <v>-2185518494.10749</v>
      </c>
      <c r="I105" s="39" t="n">
        <f aca="false">(('Business Case'!C11*$C105*'Business Case'!C12*$B105)-'Business Case'!C11*$C105*'Business Case'!C13*$D105-'Business Case'!C14*$E105)-MAX(0,(('Business Case'!C11*$C105*'Business Case'!C12*$B105)-'Business Case'!C11*$C105*'Business Case'!C13*$D105-'Business Case'!C14*$E105))*'Business Case'!$B$7-'Business Case'!$B$8*(('Business Case'!C11*$C105*'Business Case'!C12*$B105)-('Business Case'!B11*$C105*'Business Case'!B12*$B105))-'Business Case'!C15*$F105</f>
        <v>-16921050.4395348</v>
      </c>
      <c r="J105" s="39" t="n">
        <f aca="false">(('Business Case'!D11*$C105*'Business Case'!D12*$B105)-'Business Case'!D11*$C105*'Business Case'!D13*$D105-'Business Case'!D14*$E105)-MAX(0,(('Business Case'!D11*$C105*'Business Case'!D12*$B105)-'Business Case'!D11*$C105*'Business Case'!D13*$D105-'Business Case'!D14*$E105))*'Business Case'!$B$7-'Business Case'!$B$8*(('Business Case'!D11*$C105*'Business Case'!D12*$B105)-('Business Case'!C11*$C105*'Business Case'!C12*$B105))-'Business Case'!D15*$F105</f>
        <v>277808568.577779</v>
      </c>
      <c r="K105" s="39" t="n">
        <f aca="false">(('Business Case'!E11*$C105*'Business Case'!E12*$B105)-'Business Case'!E11*$C105*'Business Case'!E13*$D105-'Business Case'!E14*$E105)-MAX(0,(('Business Case'!E11*$C105*'Business Case'!E12*$B105)-'Business Case'!E11*$C105*'Business Case'!E13*$D105-'Business Case'!E14*$E105))*'Business Case'!$B$7-'Business Case'!$B$8*(('Business Case'!E11*$C105*'Business Case'!E12*$B105)-('Business Case'!D11*$C105*'Business Case'!D12*$B105))-'Business Case'!E15*$F105</f>
        <v>627176149.947781</v>
      </c>
      <c r="L105" s="39" t="n">
        <f aca="false">(('Business Case'!F11*$C105*'Business Case'!F12*$B105)-'Business Case'!F11*$C105*'Business Case'!F13*$D105-'Business Case'!F14*$E105)-MAX(0,(('Business Case'!F11*$C105*'Business Case'!F12*$B105)-'Business Case'!F11*$C105*'Business Case'!F13*$D105-'Business Case'!F14*$E105))*'Business Case'!$B$7-'Business Case'!$B$8*(('Business Case'!F11*$C105*'Business Case'!F12*$B105)-('Business Case'!E11*$C105*'Business Case'!E12*$B105))-'Business Case'!F15*$F105</f>
        <v>761098202.852069</v>
      </c>
      <c r="M105" s="39" t="n">
        <f aca="false">(('Business Case'!G11*$C105*'Business Case'!G12*$B105)-'Business Case'!G11*$C105*'Business Case'!G13*$D105-'Business Case'!G14*$E105)-MAX(0,(('Business Case'!G11*$C105*'Business Case'!G12*$B105)-'Business Case'!G11*$C105*'Business Case'!G13*$D105-'Business Case'!G14*$E105))*'Business Case'!$B$7-'Business Case'!$B$8*(('Business Case'!G11*$C105*'Business Case'!G12*$B105)-('Business Case'!F11*$C105*'Business Case'!F12*$B105))-'Business Case'!G15*$F105+'Business Case'!$B$8*('Business Case'!G11*$C105*'Business Case'!G12*$B105)</f>
        <v>957331858.960577</v>
      </c>
      <c r="N105" s="39" t="n">
        <f aca="false">IF(COUNT('Business Case'!B11:G11)=0,"",H105+NPV(G105,I105:M105))</f>
        <v>-445777465.650902</v>
      </c>
      <c r="P105" s="40" t="n">
        <f aca="true">RAND()</f>
        <v>0.505657269772438</v>
      </c>
      <c r="Q105" s="40" t="n">
        <f aca="true">RAND()</f>
        <v>0.78252152824048</v>
      </c>
      <c r="R105" s="40" t="n">
        <f aca="true">RAND()</f>
        <v>0.774347969760456</v>
      </c>
      <c r="S105" s="40" t="n">
        <f aca="true">RAND()</f>
        <v>0.811392893396573</v>
      </c>
      <c r="T105" s="40" t="n">
        <f aca="true">RAND()</f>
        <v>0.769988418150397</v>
      </c>
      <c r="U105" s="40" t="n">
        <f aca="true">RAND()</f>
        <v>0.825267633469373</v>
      </c>
    </row>
    <row r="106" customFormat="false" ht="15" hidden="false" customHeight="false" outlineLevel="0" collapsed="false">
      <c r="A106" s="36" t="n">
        <v>26</v>
      </c>
      <c r="B106" s="37" t="n">
        <f aca="false">1+IF($G$6=$E$6,$F$6,IF(P106&lt;($F$6-$E$6)/($G$6-$E$6),$E$6+SQRT(P106*($G$6-$E$6)*($F$6-$E$6)),$G$6-SQRT((1-P106)*($G$6-$E$6)*($G$6-$F$6))))</f>
        <v>1.00927581795471</v>
      </c>
      <c r="C106" s="37" t="n">
        <f aca="false">1+IF($G$7=$E$7,$F$7,IF(Q106&lt;($F$7-$E$7)/($G$7-$E$7),$E$7+SQRT(Q106*($G$7-$E$7)*($F$7-$E$7)),$G$7-SQRT((1-Q106)*($G$7-$E$7)*($G$7-$F$7))))</f>
        <v>0.99959292597595</v>
      </c>
      <c r="D106" s="37" t="n">
        <f aca="false">1+IF($G$8=$E$8,$F$8,IF(R106&lt;($F$8-$E$8)/($G$8-$E$8),$E$8+SQRT(R106*($G$8-$E$8)*($F$8-$E$8)),$G$8-SQRT((1-R106)*($G$8-$E$8)*($G$8-$F$8))))</f>
        <v>1.04931092130214</v>
      </c>
      <c r="E106" s="37" t="n">
        <f aca="false">1+IF($G$9=$E$9,$F$9,IF(S106&lt;($F$9-$E$9)/($G$9-$E$9),$E$9+SQRT(S106*($G$9-$E$9)*($F$9-$E$9)),$G$9-SQRT((1-S106)*($G$9-$E$9)*($G$9-$F$9))))</f>
        <v>0.961321030240976</v>
      </c>
      <c r="F106" s="37" t="n">
        <f aca="false">1+IF($G$10=$E$10,$F$10,IF(T106&lt;($F$10-$E$10)/($G$10-$E$10),$E$10+SQRT(T106*($G$10-$E$10)*($F$10-$E$10)),$G$10-SQRT((1-T106)*($G$10-$E$10)*($G$10-$F$10))))</f>
        <v>1.0898440307823</v>
      </c>
      <c r="G106" s="38" t="n">
        <f aca="false">IF($G$11=$E$11,$F$11,IF(U106&lt;($F$11-$E$11)/($G$11-$E$11),$E$11+SQRT(U106*($G$11-$E$11)*($F$11-$E$11)),$G$11-SQRT((1-U106)*($G$11-$E$11)*($G$11-$F$11))))</f>
        <v>0.11531495780925</v>
      </c>
      <c r="H106" s="39" t="n">
        <f aca="false">(('Business Case'!B11*$C106*'Business Case'!B12*$B106)-'Business Case'!B11*$C106*'Business Case'!B13*$D106-'Business Case'!B14*$E106)-MAX(0,(('Business Case'!B11*$C106*'Business Case'!B12*$B106)-'Business Case'!B11*$C106*'Business Case'!B13*$D106-'Business Case'!B14*$E106))*'Business Case'!$B$7-'Business Case'!$B$8*('Business Case'!B11*$C106*'Business Case'!B12*$B106)-'Business Case'!B15*$F106</f>
        <v>-2179688061.5646</v>
      </c>
      <c r="I106" s="39" t="n">
        <f aca="false">(('Business Case'!C11*$C106*'Business Case'!C12*$B106)-'Business Case'!C11*$C106*'Business Case'!C13*$D106-'Business Case'!C14*$E106)-MAX(0,(('Business Case'!C11*$C106*'Business Case'!C12*$B106)-'Business Case'!C11*$C106*'Business Case'!C13*$D106-'Business Case'!C14*$E106))*'Business Case'!$B$7-'Business Case'!$B$8*(('Business Case'!C11*$C106*'Business Case'!C12*$B106)-('Business Case'!B11*$C106*'Business Case'!B12*$B106))-'Business Case'!C15*$F106</f>
        <v>-8595348.08910304</v>
      </c>
      <c r="J106" s="39" t="n">
        <f aca="false">(('Business Case'!D11*$C106*'Business Case'!D12*$B106)-'Business Case'!D11*$C106*'Business Case'!D13*$D106-'Business Case'!D14*$E106)-MAX(0,(('Business Case'!D11*$C106*'Business Case'!D12*$B106)-'Business Case'!D11*$C106*'Business Case'!D13*$D106-'Business Case'!D14*$E106))*'Business Case'!$B$7-'Business Case'!$B$8*(('Business Case'!D11*$C106*'Business Case'!D12*$B106)-('Business Case'!C11*$C106*'Business Case'!C12*$B106))-'Business Case'!D15*$F106</f>
        <v>280793117.340691</v>
      </c>
      <c r="K106" s="39" t="n">
        <f aca="false">(('Business Case'!E11*$C106*'Business Case'!E12*$B106)-'Business Case'!E11*$C106*'Business Case'!E13*$D106-'Business Case'!E14*$E106)-MAX(0,(('Business Case'!E11*$C106*'Business Case'!E12*$B106)-'Business Case'!E11*$C106*'Business Case'!E13*$D106-'Business Case'!E14*$E106))*'Business Case'!$B$7-'Business Case'!$B$8*(('Business Case'!E11*$C106*'Business Case'!E12*$B106)-('Business Case'!D11*$C106*'Business Case'!D12*$B106))-'Business Case'!E15*$F106</f>
        <v>624673784.3096</v>
      </c>
      <c r="L106" s="39" t="n">
        <f aca="false">(('Business Case'!F11*$C106*'Business Case'!F12*$B106)-'Business Case'!F11*$C106*'Business Case'!F13*$D106-'Business Case'!F14*$E106)-MAX(0,(('Business Case'!F11*$C106*'Business Case'!F12*$B106)-'Business Case'!F11*$C106*'Business Case'!F13*$D106-'Business Case'!F14*$E106))*'Business Case'!$B$7-'Business Case'!$B$8*(('Business Case'!F11*$C106*'Business Case'!F12*$B106)-('Business Case'!E11*$C106*'Business Case'!E12*$B106))-'Business Case'!F15*$F106</f>
        <v>756002979.413132</v>
      </c>
      <c r="M106" s="39" t="n">
        <f aca="false">(('Business Case'!G11*$C106*'Business Case'!G12*$B106)-'Business Case'!G11*$C106*'Business Case'!G13*$D106-'Business Case'!G14*$E106)-MAX(0,(('Business Case'!G11*$C106*'Business Case'!G12*$B106)-'Business Case'!G11*$C106*'Business Case'!G13*$D106-'Business Case'!G14*$E106))*'Business Case'!$B$7-'Business Case'!$B$8*(('Business Case'!G11*$C106*'Business Case'!G12*$B106)-('Business Case'!F11*$C106*'Business Case'!F12*$B106))-'Business Case'!G15*$F106+'Business Case'!$B$8*('Business Case'!G11*$C106*'Business Case'!G12*$B106)</f>
        <v>947768032.527933</v>
      </c>
      <c r="N106" s="39" t="n">
        <f aca="false">IF(COUNT('Business Case'!B11:G11)=0,"",H106+NPV(G106,I106:M106))</f>
        <v>-473649315.29794</v>
      </c>
      <c r="P106" s="40" t="n">
        <f aca="true">RAND()</f>
        <v>0.803338466176604</v>
      </c>
      <c r="Q106" s="40" t="n">
        <f aca="true">RAND()</f>
        <v>0.569104801423443</v>
      </c>
      <c r="R106" s="40" t="n">
        <f aca="true">RAND()</f>
        <v>0.909440427757344</v>
      </c>
      <c r="S106" s="40" t="n">
        <f aca="true">RAND()</f>
        <v>0.0170887634289446</v>
      </c>
      <c r="T106" s="40" t="n">
        <f aca="true">RAND()</f>
        <v>0.757313248914185</v>
      </c>
      <c r="U106" s="40" t="n">
        <f aca="true">RAND()</f>
        <v>0.963417299451488</v>
      </c>
    </row>
    <row r="107" customFormat="false" ht="15" hidden="false" customHeight="false" outlineLevel="0" collapsed="false">
      <c r="A107" s="36" t="n">
        <v>27</v>
      </c>
      <c r="B107" s="37" t="n">
        <f aca="false">1+IF($G$6=$E$6,$F$6,IF(P107&lt;($F$6-$E$6)/($G$6-$E$6),$E$6+SQRT(P107*($G$6-$E$6)*($F$6-$E$6)),$G$6-SQRT((1-P107)*($G$6-$E$6)*($G$6-$F$6))))</f>
        <v>0.939011662913824</v>
      </c>
      <c r="C107" s="37" t="n">
        <f aca="false">1+IF($G$7=$E$7,$F$7,IF(Q107&lt;($F$7-$E$7)/($G$7-$E$7),$E$7+SQRT(Q107*($G$7-$E$7)*($F$7-$E$7)),$G$7-SQRT((1-Q107)*($G$7-$E$7)*($G$7-$F$7))))</f>
        <v>0.949669617900396</v>
      </c>
      <c r="D107" s="37" t="n">
        <f aca="false">1+IF($G$8=$E$8,$F$8,IF(R107&lt;($F$8-$E$8)/($G$8-$E$8),$E$8+SQRT(R107*($G$8-$E$8)*($F$8-$E$8)),$G$8-SQRT((1-R107)*($G$8-$E$8)*($G$8-$F$8))))</f>
        <v>1.00147639565524</v>
      </c>
      <c r="E107" s="37" t="n">
        <f aca="false">1+IF($G$9=$E$9,$F$9,IF(S107&lt;($F$9-$E$9)/($G$9-$E$9),$E$9+SQRT(S107*($G$9-$E$9)*($F$9-$E$9)),$G$9-SQRT((1-S107)*($G$9-$E$9)*($G$9-$F$9))))</f>
        <v>0.976501947962646</v>
      </c>
      <c r="F107" s="37" t="n">
        <f aca="false">1+IF($G$10=$E$10,$F$10,IF(T107&lt;($F$10-$E$10)/($G$10-$E$10),$E$10+SQRT(T107*($G$10-$E$10)*($F$10-$E$10)),$G$10-SQRT((1-T107)*($G$10-$E$10)*($G$10-$F$10))))</f>
        <v>0.993981120143971</v>
      </c>
      <c r="G107" s="38" t="n">
        <f aca="false">IF($G$11=$E$11,$F$11,IF(U107&lt;($F$11-$E$11)/($G$11-$E$11),$E$11+SQRT(U107*($G$11-$E$11)*($F$11-$E$11)),$G$11-SQRT((1-U107)*($G$11-$E$11)*($G$11-$F$11))))</f>
        <v>0.106248160295356</v>
      </c>
      <c r="H107" s="39" t="n">
        <f aca="false">(('Business Case'!B11*$C107*'Business Case'!B12*$B107)-'Business Case'!B11*$C107*'Business Case'!B13*$D107-'Business Case'!B14*$E107)-MAX(0,(('Business Case'!B11*$C107*'Business Case'!B12*$B107)-'Business Case'!B11*$C107*'Business Case'!B13*$D107-'Business Case'!B14*$E107))*'Business Case'!$B$7-'Business Case'!$B$8*('Business Case'!B11*$C107*'Business Case'!B12*$B107)-'Business Case'!B15*$F107</f>
        <v>-1987962240.28794</v>
      </c>
      <c r="I107" s="39" t="n">
        <f aca="false">(('Business Case'!C11*$C107*'Business Case'!C12*$B107)-'Business Case'!C11*$C107*'Business Case'!C13*$D107-'Business Case'!C14*$E107)-MAX(0,(('Business Case'!C11*$C107*'Business Case'!C12*$B107)-'Business Case'!C11*$C107*'Business Case'!C13*$D107-'Business Case'!C14*$E107))*'Business Case'!$B$7-'Business Case'!$B$8*(('Business Case'!C11*$C107*'Business Case'!C12*$B107)-('Business Case'!B11*$C107*'Business Case'!B12*$B107))-'Business Case'!C15*$F107</f>
        <v>-40949530.8091022</v>
      </c>
      <c r="J107" s="39" t="n">
        <f aca="false">(('Business Case'!D11*$C107*'Business Case'!D12*$B107)-'Business Case'!D11*$C107*'Business Case'!D13*$D107-'Business Case'!D14*$E107)-MAX(0,(('Business Case'!D11*$C107*'Business Case'!D12*$B107)-'Business Case'!D11*$C107*'Business Case'!D13*$D107-'Business Case'!D14*$E107))*'Business Case'!$B$7-'Business Case'!$B$8*(('Business Case'!D11*$C107*'Business Case'!D12*$B107)-('Business Case'!C11*$C107*'Business Case'!C12*$B107))-'Business Case'!D15*$F107</f>
        <v>202585991.311357</v>
      </c>
      <c r="K107" s="39" t="n">
        <f aca="false">(('Business Case'!E11*$C107*'Business Case'!E12*$B107)-'Business Case'!E11*$C107*'Business Case'!E13*$D107-'Business Case'!E14*$E107)-MAX(0,(('Business Case'!E11*$C107*'Business Case'!E12*$B107)-'Business Case'!E11*$C107*'Business Case'!E13*$D107-'Business Case'!E14*$E107))*'Business Case'!$B$7-'Business Case'!$B$8*(('Business Case'!E11*$C107*'Business Case'!E12*$B107)-('Business Case'!D11*$C107*'Business Case'!D12*$B107))-'Business Case'!E15*$F107</f>
        <v>495820569.439015</v>
      </c>
      <c r="L107" s="39" t="n">
        <f aca="false">(('Business Case'!F11*$C107*'Business Case'!F12*$B107)-'Business Case'!F11*$C107*'Business Case'!F13*$D107-'Business Case'!F14*$E107)-MAX(0,(('Business Case'!F11*$C107*'Business Case'!F12*$B107)-'Business Case'!F11*$C107*'Business Case'!F13*$D107-'Business Case'!F14*$E107))*'Business Case'!$B$7-'Business Case'!$B$8*(('Business Case'!F11*$C107*'Business Case'!F12*$B107)-('Business Case'!E11*$C107*'Business Case'!E12*$B107))-'Business Case'!F15*$F107</f>
        <v>607817986.089086</v>
      </c>
      <c r="M107" s="39" t="n">
        <f aca="false">(('Business Case'!G11*$C107*'Business Case'!G12*$B107)-'Business Case'!G11*$C107*'Business Case'!G13*$D107-'Business Case'!G14*$E107)-MAX(0,(('Business Case'!G11*$C107*'Business Case'!G12*$B107)-'Business Case'!G11*$C107*'Business Case'!G13*$D107-'Business Case'!G14*$E107))*'Business Case'!$B$7-'Business Case'!$B$8*(('Business Case'!G11*$C107*'Business Case'!G12*$B107)-('Business Case'!F11*$C107*'Business Case'!F12*$B107))-'Business Case'!G15*$F107+'Business Case'!$B$8*('Business Case'!G11*$C107*'Business Case'!G12*$B107)</f>
        <v>777321987.1103</v>
      </c>
      <c r="N107" s="39" t="n">
        <f aca="false">IF(COUNT('Business Case'!B11:G11)=0,"",H107+NPV(G107,I107:M107))</f>
        <v>-618170962.217439</v>
      </c>
      <c r="P107" s="40" t="n">
        <f aca="true">RAND()</f>
        <v>0.0376503465363409</v>
      </c>
      <c r="Q107" s="40" t="n">
        <f aca="true">RAND()</f>
        <v>0.320014207463577</v>
      </c>
      <c r="R107" s="40" t="n">
        <f aca="true">RAND()</f>
        <v>0.40711957314496</v>
      </c>
      <c r="S107" s="40" t="n">
        <f aca="true">RAND()</f>
        <v>0.0936470994419736</v>
      </c>
      <c r="T107" s="40" t="n">
        <f aca="true">RAND()</f>
        <v>0.154747114329476</v>
      </c>
      <c r="U107" s="40" t="n">
        <f aca="true">RAND()</f>
        <v>0.684811507896298</v>
      </c>
    </row>
    <row r="108" customFormat="false" ht="15" hidden="false" customHeight="false" outlineLevel="0" collapsed="false">
      <c r="A108" s="36" t="n">
        <v>28</v>
      </c>
      <c r="B108" s="37" t="n">
        <f aca="false">1+IF($G$6=$E$6,$F$6,IF(P108&lt;($F$6-$E$6)/($G$6-$E$6),$E$6+SQRT(P108*($G$6-$E$6)*($F$6-$E$6)),$G$6-SQRT((1-P108)*($G$6-$E$6)*($G$6-$F$6))))</f>
        <v>1.01317287925725</v>
      </c>
      <c r="C108" s="37" t="n">
        <f aca="false">1+IF($G$7=$E$7,$F$7,IF(Q108&lt;($F$7-$E$7)/($G$7-$E$7),$E$7+SQRT(Q108*($G$7-$E$7)*($F$7-$E$7)),$G$7-SQRT((1-Q108)*($G$7-$E$7)*($G$7-$F$7))))</f>
        <v>1.07663002450826</v>
      </c>
      <c r="D108" s="37" t="n">
        <f aca="false">1+IF($G$8=$E$8,$F$8,IF(R108&lt;($F$8-$E$8)/($G$8-$E$8),$E$8+SQRT(R108*($G$8-$E$8)*($F$8-$E$8)),$G$8-SQRT((1-R108)*($G$8-$E$8)*($G$8-$F$8))))</f>
        <v>1.01664525014538</v>
      </c>
      <c r="E108" s="37" t="n">
        <f aca="false">1+IF($G$9=$E$9,$F$9,IF(S108&lt;($F$9-$E$9)/($G$9-$E$9),$E$9+SQRT(S108*($G$9-$E$9)*($F$9-$E$9)),$G$9-SQRT((1-S108)*($G$9-$E$9)*($G$9-$F$9))))</f>
        <v>1.02307629881196</v>
      </c>
      <c r="F108" s="37" t="n">
        <f aca="false">1+IF($G$10=$E$10,$F$10,IF(T108&lt;($F$10-$E$10)/($G$10-$E$10),$E$10+SQRT(T108*($G$10-$E$10)*($F$10-$E$10)),$G$10-SQRT((1-T108)*($G$10-$E$10)*($G$10-$F$10))))</f>
        <v>1.01495872447792</v>
      </c>
      <c r="G108" s="38" t="n">
        <f aca="false">IF($G$11=$E$11,$F$11,IF(U108&lt;($F$11-$E$11)/($G$11-$E$11),$E$11+SQRT(U108*($G$11-$E$11)*($F$11-$E$11)),$G$11-SQRT((1-U108)*($G$11-$E$11)*($G$11-$F$11))))</f>
        <v>0.0996421830519801</v>
      </c>
      <c r="H108" s="39" t="n">
        <f aca="false">(('Business Case'!B11*$C108*'Business Case'!B12*$B108)-'Business Case'!B11*$C108*'Business Case'!B13*$D108-'Business Case'!B14*$E108)-MAX(0,(('Business Case'!B11*$C108*'Business Case'!B12*$B108)-'Business Case'!B11*$C108*'Business Case'!B13*$D108-'Business Case'!B14*$E108))*'Business Case'!$B$7-'Business Case'!$B$8*('Business Case'!B11*$C108*'Business Case'!B12*$B108)-'Business Case'!B15*$F108</f>
        <v>-2029917448.95584</v>
      </c>
      <c r="I108" s="39" t="n">
        <f aca="false">(('Business Case'!C11*$C108*'Business Case'!C12*$B108)-'Business Case'!C11*$C108*'Business Case'!C13*$D108-'Business Case'!C14*$E108)-MAX(0,(('Business Case'!C11*$C108*'Business Case'!C12*$B108)-'Business Case'!C11*$C108*'Business Case'!C13*$D108-'Business Case'!C14*$E108))*'Business Case'!$B$7-'Business Case'!$B$8*(('Business Case'!C11*$C108*'Business Case'!C12*$B108)-('Business Case'!B11*$C108*'Business Case'!B12*$B108))-'Business Case'!C15*$F108</f>
        <v>29606366.6718416</v>
      </c>
      <c r="J108" s="39" t="n">
        <f aca="false">(('Business Case'!D11*$C108*'Business Case'!D12*$B108)-'Business Case'!D11*$C108*'Business Case'!D13*$D108-'Business Case'!D14*$E108)-MAX(0,(('Business Case'!D11*$C108*'Business Case'!D12*$B108)-'Business Case'!D11*$C108*'Business Case'!D13*$D108-'Business Case'!D14*$E108))*'Business Case'!$B$7-'Business Case'!$B$8*(('Business Case'!D11*$C108*'Business Case'!D12*$B108)-('Business Case'!C11*$C108*'Business Case'!C12*$B108))-'Business Case'!D15*$F108</f>
        <v>362737767.282788</v>
      </c>
      <c r="K108" s="39" t="n">
        <f aca="false">(('Business Case'!E11*$C108*'Business Case'!E12*$B108)-'Business Case'!E11*$C108*'Business Case'!E13*$D108-'Business Case'!E14*$E108)-MAX(0,(('Business Case'!E11*$C108*'Business Case'!E12*$B108)-'Business Case'!E11*$C108*'Business Case'!E13*$D108-'Business Case'!E14*$E108))*'Business Case'!$B$7-'Business Case'!$B$8*(('Business Case'!E11*$C108*'Business Case'!E12*$B108)-('Business Case'!D11*$C108*'Business Case'!D12*$B108))-'Business Case'!E15*$F108</f>
        <v>746617104.11763</v>
      </c>
      <c r="L108" s="39" t="n">
        <f aca="false">(('Business Case'!F11*$C108*'Business Case'!F12*$B108)-'Business Case'!F11*$C108*'Business Case'!F13*$D108-'Business Case'!F14*$E108)-MAX(0,(('Business Case'!F11*$C108*'Business Case'!F12*$B108)-'Business Case'!F11*$C108*'Business Case'!F13*$D108-'Business Case'!F14*$E108))*'Business Case'!$B$7-'Business Case'!$B$8*(('Business Case'!F11*$C108*'Business Case'!F12*$B108)-('Business Case'!E11*$C108*'Business Case'!E12*$B108))-'Business Case'!F15*$F108</f>
        <v>895359378.85478</v>
      </c>
      <c r="M108" s="39" t="n">
        <f aca="false">(('Business Case'!G11*$C108*'Business Case'!G12*$B108)-'Business Case'!G11*$C108*'Business Case'!G13*$D108-'Business Case'!G14*$E108)-MAX(0,(('Business Case'!G11*$C108*'Business Case'!G12*$B108)-'Business Case'!G11*$C108*'Business Case'!G13*$D108-'Business Case'!G14*$E108))*'Business Case'!$B$7-'Business Case'!$B$8*(('Business Case'!G11*$C108*'Business Case'!G12*$B108)-('Business Case'!F11*$C108*'Business Case'!F12*$B108))-'Business Case'!G15*$F108+'Business Case'!$B$8*('Business Case'!G11*$C108*'Business Case'!G12*$B108)</f>
        <v>1102700988.78904</v>
      </c>
      <c r="N108" s="39" t="n">
        <f aca="false">IF(COUNT('Business Case'!B11:G11)=0,"",H108+NPV(G108,I108:M108))</f>
        <v>156620950.374753</v>
      </c>
      <c r="P108" s="40" t="n">
        <f aca="true">RAND()</f>
        <v>0.850063665136285</v>
      </c>
      <c r="Q108" s="40" t="n">
        <f aca="true">RAND()</f>
        <v>0.897463746596994</v>
      </c>
      <c r="R108" s="40" t="n">
        <f aca="true">RAND()</f>
        <v>0.614055352967213</v>
      </c>
      <c r="S108" s="40" t="n">
        <f aca="true">RAND()</f>
        <v>0.6055162797022</v>
      </c>
      <c r="T108" s="40" t="n">
        <f aca="true">RAND()</f>
        <v>0.315194527063232</v>
      </c>
      <c r="U108" s="40" t="n">
        <f aca="true">RAND()</f>
        <v>0.309905646692972</v>
      </c>
    </row>
    <row r="109" customFormat="false" ht="15" hidden="false" customHeight="false" outlineLevel="0" collapsed="false">
      <c r="A109" s="36" t="n">
        <v>29</v>
      </c>
      <c r="B109" s="37" t="n">
        <f aca="false">1+IF($G$6=$E$6,$F$6,IF(P109&lt;($F$6-$E$6)/($G$6-$E$6),$E$6+SQRT(P109*($G$6-$E$6)*($F$6-$E$6)),$G$6-SQRT((1-P109)*($G$6-$E$6)*($G$6-$F$6))))</f>
        <v>1.02426236535571</v>
      </c>
      <c r="C109" s="37" t="n">
        <f aca="false">1+IF($G$7=$E$7,$F$7,IF(Q109&lt;($F$7-$E$7)/($G$7-$E$7),$E$7+SQRT(Q109*($G$7-$E$7)*($F$7-$E$7)),$G$7-SQRT((1-Q109)*($G$7-$E$7)*($G$7-$F$7))))</f>
        <v>0.998056288585366</v>
      </c>
      <c r="D109" s="37" t="n">
        <f aca="false">1+IF($G$8=$E$8,$F$8,IF(R109&lt;($F$8-$E$8)/($G$8-$E$8),$E$8+SQRT(R109*($G$8-$E$8)*($F$8-$E$8)),$G$8-SQRT((1-R109)*($G$8-$E$8)*($G$8-$F$8))))</f>
        <v>1.03815182355449</v>
      </c>
      <c r="E109" s="37" t="n">
        <f aca="false">1+IF($G$9=$E$9,$F$9,IF(S109&lt;($F$9-$E$9)/($G$9-$E$9),$E$9+SQRT(S109*($G$9-$E$9)*($F$9-$E$9)),$G$9-SQRT((1-S109)*($G$9-$E$9)*($G$9-$F$9))))</f>
        <v>1.04290381727141</v>
      </c>
      <c r="F109" s="37" t="n">
        <f aca="false">1+IF($G$10=$E$10,$F$10,IF(T109&lt;($F$10-$E$10)/($G$10-$E$10),$E$10+SQRT(T109*($G$10-$E$10)*($F$10-$E$10)),$G$10-SQRT((1-T109)*($G$10-$E$10)*($G$10-$F$10))))</f>
        <v>1.09465129537727</v>
      </c>
      <c r="G109" s="38" t="n">
        <f aca="false">IF($G$11=$E$11,$F$11,IF(U109&lt;($F$11-$E$11)/($G$11-$E$11),$E$11+SQRT(U109*($G$11-$E$11)*($F$11-$E$11)),$G$11-SQRT((1-U109)*($G$11-$E$11)*($G$11-$F$11))))</f>
        <v>0.115441887137117</v>
      </c>
      <c r="H109" s="39" t="n">
        <f aca="false">(('Business Case'!B11*$C109*'Business Case'!B12*$B109)-'Business Case'!B11*$C109*'Business Case'!B13*$D109-'Business Case'!B14*$E109)-MAX(0,(('Business Case'!B11*$C109*'Business Case'!B12*$B109)-'Business Case'!B11*$C109*'Business Case'!B13*$D109-'Business Case'!B14*$E109))*'Business Case'!$B$7-'Business Case'!$B$8*('Business Case'!B11*$C109*'Business Case'!B12*$B109)-'Business Case'!B15*$F109</f>
        <v>-2189302590.75454</v>
      </c>
      <c r="I109" s="39" t="n">
        <f aca="false">(('Business Case'!C11*$C109*'Business Case'!C12*$B109)-'Business Case'!C11*$C109*'Business Case'!C13*$D109-'Business Case'!C14*$E109)-MAX(0,(('Business Case'!C11*$C109*'Business Case'!C12*$B109)-'Business Case'!C11*$C109*'Business Case'!C13*$D109-'Business Case'!C14*$E109))*'Business Case'!$B$7-'Business Case'!$B$8*(('Business Case'!C11*$C109*'Business Case'!C12*$B109)-('Business Case'!B11*$C109*'Business Case'!B12*$B109))-'Business Case'!C15*$F109</f>
        <v>-3864343.53312439</v>
      </c>
      <c r="J109" s="39" t="n">
        <f aca="false">(('Business Case'!D11*$C109*'Business Case'!D12*$B109)-'Business Case'!D11*$C109*'Business Case'!D13*$D109-'Business Case'!D14*$E109)-MAX(0,(('Business Case'!D11*$C109*'Business Case'!D12*$B109)-'Business Case'!D11*$C109*'Business Case'!D13*$D109-'Business Case'!D14*$E109))*'Business Case'!$B$7-'Business Case'!$B$8*(('Business Case'!D11*$C109*'Business Case'!D12*$B109)-('Business Case'!C11*$C109*'Business Case'!C12*$B109))-'Business Case'!D15*$F109</f>
        <v>303031919.583326</v>
      </c>
      <c r="K109" s="39" t="n">
        <f aca="false">(('Business Case'!E11*$C109*'Business Case'!E12*$B109)-'Business Case'!E11*$C109*'Business Case'!E13*$D109-'Business Case'!E14*$E109)-MAX(0,(('Business Case'!E11*$C109*'Business Case'!E12*$B109)-'Business Case'!E11*$C109*'Business Case'!E13*$D109-'Business Case'!E14*$E109))*'Business Case'!$B$7-'Business Case'!$B$8*(('Business Case'!E11*$C109*'Business Case'!E12*$B109)-('Business Case'!D11*$C109*'Business Case'!D12*$B109))-'Business Case'!E15*$F109</f>
        <v>664660747.468639</v>
      </c>
      <c r="L109" s="39" t="n">
        <f aca="false">(('Business Case'!F11*$C109*'Business Case'!F12*$B109)-'Business Case'!F11*$C109*'Business Case'!F13*$D109-'Business Case'!F14*$E109)-MAX(0,(('Business Case'!F11*$C109*'Business Case'!F12*$B109)-'Business Case'!F11*$C109*'Business Case'!F13*$D109-'Business Case'!F14*$E109))*'Business Case'!$B$7-'Business Case'!$B$8*(('Business Case'!F11*$C109*'Business Case'!F12*$B109)-('Business Case'!E11*$C109*'Business Case'!E12*$B109))-'Business Case'!F15*$F109</f>
        <v>802289204.704691</v>
      </c>
      <c r="M109" s="39" t="n">
        <f aca="false">(('Business Case'!G11*$C109*'Business Case'!G12*$B109)-'Business Case'!G11*$C109*'Business Case'!G13*$D109-'Business Case'!G14*$E109)-MAX(0,(('Business Case'!G11*$C109*'Business Case'!G12*$B109)-'Business Case'!G11*$C109*'Business Case'!G13*$D109-'Business Case'!G14*$E109))*'Business Case'!$B$7-'Business Case'!$B$8*(('Business Case'!G11*$C109*'Business Case'!G12*$B109)-('Business Case'!F11*$C109*'Business Case'!F12*$B109))-'Business Case'!G15*$F109+'Business Case'!$B$8*('Business Case'!G11*$C109*'Business Case'!G12*$B109)</f>
        <v>996602570.456155</v>
      </c>
      <c r="N109" s="39" t="n">
        <f aca="false">IF(COUNT('Business Case'!B11:G11)=0,"",H109+NPV(G109,I109:M109))</f>
        <v>-374894950.667098</v>
      </c>
      <c r="P109" s="40" t="n">
        <f aca="true">RAND()</f>
        <v>0.948401428292243</v>
      </c>
      <c r="Q109" s="40" t="n">
        <f aca="true">RAND()</f>
        <v>0.560375620688712</v>
      </c>
      <c r="R109" s="40" t="n">
        <f aca="true">RAND()</f>
        <v>0.831608666171648</v>
      </c>
      <c r="S109" s="40" t="n">
        <f aca="true">RAND()</f>
        <v>0.782668394521527</v>
      </c>
      <c r="T109" s="40" t="n">
        <f aca="true">RAND()</f>
        <v>0.778033008686249</v>
      </c>
      <c r="U109" s="40" t="n">
        <f aca="true">RAND()</f>
        <v>0.965372678548699</v>
      </c>
    </row>
    <row r="110" customFormat="false" ht="15" hidden="false" customHeight="false" outlineLevel="0" collapsed="false">
      <c r="A110" s="36" t="n">
        <v>30</v>
      </c>
      <c r="B110" s="37" t="n">
        <f aca="false">1+IF($G$6=$E$6,$F$6,IF(P110&lt;($F$6-$E$6)/($G$6-$E$6),$E$6+SQRT(P110*($G$6-$E$6)*($F$6-$E$6)),$G$6-SQRT((1-P110)*($G$6-$E$6)*($G$6-$F$6))))</f>
        <v>0.997694953682564</v>
      </c>
      <c r="C110" s="37" t="n">
        <f aca="false">1+IF($G$7=$E$7,$F$7,IF(Q110&lt;($F$7-$E$7)/($G$7-$E$7),$E$7+SQRT(Q110*($G$7-$E$7)*($F$7-$E$7)),$G$7-SQRT((1-Q110)*($G$7-$E$7)*($G$7-$F$7))))</f>
        <v>1.00214621313625</v>
      </c>
      <c r="D110" s="37" t="n">
        <f aca="false">1+IF($G$8=$E$8,$F$8,IF(R110&lt;($F$8-$E$8)/($G$8-$E$8),$E$8+SQRT(R110*($G$8-$E$8)*($F$8-$E$8)),$G$8-SQRT((1-R110)*($G$8-$E$8)*($G$8-$F$8))))</f>
        <v>0.993471320945777</v>
      </c>
      <c r="E110" s="37" t="n">
        <f aca="false">1+IF($G$9=$E$9,$F$9,IF(S110&lt;($F$9-$E$9)/($G$9-$E$9),$E$9+SQRT(S110*($G$9-$E$9)*($F$9-$E$9)),$G$9-SQRT((1-S110)*($G$9-$E$9)*($G$9-$F$9))))</f>
        <v>0.999054953060853</v>
      </c>
      <c r="F110" s="37" t="n">
        <f aca="false">1+IF($G$10=$E$10,$F$10,IF(T110&lt;($F$10-$E$10)/($G$10-$E$10),$E$10+SQRT(T110*($G$10-$E$10)*($F$10-$E$10)),$G$10-SQRT((1-T110)*($G$10-$E$10)*($G$10-$F$10))))</f>
        <v>1.10745673187501</v>
      </c>
      <c r="G110" s="38" t="n">
        <f aca="false">IF($G$11=$E$11,$F$11,IF(U110&lt;($F$11-$E$11)/($G$11-$E$11),$E$11+SQRT(U110*($G$11-$E$11)*($F$11-$E$11)),$G$11-SQRT((1-U110)*($G$11-$E$11)*($G$11-$F$11))))</f>
        <v>0.100652563583961</v>
      </c>
      <c r="H110" s="39" t="n">
        <f aca="false">(('Business Case'!B11*$C110*'Business Case'!B12*$B110)-'Business Case'!B11*$C110*'Business Case'!B13*$D110-'Business Case'!B14*$E110)-MAX(0,(('Business Case'!B11*$C110*'Business Case'!B12*$B110)-'Business Case'!B11*$C110*'Business Case'!B13*$D110-'Business Case'!B14*$E110))*'Business Case'!$B$7-'Business Case'!$B$8*('Business Case'!B11*$C110*'Business Case'!B12*$B110)-'Business Case'!B15*$F110</f>
        <v>-2214913463.75003</v>
      </c>
      <c r="I110" s="39" t="n">
        <f aca="false">(('Business Case'!C11*$C110*'Business Case'!C12*$B110)-'Business Case'!C11*$C110*'Business Case'!C13*$D110-'Business Case'!C14*$E110)-MAX(0,(('Business Case'!C11*$C110*'Business Case'!C12*$B110)-'Business Case'!C11*$C110*'Business Case'!C13*$D110-'Business Case'!C14*$E110))*'Business Case'!$B$7-'Business Case'!$B$8*(('Business Case'!C11*$C110*'Business Case'!C12*$B110)-('Business Case'!B11*$C110*'Business Case'!B12*$B110))-'Business Case'!C15*$F110</f>
        <v>4625699.94206849</v>
      </c>
      <c r="J110" s="39" t="n">
        <f aca="false">(('Business Case'!D11*$C110*'Business Case'!D12*$B110)-'Business Case'!D11*$C110*'Business Case'!D13*$D110-'Business Case'!D14*$E110)-MAX(0,(('Business Case'!D11*$C110*'Business Case'!D12*$B110)-'Business Case'!D11*$C110*'Business Case'!D13*$D110-'Business Case'!D14*$E110))*'Business Case'!$B$7-'Business Case'!$B$8*(('Business Case'!D11*$C110*'Business Case'!D12*$B110)-('Business Case'!C11*$C110*'Business Case'!C12*$B110))-'Business Case'!D15*$F110</f>
        <v>313894197.026042</v>
      </c>
      <c r="K110" s="39" t="n">
        <f aca="false">(('Business Case'!E11*$C110*'Business Case'!E12*$B110)-'Business Case'!E11*$C110*'Business Case'!E13*$D110-'Business Case'!E14*$E110)-MAX(0,(('Business Case'!E11*$C110*'Business Case'!E12*$B110)-'Business Case'!E11*$C110*'Business Case'!E13*$D110-'Business Case'!E14*$E110))*'Business Case'!$B$7-'Business Case'!$B$8*(('Business Case'!E11*$C110*'Business Case'!E12*$B110)-('Business Case'!D11*$C110*'Business Case'!D12*$B110))-'Business Case'!E15*$F110</f>
        <v>678535530.703767</v>
      </c>
      <c r="L110" s="39" t="n">
        <f aca="false">(('Business Case'!F11*$C110*'Business Case'!F12*$B110)-'Business Case'!F11*$C110*'Business Case'!F13*$D110-'Business Case'!F14*$E110)-MAX(0,(('Business Case'!F11*$C110*'Business Case'!F12*$B110)-'Business Case'!F11*$C110*'Business Case'!F13*$D110-'Business Case'!F14*$E110))*'Business Case'!$B$7-'Business Case'!$B$8*(('Business Case'!F11*$C110*'Business Case'!F12*$B110)-('Business Case'!E11*$C110*'Business Case'!E12*$B110))-'Business Case'!F15*$F110</f>
        <v>816179369.484525</v>
      </c>
      <c r="M110" s="39" t="n">
        <f aca="false">(('Business Case'!G11*$C110*'Business Case'!G12*$B110)-'Business Case'!G11*$C110*'Business Case'!G13*$D110-'Business Case'!G14*$E110)-MAX(0,(('Business Case'!G11*$C110*'Business Case'!G12*$B110)-'Business Case'!G11*$C110*'Business Case'!G13*$D110-'Business Case'!G14*$E110))*'Business Case'!$B$7-'Business Case'!$B$8*(('Business Case'!G11*$C110*'Business Case'!G12*$B110)-('Business Case'!F11*$C110*'Business Case'!F12*$B110))-'Business Case'!G15*$F110+'Business Case'!$B$8*('Business Case'!G11*$C110*'Business Case'!G12*$B110)</f>
        <v>1006228238.12475</v>
      </c>
      <c r="N110" s="39" t="n">
        <f aca="false">IF(COUNT('Business Case'!B11:G11)=0,"",H110+NPV(G110,I110:M110))</f>
        <v>-263634795.440205</v>
      </c>
      <c r="P110" s="40" t="n">
        <f aca="true">RAND()</f>
        <v>0.628802690389141</v>
      </c>
      <c r="Q110" s="40" t="n">
        <f aca="true">RAND()</f>
        <v>0.583604908762836</v>
      </c>
      <c r="R110" s="40" t="n">
        <f aca="true">RAND()</f>
        <v>0.290731653041657</v>
      </c>
      <c r="S110" s="40" t="n">
        <f aca="true">RAND()</f>
        <v>0.320851789306992</v>
      </c>
      <c r="T110" s="40" t="n">
        <f aca="true">RAND()</f>
        <v>0.828714870494935</v>
      </c>
      <c r="U110" s="40" t="n">
        <f aca="true">RAND()</f>
        <v>0.376127840212211</v>
      </c>
    </row>
    <row r="111" customFormat="false" ht="15" hidden="false" customHeight="false" outlineLevel="0" collapsed="false">
      <c r="A111" s="36" t="n">
        <v>31</v>
      </c>
      <c r="B111" s="37" t="n">
        <f aca="false">1+IF($G$6=$E$6,$F$6,IF(P111&lt;($F$6-$E$6)/($G$6-$E$6),$E$6+SQRT(P111*($G$6-$E$6)*($F$6-$E$6)),$G$6-SQRT((1-P111)*($G$6-$E$6)*($G$6-$F$6))))</f>
        <v>0.973594755372899</v>
      </c>
      <c r="C111" s="37" t="n">
        <f aca="false">1+IF($G$7=$E$7,$F$7,IF(Q111&lt;($F$7-$E$7)/($G$7-$E$7),$E$7+SQRT(Q111*($G$7-$E$7)*($F$7-$E$7)),$G$7-SQRT((1-Q111)*($G$7-$E$7)*($G$7-$F$7))))</f>
        <v>0.968149509760484</v>
      </c>
      <c r="D111" s="37" t="n">
        <f aca="false">1+IF($G$8=$E$8,$F$8,IF(R111&lt;($F$8-$E$8)/($G$8-$E$8),$E$8+SQRT(R111*($G$8-$E$8)*($F$8-$E$8)),$G$8-SQRT((1-R111)*($G$8-$E$8)*($G$8-$F$8))))</f>
        <v>0.994478721168761</v>
      </c>
      <c r="E111" s="37" t="n">
        <f aca="false">1+IF($G$9=$E$9,$F$9,IF(S111&lt;($F$9-$E$9)/($G$9-$E$9),$E$9+SQRT(S111*($G$9-$E$9)*($F$9-$E$9)),$G$9-SQRT((1-S111)*($G$9-$E$9)*($G$9-$F$9))))</f>
        <v>1.09136740033938</v>
      </c>
      <c r="F111" s="37" t="n">
        <f aca="false">1+IF($G$10=$E$10,$F$10,IF(T111&lt;($F$10-$E$10)/($G$10-$E$10),$E$10+SQRT(T111*($G$10-$E$10)*($F$10-$E$10)),$G$10-SQRT((1-T111)*($G$10-$E$10)*($G$10-$F$10))))</f>
        <v>1.10147486822998</v>
      </c>
      <c r="G111" s="38" t="n">
        <f aca="false">IF($G$11=$E$11,$F$11,IF(U111&lt;($F$11-$E$11)/($G$11-$E$11),$E$11+SQRT(U111*($G$11-$E$11)*($F$11-$E$11)),$G$11-SQRT((1-U111)*($G$11-$E$11)*($G$11-$F$11))))</f>
        <v>0.109873886113401</v>
      </c>
      <c r="H111" s="39" t="n">
        <f aca="false">(('Business Case'!B11*$C111*'Business Case'!B12*$B111)-'Business Case'!B11*$C111*'Business Case'!B13*$D111-'Business Case'!B14*$E111)-MAX(0,(('Business Case'!B11*$C111*'Business Case'!B12*$B111)-'Business Case'!B11*$C111*'Business Case'!B13*$D111-'Business Case'!B14*$E111))*'Business Case'!$B$7-'Business Case'!$B$8*('Business Case'!B11*$C111*'Business Case'!B12*$B111)-'Business Case'!B15*$F111</f>
        <v>-2202949736.45995</v>
      </c>
      <c r="I111" s="39" t="n">
        <f aca="false">(('Business Case'!C11*$C111*'Business Case'!C12*$B111)-'Business Case'!C11*$C111*'Business Case'!C13*$D111-'Business Case'!C14*$E111)-MAX(0,(('Business Case'!C11*$C111*'Business Case'!C12*$B111)-'Business Case'!C11*$C111*'Business Case'!C13*$D111-'Business Case'!C14*$E111))*'Business Case'!$B$7-'Business Case'!$B$8*(('Business Case'!C11*$C111*'Business Case'!C12*$B111)-('Business Case'!B11*$C111*'Business Case'!B12*$B111))-'Business Case'!C15*$F111</f>
        <v>-35037005.5712133</v>
      </c>
      <c r="J111" s="39" t="n">
        <f aca="false">(('Business Case'!D11*$C111*'Business Case'!D12*$B111)-'Business Case'!D11*$C111*'Business Case'!D13*$D111-'Business Case'!D14*$E111)-MAX(0,(('Business Case'!D11*$C111*'Business Case'!D12*$B111)-'Business Case'!D11*$C111*'Business Case'!D13*$D111-'Business Case'!D14*$E111))*'Business Case'!$B$7-'Business Case'!$B$8*(('Business Case'!D11*$C111*'Business Case'!D12*$B111)-('Business Case'!C11*$C111*'Business Case'!C12*$B111))-'Business Case'!D15*$F111</f>
        <v>244129541.189433</v>
      </c>
      <c r="K111" s="39" t="n">
        <f aca="false">(('Business Case'!E11*$C111*'Business Case'!E12*$B111)-'Business Case'!E11*$C111*'Business Case'!E13*$D111-'Business Case'!E14*$E111)-MAX(0,(('Business Case'!E11*$C111*'Business Case'!E12*$B111)-'Business Case'!E11*$C111*'Business Case'!E13*$D111-'Business Case'!E14*$E111))*'Business Case'!$B$7-'Business Case'!$B$8*(('Business Case'!E11*$C111*'Business Case'!E12*$B111)-('Business Case'!D11*$C111*'Business Case'!D12*$B111))-'Business Case'!E15*$F111</f>
        <v>578369831.361578</v>
      </c>
      <c r="L111" s="39" t="n">
        <f aca="false">(('Business Case'!F11*$C111*'Business Case'!F12*$B111)-'Business Case'!F11*$C111*'Business Case'!F13*$D111-'Business Case'!F14*$E111)-MAX(0,(('Business Case'!F11*$C111*'Business Case'!F12*$B111)-'Business Case'!F11*$C111*'Business Case'!F13*$D111-'Business Case'!F14*$E111))*'Business Case'!$B$7-'Business Case'!$B$8*(('Business Case'!F11*$C111*'Business Case'!F12*$B111)-('Business Case'!E11*$C111*'Business Case'!E12*$B111))-'Business Case'!F15*$F111</f>
        <v>704001094.402196</v>
      </c>
      <c r="M111" s="39" t="n">
        <f aca="false">(('Business Case'!G11*$C111*'Business Case'!G12*$B111)-'Business Case'!G11*$C111*'Business Case'!G13*$D111-'Business Case'!G14*$E111)-MAX(0,(('Business Case'!G11*$C111*'Business Case'!G12*$B111)-'Business Case'!G11*$C111*'Business Case'!G13*$D111-'Business Case'!G14*$E111))*'Business Case'!$B$7-'Business Case'!$B$8*(('Business Case'!G11*$C111*'Business Case'!G12*$B111)-('Business Case'!F11*$C111*'Business Case'!F12*$B111))-'Business Case'!G15*$F111+'Business Case'!$B$8*('Business Case'!G11*$C111*'Business Case'!G12*$B111)</f>
        <v>883167705.397739</v>
      </c>
      <c r="N111" s="39" t="n">
        <f aca="false">IF(COUNT('Business Case'!B11:G11)=0,"",H111+NPV(G111,I111:M111))</f>
        <v>-624915902.834782</v>
      </c>
      <c r="P111" s="40" t="n">
        <f aca="true">RAND()</f>
        <v>0.29920810452926</v>
      </c>
      <c r="Q111" s="40" t="n">
        <f aca="true">RAND()</f>
        <v>0.4039179661813</v>
      </c>
      <c r="R111" s="40" t="n">
        <f aca="true">RAND()</f>
        <v>0.304362559508976</v>
      </c>
      <c r="S111" s="40" t="n">
        <f aca="true">RAND()</f>
        <v>0.995031881539959</v>
      </c>
      <c r="T111" s="40" t="n">
        <f aca="true">RAND()</f>
        <v>0.805855968193992</v>
      </c>
      <c r="U111" s="40" t="n">
        <f aca="true">RAND()</f>
        <v>0.829103029259391</v>
      </c>
    </row>
    <row r="112" customFormat="false" ht="15" hidden="false" customHeight="false" outlineLevel="0" collapsed="false">
      <c r="A112" s="36" t="n">
        <v>32</v>
      </c>
      <c r="B112" s="37" t="n">
        <f aca="false">1+IF($G$6=$E$6,$F$6,IF(P112&lt;($F$6-$E$6)/($G$6-$E$6),$E$6+SQRT(P112*($G$6-$E$6)*($F$6-$E$6)),$G$6-SQRT((1-P112)*($G$6-$E$6)*($G$6-$F$6))))</f>
        <v>0.941308026389259</v>
      </c>
      <c r="C112" s="37" t="n">
        <f aca="false">1+IF($G$7=$E$7,$F$7,IF(Q112&lt;($F$7-$E$7)/($G$7-$E$7),$E$7+SQRT(Q112*($G$7-$E$7)*($F$7-$E$7)),$G$7-SQRT((1-Q112)*($G$7-$E$7)*($G$7-$F$7))))</f>
        <v>1.00194531378087</v>
      </c>
      <c r="D112" s="37" t="n">
        <f aca="false">1+IF($G$8=$E$8,$F$8,IF(R112&lt;($F$8-$E$8)/($G$8-$E$8),$E$8+SQRT(R112*($G$8-$E$8)*($F$8-$E$8)),$G$8-SQRT((1-R112)*($G$8-$E$8)*($G$8-$F$8))))</f>
        <v>1.03361814987478</v>
      </c>
      <c r="E112" s="37" t="n">
        <f aca="false">1+IF($G$9=$E$9,$F$9,IF(S112&lt;($F$9-$E$9)/($G$9-$E$9),$E$9+SQRT(S112*($G$9-$E$9)*($F$9-$E$9)),$G$9-SQRT((1-S112)*($G$9-$E$9)*($G$9-$F$9))))</f>
        <v>1.07739838921329</v>
      </c>
      <c r="F112" s="37" t="n">
        <f aca="false">1+IF($G$10=$E$10,$F$10,IF(T112&lt;($F$10-$E$10)/($G$10-$E$10),$E$10+SQRT(T112*($G$10-$E$10)*($F$10-$E$10)),$G$10-SQRT((1-T112)*($G$10-$E$10)*($G$10-$F$10))))</f>
        <v>1.16475677785426</v>
      </c>
      <c r="G112" s="38" t="n">
        <f aca="false">IF($G$11=$E$11,$F$11,IF(U112&lt;($F$11-$E$11)/($G$11-$E$11),$E$11+SQRT(U112*($G$11-$E$11)*($F$11-$E$11)),$G$11-SQRT((1-U112)*($G$11-$E$11)*($G$11-$F$11))))</f>
        <v>0.110786015344853</v>
      </c>
      <c r="H112" s="39" t="n">
        <f aca="false">(('Business Case'!B11*$C112*'Business Case'!B12*$B112)-'Business Case'!B11*$C112*'Business Case'!B13*$D112-'Business Case'!B14*$E112)-MAX(0,(('Business Case'!B11*$C112*'Business Case'!B12*$B112)-'Business Case'!B11*$C112*'Business Case'!B13*$D112-'Business Case'!B14*$E112))*'Business Case'!$B$7-'Business Case'!$B$8*('Business Case'!B11*$C112*'Business Case'!B12*$B112)-'Business Case'!B15*$F112</f>
        <v>-2329513555.70851</v>
      </c>
      <c r="I112" s="39" t="n">
        <f aca="false">(('Business Case'!C11*$C112*'Business Case'!C12*$B112)-'Business Case'!C11*$C112*'Business Case'!C13*$D112-'Business Case'!C14*$E112)-MAX(0,(('Business Case'!C11*$C112*'Business Case'!C12*$B112)-'Business Case'!C11*$C112*'Business Case'!C13*$D112-'Business Case'!C14*$E112))*'Business Case'!$B$7-'Business Case'!$B$8*(('Business Case'!C11*$C112*'Business Case'!C12*$B112)-('Business Case'!B11*$C112*'Business Case'!B12*$B112))-'Business Case'!C15*$F112</f>
        <v>-76234307.0086857</v>
      </c>
      <c r="J112" s="39" t="n">
        <f aca="false">(('Business Case'!D11*$C112*'Business Case'!D12*$B112)-'Business Case'!D11*$C112*'Business Case'!D13*$D112-'Business Case'!D14*$E112)-MAX(0,(('Business Case'!D11*$C112*'Business Case'!D12*$B112)-'Business Case'!D11*$C112*'Business Case'!D13*$D112-'Business Case'!D14*$E112))*'Business Case'!$B$7-'Business Case'!$B$8*(('Business Case'!D11*$C112*'Business Case'!D12*$B112)-('Business Case'!C11*$C112*'Business Case'!C12*$B112))-'Business Case'!D15*$F112</f>
        <v>166105449.072627</v>
      </c>
      <c r="K112" s="39" t="n">
        <f aca="false">(('Business Case'!E11*$C112*'Business Case'!E12*$B112)-'Business Case'!E11*$C112*'Business Case'!E13*$D112-'Business Case'!E14*$E112)-MAX(0,(('Business Case'!E11*$C112*'Business Case'!E12*$B112)-'Business Case'!E11*$C112*'Business Case'!E13*$D112-'Business Case'!E14*$E112))*'Business Case'!$B$7-'Business Case'!$B$8*(('Business Case'!E11*$C112*'Business Case'!E12*$B112)-('Business Case'!D11*$C112*'Business Case'!D12*$B112))-'Business Case'!E15*$F112</f>
        <v>466683044.046654</v>
      </c>
      <c r="L112" s="39" t="n">
        <f aca="false">(('Business Case'!F11*$C112*'Business Case'!F12*$B112)-'Business Case'!F11*$C112*'Business Case'!F13*$D112-'Business Case'!F14*$E112)-MAX(0,(('Business Case'!F11*$C112*'Business Case'!F12*$B112)-'Business Case'!F11*$C112*'Business Case'!F13*$D112-'Business Case'!F14*$E112))*'Business Case'!$B$7-'Business Case'!$B$8*(('Business Case'!F11*$C112*'Business Case'!F12*$B112)-('Business Case'!E11*$C112*'Business Case'!E12*$B112))-'Business Case'!F15*$F112</f>
        <v>580057852.31272</v>
      </c>
      <c r="M112" s="39" t="n">
        <f aca="false">(('Business Case'!G11*$C112*'Business Case'!G12*$B112)-'Business Case'!G11*$C112*'Business Case'!G13*$D112-'Business Case'!G14*$E112)-MAX(0,(('Business Case'!G11*$C112*'Business Case'!G12*$B112)-'Business Case'!G11*$C112*'Business Case'!G13*$D112-'Business Case'!G14*$E112))*'Business Case'!$B$7-'Business Case'!$B$8*(('Business Case'!G11*$C112*'Business Case'!G12*$B112)-('Business Case'!F11*$C112*'Business Case'!F12*$B112))-'Business Case'!G15*$F112+'Business Case'!$B$8*('Business Case'!G11*$C112*'Business Case'!G12*$B112)</f>
        <v>759329744.960347</v>
      </c>
      <c r="N112" s="39" t="n">
        <f aca="false">IF(COUNT('Business Case'!B11:G11)=0,"",H112+NPV(G112,I112:M112))</f>
        <v>-1092954764.76496</v>
      </c>
      <c r="P112" s="40" t="n">
        <f aca="true">RAND()</f>
        <v>0.0472949988130568</v>
      </c>
      <c r="Q112" s="40" t="n">
        <f aca="true">RAND()</f>
        <v>0.582472569305827</v>
      </c>
      <c r="R112" s="40" t="n">
        <f aca="true">RAND()</f>
        <v>0.793146536438633</v>
      </c>
      <c r="S112" s="40" t="n">
        <f aca="true">RAND()</f>
        <v>0.965944479323062</v>
      </c>
      <c r="T112" s="40" t="n">
        <f aca="true">RAND()</f>
        <v>0.975158305855716</v>
      </c>
      <c r="U112" s="40" t="n">
        <f aca="true">RAND()</f>
        <v>0.858504144624537</v>
      </c>
    </row>
    <row r="113" customFormat="false" ht="15" hidden="false" customHeight="false" outlineLevel="0" collapsed="false">
      <c r="A113" s="36" t="n">
        <v>33</v>
      </c>
      <c r="B113" s="37" t="n">
        <f aca="false">1+IF($G$6=$E$6,$F$6,IF(P113&lt;($F$6-$E$6)/($G$6-$E$6),$E$6+SQRT(P113*($G$6-$E$6)*($F$6-$E$6)),$G$6-SQRT((1-P113)*($G$6-$E$6)*($G$6-$F$6))))</f>
        <v>0.98055289204233</v>
      </c>
      <c r="C113" s="37" t="n">
        <f aca="false">1+IF($G$7=$E$7,$F$7,IF(Q113&lt;($F$7-$E$7)/($G$7-$E$7),$E$7+SQRT(Q113*($G$7-$E$7)*($F$7-$E$7)),$G$7-SQRT((1-Q113)*($G$7-$E$7)*($G$7-$F$7))))</f>
        <v>1.11549332977937</v>
      </c>
      <c r="D113" s="37" t="n">
        <f aca="false">1+IF($G$8=$E$8,$F$8,IF(R113&lt;($F$8-$E$8)/($G$8-$E$8),$E$8+SQRT(R113*($G$8-$E$8)*($F$8-$E$8)),$G$8-SQRT((1-R113)*($G$8-$E$8)*($G$8-$F$8))))</f>
        <v>1.02158040087928</v>
      </c>
      <c r="E113" s="37" t="n">
        <f aca="false">1+IF($G$9=$E$9,$F$9,IF(S113&lt;($F$9-$E$9)/($G$9-$E$9),$E$9+SQRT(S113*($G$9-$E$9)*($F$9-$E$9)),$G$9-SQRT((1-S113)*($G$9-$E$9)*($G$9-$F$9))))</f>
        <v>1.00420711663219</v>
      </c>
      <c r="F113" s="37" t="n">
        <f aca="false">1+IF($G$10=$E$10,$F$10,IF(T113&lt;($F$10-$E$10)/($G$10-$E$10),$E$10+SQRT(T113*($G$10-$E$10)*($F$10-$E$10)),$G$10-SQRT((1-T113)*($G$10-$E$10)*($G$10-$F$10))))</f>
        <v>1.04585035352048</v>
      </c>
      <c r="G113" s="38" t="n">
        <f aca="false">IF($G$11=$E$11,$F$11,IF(U113&lt;($F$11-$E$11)/($G$11-$E$11),$E$11+SQRT(U113*($G$11-$E$11)*($F$11-$E$11)),$G$11-SQRT((1-U113)*($G$11-$E$11)*($G$11-$F$11))))</f>
        <v>0.091023074652311</v>
      </c>
      <c r="H113" s="39" t="n">
        <f aca="false">(('Business Case'!B11*$C113*'Business Case'!B12*$B113)-'Business Case'!B11*$C113*'Business Case'!B13*$D113-'Business Case'!B14*$E113)-MAX(0,(('Business Case'!B11*$C113*'Business Case'!B12*$B113)-'Business Case'!B11*$C113*'Business Case'!B13*$D113-'Business Case'!B14*$E113))*'Business Case'!$B$7-'Business Case'!$B$8*('Business Case'!B11*$C113*'Business Case'!B12*$B113)-'Business Case'!B15*$F113</f>
        <v>-2091700707.04096</v>
      </c>
      <c r="I113" s="39" t="n">
        <f aca="false">(('Business Case'!C11*$C113*'Business Case'!C12*$B113)-'Business Case'!C11*$C113*'Business Case'!C13*$D113-'Business Case'!C14*$E113)-MAX(0,(('Business Case'!C11*$C113*'Business Case'!C12*$B113)-'Business Case'!C11*$C113*'Business Case'!C13*$D113-'Business Case'!C14*$E113))*'Business Case'!$B$7-'Business Case'!$B$8*(('Business Case'!C11*$C113*'Business Case'!C12*$B113)-('Business Case'!B11*$C113*'Business Case'!B12*$B113))-'Business Case'!C15*$F113</f>
        <v>8448546.12478565</v>
      </c>
      <c r="J113" s="39" t="n">
        <f aca="false">(('Business Case'!D11*$C113*'Business Case'!D12*$B113)-'Business Case'!D11*$C113*'Business Case'!D13*$D113-'Business Case'!D14*$E113)-MAX(0,(('Business Case'!D11*$C113*'Business Case'!D12*$B113)-'Business Case'!D11*$C113*'Business Case'!D13*$D113-'Business Case'!D14*$E113))*'Business Case'!$B$7-'Business Case'!$B$8*(('Business Case'!D11*$C113*'Business Case'!D12*$B113)-('Business Case'!C11*$C113*'Business Case'!C12*$B113))-'Business Case'!D15*$F113</f>
        <v>320982982.502619</v>
      </c>
      <c r="K113" s="39" t="n">
        <f aca="false">(('Business Case'!E11*$C113*'Business Case'!E12*$B113)-'Business Case'!E11*$C113*'Business Case'!E13*$D113-'Business Case'!E14*$E113)-MAX(0,(('Business Case'!E11*$C113*'Business Case'!E12*$B113)-'Business Case'!E11*$C113*'Business Case'!E13*$D113-'Business Case'!E14*$E113))*'Business Case'!$B$7-'Business Case'!$B$8*(('Business Case'!E11*$C113*'Business Case'!E12*$B113)-('Business Case'!D11*$C113*'Business Case'!D12*$B113))-'Business Case'!E15*$F113</f>
        <v>685809936.556476</v>
      </c>
      <c r="L113" s="39" t="n">
        <f aca="false">(('Business Case'!F11*$C113*'Business Case'!F12*$B113)-'Business Case'!F11*$C113*'Business Case'!F13*$D113-'Business Case'!F14*$E113)-MAX(0,(('Business Case'!F11*$C113*'Business Case'!F12*$B113)-'Business Case'!F11*$C113*'Business Case'!F13*$D113-'Business Case'!F14*$E113))*'Business Case'!$B$7-'Business Case'!$B$8*(('Business Case'!F11*$C113*'Business Case'!F12*$B113)-('Business Case'!E11*$C113*'Business Case'!E12*$B113))-'Business Case'!F15*$F113</f>
        <v>827789817.293021</v>
      </c>
      <c r="M113" s="39" t="n">
        <f aca="false">(('Business Case'!G11*$C113*'Business Case'!G12*$B113)-'Business Case'!G11*$C113*'Business Case'!G13*$D113-'Business Case'!G14*$E113)-MAX(0,(('Business Case'!G11*$C113*'Business Case'!G12*$B113)-'Business Case'!G11*$C113*'Business Case'!G13*$D113-'Business Case'!G14*$E113))*'Business Case'!$B$7-'Business Case'!$B$8*(('Business Case'!G11*$C113*'Business Case'!G12*$B113)-('Business Case'!F11*$C113*'Business Case'!F12*$B113))-'Business Case'!G15*$F113+'Business Case'!$B$8*('Business Case'!G11*$C113*'Business Case'!G12*$B113)</f>
        <v>1035699361.31799</v>
      </c>
      <c r="N113" s="39" t="n">
        <f aca="false">IF(COUNT('Business Case'!B11:G11)=0,"",H113+NPV(G113,I113:M113))</f>
        <v>-32001741.9737196</v>
      </c>
      <c r="P113" s="40" t="n">
        <f aca="true">RAND()</f>
        <v>0.381942993196886</v>
      </c>
      <c r="Q113" s="40" t="n">
        <f aca="true">RAND()</f>
        <v>0.977319804005425</v>
      </c>
      <c r="R113" s="40" t="n">
        <f aca="true">RAND()</f>
        <v>0.671841388324433</v>
      </c>
      <c r="S113" s="40" t="n">
        <f aca="true">RAND()</f>
        <v>0.38824823307211</v>
      </c>
      <c r="T113" s="40" t="n">
        <f aca="true">RAND()</f>
        <v>0.524757729804764</v>
      </c>
      <c r="U113" s="40" t="n">
        <f aca="true">RAND()</f>
        <v>0.00348893914733751</v>
      </c>
    </row>
    <row r="114" customFormat="false" ht="15" hidden="false" customHeight="false" outlineLevel="0" collapsed="false">
      <c r="A114" s="36" t="n">
        <v>34</v>
      </c>
      <c r="B114" s="37" t="n">
        <f aca="false">1+IF($G$6=$E$6,$F$6,IF(P114&lt;($F$6-$E$6)/($G$6-$E$6),$E$6+SQRT(P114*($G$6-$E$6)*($F$6-$E$6)),$G$6-SQRT((1-P114)*($G$6-$E$6)*($G$6-$F$6))))</f>
        <v>0.928220632590024</v>
      </c>
      <c r="C114" s="37" t="n">
        <f aca="false">1+IF($G$7=$E$7,$F$7,IF(Q114&lt;($F$7-$E$7)/($G$7-$E$7),$E$7+SQRT(Q114*($G$7-$E$7)*($F$7-$E$7)),$G$7-SQRT((1-Q114)*($G$7-$E$7)*($G$7-$F$7))))</f>
        <v>1.02850980953818</v>
      </c>
      <c r="D114" s="37" t="n">
        <f aca="false">1+IF($G$8=$E$8,$F$8,IF(R114&lt;($F$8-$E$8)/($G$8-$E$8),$E$8+SQRT(R114*($G$8-$E$8)*($F$8-$E$8)),$G$8-SQRT((1-R114)*($G$8-$E$8)*($G$8-$F$8))))</f>
        <v>1.04133052680731</v>
      </c>
      <c r="E114" s="37" t="n">
        <f aca="false">1+IF($G$9=$E$9,$F$9,IF(S114&lt;($F$9-$E$9)/($G$9-$E$9),$E$9+SQRT(S114*($G$9-$E$9)*($F$9-$E$9)),$G$9-SQRT((1-S114)*($G$9-$E$9)*($G$9-$F$9))))</f>
        <v>1.06902496806363</v>
      </c>
      <c r="F114" s="37" t="n">
        <f aca="false">1+IF($G$10=$E$10,$F$10,IF(T114&lt;($F$10-$E$10)/($G$10-$E$10),$E$10+SQRT(T114*($G$10-$E$10)*($F$10-$E$10)),$G$10-SQRT((1-T114)*($G$10-$E$10)*($G$10-$F$10))))</f>
        <v>1.11387176237416</v>
      </c>
      <c r="G114" s="38" t="n">
        <f aca="false">IF($G$11=$E$11,$F$11,IF(U114&lt;($F$11-$E$11)/($G$11-$E$11),$E$11+SQRT(U114*($G$11-$E$11)*($F$11-$E$11)),$G$11-SQRT((1-U114)*($G$11-$E$11)*($G$11-$F$11))))</f>
        <v>0.100185601306783</v>
      </c>
      <c r="H114" s="39" t="n">
        <f aca="false">(('Business Case'!B11*$C114*'Business Case'!B12*$B114)-'Business Case'!B11*$C114*'Business Case'!B13*$D114-'Business Case'!B14*$E114)-MAX(0,(('Business Case'!B11*$C114*'Business Case'!B12*$B114)-'Business Case'!B11*$C114*'Business Case'!B13*$D114-'Business Case'!B14*$E114))*'Business Case'!$B$7-'Business Case'!$B$8*('Business Case'!B11*$C114*'Business Case'!B12*$B114)-'Business Case'!B15*$F114</f>
        <v>-2227743524.74832</v>
      </c>
      <c r="I114" s="39" t="n">
        <f aca="false">(('Business Case'!C11*$C114*'Business Case'!C12*$B114)-'Business Case'!C11*$C114*'Business Case'!C13*$D114-'Business Case'!C14*$E114)-MAX(0,(('Business Case'!C11*$C114*'Business Case'!C12*$B114)-'Business Case'!C11*$C114*'Business Case'!C13*$D114-'Business Case'!C14*$E114))*'Business Case'!$B$7-'Business Case'!$B$8*(('Business Case'!C11*$C114*'Business Case'!C12*$B114)-('Business Case'!B11*$C114*'Business Case'!B12*$B114))-'Business Case'!C15*$F114</f>
        <v>-79214265.3785147</v>
      </c>
      <c r="J114" s="39" t="n">
        <f aca="false">(('Business Case'!D11*$C114*'Business Case'!D12*$B114)-'Business Case'!D11*$C114*'Business Case'!D13*$D114-'Business Case'!D14*$E114)-MAX(0,(('Business Case'!D11*$C114*'Business Case'!D12*$B114)-'Business Case'!D11*$C114*'Business Case'!D13*$D114-'Business Case'!D14*$E114))*'Business Case'!$B$7-'Business Case'!$B$8*(('Business Case'!D11*$C114*'Business Case'!D12*$B114)-('Business Case'!C11*$C114*'Business Case'!C12*$B114))-'Business Case'!D15*$F114</f>
        <v>154464815.848667</v>
      </c>
      <c r="K114" s="39" t="n">
        <f aca="false">(('Business Case'!E11*$C114*'Business Case'!E12*$B114)-'Business Case'!E11*$C114*'Business Case'!E13*$D114-'Business Case'!E14*$E114)-MAX(0,(('Business Case'!E11*$C114*'Business Case'!E12*$B114)-'Business Case'!E11*$C114*'Business Case'!E13*$D114-'Business Case'!E14*$E114))*'Business Case'!$B$7-'Business Case'!$B$8*(('Business Case'!E11*$C114*'Business Case'!E12*$B114)-('Business Case'!D11*$C114*'Business Case'!D12*$B114))-'Business Case'!E15*$F114</f>
        <v>443837485.194557</v>
      </c>
      <c r="L114" s="39" t="n">
        <f aca="false">(('Business Case'!F11*$C114*'Business Case'!F12*$B114)-'Business Case'!F11*$C114*'Business Case'!F13*$D114-'Business Case'!F14*$E114)-MAX(0,(('Business Case'!F11*$C114*'Business Case'!F12*$B114)-'Business Case'!F11*$C114*'Business Case'!F13*$D114-'Business Case'!F14*$E114))*'Business Case'!$B$7-'Business Case'!$B$8*(('Business Case'!F11*$C114*'Business Case'!F12*$B114)-('Business Case'!E11*$C114*'Business Case'!E12*$B114))-'Business Case'!F15*$F114</f>
        <v>554724392.210039</v>
      </c>
      <c r="M114" s="39" t="n">
        <f aca="false">(('Business Case'!G11*$C114*'Business Case'!G12*$B114)-'Business Case'!G11*$C114*'Business Case'!G13*$D114-'Business Case'!G14*$E114)-MAX(0,(('Business Case'!G11*$C114*'Business Case'!G12*$B114)-'Business Case'!G11*$C114*'Business Case'!G13*$D114-'Business Case'!G14*$E114))*'Business Case'!$B$7-'Business Case'!$B$8*(('Business Case'!G11*$C114*'Business Case'!G12*$B114)-('Business Case'!F11*$C114*'Business Case'!F12*$B114))-'Business Case'!G15*$F114+'Business Case'!$B$8*('Business Case'!G11*$C114*'Business Case'!G12*$B114)</f>
        <v>736190731.878691</v>
      </c>
      <c r="N114" s="39" t="n">
        <f aca="false">IF(COUNT('Business Case'!B11:G11)=0,"",H114+NPV(G114,I114:M114))</f>
        <v>-1003477911.46131</v>
      </c>
      <c r="P114" s="40" t="n">
        <f aca="true">RAND()</f>
        <v>0.00703945835210021</v>
      </c>
      <c r="Q114" s="40" t="n">
        <f aca="true">RAND()</f>
        <v>0.718859688029542</v>
      </c>
      <c r="R114" s="40" t="n">
        <f aca="true">RAND()</f>
        <v>0.856218446442272</v>
      </c>
      <c r="S114" s="40" t="n">
        <f aca="true">RAND()</f>
        <v>0.93603649310273</v>
      </c>
      <c r="T114" s="40" t="n">
        <f aca="true">RAND()</f>
        <v>0.851638533669329</v>
      </c>
      <c r="U114" s="40" t="n">
        <f aca="true">RAND()</f>
        <v>0.345649340710375</v>
      </c>
    </row>
    <row r="115" customFormat="false" ht="15" hidden="false" customHeight="false" outlineLevel="0" collapsed="false">
      <c r="A115" s="36" t="n">
        <v>35</v>
      </c>
      <c r="B115" s="37" t="n">
        <f aca="false">1+IF($G$6=$E$6,$F$6,IF(P115&lt;($F$6-$E$6)/($G$6-$E$6),$E$6+SQRT(P115*($G$6-$E$6)*($F$6-$E$6)),$G$6-SQRT((1-P115)*($G$6-$E$6)*($G$6-$F$6))))</f>
        <v>1.01324617545631</v>
      </c>
      <c r="C115" s="37" t="n">
        <f aca="false">1+IF($G$7=$E$7,$F$7,IF(Q115&lt;($F$7-$E$7)/($G$7-$E$7),$E$7+SQRT(Q115*($G$7-$E$7)*($F$7-$E$7)),$G$7-SQRT((1-Q115)*($G$7-$E$7)*($G$7-$F$7))))</f>
        <v>0.916870874165507</v>
      </c>
      <c r="D115" s="37" t="n">
        <f aca="false">1+IF($G$8=$E$8,$F$8,IF(R115&lt;($F$8-$E$8)/($G$8-$E$8),$E$8+SQRT(R115*($G$8-$E$8)*($F$8-$E$8)),$G$8-SQRT((1-R115)*($G$8-$E$8)*($G$8-$F$8))))</f>
        <v>0.970405244660685</v>
      </c>
      <c r="E115" s="37" t="n">
        <f aca="false">1+IF($G$9=$E$9,$F$9,IF(S115&lt;($F$9-$E$9)/($G$9-$E$9),$E$9+SQRT(S115*($G$9-$E$9)*($F$9-$E$9)),$G$9-SQRT((1-S115)*($G$9-$E$9)*($G$9-$F$9))))</f>
        <v>0.97358344921061</v>
      </c>
      <c r="F115" s="37" t="n">
        <f aca="false">1+IF($G$10=$E$10,$F$10,IF(T115&lt;($F$10-$E$10)/($G$10-$E$10),$E$10+SQRT(T115*($G$10-$E$10)*($F$10-$E$10)),$G$10-SQRT((1-T115)*($G$10-$E$10)*($G$10-$F$10))))</f>
        <v>1.1232687969537</v>
      </c>
      <c r="G115" s="38" t="n">
        <f aca="false">IF($G$11=$E$11,$F$11,IF(U115&lt;($F$11-$E$11)/($G$11-$E$11),$E$11+SQRT(U115*($G$11-$E$11)*($F$11-$E$11)),$G$11-SQRT((1-U115)*($G$11-$E$11)*($G$11-$F$11))))</f>
        <v>0.119300457541093</v>
      </c>
      <c r="H115" s="39" t="n">
        <f aca="false">(('Business Case'!B11*$C115*'Business Case'!B12*$B115)-'Business Case'!B11*$C115*'Business Case'!B13*$D115-'Business Case'!B14*$E115)-MAX(0,(('Business Case'!B11*$C115*'Business Case'!B12*$B115)-'Business Case'!B11*$C115*'Business Case'!B13*$D115-'Business Case'!B14*$E115))*'Business Case'!$B$7-'Business Case'!$B$8*('Business Case'!B11*$C115*'Business Case'!B12*$B115)-'Business Case'!B15*$F115</f>
        <v>-2246537593.9074</v>
      </c>
      <c r="I115" s="39" t="n">
        <f aca="false">(('Business Case'!C11*$C115*'Business Case'!C12*$B115)-'Business Case'!C11*$C115*'Business Case'!C13*$D115-'Business Case'!C14*$E115)-MAX(0,(('Business Case'!C11*$C115*'Business Case'!C12*$B115)-'Business Case'!C11*$C115*'Business Case'!C13*$D115-'Business Case'!C14*$E115))*'Business Case'!$B$7-'Business Case'!$B$8*(('Business Case'!C11*$C115*'Business Case'!C12*$B115)-('Business Case'!B11*$C115*'Business Case'!B12*$B115))-'Business Case'!C15*$F115</f>
        <v>6526476.6680119</v>
      </c>
      <c r="J115" s="39" t="n">
        <f aca="false">(('Business Case'!D11*$C115*'Business Case'!D12*$B115)-'Business Case'!D11*$C115*'Business Case'!D13*$D115-'Business Case'!D14*$E115)-MAX(0,(('Business Case'!D11*$C115*'Business Case'!D12*$B115)-'Business Case'!D11*$C115*'Business Case'!D13*$D115-'Business Case'!D14*$E115))*'Business Case'!$B$7-'Business Case'!$B$8*(('Business Case'!D11*$C115*'Business Case'!D12*$B115)-('Business Case'!C11*$C115*'Business Case'!C12*$B115))-'Business Case'!D15*$F115</f>
        <v>311983584.109126</v>
      </c>
      <c r="K115" s="39" t="n">
        <f aca="false">(('Business Case'!E11*$C115*'Business Case'!E12*$B115)-'Business Case'!E11*$C115*'Business Case'!E13*$D115-'Business Case'!E14*$E115)-MAX(0,(('Business Case'!E11*$C115*'Business Case'!E12*$B115)-'Business Case'!E11*$C115*'Business Case'!E13*$D115-'Business Case'!E14*$E115))*'Business Case'!$B$7-'Business Case'!$B$8*(('Business Case'!E11*$C115*'Business Case'!E12*$B115)-('Business Case'!D11*$C115*'Business Case'!D12*$B115))-'Business Case'!E15*$F115</f>
        <v>673604131.397925</v>
      </c>
      <c r="L115" s="39" t="n">
        <f aca="false">(('Business Case'!F11*$C115*'Business Case'!F12*$B115)-'Business Case'!F11*$C115*'Business Case'!F13*$D115-'Business Case'!F14*$E115)-MAX(0,(('Business Case'!F11*$C115*'Business Case'!F12*$B115)-'Business Case'!F11*$C115*'Business Case'!F13*$D115-'Business Case'!F14*$E115))*'Business Case'!$B$7-'Business Case'!$B$8*(('Business Case'!F11*$C115*'Business Case'!F12*$B115)-('Business Case'!E11*$C115*'Business Case'!E12*$B115))-'Business Case'!F15*$F115</f>
        <v>807529956.944952</v>
      </c>
      <c r="M115" s="39" t="n">
        <f aca="false">(('Business Case'!G11*$C115*'Business Case'!G12*$B115)-'Business Case'!G11*$C115*'Business Case'!G13*$D115-'Business Case'!G14*$E115)-MAX(0,(('Business Case'!G11*$C115*'Business Case'!G12*$B115)-'Business Case'!G11*$C115*'Business Case'!G13*$D115-'Business Case'!G14*$E115))*'Business Case'!$B$7-'Business Case'!$B$8*(('Business Case'!G11*$C115*'Business Case'!G12*$B115)-('Business Case'!F11*$C115*'Business Case'!F12*$B115))-'Business Case'!G15*$F115+'Business Case'!$B$8*('Business Case'!G11*$C115*'Business Case'!G12*$B115)</f>
        <v>984117300.478224</v>
      </c>
      <c r="N115" s="39" t="n">
        <f aca="false">IF(COUNT('Business Case'!B11:G11)=0,"",H115+NPV(G115,I115:M115))</f>
        <v>-436680909.75193</v>
      </c>
      <c r="P115" s="40" t="n">
        <f aca="true">RAND()</f>
        <v>0.850881848392756</v>
      </c>
      <c r="Q115" s="40" t="n">
        <f aca="true">RAND()</f>
        <v>0.195125731831569</v>
      </c>
      <c r="R115" s="40" t="n">
        <f aca="true">RAND()</f>
        <v>0.0640575399480602</v>
      </c>
      <c r="S115" s="40" t="n">
        <f aca="true">RAND()</f>
        <v>0.0741572102225867</v>
      </c>
      <c r="T115" s="40" t="n">
        <f aca="true">RAND()</f>
        <v>0.88224644958135</v>
      </c>
      <c r="U115" s="40" t="n">
        <f aca="true">RAND()</f>
        <v>0.99918440058031</v>
      </c>
    </row>
    <row r="116" customFormat="false" ht="15" hidden="false" customHeight="false" outlineLevel="0" collapsed="false">
      <c r="A116" s="36" t="n">
        <v>36</v>
      </c>
      <c r="B116" s="37" t="n">
        <f aca="false">1+IF($G$6=$E$6,$F$6,IF(P116&lt;($F$6-$E$6)/($G$6-$E$6),$E$6+SQRT(P116*($G$6-$E$6)*($F$6-$E$6)),$G$6-SQRT((1-P116)*($G$6-$E$6)*($G$6-$F$6))))</f>
        <v>1.03395935970959</v>
      </c>
      <c r="C116" s="37" t="n">
        <f aca="false">1+IF($G$7=$E$7,$F$7,IF(Q116&lt;($F$7-$E$7)/($G$7-$E$7),$E$7+SQRT(Q116*($G$7-$E$7)*($F$7-$E$7)),$G$7-SQRT((1-Q116)*($G$7-$E$7)*($G$7-$F$7))))</f>
        <v>1.04905369503596</v>
      </c>
      <c r="D116" s="37" t="n">
        <f aca="false">1+IF($G$8=$E$8,$F$8,IF(R116&lt;($F$8-$E$8)/($G$8-$E$8),$E$8+SQRT(R116*($G$8-$E$8)*($F$8-$E$8)),$G$8-SQRT((1-R116)*($G$8-$E$8)*($G$8-$F$8))))</f>
        <v>1.00270370417646</v>
      </c>
      <c r="E116" s="37" t="n">
        <f aca="false">1+IF($G$9=$E$9,$F$9,IF(S116&lt;($F$9-$E$9)/($G$9-$E$9),$E$9+SQRT(S116*($G$9-$E$9)*($F$9-$E$9)),$G$9-SQRT((1-S116)*($G$9-$E$9)*($G$9-$F$9))))</f>
        <v>1.02533838869927</v>
      </c>
      <c r="F116" s="37" t="n">
        <f aca="false">1+IF($G$10=$E$10,$F$10,IF(T116&lt;($F$10-$E$10)/($G$10-$E$10),$E$10+SQRT(T116*($G$10-$E$10)*($F$10-$E$10)),$G$10-SQRT((1-T116)*($G$10-$E$10)*($G$10-$F$10))))</f>
        <v>0.983009906161404</v>
      </c>
      <c r="G116" s="38" t="n">
        <f aca="false">IF($G$11=$E$11,$F$11,IF(U116&lt;($F$11-$E$11)/($G$11-$E$11),$E$11+SQRT(U116*($G$11-$E$11)*($F$11-$E$11)),$G$11-SQRT((1-U116)*($G$11-$E$11)*($G$11-$F$11))))</f>
        <v>0.1094069917479</v>
      </c>
      <c r="H116" s="39" t="n">
        <f aca="false">(('Business Case'!B11*$C116*'Business Case'!B12*$B116)-'Business Case'!B11*$C116*'Business Case'!B13*$D116-'Business Case'!B14*$E116)-MAX(0,(('Business Case'!B11*$C116*'Business Case'!B12*$B116)-'Business Case'!B11*$C116*'Business Case'!B13*$D116-'Business Case'!B14*$E116))*'Business Case'!$B$7-'Business Case'!$B$8*('Business Case'!B11*$C116*'Business Case'!B12*$B116)-'Business Case'!B15*$F116</f>
        <v>-1966019812.32281</v>
      </c>
      <c r="I116" s="39" t="n">
        <f aca="false">(('Business Case'!C11*$C116*'Business Case'!C12*$B116)-'Business Case'!C11*$C116*'Business Case'!C13*$D116-'Business Case'!C14*$E116)-MAX(0,(('Business Case'!C11*$C116*'Business Case'!C12*$B116)-'Business Case'!C11*$C116*'Business Case'!C13*$D116-'Business Case'!C14*$E116))*'Business Case'!$B$7-'Business Case'!$B$8*(('Business Case'!C11*$C116*'Business Case'!C12*$B116)-('Business Case'!B11*$C116*'Business Case'!B12*$B116))-'Business Case'!C15*$F116</f>
        <v>49612700.1488606</v>
      </c>
      <c r="J116" s="39" t="n">
        <f aca="false">(('Business Case'!D11*$C116*'Business Case'!D12*$B116)-'Business Case'!D11*$C116*'Business Case'!D13*$D116-'Business Case'!D14*$E116)-MAX(0,(('Business Case'!D11*$C116*'Business Case'!D12*$B116)-'Business Case'!D11*$C116*'Business Case'!D13*$D116-'Business Case'!D14*$E116))*'Business Case'!$B$7-'Business Case'!$B$8*(('Business Case'!D11*$C116*'Business Case'!D12*$B116)-('Business Case'!C11*$C116*'Business Case'!C12*$B116))-'Business Case'!D15*$F116</f>
        <v>399559263.279665</v>
      </c>
      <c r="K116" s="39" t="n">
        <f aca="false">(('Business Case'!E11*$C116*'Business Case'!E12*$B116)-'Business Case'!E11*$C116*'Business Case'!E13*$D116-'Business Case'!E14*$E116)-MAX(0,(('Business Case'!E11*$C116*'Business Case'!E12*$B116)-'Business Case'!E11*$C116*'Business Case'!E13*$D116-'Business Case'!E14*$E116))*'Business Case'!$B$7-'Business Case'!$B$8*(('Business Case'!E11*$C116*'Business Case'!E12*$B116)-('Business Case'!D11*$C116*'Business Case'!D12*$B116))-'Business Case'!E15*$F116</f>
        <v>798656321.718539</v>
      </c>
      <c r="L116" s="39" t="n">
        <f aca="false">(('Business Case'!F11*$C116*'Business Case'!F12*$B116)-'Business Case'!F11*$C116*'Business Case'!F13*$D116-'Business Case'!F14*$E116)-MAX(0,(('Business Case'!F11*$C116*'Business Case'!F12*$B116)-'Business Case'!F11*$C116*'Business Case'!F13*$D116-'Business Case'!F14*$E116))*'Business Case'!$B$7-'Business Case'!$B$8*(('Business Case'!F11*$C116*'Business Case'!F12*$B116)-('Business Case'!E11*$C116*'Business Case'!E12*$B116))-'Business Case'!F15*$F116</f>
        <v>952791678.423985</v>
      </c>
      <c r="M116" s="39" t="n">
        <f aca="false">(('Business Case'!G11*$C116*'Business Case'!G12*$B116)-'Business Case'!G11*$C116*'Business Case'!G13*$D116-'Business Case'!G14*$E116)-MAX(0,(('Business Case'!G11*$C116*'Business Case'!G12*$B116)-'Business Case'!G11*$C116*'Business Case'!G13*$D116-'Business Case'!G14*$E116))*'Business Case'!$B$7-'Business Case'!$B$8*(('Business Case'!G11*$C116*'Business Case'!G12*$B116)-('Business Case'!F11*$C116*'Business Case'!F12*$B116))-'Business Case'!G15*$F116+'Business Case'!$B$8*('Business Case'!G11*$C116*'Business Case'!G12*$B116)</f>
        <v>1158967441.2308</v>
      </c>
      <c r="N116" s="39" t="n">
        <f aca="false">IF(COUNT('Business Case'!B11:G11)=0,"",H116+NPV(G116,I116:M116))</f>
        <v>306853171.967842</v>
      </c>
      <c r="P116" s="40" t="n">
        <f aca="true">RAND()</f>
        <v>0.99239805518372</v>
      </c>
      <c r="Q116" s="40" t="n">
        <f aca="true">RAND()</f>
        <v>0.805901781221074</v>
      </c>
      <c r="R116" s="40" t="n">
        <f aca="true">RAND()</f>
        <v>0.425507947303853</v>
      </c>
      <c r="S116" s="40" t="n">
        <f aca="true">RAND()</f>
        <v>0.628376253198558</v>
      </c>
      <c r="T116" s="40" t="n">
        <f aca="true">RAND()</f>
        <v>0.0871723123827767</v>
      </c>
      <c r="U116" s="40" t="n">
        <f aca="true">RAND()</f>
        <v>0.812980293618223</v>
      </c>
    </row>
    <row r="117" customFormat="false" ht="15" hidden="false" customHeight="false" outlineLevel="0" collapsed="false">
      <c r="A117" s="36" t="n">
        <v>37</v>
      </c>
      <c r="B117" s="37" t="n">
        <f aca="false">1+IF($G$6=$E$6,$F$6,IF(P117&lt;($F$6-$E$6)/($G$6-$E$6),$E$6+SQRT(P117*($G$6-$E$6)*($F$6-$E$6)),$G$6-SQRT((1-P117)*($G$6-$E$6)*($G$6-$F$6))))</f>
        <v>1.00860653684814</v>
      </c>
      <c r="C117" s="37" t="n">
        <f aca="false">1+IF($G$7=$E$7,$F$7,IF(Q117&lt;($F$7-$E$7)/($G$7-$E$7),$E$7+SQRT(Q117*($G$7-$E$7)*($F$7-$E$7)),$G$7-SQRT((1-Q117)*($G$7-$E$7)*($G$7-$F$7))))</f>
        <v>1.08960735696648</v>
      </c>
      <c r="D117" s="37" t="n">
        <f aca="false">1+IF($G$8=$E$8,$F$8,IF(R117&lt;($F$8-$E$8)/($G$8-$E$8),$E$8+SQRT(R117*($G$8-$E$8)*($F$8-$E$8)),$G$8-SQRT((1-R117)*($G$8-$E$8)*($G$8-$F$8))))</f>
        <v>1.03826861486661</v>
      </c>
      <c r="E117" s="37" t="n">
        <f aca="false">1+IF($G$9=$E$9,$F$9,IF(S117&lt;($F$9-$E$9)/($G$9-$E$9),$E$9+SQRT(S117*($G$9-$E$9)*($F$9-$E$9)),$G$9-SQRT((1-S117)*($G$9-$E$9)*($G$9-$F$9))))</f>
        <v>1.03877854453821</v>
      </c>
      <c r="F117" s="37" t="n">
        <f aca="false">1+IF($G$10=$E$10,$F$10,IF(T117&lt;($F$10-$E$10)/($G$10-$E$10),$E$10+SQRT(T117*($G$10-$E$10)*($F$10-$E$10)),$G$10-SQRT((1-T117)*($G$10-$E$10)*($G$10-$F$10))))</f>
        <v>0.987444280921996</v>
      </c>
      <c r="G117" s="38" t="n">
        <f aca="false">IF($G$11=$E$11,$F$11,IF(U117&lt;($F$11-$E$11)/($G$11-$E$11),$E$11+SQRT(U117*($G$11-$E$11)*($F$11-$E$11)),$G$11-SQRT((1-U117)*($G$11-$E$11)*($G$11-$F$11))))</f>
        <v>0.0989425131670013</v>
      </c>
      <c r="H117" s="39" t="n">
        <f aca="false">(('Business Case'!B11*$C117*'Business Case'!B12*$B117)-'Business Case'!B11*$C117*'Business Case'!B13*$D117-'Business Case'!B14*$E117)-MAX(0,(('Business Case'!B11*$C117*'Business Case'!B12*$B117)-'Business Case'!B11*$C117*'Business Case'!B13*$D117-'Business Case'!B14*$E117))*'Business Case'!$B$7-'Business Case'!$B$8*('Business Case'!B11*$C117*'Business Case'!B12*$B117)-'Business Case'!B15*$F117</f>
        <v>-1974888561.84399</v>
      </c>
      <c r="I117" s="39" t="n">
        <f aca="false">(('Business Case'!C11*$C117*'Business Case'!C12*$B117)-'Business Case'!C11*$C117*'Business Case'!C13*$D117-'Business Case'!C14*$E117)-MAX(0,(('Business Case'!C11*$C117*'Business Case'!C12*$B117)-'Business Case'!C11*$C117*'Business Case'!C13*$D117-'Business Case'!C14*$E117))*'Business Case'!$B$7-'Business Case'!$B$8*(('Business Case'!C11*$C117*'Business Case'!C12*$B117)-('Business Case'!B11*$C117*'Business Case'!B12*$B117))-'Business Case'!C15*$F117</f>
        <v>17580083.6136494</v>
      </c>
      <c r="J117" s="39" t="n">
        <f aca="false">(('Business Case'!D11*$C117*'Business Case'!D12*$B117)-'Business Case'!D11*$C117*'Business Case'!D13*$D117-'Business Case'!D14*$E117)-MAX(0,(('Business Case'!D11*$C117*'Business Case'!D12*$B117)-'Business Case'!D11*$C117*'Business Case'!D13*$D117-'Business Case'!D14*$E117))*'Business Case'!$B$7-'Business Case'!$B$8*(('Business Case'!D11*$C117*'Business Case'!D12*$B117)-('Business Case'!C11*$C117*'Business Case'!C12*$B117))-'Business Case'!D15*$F117</f>
        <v>338590292.083757</v>
      </c>
      <c r="K117" s="39" t="n">
        <f aca="false">(('Business Case'!E11*$C117*'Business Case'!E12*$B117)-'Business Case'!E11*$C117*'Business Case'!E13*$D117-'Business Case'!E14*$E117)-MAX(0,(('Business Case'!E11*$C117*'Business Case'!E12*$B117)-'Business Case'!E11*$C117*'Business Case'!E13*$D117-'Business Case'!E14*$E117))*'Business Case'!$B$7-'Business Case'!$B$8*(('Business Case'!E11*$C117*'Business Case'!E12*$B117)-('Business Case'!D11*$C117*'Business Case'!D12*$B117))-'Business Case'!E15*$F117</f>
        <v>708972714.599964</v>
      </c>
      <c r="L117" s="39" t="n">
        <f aca="false">(('Business Case'!F11*$C117*'Business Case'!F12*$B117)-'Business Case'!F11*$C117*'Business Case'!F13*$D117-'Business Case'!F14*$E117)-MAX(0,(('Business Case'!F11*$C117*'Business Case'!F12*$B117)-'Business Case'!F11*$C117*'Business Case'!F13*$D117-'Business Case'!F14*$E117))*'Business Case'!$B$7-'Business Case'!$B$8*(('Business Case'!F11*$C117*'Business Case'!F12*$B117)-('Business Case'!E11*$C117*'Business Case'!E12*$B117))-'Business Case'!F15*$F117</f>
        <v>853957042.577284</v>
      </c>
      <c r="M117" s="39" t="n">
        <f aca="false">(('Business Case'!G11*$C117*'Business Case'!G12*$B117)-'Business Case'!G11*$C117*'Business Case'!G13*$D117-'Business Case'!G14*$E117)-MAX(0,(('Business Case'!G11*$C117*'Business Case'!G12*$B117)-'Business Case'!G11*$C117*'Business Case'!G13*$D117-'Business Case'!G14*$E117))*'Business Case'!$B$7-'Business Case'!$B$8*(('Business Case'!G11*$C117*'Business Case'!G12*$B117)-('Business Case'!F11*$C117*'Business Case'!F12*$B117))-'Business Case'!G15*$F117+'Business Case'!$B$8*('Business Case'!G11*$C117*'Business Case'!G12*$B117)</f>
        <v>1062852130.92401</v>
      </c>
      <c r="N117" s="39" t="n">
        <f aca="false">IF(COUNT('Business Case'!B11:G11)=0,"",H117+NPV(G117,I117:M117))</f>
        <v>104316445.807858</v>
      </c>
      <c r="P117" s="40" t="n">
        <f aca="true">RAND()</f>
        <v>0.794677181527693</v>
      </c>
      <c r="Q117" s="40" t="n">
        <f aca="true">RAND()</f>
        <v>0.930528165093814</v>
      </c>
      <c r="R117" s="40" t="n">
        <f aca="true">RAND()</f>
        <v>0.832547259120081</v>
      </c>
      <c r="S117" s="40" t="n">
        <f aca="true">RAND()</f>
        <v>0.750128892742638</v>
      </c>
      <c r="T117" s="40" t="n">
        <f aca="true">RAND()</f>
        <v>0.112165933901226</v>
      </c>
      <c r="U117" s="40" t="n">
        <f aca="true">RAND()</f>
        <v>0.266561805806641</v>
      </c>
    </row>
    <row r="118" customFormat="false" ht="15" hidden="false" customHeight="false" outlineLevel="0" collapsed="false">
      <c r="A118" s="36" t="n">
        <v>38</v>
      </c>
      <c r="B118" s="37" t="n">
        <f aca="false">1+IF($G$6=$E$6,$F$6,IF(P118&lt;($F$6-$E$6)/($G$6-$E$6),$E$6+SQRT(P118*($G$6-$E$6)*($F$6-$E$6)),$G$6-SQRT((1-P118)*($G$6-$E$6)*($G$6-$F$6))))</f>
        <v>0.95372992294814</v>
      </c>
      <c r="C118" s="37" t="n">
        <f aca="false">1+IF($G$7=$E$7,$F$7,IF(Q118&lt;($F$7-$E$7)/($G$7-$E$7),$E$7+SQRT(Q118*($G$7-$E$7)*($F$7-$E$7)),$G$7-SQRT((1-Q118)*($G$7-$E$7)*($G$7-$F$7))))</f>
        <v>1.04696294901106</v>
      </c>
      <c r="D118" s="37" t="n">
        <f aca="false">1+IF($G$8=$E$8,$F$8,IF(R118&lt;($F$8-$E$8)/($G$8-$E$8),$E$8+SQRT(R118*($G$8-$E$8)*($F$8-$E$8)),$G$8-SQRT((1-R118)*($G$8-$E$8)*($G$8-$F$8))))</f>
        <v>1.02484340395306</v>
      </c>
      <c r="E118" s="37" t="n">
        <f aca="false">1+IF($G$9=$E$9,$F$9,IF(S118&lt;($F$9-$E$9)/($G$9-$E$9),$E$9+SQRT(S118*($G$9-$E$9)*($F$9-$E$9)),$G$9-SQRT((1-S118)*($G$9-$E$9)*($G$9-$F$9))))</f>
        <v>1.01431774955043</v>
      </c>
      <c r="F118" s="37" t="n">
        <f aca="false">1+IF($G$10=$E$10,$F$10,IF(T118&lt;($F$10-$E$10)/($G$10-$E$10),$E$10+SQRT(T118*($G$10-$E$10)*($F$10-$E$10)),$G$10-SQRT((1-T118)*($G$10-$E$10)*($G$10-$F$10))))</f>
        <v>1.02442371777358</v>
      </c>
      <c r="G118" s="38" t="n">
        <f aca="false">IF($G$11=$E$11,$F$11,IF(U118&lt;($F$11-$E$11)/($G$11-$E$11),$E$11+SQRT(U118*($G$11-$E$11)*($F$11-$E$11)),$G$11-SQRT((1-U118)*($G$11-$E$11)*($G$11-$F$11))))</f>
        <v>0.100665319682891</v>
      </c>
      <c r="H118" s="39" t="n">
        <f aca="false">(('Business Case'!B11*$C118*'Business Case'!B12*$B118)-'Business Case'!B11*$C118*'Business Case'!B13*$D118-'Business Case'!B14*$E118)-MAX(0,(('Business Case'!B11*$C118*'Business Case'!B12*$B118)-'Business Case'!B11*$C118*'Business Case'!B13*$D118-'Business Case'!B14*$E118))*'Business Case'!$B$7-'Business Case'!$B$8*('Business Case'!B11*$C118*'Business Case'!B12*$B118)-'Business Case'!B15*$F118</f>
        <v>-2048847435.54717</v>
      </c>
      <c r="I118" s="39" t="n">
        <f aca="false">(('Business Case'!C11*$C118*'Business Case'!C12*$B118)-'Business Case'!C11*$C118*'Business Case'!C13*$D118-'Business Case'!C14*$E118)-MAX(0,(('Business Case'!C11*$C118*'Business Case'!C12*$B118)-'Business Case'!C11*$C118*'Business Case'!C13*$D118-'Business Case'!C14*$E118))*'Business Case'!$B$7-'Business Case'!$B$8*(('Business Case'!C11*$C118*'Business Case'!C12*$B118)-('Business Case'!B11*$C118*'Business Case'!B12*$B118))-'Business Case'!C15*$F118</f>
        <v>-29858316.7177338</v>
      </c>
      <c r="J118" s="39" t="n">
        <f aca="false">(('Business Case'!D11*$C118*'Business Case'!D12*$B118)-'Business Case'!D11*$C118*'Business Case'!D13*$D118-'Business Case'!D14*$E118)-MAX(0,(('Business Case'!D11*$C118*'Business Case'!D12*$B118)-'Business Case'!D11*$C118*'Business Case'!D13*$D118-'Business Case'!D14*$E118))*'Business Case'!$B$7-'Business Case'!$B$8*(('Business Case'!D11*$C118*'Business Case'!D12*$B118)-('Business Case'!C11*$C118*'Business Case'!C12*$B118))-'Business Case'!D15*$F118</f>
        <v>238724993.565004</v>
      </c>
      <c r="K118" s="39" t="n">
        <f aca="false">(('Business Case'!E11*$C118*'Business Case'!E12*$B118)-'Business Case'!E11*$C118*'Business Case'!E13*$D118-'Business Case'!E14*$E118)-MAX(0,(('Business Case'!E11*$C118*'Business Case'!E12*$B118)-'Business Case'!E11*$C118*'Business Case'!E13*$D118-'Business Case'!E14*$E118))*'Business Case'!$B$7-'Business Case'!$B$8*(('Business Case'!E11*$C118*'Business Case'!E12*$B118)-('Business Case'!D11*$C118*'Business Case'!D12*$B118))-'Business Case'!E15*$F118</f>
        <v>558529489.736422</v>
      </c>
      <c r="L118" s="39" t="n">
        <f aca="false">(('Business Case'!F11*$C118*'Business Case'!F12*$B118)-'Business Case'!F11*$C118*'Business Case'!F13*$D118-'Business Case'!F14*$E118)-MAX(0,(('Business Case'!F11*$C118*'Business Case'!F12*$B118)-'Business Case'!F11*$C118*'Business Case'!F13*$D118-'Business Case'!F14*$E118))*'Business Case'!$B$7-'Business Case'!$B$8*(('Business Case'!F11*$C118*'Business Case'!F12*$B118)-('Business Case'!E11*$C118*'Business Case'!E12*$B118))-'Business Case'!F15*$F118</f>
        <v>682566107.32203</v>
      </c>
      <c r="M118" s="39" t="n">
        <f aca="false">(('Business Case'!G11*$C118*'Business Case'!G12*$B118)-'Business Case'!G11*$C118*'Business Case'!G13*$D118-'Business Case'!G14*$E118)-MAX(0,(('Business Case'!G11*$C118*'Business Case'!G12*$B118)-'Business Case'!G11*$C118*'Business Case'!G13*$D118-'Business Case'!G14*$E118))*'Business Case'!$B$7-'Business Case'!$B$8*(('Business Case'!G11*$C118*'Business Case'!G12*$B118)-('Business Case'!F11*$C118*'Business Case'!F12*$B118))-'Business Case'!G15*$F118+'Business Case'!$B$8*('Business Case'!G11*$C118*'Business Case'!G12*$B118)</f>
        <v>872364768.524521</v>
      </c>
      <c r="N118" s="39" t="n">
        <f aca="false">IF(COUNT('Business Case'!B11:G11)=0,"",H118+NPV(G118,I118:M118))</f>
        <v>-454938662.072396</v>
      </c>
      <c r="P118" s="40" t="n">
        <f aca="true">RAND()</f>
        <v>0.118511218967446</v>
      </c>
      <c r="Q118" s="40" t="n">
        <f aca="true">RAND()</f>
        <v>0.797778402352426</v>
      </c>
      <c r="R118" s="40" t="n">
        <f aca="true">RAND()</f>
        <v>0.707475953126425</v>
      </c>
      <c r="S118" s="40" t="n">
        <f aca="true">RAND()</f>
        <v>0.510570130526438</v>
      </c>
      <c r="T118" s="40" t="n">
        <f aca="true">RAND()</f>
        <v>0.383459382390989</v>
      </c>
      <c r="U118" s="40" t="n">
        <f aca="true">RAND()</f>
        <v>0.376950228391983</v>
      </c>
    </row>
    <row r="119" customFormat="false" ht="15" hidden="false" customHeight="false" outlineLevel="0" collapsed="false">
      <c r="A119" s="36" t="n">
        <v>39</v>
      </c>
      <c r="B119" s="37" t="n">
        <f aca="false">1+IF($G$6=$E$6,$F$6,IF(P119&lt;($F$6-$E$6)/($G$6-$E$6),$E$6+SQRT(P119*($G$6-$E$6)*($F$6-$E$6)),$G$6-SQRT((1-P119)*($G$6-$E$6)*($G$6-$F$6))))</f>
        <v>0.987992532339723</v>
      </c>
      <c r="C119" s="37" t="n">
        <f aca="false">1+IF($G$7=$E$7,$F$7,IF(Q119&lt;($F$7-$E$7)/($G$7-$E$7),$E$7+SQRT(Q119*($G$7-$E$7)*($F$7-$E$7)),$G$7-SQRT((1-Q119)*($G$7-$E$7)*($G$7-$F$7))))</f>
        <v>0.980127569889726</v>
      </c>
      <c r="D119" s="37" t="n">
        <f aca="false">1+IF($G$8=$E$8,$F$8,IF(R119&lt;($F$8-$E$8)/($G$8-$E$8),$E$8+SQRT(R119*($G$8-$E$8)*($F$8-$E$8)),$G$8-SQRT((1-R119)*($G$8-$E$8)*($G$8-$F$8))))</f>
        <v>1.00245086155832</v>
      </c>
      <c r="E119" s="37" t="n">
        <f aca="false">1+IF($G$9=$E$9,$F$9,IF(S119&lt;($F$9-$E$9)/($G$9-$E$9),$E$9+SQRT(S119*($G$9-$E$9)*($F$9-$E$9)),$G$9-SQRT((1-S119)*($G$9-$E$9)*($G$9-$F$9))))</f>
        <v>1.0700804350599</v>
      </c>
      <c r="F119" s="37" t="n">
        <f aca="false">1+IF($G$10=$E$10,$F$10,IF(T119&lt;($F$10-$E$10)/($G$10-$E$10),$E$10+SQRT(T119*($G$10-$E$10)*($F$10-$E$10)),$G$10-SQRT((1-T119)*($G$10-$E$10)*($G$10-$F$10))))</f>
        <v>1.02169376016769</v>
      </c>
      <c r="G119" s="38" t="n">
        <f aca="false">IF($G$11=$E$11,$F$11,IF(U119&lt;($F$11-$E$11)/($G$11-$E$11),$E$11+SQRT(U119*($G$11-$E$11)*($F$11-$E$11)),$G$11-SQRT((1-U119)*($G$11-$E$11)*($G$11-$F$11))))</f>
        <v>0.108981416033403</v>
      </c>
      <c r="H119" s="39" t="n">
        <f aca="false">(('Business Case'!B11*$C119*'Business Case'!B12*$B119)-'Business Case'!B11*$C119*'Business Case'!B13*$D119-'Business Case'!B14*$E119)-MAX(0,(('Business Case'!B11*$C119*'Business Case'!B12*$B119)-'Business Case'!B11*$C119*'Business Case'!B13*$D119-'Business Case'!B14*$E119))*'Business Case'!$B$7-'Business Case'!$B$8*('Business Case'!B11*$C119*'Business Case'!B12*$B119)-'Business Case'!B15*$F119</f>
        <v>-2043387520.33538</v>
      </c>
      <c r="I119" s="39" t="n">
        <f aca="false">(('Business Case'!C11*$C119*'Business Case'!C12*$B119)-'Business Case'!C11*$C119*'Business Case'!C13*$D119-'Business Case'!C14*$E119)-MAX(0,(('Business Case'!C11*$C119*'Business Case'!C12*$B119)-'Business Case'!C11*$C119*'Business Case'!C13*$D119-'Business Case'!C14*$E119))*'Business Case'!$B$7-'Business Case'!$B$8*(('Business Case'!C11*$C119*'Business Case'!C12*$B119)-('Business Case'!B11*$C119*'Business Case'!B12*$B119))-'Business Case'!C15*$F119</f>
        <v>-14355634.360184</v>
      </c>
      <c r="J119" s="39" t="n">
        <f aca="false">(('Business Case'!D11*$C119*'Business Case'!D12*$B119)-'Business Case'!D11*$C119*'Business Case'!D13*$D119-'Business Case'!D14*$E119)-MAX(0,(('Business Case'!D11*$C119*'Business Case'!D12*$B119)-'Business Case'!D11*$C119*'Business Case'!D13*$D119-'Business Case'!D14*$E119))*'Business Case'!$B$7-'Business Case'!$B$8*(('Business Case'!D11*$C119*'Business Case'!D12*$B119)-('Business Case'!C11*$C119*'Business Case'!C12*$B119))-'Business Case'!D15*$F119</f>
        <v>275823261.195902</v>
      </c>
      <c r="K119" s="39" t="n">
        <f aca="false">(('Business Case'!E11*$C119*'Business Case'!E12*$B119)-'Business Case'!E11*$C119*'Business Case'!E13*$D119-'Business Case'!E14*$E119)-MAX(0,(('Business Case'!E11*$C119*'Business Case'!E12*$B119)-'Business Case'!E11*$C119*'Business Case'!E13*$D119-'Business Case'!E14*$E119))*'Business Case'!$B$7-'Business Case'!$B$8*(('Business Case'!E11*$C119*'Business Case'!E12*$B119)-('Business Case'!D11*$C119*'Business Case'!D12*$B119))-'Business Case'!E15*$F119</f>
        <v>617086844.760372</v>
      </c>
      <c r="L119" s="39" t="n">
        <f aca="false">(('Business Case'!F11*$C119*'Business Case'!F12*$B119)-'Business Case'!F11*$C119*'Business Case'!F13*$D119-'Business Case'!F14*$E119)-MAX(0,(('Business Case'!F11*$C119*'Business Case'!F12*$B119)-'Business Case'!F11*$C119*'Business Case'!F13*$D119-'Business Case'!F14*$E119))*'Business Case'!$B$7-'Business Case'!$B$8*(('Business Case'!F11*$C119*'Business Case'!F12*$B119)-('Business Case'!E11*$C119*'Business Case'!E12*$B119))-'Business Case'!F15*$F119</f>
        <v>747279620.635056</v>
      </c>
      <c r="M119" s="39" t="n">
        <f aca="false">(('Business Case'!G11*$C119*'Business Case'!G12*$B119)-'Business Case'!G11*$C119*'Business Case'!G13*$D119-'Business Case'!G14*$E119)-MAX(0,(('Business Case'!G11*$C119*'Business Case'!G12*$B119)-'Business Case'!G11*$C119*'Business Case'!G13*$D119-'Business Case'!G14*$E119))*'Business Case'!$B$7-'Business Case'!$B$8*(('Business Case'!G11*$C119*'Business Case'!G12*$B119)-('Business Case'!F11*$C119*'Business Case'!F12*$B119))-'Business Case'!G15*$F119+'Business Case'!$B$8*('Business Case'!G11*$C119*'Business Case'!G12*$B119)</f>
        <v>931345246.092992</v>
      </c>
      <c r="N119" s="39" t="n">
        <f aca="false">IF(COUNT('Business Case'!B11:G11)=0,"",H119+NPV(G119,I119:M119))</f>
        <v>-330285363.09892</v>
      </c>
      <c r="P119" s="40" t="n">
        <f aca="true">RAND()</f>
        <v>0.481560880621693</v>
      </c>
      <c r="Q119" s="40" t="n">
        <f aca="true">RAND()</f>
        <v>0.463513449062546</v>
      </c>
      <c r="R119" s="40" t="n">
        <f aca="true">RAND()</f>
        <v>0.421743377591717</v>
      </c>
      <c r="S119" s="40" t="n">
        <f aca="true">RAND()</f>
        <v>0.940321308919684</v>
      </c>
      <c r="T119" s="40" t="n">
        <f aca="true">RAND()</f>
        <v>0.364137696737268</v>
      </c>
      <c r="U119" s="40" t="n">
        <f aca="true">RAND()</f>
        <v>0.797651345618413</v>
      </c>
    </row>
    <row r="120" customFormat="false" ht="15" hidden="false" customHeight="false" outlineLevel="0" collapsed="false">
      <c r="A120" s="36" t="n">
        <v>40</v>
      </c>
      <c r="B120" s="37" t="n">
        <f aca="false">1+IF($G$6=$E$6,$F$6,IF(P120&lt;($F$6-$E$6)/($G$6-$E$6),$E$6+SQRT(P120*($G$6-$E$6)*($F$6-$E$6)),$G$6-SQRT((1-P120)*($G$6-$E$6)*($G$6-$F$6))))</f>
        <v>0.92850736215379</v>
      </c>
      <c r="C120" s="37" t="n">
        <f aca="false">1+IF($G$7=$E$7,$F$7,IF(Q120&lt;($F$7-$E$7)/($G$7-$E$7),$E$7+SQRT(Q120*($G$7-$E$7)*($F$7-$E$7)),$G$7-SQRT((1-Q120)*($G$7-$E$7)*($G$7-$F$7))))</f>
        <v>1.09362632050582</v>
      </c>
      <c r="D120" s="37" t="n">
        <f aca="false">1+IF($G$8=$E$8,$F$8,IF(R120&lt;($F$8-$E$8)/($G$8-$E$8),$E$8+SQRT(R120*($G$8-$E$8)*($F$8-$E$8)),$G$8-SQRT((1-R120)*($G$8-$E$8)*($G$8-$F$8))))</f>
        <v>1.04667236734545</v>
      </c>
      <c r="E120" s="37" t="n">
        <f aca="false">1+IF($G$9=$E$9,$F$9,IF(S120&lt;($F$9-$E$9)/($G$9-$E$9),$E$9+SQRT(S120*($G$9-$E$9)*($F$9-$E$9)),$G$9-SQRT((1-S120)*($G$9-$E$9)*($G$9-$F$9))))</f>
        <v>0.98595518671483</v>
      </c>
      <c r="F120" s="37" t="n">
        <f aca="false">1+IF($G$10=$E$10,$F$10,IF(T120&lt;($F$10-$E$10)/($G$10-$E$10),$E$10+SQRT(T120*($G$10-$E$10)*($F$10-$E$10)),$G$10-SQRT((1-T120)*($G$10-$E$10)*($G$10-$F$10))))</f>
        <v>1.02886828292331</v>
      </c>
      <c r="G120" s="38" t="n">
        <f aca="false">IF($G$11=$E$11,$F$11,IF(U120&lt;($F$11-$E$11)/($G$11-$E$11),$E$11+SQRT(U120*($G$11-$E$11)*($F$11-$E$11)),$G$11-SQRT((1-U120)*($G$11-$E$11)*($G$11-$F$11))))</f>
        <v>0.106244146233048</v>
      </c>
      <c r="H120" s="39" t="n">
        <f aca="false">(('Business Case'!B11*$C120*'Business Case'!B12*$B120)-'Business Case'!B11*$C120*'Business Case'!B13*$D120-'Business Case'!B14*$E120)-MAX(0,(('Business Case'!B11*$C120*'Business Case'!B12*$B120)-'Business Case'!B11*$C120*'Business Case'!B13*$D120-'Business Case'!B14*$E120))*'Business Case'!$B$7-'Business Case'!$B$8*('Business Case'!B11*$C120*'Business Case'!B12*$B120)-'Business Case'!B15*$F120</f>
        <v>-2057736565.84661</v>
      </c>
      <c r="I120" s="39" t="n">
        <f aca="false">(('Business Case'!C11*$C120*'Business Case'!C12*$B120)-'Business Case'!C11*$C120*'Business Case'!C13*$D120-'Business Case'!C14*$E120)-MAX(0,(('Business Case'!C11*$C120*'Business Case'!C12*$B120)-'Business Case'!C11*$C120*'Business Case'!C13*$D120-'Business Case'!C14*$E120))*'Business Case'!$B$7-'Business Case'!$B$8*(('Business Case'!C11*$C120*'Business Case'!C12*$B120)-('Business Case'!B11*$C120*'Business Case'!B12*$B120))-'Business Case'!C15*$F120</f>
        <v>-49990197.5456631</v>
      </c>
      <c r="J120" s="39" t="n">
        <f aca="false">(('Business Case'!D11*$C120*'Business Case'!D12*$B120)-'Business Case'!D11*$C120*'Business Case'!D13*$D120-'Business Case'!D14*$E120)-MAX(0,(('Business Case'!D11*$C120*'Business Case'!D12*$B120)-'Business Case'!D11*$C120*'Business Case'!D13*$D120-'Business Case'!D14*$E120))*'Business Case'!$B$7-'Business Case'!$B$8*(('Business Case'!D11*$C120*'Business Case'!D12*$B120)-('Business Case'!C11*$C120*'Business Case'!C12*$B120))-'Business Case'!D15*$F120</f>
        <v>195749675.019258</v>
      </c>
      <c r="K120" s="39" t="n">
        <f aca="false">(('Business Case'!E11*$C120*'Business Case'!E12*$B120)-'Business Case'!E11*$C120*'Business Case'!E13*$D120-'Business Case'!E14*$E120)-MAX(0,(('Business Case'!E11*$C120*'Business Case'!E12*$B120)-'Business Case'!E11*$C120*'Business Case'!E13*$D120-'Business Case'!E14*$E120))*'Business Case'!$B$7-'Business Case'!$B$8*(('Business Case'!E11*$C120*'Business Case'!E12*$B120)-('Business Case'!D11*$C120*'Business Case'!D12*$B120))-'Business Case'!E15*$F120</f>
        <v>492932961.730345</v>
      </c>
      <c r="L120" s="39" t="n">
        <f aca="false">(('Business Case'!F11*$C120*'Business Case'!F12*$B120)-'Business Case'!F11*$C120*'Business Case'!F13*$D120-'Business Case'!F14*$E120)-MAX(0,(('Business Case'!F11*$C120*'Business Case'!F12*$B120)-'Business Case'!F11*$C120*'Business Case'!F13*$D120-'Business Case'!F14*$E120))*'Business Case'!$B$7-'Business Case'!$B$8*(('Business Case'!F11*$C120*'Business Case'!F12*$B120)-('Business Case'!E11*$C120*'Business Case'!E12*$B120))-'Business Case'!F15*$F120</f>
        <v>609939862.096922</v>
      </c>
      <c r="M120" s="39" t="n">
        <f aca="false">(('Business Case'!G11*$C120*'Business Case'!G12*$B120)-'Business Case'!G11*$C120*'Business Case'!G13*$D120-'Business Case'!G14*$E120)-MAX(0,(('Business Case'!G11*$C120*'Business Case'!G12*$B120)-'Business Case'!G11*$C120*'Business Case'!G13*$D120-'Business Case'!G14*$E120))*'Business Case'!$B$7-'Business Case'!$B$8*(('Business Case'!G11*$C120*'Business Case'!G12*$B120)-('Business Case'!F11*$C120*'Business Case'!F12*$B120))-'Business Case'!G15*$F120+'Business Case'!$B$8*('Business Case'!G11*$C120*'Business Case'!G12*$B120)</f>
        <v>802954714.410739</v>
      </c>
      <c r="N120" s="39" t="n">
        <f aca="false">IF(COUNT('Business Case'!B11:G11)=0,"",H120+NPV(G120,I120:M120))</f>
        <v>-686928857.885618</v>
      </c>
      <c r="P120" s="40" t="n">
        <f aca="true">RAND()</f>
        <v>0.00753908445997277</v>
      </c>
      <c r="Q120" s="40" t="n">
        <f aca="true">RAND()</f>
        <v>0.939466824005478</v>
      </c>
      <c r="R120" s="40" t="n">
        <f aca="true">RAND()</f>
        <v>0.893198932850355</v>
      </c>
      <c r="S120" s="40" t="n">
        <f aca="true">RAND()</f>
        <v>0.172370060226442</v>
      </c>
      <c r="T120" s="40" t="n">
        <f aca="true">RAND()</f>
        <v>0.414278708207646</v>
      </c>
      <c r="U120" s="40" t="n">
        <f aca="true">RAND()</f>
        <v>0.684627478570367</v>
      </c>
    </row>
    <row r="121" customFormat="false" ht="15" hidden="false" customHeight="false" outlineLevel="0" collapsed="false">
      <c r="A121" s="36" t="n">
        <v>41</v>
      </c>
      <c r="B121" s="37" t="n">
        <f aca="false">1+IF($G$6=$E$6,$F$6,IF(P121&lt;($F$6-$E$6)/($G$6-$E$6),$E$6+SQRT(P121*($G$6-$E$6)*($F$6-$E$6)),$G$6-SQRT((1-P121)*($G$6-$E$6)*($G$6-$F$6))))</f>
        <v>1.00733836758118</v>
      </c>
      <c r="C121" s="37" t="n">
        <f aca="false">1+IF($G$7=$E$7,$F$7,IF(Q121&lt;($F$7-$E$7)/($G$7-$E$7),$E$7+SQRT(Q121*($G$7-$E$7)*($F$7-$E$7)),$G$7-SQRT((1-Q121)*($G$7-$E$7)*($G$7-$F$7))))</f>
        <v>1.00425895835176</v>
      </c>
      <c r="D121" s="37" t="n">
        <f aca="false">1+IF($G$8=$E$8,$F$8,IF(R121&lt;($F$8-$E$8)/($G$8-$E$8),$E$8+SQRT(R121*($G$8-$E$8)*($F$8-$E$8)),$G$8-SQRT((1-R121)*($G$8-$E$8)*($G$8-$F$8))))</f>
        <v>0.958167701446097</v>
      </c>
      <c r="E121" s="37" t="n">
        <f aca="false">1+IF($G$9=$E$9,$F$9,IF(S121&lt;($F$9-$E$9)/($G$9-$E$9),$E$9+SQRT(S121*($G$9-$E$9)*($F$9-$E$9)),$G$9-SQRT((1-S121)*($G$9-$E$9)*($G$9-$F$9))))</f>
        <v>0.975449337357337</v>
      </c>
      <c r="F121" s="37" t="n">
        <f aca="false">1+IF($G$10=$E$10,$F$10,IF(T121&lt;($F$10-$E$10)/($G$10-$E$10),$E$10+SQRT(T121*($G$10-$E$10)*($F$10-$E$10)),$G$10-SQRT((1-T121)*($G$10-$E$10)*($G$10-$F$10))))</f>
        <v>1.06118434938489</v>
      </c>
      <c r="G121" s="38" t="n">
        <f aca="false">IF($G$11=$E$11,$F$11,IF(U121&lt;($F$11-$E$11)/($G$11-$E$11),$E$11+SQRT(U121*($G$11-$E$11)*($F$11-$E$11)),$G$11-SQRT((1-U121)*($G$11-$E$11)*($G$11-$F$11))))</f>
        <v>0.0942173399841985</v>
      </c>
      <c r="H121" s="39" t="n">
        <f aca="false">(('Business Case'!B11*$C121*'Business Case'!B12*$B121)-'Business Case'!B11*$C121*'Business Case'!B13*$D121-'Business Case'!B14*$E121)-MAX(0,(('Business Case'!B11*$C121*'Business Case'!B12*$B121)-'Business Case'!B11*$C121*'Business Case'!B13*$D121-'Business Case'!B14*$E121))*'Business Case'!$B$7-'Business Case'!$B$8*('Business Case'!B11*$C121*'Business Case'!B12*$B121)-'Business Case'!B15*$F121</f>
        <v>-2122368698.76979</v>
      </c>
      <c r="I121" s="39" t="n">
        <f aca="false">(('Business Case'!C11*$C121*'Business Case'!C12*$B121)-'Business Case'!C11*$C121*'Business Case'!C13*$D121-'Business Case'!C14*$E121)-MAX(0,(('Business Case'!C11*$C121*'Business Case'!C12*$B121)-'Business Case'!C11*$C121*'Business Case'!C13*$D121-'Business Case'!C14*$E121))*'Business Case'!$B$7-'Business Case'!$B$8*(('Business Case'!C11*$C121*'Business Case'!C12*$B121)-('Business Case'!B11*$C121*'Business Case'!B12*$B121))-'Business Case'!C15*$F121</f>
        <v>38732236.7925902</v>
      </c>
      <c r="J121" s="39" t="n">
        <f aca="false">(('Business Case'!D11*$C121*'Business Case'!D12*$B121)-'Business Case'!D11*$C121*'Business Case'!D13*$D121-'Business Case'!D14*$E121)-MAX(0,(('Business Case'!D11*$C121*'Business Case'!D12*$B121)-'Business Case'!D11*$C121*'Business Case'!D13*$D121-'Business Case'!D14*$E121))*'Business Case'!$B$7-'Business Case'!$B$8*(('Business Case'!D11*$C121*'Business Case'!D12*$B121)-('Business Case'!C11*$C121*'Business Case'!C12*$B121))-'Business Case'!D15*$F121</f>
        <v>374734629.869337</v>
      </c>
      <c r="K121" s="39" t="n">
        <f aca="false">(('Business Case'!E11*$C121*'Business Case'!E12*$B121)-'Business Case'!E11*$C121*'Business Case'!E13*$D121-'Business Case'!E14*$E121)-MAX(0,(('Business Case'!E11*$C121*'Business Case'!E12*$B121)-'Business Case'!E11*$C121*'Business Case'!E13*$D121-'Business Case'!E14*$E121))*'Business Case'!$B$7-'Business Case'!$B$8*(('Business Case'!E11*$C121*'Business Case'!E12*$B121)-('Business Case'!D11*$C121*'Business Case'!D12*$B121))-'Business Case'!E15*$F121</f>
        <v>763796240.415328</v>
      </c>
      <c r="L121" s="39" t="n">
        <f aca="false">(('Business Case'!F11*$C121*'Business Case'!F12*$B121)-'Business Case'!F11*$C121*'Business Case'!F13*$D121-'Business Case'!F14*$E121)-MAX(0,(('Business Case'!F11*$C121*'Business Case'!F12*$B121)-'Business Case'!F11*$C121*'Business Case'!F13*$D121-'Business Case'!F14*$E121))*'Business Case'!$B$7-'Business Case'!$B$8*(('Business Case'!F11*$C121*'Business Case'!F12*$B121)-('Business Case'!E11*$C121*'Business Case'!E12*$B121))-'Business Case'!F15*$F121</f>
        <v>910758921.823213</v>
      </c>
      <c r="M121" s="39" t="n">
        <f aca="false">(('Business Case'!G11*$C121*'Business Case'!G12*$B121)-'Business Case'!G11*$C121*'Business Case'!G13*$D121-'Business Case'!G14*$E121)-MAX(0,(('Business Case'!G11*$C121*'Business Case'!G12*$B121)-'Business Case'!G11*$C121*'Business Case'!G13*$D121-'Business Case'!G14*$E121))*'Business Case'!$B$7-'Business Case'!$B$8*(('Business Case'!G11*$C121*'Business Case'!G12*$B121)-('Business Case'!F11*$C121*'Business Case'!F12*$B121))-'Business Case'!G15*$F121+'Business Case'!$B$8*('Business Case'!G11*$C121*'Business Case'!G12*$B121)</f>
        <v>1103049282.25921</v>
      </c>
      <c r="N121" s="39" t="n">
        <f aca="false">IF(COUNT('Business Case'!B11:G11)=0,"",H121+NPV(G121,I121:M121))</f>
        <v>147517951.267994</v>
      </c>
      <c r="P121" s="40" t="n">
        <f aca="true">RAND()</f>
        <v>0.777753701612008</v>
      </c>
      <c r="Q121" s="40" t="n">
        <f aca="true">RAND()</f>
        <v>0.595419976748296</v>
      </c>
      <c r="R121" s="40" t="n">
        <f aca="true">RAND()</f>
        <v>0.0102632841403966</v>
      </c>
      <c r="S121" s="40" t="n">
        <f aca="true">RAND()</f>
        <v>0.0863558362570089</v>
      </c>
      <c r="T121" s="40" t="n">
        <f aca="true">RAND()</f>
        <v>0.614604302886096</v>
      </c>
      <c r="U121" s="40" t="n">
        <f aca="true">RAND()</f>
        <v>0.0592865218077323</v>
      </c>
    </row>
    <row r="122" customFormat="false" ht="15" hidden="false" customHeight="false" outlineLevel="0" collapsed="false">
      <c r="A122" s="36" t="n">
        <v>42</v>
      </c>
      <c r="B122" s="37" t="n">
        <f aca="false">1+IF($G$6=$E$6,$F$6,IF(P122&lt;($F$6-$E$6)/($G$6-$E$6),$E$6+SQRT(P122*($G$6-$E$6)*($F$6-$E$6)),$G$6-SQRT((1-P122)*($G$6-$E$6)*($G$6-$F$6))))</f>
        <v>0.990164228524175</v>
      </c>
      <c r="C122" s="37" t="n">
        <f aca="false">1+IF($G$7=$E$7,$F$7,IF(Q122&lt;($F$7-$E$7)/($G$7-$E$7),$E$7+SQRT(Q122*($G$7-$E$7)*($F$7-$E$7)),$G$7-SQRT((1-Q122)*($G$7-$E$7)*($G$7-$F$7))))</f>
        <v>1.02934596515668</v>
      </c>
      <c r="D122" s="37" t="n">
        <f aca="false">1+IF($G$8=$E$8,$F$8,IF(R122&lt;($F$8-$E$8)/($G$8-$E$8),$E$8+SQRT(R122*($G$8-$E$8)*($F$8-$E$8)),$G$8-SQRT((1-R122)*($G$8-$E$8)*($G$8-$F$8))))</f>
        <v>0.995335859763985</v>
      </c>
      <c r="E122" s="37" t="n">
        <f aca="false">1+IF($G$9=$E$9,$F$9,IF(S122&lt;($F$9-$E$9)/($G$9-$E$9),$E$9+SQRT(S122*($G$9-$E$9)*($F$9-$E$9)),$G$9-SQRT((1-S122)*($G$9-$E$9)*($G$9-$F$9))))</f>
        <v>1.07674297102324</v>
      </c>
      <c r="F122" s="37" t="n">
        <f aca="false">1+IF($G$10=$E$10,$F$10,IF(T122&lt;($F$10-$E$10)/($G$10-$E$10),$E$10+SQRT(T122*($G$10-$E$10)*($F$10-$E$10)),$G$10-SQRT((1-T122)*($G$10-$E$10)*($G$10-$F$10))))</f>
        <v>1.07123840550178</v>
      </c>
      <c r="G122" s="38" t="n">
        <f aca="false">IF($G$11=$E$11,$F$11,IF(U122&lt;($F$11-$E$11)/($G$11-$E$11),$E$11+SQRT(U122*($G$11-$E$11)*($F$11-$E$11)),$G$11-SQRT((1-U122)*($G$11-$E$11)*($G$11-$F$11))))</f>
        <v>0.0961623764408285</v>
      </c>
      <c r="H122" s="39" t="n">
        <f aca="false">(('Business Case'!B11*$C122*'Business Case'!B12*$B122)-'Business Case'!B11*$C122*'Business Case'!B13*$D122-'Business Case'!B14*$E122)-MAX(0,(('Business Case'!B11*$C122*'Business Case'!B12*$B122)-'Business Case'!B11*$C122*'Business Case'!B13*$D122-'Business Case'!B14*$E122))*'Business Case'!$B$7-'Business Case'!$B$8*('Business Case'!B11*$C122*'Business Case'!B12*$B122)-'Business Case'!B15*$F122</f>
        <v>-2142476811.00357</v>
      </c>
      <c r="I122" s="39" t="n">
        <f aca="false">(('Business Case'!C11*$C122*'Business Case'!C12*$B122)-'Business Case'!C11*$C122*'Business Case'!C13*$D122-'Business Case'!C14*$E122)-MAX(0,(('Business Case'!C11*$C122*'Business Case'!C12*$B122)-'Business Case'!C11*$C122*'Business Case'!C13*$D122-'Business Case'!C14*$E122))*'Business Case'!$B$7-'Business Case'!$B$8*(('Business Case'!C11*$C122*'Business Case'!C12*$B122)-('Business Case'!B11*$C122*'Business Case'!B12*$B122))-'Business Case'!C15*$F122</f>
        <v>-2742351.54533948</v>
      </c>
      <c r="J122" s="39" t="n">
        <f aca="false">(('Business Case'!D11*$C122*'Business Case'!D12*$B122)-'Business Case'!D11*$C122*'Business Case'!D13*$D122-'Business Case'!D14*$E122)-MAX(0,(('Business Case'!D11*$C122*'Business Case'!D12*$B122)-'Business Case'!D11*$C122*'Business Case'!D13*$D122-'Business Case'!D14*$E122))*'Business Case'!$B$7-'Business Case'!$B$8*(('Business Case'!D11*$C122*'Business Case'!D12*$B122)-('Business Case'!C11*$C122*'Business Case'!C12*$B122))-'Business Case'!D15*$F122</f>
        <v>307588433.271088</v>
      </c>
      <c r="K122" s="39" t="n">
        <f aca="false">(('Business Case'!E11*$C122*'Business Case'!E12*$B122)-'Business Case'!E11*$C122*'Business Case'!E13*$D122-'Business Case'!E14*$E122)-MAX(0,(('Business Case'!E11*$C122*'Business Case'!E12*$B122)-'Business Case'!E11*$C122*'Business Case'!E13*$D122-'Business Case'!E14*$E122))*'Business Case'!$B$7-'Business Case'!$B$8*(('Business Case'!E11*$C122*'Business Case'!E12*$B122)-('Business Case'!D11*$C122*'Business Case'!D12*$B122))-'Business Case'!E15*$F122</f>
        <v>671481138.362605</v>
      </c>
      <c r="L122" s="39" t="n">
        <f aca="false">(('Business Case'!F11*$C122*'Business Case'!F12*$B122)-'Business Case'!F11*$C122*'Business Case'!F13*$D122-'Business Case'!F14*$E122)-MAX(0,(('Business Case'!F11*$C122*'Business Case'!F12*$B122)-'Business Case'!F11*$C122*'Business Case'!F13*$D122-'Business Case'!F14*$E122))*'Business Case'!$B$7-'Business Case'!$B$8*(('Business Case'!F11*$C122*'Business Case'!F12*$B122)-('Business Case'!E11*$C122*'Business Case'!E12*$B122))-'Business Case'!F15*$F122</f>
        <v>810149030.189469</v>
      </c>
      <c r="M122" s="39" t="n">
        <f aca="false">(('Business Case'!G11*$C122*'Business Case'!G12*$B122)-'Business Case'!G11*$C122*'Business Case'!G13*$D122-'Business Case'!G14*$E122)-MAX(0,(('Business Case'!G11*$C122*'Business Case'!G12*$B122)-'Business Case'!G11*$C122*'Business Case'!G13*$D122-'Business Case'!G14*$E122))*'Business Case'!$B$7-'Business Case'!$B$8*(('Business Case'!G11*$C122*'Business Case'!G12*$B122)-('Business Case'!F11*$C122*'Business Case'!F12*$B122))-'Business Case'!G15*$F122+'Business Case'!$B$8*('Business Case'!G11*$C122*'Business Case'!G12*$B122)</f>
        <v>1003882663.07378</v>
      </c>
      <c r="N122" s="39" t="n">
        <f aca="false">IF(COUNT('Business Case'!B11:G11)=0,"",H122+NPV(G122,I122:M122))</f>
        <v>-183726758.577715</v>
      </c>
      <c r="P122" s="40" t="n">
        <f aca="true">RAND()</f>
        <v>0.512814475457572</v>
      </c>
      <c r="Q122" s="40" t="n">
        <f aca="true">RAND()</f>
        <v>0.722716264305266</v>
      </c>
      <c r="R122" s="40" t="n">
        <f aca="true">RAND()</f>
        <v>0.316206181621495</v>
      </c>
      <c r="S122" s="40" t="n">
        <f aca="true">RAND()</f>
        <v>0.963940706878277</v>
      </c>
      <c r="T122" s="40" t="n">
        <f aca="true">RAND()</f>
        <v>0.668409035645542</v>
      </c>
      <c r="U122" s="40" t="n">
        <f aca="true">RAND()</f>
        <v>0.126582944661593</v>
      </c>
    </row>
    <row r="123" customFormat="false" ht="15" hidden="false" customHeight="false" outlineLevel="0" collapsed="false">
      <c r="A123" s="36" t="n">
        <v>43</v>
      </c>
      <c r="B123" s="37" t="n">
        <f aca="false">1+IF($G$6=$E$6,$F$6,IF(P123&lt;($F$6-$E$6)/($G$6-$E$6),$E$6+SQRT(P123*($G$6-$E$6)*($F$6-$E$6)),$G$6-SQRT((1-P123)*($G$6-$E$6)*($G$6-$F$6))))</f>
        <v>0.969958950739568</v>
      </c>
      <c r="C123" s="37" t="n">
        <f aca="false">1+IF($G$7=$E$7,$F$7,IF(Q123&lt;($F$7-$E$7)/($G$7-$E$7),$E$7+SQRT(Q123*($G$7-$E$7)*($F$7-$E$7)),$G$7-SQRT((1-Q123)*($G$7-$E$7)*($G$7-$F$7))))</f>
        <v>0.913409761184496</v>
      </c>
      <c r="D123" s="37" t="n">
        <f aca="false">1+IF($G$8=$E$8,$F$8,IF(R123&lt;($F$8-$E$8)/($G$8-$E$8),$E$8+SQRT(R123*($G$8-$E$8)*($F$8-$E$8)),$G$8-SQRT((1-R123)*($G$8-$E$8)*($G$8-$F$8))))</f>
        <v>0.956547143224992</v>
      </c>
      <c r="E123" s="37" t="n">
        <f aca="false">1+IF($G$9=$E$9,$F$9,IF(S123&lt;($F$9-$E$9)/($G$9-$E$9),$E$9+SQRT(S123*($G$9-$E$9)*($F$9-$E$9)),$G$9-SQRT((1-S123)*($G$9-$E$9)*($G$9-$F$9))))</f>
        <v>1.02678497075169</v>
      </c>
      <c r="F123" s="37" t="n">
        <f aca="false">1+IF($G$10=$E$10,$F$10,IF(T123&lt;($F$10-$E$10)/($G$10-$E$10),$E$10+SQRT(T123*($G$10-$E$10)*($F$10-$E$10)),$G$10-SQRT((1-T123)*($G$10-$E$10)*($G$10-$F$10))))</f>
        <v>0.988137145350458</v>
      </c>
      <c r="G123" s="38" t="n">
        <f aca="false">IF($G$11=$E$11,$F$11,IF(U123&lt;($F$11-$E$11)/($G$11-$E$11),$E$11+SQRT(U123*($G$11-$E$11)*($F$11-$E$11)),$G$11-SQRT((1-U123)*($G$11-$E$11)*($G$11-$F$11))))</f>
        <v>0.0951765456360744</v>
      </c>
      <c r="H123" s="39" t="n">
        <f aca="false">(('Business Case'!B11*$C123*'Business Case'!B12*$B123)-'Business Case'!B11*$C123*'Business Case'!B13*$D123-'Business Case'!B14*$E123)-MAX(0,(('Business Case'!B11*$C123*'Business Case'!B12*$B123)-'Business Case'!B11*$C123*'Business Case'!B13*$D123-'Business Case'!B14*$E123))*'Business Case'!$B$7-'Business Case'!$B$8*('Business Case'!B11*$C123*'Business Case'!B12*$B123)-'Business Case'!B15*$F123</f>
        <v>-1976274290.70092</v>
      </c>
      <c r="I123" s="39" t="n">
        <f aca="false">(('Business Case'!C11*$C123*'Business Case'!C12*$B123)-'Business Case'!C11*$C123*'Business Case'!C13*$D123-'Business Case'!C14*$E123)-MAX(0,(('Business Case'!C11*$C123*'Business Case'!C12*$B123)-'Business Case'!C11*$C123*'Business Case'!C13*$D123-'Business Case'!C14*$E123))*'Business Case'!$B$7-'Business Case'!$B$8*(('Business Case'!C11*$C123*'Business Case'!C12*$B123)-('Business Case'!B11*$C123*'Business Case'!B12*$B123))-'Business Case'!C15*$F123</f>
        <v>-12352507.8657845</v>
      </c>
      <c r="J123" s="39" t="n">
        <f aca="false">(('Business Case'!D11*$C123*'Business Case'!D12*$B123)-'Business Case'!D11*$C123*'Business Case'!D13*$D123-'Business Case'!D14*$E123)-MAX(0,(('Business Case'!D11*$C123*'Business Case'!D12*$B123)-'Business Case'!D11*$C123*'Business Case'!D13*$D123-'Business Case'!D14*$E123))*'Business Case'!$B$7-'Business Case'!$B$8*(('Business Case'!D11*$C123*'Business Case'!D12*$B123)-('Business Case'!C11*$C123*'Business Case'!C12*$B123))-'Business Case'!D15*$F123</f>
        <v>266046205.073396</v>
      </c>
      <c r="K123" s="39" t="n">
        <f aca="false">(('Business Case'!E11*$C123*'Business Case'!E12*$B123)-'Business Case'!E11*$C123*'Business Case'!E13*$D123-'Business Case'!E14*$E123)-MAX(0,(('Business Case'!E11*$C123*'Business Case'!E12*$B123)-'Business Case'!E11*$C123*'Business Case'!E13*$D123-'Business Case'!E14*$E123))*'Business Case'!$B$7-'Business Case'!$B$8*(('Business Case'!E11*$C123*'Business Case'!E12*$B123)-('Business Case'!D11*$C123*'Business Case'!D12*$B123))-'Business Case'!E15*$F123</f>
        <v>593851775.2801</v>
      </c>
      <c r="L123" s="39" t="n">
        <f aca="false">(('Business Case'!F11*$C123*'Business Case'!F12*$B123)-'Business Case'!F11*$C123*'Business Case'!F13*$D123-'Business Case'!F14*$E123)-MAX(0,(('Business Case'!F11*$C123*'Business Case'!F12*$B123)-'Business Case'!F11*$C123*'Business Case'!F13*$D123-'Business Case'!F14*$E123))*'Business Case'!$B$7-'Business Case'!$B$8*(('Business Case'!F11*$C123*'Business Case'!F12*$B123)-('Business Case'!E11*$C123*'Business Case'!E12*$B123))-'Business Case'!F15*$F123</f>
        <v>717270468.545846</v>
      </c>
      <c r="M123" s="39" t="n">
        <f aca="false">(('Business Case'!G11*$C123*'Business Case'!G12*$B123)-'Business Case'!G11*$C123*'Business Case'!G13*$D123-'Business Case'!G14*$E123)-MAX(0,(('Business Case'!G11*$C123*'Business Case'!G12*$B123)-'Business Case'!G11*$C123*'Business Case'!G13*$D123-'Business Case'!G14*$E123))*'Business Case'!$B$7-'Business Case'!$B$8*(('Business Case'!G11*$C123*'Business Case'!G12*$B123)-('Business Case'!F11*$C123*'Business Case'!F12*$B123))-'Business Case'!G15*$F123+'Business Case'!$B$8*('Business Case'!G11*$C123*'Business Case'!G12*$B123)</f>
        <v>885675641.118951</v>
      </c>
      <c r="N123" s="39" t="n">
        <f aca="false">IF(COUNT('Business Case'!B11:G11)=0,"",H123+NPV(G123,I123:M123))</f>
        <v>-252902975.017782</v>
      </c>
      <c r="P123" s="40" t="n">
        <f aca="true">RAND()</f>
        <v>0.259989245729021</v>
      </c>
      <c r="Q123" s="40" t="n">
        <f aca="true">RAND()</f>
        <v>0.18373962759892</v>
      </c>
      <c r="R123" s="40" t="n">
        <f aca="true">RAND()</f>
        <v>0.0065946283705481</v>
      </c>
      <c r="S123" s="40" t="n">
        <f aca="true">RAND()</f>
        <v>0.642637299477972</v>
      </c>
      <c r="T123" s="40" t="n">
        <f aca="true">RAND()</f>
        <v>0.116355348438556</v>
      </c>
      <c r="U123" s="40" t="n">
        <f aca="true">RAND()</f>
        <v>0.0893220824078696</v>
      </c>
    </row>
    <row r="124" customFormat="false" ht="15" hidden="false" customHeight="false" outlineLevel="0" collapsed="false">
      <c r="A124" s="36" t="n">
        <v>44</v>
      </c>
      <c r="B124" s="37" t="n">
        <f aca="false">1+IF($G$6=$E$6,$F$6,IF(P124&lt;($F$6-$E$6)/($G$6-$E$6),$E$6+SQRT(P124*($G$6-$E$6)*($F$6-$E$6)),$G$6-SQRT((1-P124)*($G$6-$E$6)*($G$6-$F$6))))</f>
        <v>0.982530738988289</v>
      </c>
      <c r="C124" s="37" t="n">
        <f aca="false">1+IF($G$7=$E$7,$F$7,IF(Q124&lt;($F$7-$E$7)/($G$7-$E$7),$E$7+SQRT(Q124*($G$7-$E$7)*($F$7-$E$7)),$G$7-SQRT((1-Q124)*($G$7-$E$7)*($G$7-$F$7))))</f>
        <v>0.853341530038488</v>
      </c>
      <c r="D124" s="37" t="n">
        <f aca="false">1+IF($G$8=$E$8,$F$8,IF(R124&lt;($F$8-$E$8)/($G$8-$E$8),$E$8+SQRT(R124*($G$8-$E$8)*($F$8-$E$8)),$G$8-SQRT((1-R124)*($G$8-$E$8)*($G$8-$F$8))))</f>
        <v>1.01804009749592</v>
      </c>
      <c r="E124" s="37" t="n">
        <f aca="false">1+IF($G$9=$E$9,$F$9,IF(S124&lt;($F$9-$E$9)/($G$9-$E$9),$E$9+SQRT(S124*($G$9-$E$9)*($F$9-$E$9)),$G$9-SQRT((1-S124)*($G$9-$E$9)*($G$9-$F$9))))</f>
        <v>1.00202448835397</v>
      </c>
      <c r="F124" s="37" t="n">
        <f aca="false">1+IF($G$10=$E$10,$F$10,IF(T124&lt;($F$10-$E$10)/($G$10-$E$10),$E$10+SQRT(T124*($G$10-$E$10)*($F$10-$E$10)),$G$10-SQRT((1-T124)*($G$10-$E$10)*($G$10-$F$10))))</f>
        <v>1.03000478553419</v>
      </c>
      <c r="G124" s="38" t="n">
        <f aca="false">IF($G$11=$E$11,$F$11,IF(U124&lt;($F$11-$E$11)/($G$11-$E$11),$E$11+SQRT(U124*($G$11-$E$11)*($F$11-$E$11)),$G$11-SQRT((1-U124)*($G$11-$E$11)*($G$11-$F$11))))</f>
        <v>0.0980038257988368</v>
      </c>
      <c r="H124" s="39" t="n">
        <f aca="false">(('Business Case'!B11*$C124*'Business Case'!B12*$B124)-'Business Case'!B11*$C124*'Business Case'!B13*$D124-'Business Case'!B14*$E124)-MAX(0,(('Business Case'!B11*$C124*'Business Case'!B12*$B124)-'Business Case'!B11*$C124*'Business Case'!B13*$D124-'Business Case'!B14*$E124))*'Business Case'!$B$7-'Business Case'!$B$8*('Business Case'!B11*$C124*'Business Case'!B12*$B124)-'Business Case'!B15*$F124</f>
        <v>-2060009571.06837</v>
      </c>
      <c r="I124" s="39" t="n">
        <f aca="false">(('Business Case'!C11*$C124*'Business Case'!C12*$B124)-'Business Case'!C11*$C124*'Business Case'!C13*$D124-'Business Case'!C14*$E124)-MAX(0,(('Business Case'!C11*$C124*'Business Case'!C12*$B124)-'Business Case'!C11*$C124*'Business Case'!C13*$D124-'Business Case'!C14*$E124))*'Business Case'!$B$7-'Business Case'!$B$8*(('Business Case'!C11*$C124*'Business Case'!C12*$B124)-('Business Case'!B11*$C124*'Business Case'!B12*$B124))-'Business Case'!C15*$F124</f>
        <v>-46938027.2053936</v>
      </c>
      <c r="J124" s="39" t="n">
        <f aca="false">(('Business Case'!D11*$C124*'Business Case'!D12*$B124)-'Business Case'!D11*$C124*'Business Case'!D13*$D124-'Business Case'!D14*$E124)-MAX(0,(('Business Case'!D11*$C124*'Business Case'!D12*$B124)-'Business Case'!D11*$C124*'Business Case'!D13*$D124-'Business Case'!D14*$E124))*'Business Case'!$B$7-'Business Case'!$B$8*(('Business Case'!D11*$C124*'Business Case'!D12*$B124)-('Business Case'!C11*$C124*'Business Case'!C12*$B124))-'Business Case'!D15*$F124</f>
        <v>195076739.675249</v>
      </c>
      <c r="K124" s="39" t="n">
        <f aca="false">(('Business Case'!E11*$C124*'Business Case'!E12*$B124)-'Business Case'!E11*$C124*'Business Case'!E13*$D124-'Business Case'!E14*$E124)-MAX(0,(('Business Case'!E11*$C124*'Business Case'!E12*$B124)-'Business Case'!E11*$C124*'Business Case'!E13*$D124-'Business Case'!E14*$E124))*'Business Case'!$B$7-'Business Case'!$B$8*(('Business Case'!E11*$C124*'Business Case'!E12*$B124)-('Business Case'!D11*$C124*'Business Case'!D12*$B124))-'Business Case'!E15*$F124</f>
        <v>488591745.832601</v>
      </c>
      <c r="L124" s="39" t="n">
        <f aca="false">(('Business Case'!F11*$C124*'Business Case'!F12*$B124)-'Business Case'!F11*$C124*'Business Case'!F13*$D124-'Business Case'!F14*$E124)-MAX(0,(('Business Case'!F11*$C124*'Business Case'!F12*$B124)-'Business Case'!F11*$C124*'Business Case'!F13*$D124-'Business Case'!F14*$E124))*'Business Case'!$B$7-'Business Case'!$B$8*(('Business Case'!F11*$C124*'Business Case'!F12*$B124)-('Business Case'!E11*$C124*'Business Case'!E12*$B124))-'Business Case'!F15*$F124</f>
        <v>598239623.651937</v>
      </c>
      <c r="M124" s="39" t="n">
        <f aca="false">(('Business Case'!G11*$C124*'Business Case'!G12*$B124)-'Business Case'!G11*$C124*'Business Case'!G13*$D124-'Business Case'!G14*$E124)-MAX(0,(('Business Case'!G11*$C124*'Business Case'!G12*$B124)-'Business Case'!G11*$C124*'Business Case'!G13*$D124-'Business Case'!G14*$E124))*'Business Case'!$B$7-'Business Case'!$B$8*(('Business Case'!G11*$C124*'Business Case'!G12*$B124)-('Business Case'!F11*$C124*'Business Case'!F12*$B124))-'Business Case'!G15*$F124+'Business Case'!$B$8*('Business Case'!G11*$C124*'Business Case'!G12*$B124)</f>
        <v>757609212.377108</v>
      </c>
      <c r="N124" s="39" t="n">
        <f aca="false">IF(COUNT('Business Case'!B11:G11)=0,"",H124+NPV(G124,I124:M124))</f>
        <v>-685566372.369539</v>
      </c>
      <c r="P124" s="40" t="n">
        <f aca="true">RAND()</f>
        <v>0.407301387335577</v>
      </c>
      <c r="Q124" s="40" t="n">
        <f aca="true">RAND()</f>
        <v>0.040647411812099</v>
      </c>
      <c r="R124" s="40" t="n">
        <f aca="true">RAND()</f>
        <v>0.630862546315889</v>
      </c>
      <c r="S124" s="40" t="n">
        <f aca="true">RAND()</f>
        <v>0.36005327451323</v>
      </c>
      <c r="T124" s="40" t="n">
        <f aca="true">RAND()</f>
        <v>0.422032541174447</v>
      </c>
      <c r="U124" s="40" t="n">
        <f aca="true">RAND()</f>
        <v>0.213537424727085</v>
      </c>
    </row>
    <row r="125" customFormat="false" ht="15" hidden="false" customHeight="false" outlineLevel="0" collapsed="false">
      <c r="A125" s="36" t="n">
        <v>45</v>
      </c>
      <c r="B125" s="37" t="n">
        <f aca="false">1+IF($G$6=$E$6,$F$6,IF(P125&lt;($F$6-$E$6)/($G$6-$E$6),$E$6+SQRT(P125*($G$6-$E$6)*($F$6-$E$6)),$G$6-SQRT((1-P125)*($G$6-$E$6)*($G$6-$F$6))))</f>
        <v>1.03199746580673</v>
      </c>
      <c r="C125" s="37" t="n">
        <f aca="false">1+IF($G$7=$E$7,$F$7,IF(Q125&lt;($F$7-$E$7)/($G$7-$E$7),$E$7+SQRT(Q125*($G$7-$E$7)*($F$7-$E$7)),$G$7-SQRT((1-Q125)*($G$7-$E$7)*($G$7-$F$7))))</f>
        <v>1.01281678990879</v>
      </c>
      <c r="D125" s="37" t="n">
        <f aca="false">1+IF($G$8=$E$8,$F$8,IF(R125&lt;($F$8-$E$8)/($G$8-$E$8),$E$8+SQRT(R125*($G$8-$E$8)*($F$8-$E$8)),$G$8-SQRT((1-R125)*($G$8-$E$8)*($G$8-$F$8))))</f>
        <v>1.02772529498145</v>
      </c>
      <c r="E125" s="37" t="n">
        <f aca="false">1+IF($G$9=$E$9,$F$9,IF(S125&lt;($F$9-$E$9)/($G$9-$E$9),$E$9+SQRT(S125*($G$9-$E$9)*($F$9-$E$9)),$G$9-SQRT((1-S125)*($G$9-$E$9)*($G$9-$F$9))))</f>
        <v>1.01677662432733</v>
      </c>
      <c r="F125" s="37" t="n">
        <f aca="false">1+IF($G$10=$E$10,$F$10,IF(T125&lt;($F$10-$E$10)/($G$10-$E$10),$E$10+SQRT(T125*($G$10-$E$10)*($F$10-$E$10)),$G$10-SQRT((1-T125)*($G$10-$E$10)*($G$10-$F$10))))</f>
        <v>1.00216432300642</v>
      </c>
      <c r="G125" s="38" t="n">
        <f aca="false">IF($G$11=$E$11,$F$11,IF(U125&lt;($F$11-$E$11)/($G$11-$E$11),$E$11+SQRT(U125*($G$11-$E$11)*($F$11-$E$11)),$G$11-SQRT((1-U125)*($G$11-$E$11)*($G$11-$F$11))))</f>
        <v>0.112862662229171</v>
      </c>
      <c r="H125" s="39" t="n">
        <f aca="false">(('Business Case'!B11*$C125*'Business Case'!B12*$B125)-'Business Case'!B11*$C125*'Business Case'!B13*$D125-'Business Case'!B14*$E125)-MAX(0,(('Business Case'!B11*$C125*'Business Case'!B12*$B125)-'Business Case'!B11*$C125*'Business Case'!B13*$D125-'Business Case'!B14*$E125))*'Business Case'!$B$7-'Business Case'!$B$8*('Business Case'!B11*$C125*'Business Case'!B12*$B125)-'Business Case'!B15*$F125</f>
        <v>-2004328646.01284</v>
      </c>
      <c r="I125" s="39" t="n">
        <f aca="false">(('Business Case'!C11*$C125*'Business Case'!C12*$B125)-'Business Case'!C11*$C125*'Business Case'!C13*$D125-'Business Case'!C14*$E125)-MAX(0,(('Business Case'!C11*$C125*'Business Case'!C12*$B125)-'Business Case'!C11*$C125*'Business Case'!C13*$D125-'Business Case'!C14*$E125))*'Business Case'!$B$7-'Business Case'!$B$8*(('Business Case'!C11*$C125*'Business Case'!C12*$B125)-('Business Case'!B11*$C125*'Business Case'!B12*$B125))-'Business Case'!C15*$F125</f>
        <v>24271293.7837339</v>
      </c>
      <c r="J125" s="39" t="n">
        <f aca="false">(('Business Case'!D11*$C125*'Business Case'!D12*$B125)-'Business Case'!D11*$C125*'Business Case'!D13*$D125-'Business Case'!D14*$E125)-MAX(0,(('Business Case'!D11*$C125*'Business Case'!D12*$B125)-'Business Case'!D11*$C125*'Business Case'!D13*$D125-'Business Case'!D14*$E125))*'Business Case'!$B$7-'Business Case'!$B$8*(('Business Case'!D11*$C125*'Business Case'!D12*$B125)-('Business Case'!C11*$C125*'Business Case'!C12*$B125))-'Business Case'!D15*$F125</f>
        <v>347529086.696418</v>
      </c>
      <c r="K125" s="39" t="n">
        <f aca="false">(('Business Case'!E11*$C125*'Business Case'!E12*$B125)-'Business Case'!E11*$C125*'Business Case'!E13*$D125-'Business Case'!E14*$E125)-MAX(0,(('Business Case'!E11*$C125*'Business Case'!E12*$B125)-'Business Case'!E11*$C125*'Business Case'!E13*$D125-'Business Case'!E14*$E125))*'Business Case'!$B$7-'Business Case'!$B$8*(('Business Case'!E11*$C125*'Business Case'!E12*$B125)-('Business Case'!D11*$C125*'Business Case'!D12*$B125))-'Business Case'!E15*$F125</f>
        <v>720895095.759422</v>
      </c>
      <c r="L125" s="39" t="n">
        <f aca="false">(('Business Case'!F11*$C125*'Business Case'!F12*$B125)-'Business Case'!F11*$C125*'Business Case'!F13*$D125-'Business Case'!F14*$E125)-MAX(0,(('Business Case'!F11*$C125*'Business Case'!F12*$B125)-'Business Case'!F11*$C125*'Business Case'!F13*$D125-'Business Case'!F14*$E125))*'Business Case'!$B$7-'Business Case'!$B$8*(('Business Case'!F11*$C125*'Business Case'!F12*$B125)-('Business Case'!E11*$C125*'Business Case'!E12*$B125))-'Business Case'!F15*$F125</f>
        <v>864770647.296292</v>
      </c>
      <c r="M125" s="39" t="n">
        <f aca="false">(('Business Case'!G11*$C125*'Business Case'!G12*$B125)-'Business Case'!G11*$C125*'Business Case'!G13*$D125-'Business Case'!G14*$E125)-MAX(0,(('Business Case'!G11*$C125*'Business Case'!G12*$B125)-'Business Case'!G11*$C125*'Business Case'!G13*$D125-'Business Case'!G14*$E125))*'Business Case'!$B$7-'Business Case'!$B$8*(('Business Case'!G11*$C125*'Business Case'!G12*$B125)-('Business Case'!F11*$C125*'Business Case'!F12*$B125))-'Business Case'!G15*$F125+'Business Case'!$B$8*('Business Case'!G11*$C125*'Business Case'!G12*$B125)</f>
        <v>1063446893.74248</v>
      </c>
      <c r="N125" s="39" t="n">
        <f aca="false">IF(COUNT('Business Case'!B11:G11)=0,"",H125+NPV(G125,I125:M125))</f>
        <v>7990273.92285848</v>
      </c>
      <c r="P125" s="40" t="n">
        <f aca="true">RAND()</f>
        <v>0.986658218017813</v>
      </c>
      <c r="Q125" s="40" t="n">
        <f aca="true">RAND()</f>
        <v>0.641538416553746</v>
      </c>
      <c r="R125" s="40" t="n">
        <f aca="true">RAND()</f>
        <v>0.737245693771517</v>
      </c>
      <c r="S125" s="40" t="n">
        <f aca="true">RAND()</f>
        <v>0.538257982776385</v>
      </c>
      <c r="T125" s="40" t="n">
        <f aca="true">RAND()</f>
        <v>0.21722089816983</v>
      </c>
      <c r="U125" s="40" t="n">
        <f aca="true">RAND()</f>
        <v>0.915097349241821</v>
      </c>
    </row>
    <row r="126" customFormat="false" ht="15" hidden="false" customHeight="false" outlineLevel="0" collapsed="false">
      <c r="A126" s="36" t="n">
        <v>46</v>
      </c>
      <c r="B126" s="37" t="n">
        <f aca="false">1+IF($G$6=$E$6,$F$6,IF(P126&lt;($F$6-$E$6)/($G$6-$E$6),$E$6+SQRT(P126*($G$6-$E$6)*($F$6-$E$6)),$G$6-SQRT((1-P126)*($G$6-$E$6)*($G$6-$F$6))))</f>
        <v>1.01317010801856</v>
      </c>
      <c r="C126" s="37" t="n">
        <f aca="false">1+IF($G$7=$E$7,$F$7,IF(Q126&lt;($F$7-$E$7)/($G$7-$E$7),$E$7+SQRT(Q126*($G$7-$E$7)*($F$7-$E$7)),$G$7-SQRT((1-Q126)*($G$7-$E$7)*($G$7-$F$7))))</f>
        <v>1.11284611127357</v>
      </c>
      <c r="D126" s="37" t="n">
        <f aca="false">1+IF($G$8=$E$8,$F$8,IF(R126&lt;($F$8-$E$8)/($G$8-$E$8),$E$8+SQRT(R126*($G$8-$E$8)*($F$8-$E$8)),$G$8-SQRT((1-R126)*($G$8-$E$8)*($G$8-$F$8))))</f>
        <v>0.997301205330435</v>
      </c>
      <c r="E126" s="37" t="n">
        <f aca="false">1+IF($G$9=$E$9,$F$9,IF(S126&lt;($F$9-$E$9)/($G$9-$E$9),$E$9+SQRT(S126*($G$9-$E$9)*($F$9-$E$9)),$G$9-SQRT((1-S126)*($G$9-$E$9)*($G$9-$F$9))))</f>
        <v>1.00457754343139</v>
      </c>
      <c r="F126" s="37" t="n">
        <f aca="false">1+IF($G$10=$E$10,$F$10,IF(T126&lt;($F$10-$E$10)/($G$10-$E$10),$E$10+SQRT(T126*($G$10-$E$10)*($F$10-$E$10)),$G$10-SQRT((1-T126)*($G$10-$E$10)*($G$10-$F$10))))</f>
        <v>1.0159923805767</v>
      </c>
      <c r="G126" s="38" t="n">
        <f aca="false">IF($G$11=$E$11,$F$11,IF(U126&lt;($F$11-$E$11)/($G$11-$E$11),$E$11+SQRT(U126*($G$11-$E$11)*($F$11-$E$11)),$G$11-SQRT((1-U126)*($G$11-$E$11)*($G$11-$F$11))))</f>
        <v>0.104688572049657</v>
      </c>
      <c r="H126" s="39" t="n">
        <f aca="false">(('Business Case'!B11*$C126*'Business Case'!B12*$B126)-'Business Case'!B11*$C126*'Business Case'!B13*$D126-'Business Case'!B14*$E126)-MAX(0,(('Business Case'!B11*$C126*'Business Case'!B12*$B126)-'Business Case'!B11*$C126*'Business Case'!B13*$D126-'Business Case'!B14*$E126))*'Business Case'!$B$7-'Business Case'!$B$8*('Business Case'!B11*$C126*'Business Case'!B12*$B126)-'Business Case'!B15*$F126</f>
        <v>-2031984761.15339</v>
      </c>
      <c r="I126" s="39" t="n">
        <f aca="false">(('Business Case'!C11*$C126*'Business Case'!C12*$B126)-'Business Case'!C11*$C126*'Business Case'!C13*$D126-'Business Case'!C14*$E126)-MAX(0,(('Business Case'!C11*$C126*'Business Case'!C12*$B126)-'Business Case'!C11*$C126*'Business Case'!C13*$D126-'Business Case'!C14*$E126))*'Business Case'!$B$7-'Business Case'!$B$8*(('Business Case'!C11*$C126*'Business Case'!C12*$B126)-('Business Case'!B11*$C126*'Business Case'!B12*$B126))-'Business Case'!C15*$F126</f>
        <v>52455058.0967569</v>
      </c>
      <c r="J126" s="39" t="n">
        <f aca="false">(('Business Case'!D11*$C126*'Business Case'!D12*$B126)-'Business Case'!D11*$C126*'Business Case'!D13*$D126-'Business Case'!D14*$E126)-MAX(0,(('Business Case'!D11*$C126*'Business Case'!D12*$B126)-'Business Case'!D11*$C126*'Business Case'!D13*$D126-'Business Case'!D14*$E126))*'Business Case'!$B$7-'Business Case'!$B$8*(('Business Case'!D11*$C126*'Business Case'!D12*$B126)-('Business Case'!C11*$C126*'Business Case'!C12*$B126))-'Business Case'!D15*$F126</f>
        <v>407810006.108652</v>
      </c>
      <c r="K126" s="39" t="n">
        <f aca="false">(('Business Case'!E11*$C126*'Business Case'!E12*$B126)-'Business Case'!E11*$C126*'Business Case'!E13*$D126-'Business Case'!E14*$E126)-MAX(0,(('Business Case'!E11*$C126*'Business Case'!E12*$B126)-'Business Case'!E11*$C126*'Business Case'!E13*$D126-'Business Case'!E14*$E126))*'Business Case'!$B$7-'Business Case'!$B$8*(('Business Case'!E11*$C126*'Business Case'!E12*$B126)-('Business Case'!D11*$C126*'Business Case'!D12*$B126))-'Business Case'!E15*$F126</f>
        <v>813964573.149382</v>
      </c>
      <c r="L126" s="39" t="n">
        <f aca="false">(('Business Case'!F11*$C126*'Business Case'!F12*$B126)-'Business Case'!F11*$C126*'Business Case'!F13*$D126-'Business Case'!F14*$E126)-MAX(0,(('Business Case'!F11*$C126*'Business Case'!F12*$B126)-'Business Case'!F11*$C126*'Business Case'!F13*$D126-'Business Case'!F14*$E126))*'Business Case'!$B$7-'Business Case'!$B$8*(('Business Case'!F11*$C126*'Business Case'!F12*$B126)-('Business Case'!E11*$C126*'Business Case'!E12*$B126))-'Business Case'!F15*$F126</f>
        <v>971382705.94103</v>
      </c>
      <c r="M126" s="39" t="n">
        <f aca="false">(('Business Case'!G11*$C126*'Business Case'!G12*$B126)-'Business Case'!G11*$C126*'Business Case'!G13*$D126-'Business Case'!G14*$E126)-MAX(0,(('Business Case'!G11*$C126*'Business Case'!G12*$B126)-'Business Case'!G11*$C126*'Business Case'!G13*$D126-'Business Case'!G14*$E126))*'Business Case'!$B$7-'Business Case'!$B$8*(('Business Case'!G11*$C126*'Business Case'!G12*$B126)-('Business Case'!F11*$C126*'Business Case'!F12*$B126))-'Business Case'!G15*$F126+'Business Case'!$B$8*('Business Case'!G11*$C126*'Business Case'!G12*$B126)</f>
        <v>1185698364.93996</v>
      </c>
      <c r="N126" s="39" t="n">
        <f aca="false">IF(COUNT('Business Case'!B11:G11)=0,"",H126+NPV(G126,I126:M126))</f>
        <v>326476622.447034</v>
      </c>
      <c r="P126" s="40" t="n">
        <f aca="true">RAND()</f>
        <v>0.850032686721731</v>
      </c>
      <c r="Q126" s="40" t="n">
        <f aca="true">RAND()</f>
        <v>0.973706448619123</v>
      </c>
      <c r="R126" s="40" t="n">
        <f aca="true">RAND()</f>
        <v>0.344216003955694</v>
      </c>
      <c r="S126" s="40" t="n">
        <f aca="true">RAND()</f>
        <v>0.39297031882741</v>
      </c>
      <c r="T126" s="40" t="n">
        <f aca="true">RAND()</f>
        <v>0.322823919883373</v>
      </c>
      <c r="U126" s="40" t="n">
        <f aca="true">RAND()</f>
        <v>0.609266956869102</v>
      </c>
    </row>
    <row r="127" customFormat="false" ht="15" hidden="false" customHeight="false" outlineLevel="0" collapsed="false">
      <c r="A127" s="36" t="n">
        <v>47</v>
      </c>
      <c r="B127" s="37" t="n">
        <f aca="false">1+IF($G$6=$E$6,$F$6,IF(P127&lt;($F$6-$E$6)/($G$6-$E$6),$E$6+SQRT(P127*($G$6-$E$6)*($F$6-$E$6)),$G$6-SQRT((1-P127)*($G$6-$E$6)*($G$6-$F$6))))</f>
        <v>1.01279307952686</v>
      </c>
      <c r="C127" s="37" t="n">
        <f aca="false">1+IF($G$7=$E$7,$F$7,IF(Q127&lt;($F$7-$E$7)/($G$7-$E$7),$E$7+SQRT(Q127*($G$7-$E$7)*($F$7-$E$7)),$G$7-SQRT((1-Q127)*($G$7-$E$7)*($G$7-$F$7))))</f>
        <v>0.900109679297318</v>
      </c>
      <c r="D127" s="37" t="n">
        <f aca="false">1+IF($G$8=$E$8,$F$8,IF(R127&lt;($F$8-$E$8)/($G$8-$E$8),$E$8+SQRT(R127*($G$8-$E$8)*($F$8-$E$8)),$G$8-SQRT((1-R127)*($G$8-$E$8)*($G$8-$F$8))))</f>
        <v>0.99140284414545</v>
      </c>
      <c r="E127" s="37" t="n">
        <f aca="false">1+IF($G$9=$E$9,$F$9,IF(S127&lt;($F$9-$E$9)/($G$9-$E$9),$E$9+SQRT(S127*($G$9-$E$9)*($F$9-$E$9)),$G$9-SQRT((1-S127)*($G$9-$E$9)*($G$9-$F$9))))</f>
        <v>0.991255457661008</v>
      </c>
      <c r="F127" s="37" t="n">
        <f aca="false">1+IF($G$10=$E$10,$F$10,IF(T127&lt;($F$10-$E$10)/($G$10-$E$10),$E$10+SQRT(T127*($G$10-$E$10)*($F$10-$E$10)),$G$10-SQRT((1-T127)*($G$10-$E$10)*($G$10-$F$10))))</f>
        <v>1.0223967036621</v>
      </c>
      <c r="G127" s="38" t="n">
        <f aca="false">IF($G$11=$E$11,$F$11,IF(U127&lt;($F$11-$E$11)/($G$11-$E$11),$E$11+SQRT(U127*($G$11-$E$11)*($F$11-$E$11)),$G$11-SQRT((1-U127)*($G$11-$E$11)*($G$11-$F$11))))</f>
        <v>0.115082690152242</v>
      </c>
      <c r="H127" s="39" t="n">
        <f aca="false">(('Business Case'!B11*$C127*'Business Case'!B12*$B127)-'Business Case'!B11*$C127*'Business Case'!B13*$D127-'Business Case'!B14*$E127)-MAX(0,(('Business Case'!B11*$C127*'Business Case'!B12*$B127)-'Business Case'!B11*$C127*'Business Case'!B13*$D127-'Business Case'!B14*$E127))*'Business Case'!$B$7-'Business Case'!$B$8*('Business Case'!B11*$C127*'Business Case'!B12*$B127)-'Business Case'!B15*$F127</f>
        <v>-2044793407.32419</v>
      </c>
      <c r="I127" s="39" t="n">
        <f aca="false">(('Business Case'!C11*$C127*'Business Case'!C12*$B127)-'Business Case'!C11*$C127*'Business Case'!C13*$D127-'Business Case'!C14*$E127)-MAX(0,(('Business Case'!C11*$C127*'Business Case'!C12*$B127)-'Business Case'!C11*$C127*'Business Case'!C13*$D127-'Business Case'!C14*$E127))*'Business Case'!$B$7-'Business Case'!$B$8*(('Business Case'!C11*$C127*'Business Case'!C12*$B127)-('Business Case'!B11*$C127*'Business Case'!B12*$B127))-'Business Case'!C15*$F127</f>
        <v>-591150.354345679</v>
      </c>
      <c r="J127" s="39" t="n">
        <f aca="false">(('Business Case'!D11*$C127*'Business Case'!D12*$B127)-'Business Case'!D11*$C127*'Business Case'!D13*$D127-'Business Case'!D14*$E127)-MAX(0,(('Business Case'!D11*$C127*'Business Case'!D12*$B127)-'Business Case'!D11*$C127*'Business Case'!D13*$D127-'Business Case'!D14*$E127))*'Business Case'!$B$7-'Business Case'!$B$8*(('Business Case'!D11*$C127*'Business Case'!D12*$B127)-('Business Case'!C11*$C127*'Business Case'!C12*$B127))-'Business Case'!D15*$F127</f>
        <v>289272528.168661</v>
      </c>
      <c r="K127" s="39" t="n">
        <f aca="false">(('Business Case'!E11*$C127*'Business Case'!E12*$B127)-'Business Case'!E11*$C127*'Business Case'!E13*$D127-'Business Case'!E14*$E127)-MAX(0,(('Business Case'!E11*$C127*'Business Case'!E12*$B127)-'Business Case'!E11*$C127*'Business Case'!E13*$D127-'Business Case'!E14*$E127))*'Business Case'!$B$7-'Business Case'!$B$8*(('Business Case'!E11*$C127*'Business Case'!E12*$B127)-('Business Case'!D11*$C127*'Business Case'!D12*$B127))-'Business Case'!E15*$F127</f>
        <v>630256041.874771</v>
      </c>
      <c r="L127" s="39" t="n">
        <f aca="false">(('Business Case'!F11*$C127*'Business Case'!F12*$B127)-'Business Case'!F11*$C127*'Business Case'!F13*$D127-'Business Case'!F14*$E127)-MAX(0,(('Business Case'!F11*$C127*'Business Case'!F12*$B127)-'Business Case'!F11*$C127*'Business Case'!F13*$D127-'Business Case'!F14*$E127))*'Business Case'!$B$7-'Business Case'!$B$8*(('Business Case'!F11*$C127*'Business Case'!F12*$B127)-('Business Case'!E11*$C127*'Business Case'!E12*$B127))-'Business Case'!F15*$F127</f>
        <v>758383023.003605</v>
      </c>
      <c r="M127" s="39" t="n">
        <f aca="false">(('Business Case'!G11*$C127*'Business Case'!G12*$B127)-'Business Case'!G11*$C127*'Business Case'!G13*$D127-'Business Case'!G14*$E127)-MAX(0,(('Business Case'!G11*$C127*'Business Case'!G12*$B127)-'Business Case'!G11*$C127*'Business Case'!G13*$D127-'Business Case'!G14*$E127))*'Business Case'!$B$7-'Business Case'!$B$8*(('Business Case'!G11*$C127*'Business Case'!G12*$B127)-('Business Case'!F11*$C127*'Business Case'!F12*$B127))-'Business Case'!G15*$F127+'Business Case'!$B$8*('Business Case'!G11*$C127*'Business Case'!G12*$B127)</f>
        <v>931664675.253344</v>
      </c>
      <c r="N127" s="39" t="n">
        <f aca="false">IF(COUNT('Business Case'!B11:G11)=0,"",H127+NPV(G127,I127:M127))</f>
        <v>-327178971.945854</v>
      </c>
      <c r="P127" s="40" t="n">
        <f aca="true">RAND()</f>
        <v>0.845788224660038</v>
      </c>
      <c r="Q127" s="40" t="n">
        <f aca="true">RAND()</f>
        <v>0.143170684128742</v>
      </c>
      <c r="R127" s="40" t="n">
        <f aca="true">RAND()</f>
        <v>0.263722385128065</v>
      </c>
      <c r="S127" s="40" t="n">
        <f aca="true">RAND()</f>
        <v>0.226935038242561</v>
      </c>
      <c r="T127" s="40" t="n">
        <f aca="true">RAND()</f>
        <v>0.369141382598214</v>
      </c>
      <c r="U127" s="40" t="n">
        <f aca="true">RAND()</f>
        <v>0.959700106435239</v>
      </c>
    </row>
    <row r="128" customFormat="false" ht="15" hidden="false" customHeight="false" outlineLevel="0" collapsed="false">
      <c r="A128" s="36" t="n">
        <v>48</v>
      </c>
      <c r="B128" s="37" t="n">
        <f aca="false">1+IF($G$6=$E$6,$F$6,IF(P128&lt;($F$6-$E$6)/($G$6-$E$6),$E$6+SQRT(P128*($G$6-$E$6)*($F$6-$E$6)),$G$6-SQRT((1-P128)*($G$6-$E$6)*($G$6-$F$6))))</f>
        <v>1.01008029161478</v>
      </c>
      <c r="C128" s="37" t="n">
        <f aca="false">1+IF($G$7=$E$7,$F$7,IF(Q128&lt;($F$7-$E$7)/($G$7-$E$7),$E$7+SQRT(Q128*($G$7-$E$7)*($F$7-$E$7)),$G$7-SQRT((1-Q128)*($G$7-$E$7)*($G$7-$F$7))))</f>
        <v>0.989173205706635</v>
      </c>
      <c r="D128" s="37" t="n">
        <f aca="false">1+IF($G$8=$E$8,$F$8,IF(R128&lt;($F$8-$E$8)/($G$8-$E$8),$E$8+SQRT(R128*($G$8-$E$8)*($F$8-$E$8)),$G$8-SQRT((1-R128)*($G$8-$E$8)*($G$8-$F$8))))</f>
        <v>1.00660979203166</v>
      </c>
      <c r="E128" s="37" t="n">
        <f aca="false">1+IF($G$9=$E$9,$F$9,IF(S128&lt;($F$9-$E$9)/($G$9-$E$9),$E$9+SQRT(S128*($G$9-$E$9)*($F$9-$E$9)),$G$9-SQRT((1-S128)*($G$9-$E$9)*($G$9-$F$9))))</f>
        <v>1.00736398493049</v>
      </c>
      <c r="F128" s="37" t="n">
        <f aca="false">1+IF($G$10=$E$10,$F$10,IF(T128&lt;($F$10-$E$10)/($G$10-$E$10),$E$10+SQRT(T128*($G$10-$E$10)*($F$10-$E$10)),$G$10-SQRT((1-T128)*($G$10-$E$10)*($G$10-$F$10))))</f>
        <v>1.1070459487968</v>
      </c>
      <c r="G128" s="38" t="n">
        <f aca="false">IF($G$11=$E$11,$F$11,IF(U128&lt;($F$11-$E$11)/($G$11-$E$11),$E$11+SQRT(U128*($G$11-$E$11)*($F$11-$E$11)),$G$11-SQRT((1-U128)*($G$11-$E$11)*($G$11-$F$11))))</f>
        <v>0.102362798584732</v>
      </c>
      <c r="H128" s="39" t="n">
        <f aca="false">(('Business Case'!B11*$C128*'Business Case'!B12*$B128)-'Business Case'!B11*$C128*'Business Case'!B13*$D128-'Business Case'!B14*$E128)-MAX(0,(('Business Case'!B11*$C128*'Business Case'!B12*$B128)-'Business Case'!B11*$C128*'Business Case'!B13*$D128-'Business Case'!B14*$E128))*'Business Case'!$B$7-'Business Case'!$B$8*('Business Case'!B11*$C128*'Business Case'!B12*$B128)-'Business Case'!B15*$F128</f>
        <v>-2214091897.59359</v>
      </c>
      <c r="I128" s="39" t="n">
        <f aca="false">(('Business Case'!C11*$C128*'Business Case'!C12*$B128)-'Business Case'!C11*$C128*'Business Case'!C13*$D128-'Business Case'!C14*$E128)-MAX(0,(('Business Case'!C11*$C128*'Business Case'!C12*$B128)-'Business Case'!C11*$C128*'Business Case'!C13*$D128-'Business Case'!C14*$E128))*'Business Case'!$B$7-'Business Case'!$B$8*(('Business Case'!C11*$C128*'Business Case'!C12*$B128)-('Business Case'!B11*$C128*'Business Case'!B12*$B128))-'Business Case'!C15*$F128</f>
        <v>2899174.39073685</v>
      </c>
      <c r="J128" s="39" t="n">
        <f aca="false">(('Business Case'!D11*$C128*'Business Case'!D12*$B128)-'Business Case'!D11*$C128*'Business Case'!D13*$D128-'Business Case'!D14*$E128)-MAX(0,(('Business Case'!D11*$C128*'Business Case'!D12*$B128)-'Business Case'!D11*$C128*'Business Case'!D13*$D128-'Business Case'!D14*$E128))*'Business Case'!$B$7-'Business Case'!$B$8*(('Business Case'!D11*$C128*'Business Case'!D12*$B128)-('Business Case'!C11*$C128*'Business Case'!C12*$B128))-'Business Case'!D15*$F128</f>
        <v>311545745.944696</v>
      </c>
      <c r="K128" s="39" t="n">
        <f aca="false">(('Business Case'!E11*$C128*'Business Case'!E12*$B128)-'Business Case'!E11*$C128*'Business Case'!E13*$D128-'Business Case'!E14*$E128)-MAX(0,(('Business Case'!E11*$C128*'Business Case'!E12*$B128)-'Business Case'!E11*$C128*'Business Case'!E13*$D128-'Business Case'!E14*$E128))*'Business Case'!$B$7-'Business Case'!$B$8*(('Business Case'!E11*$C128*'Business Case'!E12*$B128)-('Business Case'!D11*$C128*'Business Case'!D12*$B128))-'Business Case'!E15*$F128</f>
        <v>675544614.938496</v>
      </c>
      <c r="L128" s="39" t="n">
        <f aca="false">(('Business Case'!F11*$C128*'Business Case'!F12*$B128)-'Business Case'!F11*$C128*'Business Case'!F13*$D128-'Business Case'!F14*$E128)-MAX(0,(('Business Case'!F11*$C128*'Business Case'!F12*$B128)-'Business Case'!F11*$C128*'Business Case'!F13*$D128-'Business Case'!F14*$E128))*'Business Case'!$B$7-'Business Case'!$B$8*(('Business Case'!F11*$C128*'Business Case'!F12*$B128)-('Business Case'!E11*$C128*'Business Case'!E12*$B128))-'Business Case'!F15*$F128</f>
        <v>812957234.540767</v>
      </c>
      <c r="M128" s="39" t="n">
        <f aca="false">(('Business Case'!G11*$C128*'Business Case'!G12*$B128)-'Business Case'!G11*$C128*'Business Case'!G13*$D128-'Business Case'!G14*$E128)-MAX(0,(('Business Case'!G11*$C128*'Business Case'!G12*$B128)-'Business Case'!G11*$C128*'Business Case'!G13*$D128-'Business Case'!G14*$E128))*'Business Case'!$B$7-'Business Case'!$B$8*(('Business Case'!G11*$C128*'Business Case'!G12*$B128)-('Business Case'!F11*$C128*'Business Case'!F12*$B128))-'Business Case'!G15*$F128+'Business Case'!$B$8*('Business Case'!G11*$C128*'Business Case'!G12*$B128)</f>
        <v>1002874594.50433</v>
      </c>
      <c r="N128" s="39" t="n">
        <f aca="false">IF(COUNT('Business Case'!B11:G11)=0,"",H128+NPV(G128,I128:M128))</f>
        <v>-284221949.978136</v>
      </c>
      <c r="P128" s="40" t="n">
        <f aca="true">RAND()</f>
        <v>0.813502302113171</v>
      </c>
      <c r="Q128" s="40" t="n">
        <f aca="true">RAND()</f>
        <v>0.511235739390353</v>
      </c>
      <c r="R128" s="40" t="n">
        <f aca="true">RAND()</f>
        <v>0.482103593688795</v>
      </c>
      <c r="S128" s="40" t="n">
        <f aca="true">RAND()</f>
        <v>0.427904580802791</v>
      </c>
      <c r="T128" s="40" t="n">
        <f aca="true">RAND()</f>
        <v>0.827190887298244</v>
      </c>
      <c r="U128" s="40" t="n">
        <f aca="true">RAND()</f>
        <v>0.481548543728762</v>
      </c>
    </row>
    <row r="129" customFormat="false" ht="15" hidden="false" customHeight="false" outlineLevel="0" collapsed="false">
      <c r="A129" s="36" t="n">
        <v>49</v>
      </c>
      <c r="B129" s="37" t="n">
        <f aca="false">1+IF($G$6=$E$6,$F$6,IF(P129&lt;($F$6-$E$6)/($G$6-$E$6),$E$6+SQRT(P129*($G$6-$E$6)*($F$6-$E$6)),$G$6-SQRT((1-P129)*($G$6-$E$6)*($G$6-$F$6))))</f>
        <v>0.983604352274363</v>
      </c>
      <c r="C129" s="37" t="n">
        <f aca="false">1+IF($G$7=$E$7,$F$7,IF(Q129&lt;($F$7-$E$7)/($G$7-$E$7),$E$7+SQRT(Q129*($G$7-$E$7)*($F$7-$E$7)),$G$7-SQRT((1-Q129)*($G$7-$E$7)*($G$7-$F$7))))</f>
        <v>0.958119724419674</v>
      </c>
      <c r="D129" s="37" t="n">
        <f aca="false">1+IF($G$8=$E$8,$F$8,IF(R129&lt;($F$8-$E$8)/($G$8-$E$8),$E$8+SQRT(R129*($G$8-$E$8)*($F$8-$E$8)),$G$8-SQRT((1-R129)*($G$8-$E$8)*($G$8-$F$8))))</f>
        <v>0.957630274496074</v>
      </c>
      <c r="E129" s="37" t="n">
        <f aca="false">1+IF($G$9=$E$9,$F$9,IF(S129&lt;($F$9-$E$9)/($G$9-$E$9),$E$9+SQRT(S129*($G$9-$E$9)*($F$9-$E$9)),$G$9-SQRT((1-S129)*($G$9-$E$9)*($G$9-$F$9))))</f>
        <v>0.996989939215457</v>
      </c>
      <c r="F129" s="37" t="n">
        <f aca="false">1+IF($G$10=$E$10,$F$10,IF(T129&lt;($F$10-$E$10)/($G$10-$E$10),$E$10+SQRT(T129*($G$10-$E$10)*($F$10-$E$10)),$G$10-SQRT((1-T129)*($G$10-$E$10)*($G$10-$F$10))))</f>
        <v>0.996280462194833</v>
      </c>
      <c r="G129" s="38" t="n">
        <f aca="false">IF($G$11=$E$11,$F$11,IF(U129&lt;($F$11-$E$11)/($G$11-$E$11),$E$11+SQRT(U129*($G$11-$E$11)*($F$11-$E$11)),$G$11-SQRT((1-U129)*($G$11-$E$11)*($G$11-$F$11))))</f>
        <v>0.110239063385623</v>
      </c>
      <c r="H129" s="39" t="n">
        <f aca="false">(('Business Case'!B11*$C129*'Business Case'!B12*$B129)-'Business Case'!B11*$C129*'Business Case'!B13*$D129-'Business Case'!B14*$E129)-MAX(0,(('Business Case'!B11*$C129*'Business Case'!B12*$B129)-'Business Case'!B11*$C129*'Business Case'!B13*$D129-'Business Case'!B14*$E129))*'Business Case'!$B$7-'Business Case'!$B$8*('Business Case'!B11*$C129*'Business Case'!B12*$B129)-'Business Case'!B15*$F129</f>
        <v>-1992560924.38967</v>
      </c>
      <c r="I129" s="39" t="n">
        <f aca="false">(('Business Case'!C11*$C129*'Business Case'!C12*$B129)-'Business Case'!C11*$C129*'Business Case'!C13*$D129-'Business Case'!C14*$E129)-MAX(0,(('Business Case'!C11*$C129*'Business Case'!C12*$B129)-'Business Case'!C11*$C129*'Business Case'!C13*$D129-'Business Case'!C14*$E129))*'Business Case'!$B$7-'Business Case'!$B$8*(('Business Case'!C11*$C129*'Business Case'!C12*$B129)-('Business Case'!B11*$C129*'Business Case'!B12*$B129))-'Business Case'!C15*$F129</f>
        <v>11948535.4959148</v>
      </c>
      <c r="J129" s="39" t="n">
        <f aca="false">(('Business Case'!D11*$C129*'Business Case'!D12*$B129)-'Business Case'!D11*$C129*'Business Case'!D13*$D129-'Business Case'!D14*$E129)-MAX(0,(('Business Case'!D11*$C129*'Business Case'!D12*$B129)-'Business Case'!D11*$C129*'Business Case'!D13*$D129-'Business Case'!D14*$E129))*'Business Case'!$B$7-'Business Case'!$B$8*(('Business Case'!D11*$C129*'Business Case'!D12*$B129)-('Business Case'!C11*$C129*'Business Case'!C12*$B129))-'Business Case'!D15*$F129</f>
        <v>314151658.859634</v>
      </c>
      <c r="K129" s="39" t="n">
        <f aca="false">(('Business Case'!E11*$C129*'Business Case'!E12*$B129)-'Business Case'!E11*$C129*'Business Case'!E13*$D129-'Business Case'!E14*$E129)-MAX(0,(('Business Case'!E11*$C129*'Business Case'!E12*$B129)-'Business Case'!E11*$C129*'Business Case'!E13*$D129-'Business Case'!E14*$E129))*'Business Case'!$B$7-'Business Case'!$B$8*(('Business Case'!E11*$C129*'Business Case'!E12*$B129)-('Business Case'!D11*$C129*'Business Case'!D12*$B129))-'Business Case'!E15*$F129</f>
        <v>666168805.333095</v>
      </c>
      <c r="L129" s="39" t="n">
        <f aca="false">(('Business Case'!F11*$C129*'Business Case'!F12*$B129)-'Business Case'!F11*$C129*'Business Case'!F13*$D129-'Business Case'!F14*$E129)-MAX(0,(('Business Case'!F11*$C129*'Business Case'!F12*$B129)-'Business Case'!F11*$C129*'Business Case'!F13*$D129-'Business Case'!F14*$E129))*'Business Case'!$B$7-'Business Case'!$B$8*(('Business Case'!F11*$C129*'Business Case'!F12*$B129)-('Business Case'!E11*$C129*'Business Case'!E12*$B129))-'Business Case'!F15*$F129</f>
        <v>799472894.648924</v>
      </c>
      <c r="M129" s="39" t="n">
        <f aca="false">(('Business Case'!G11*$C129*'Business Case'!G12*$B129)-'Business Case'!G11*$C129*'Business Case'!G13*$D129-'Business Case'!G14*$E129)-MAX(0,(('Business Case'!G11*$C129*'Business Case'!G12*$B129)-'Business Case'!G11*$C129*'Business Case'!G13*$D129-'Business Case'!G14*$E129))*'Business Case'!$B$7-'Business Case'!$B$8*(('Business Case'!G11*$C129*'Business Case'!G12*$B129)-('Business Case'!F11*$C129*'Business Case'!F12*$B129))-'Business Case'!G15*$F129+'Business Case'!$B$8*('Business Case'!G11*$C129*'Business Case'!G12*$B129)</f>
        <v>978606326.385829</v>
      </c>
      <c r="N129" s="39" t="n">
        <f aca="false">IF(COUNT('Business Case'!B11:G11)=0,"",H129+NPV(G129,I129:M129))</f>
        <v>-133839407.28597</v>
      </c>
      <c r="P129" s="40" t="n">
        <f aca="true">RAND()</f>
        <v>0.421407669608471</v>
      </c>
      <c r="Q129" s="40" t="n">
        <f aca="true">RAND()</f>
        <v>0.357169246436481</v>
      </c>
      <c r="R129" s="40" t="n">
        <f aca="true">RAND()</f>
        <v>0.00895709059775956</v>
      </c>
      <c r="S129" s="40" t="n">
        <f aca="true">RAND()</f>
        <v>0.294407251662978</v>
      </c>
      <c r="T129" s="40" t="n">
        <f aca="true">RAND()</f>
        <v>0.171350494477391</v>
      </c>
      <c r="U129" s="40" t="n">
        <f aca="true">RAND()</f>
        <v>0.841206860683535</v>
      </c>
    </row>
    <row r="130" customFormat="false" ht="15" hidden="false" customHeight="false" outlineLevel="0" collapsed="false">
      <c r="A130" s="36" t="n">
        <v>50</v>
      </c>
      <c r="B130" s="37" t="n">
        <f aca="false">1+IF($G$6=$E$6,$F$6,IF(P130&lt;($F$6-$E$6)/($G$6-$E$6),$E$6+SQRT(P130*($G$6-$E$6)*($F$6-$E$6)),$G$6-SQRT((1-P130)*($G$6-$E$6)*($G$6-$F$6))))</f>
        <v>0.997975676212851</v>
      </c>
      <c r="C130" s="37" t="n">
        <f aca="false">1+IF($G$7=$E$7,$F$7,IF(Q130&lt;($F$7-$E$7)/($G$7-$E$7),$E$7+SQRT(Q130*($G$7-$E$7)*($F$7-$E$7)),$G$7-SQRT((1-Q130)*($G$7-$E$7)*($G$7-$F$7))))</f>
        <v>1.00805376105307</v>
      </c>
      <c r="D130" s="37" t="n">
        <f aca="false">1+IF($G$8=$E$8,$F$8,IF(R130&lt;($F$8-$E$8)/($G$8-$E$8),$E$8+SQRT(R130*($G$8-$E$8)*($F$8-$E$8)),$G$8-SQRT((1-R130)*($G$8-$E$8)*($G$8-$F$8))))</f>
        <v>1.02255919143803</v>
      </c>
      <c r="E130" s="37" t="n">
        <f aca="false">1+IF($G$9=$E$9,$F$9,IF(S130&lt;($F$9-$E$9)/($G$9-$E$9),$E$9+SQRT(S130*($G$9-$E$9)*($F$9-$E$9)),$G$9-SQRT((1-S130)*($G$9-$E$9)*($G$9-$F$9))))</f>
        <v>0.976478689261956</v>
      </c>
      <c r="F130" s="37" t="n">
        <f aca="false">1+IF($G$10=$E$10,$F$10,IF(T130&lt;($F$10-$E$10)/($G$10-$E$10),$E$10+SQRT(T130*($G$10-$E$10)*($F$10-$E$10)),$G$10-SQRT((1-T130)*($G$10-$E$10)*($G$10-$F$10))))</f>
        <v>1.11489887963503</v>
      </c>
      <c r="G130" s="38" t="n">
        <f aca="false">IF($G$11=$E$11,$F$11,IF(U130&lt;($F$11-$E$11)/($G$11-$E$11),$E$11+SQRT(U130*($G$11-$E$11)*($F$11-$E$11)),$G$11-SQRT((1-U130)*($G$11-$E$11)*($G$11-$F$11))))</f>
        <v>0.103627407395223</v>
      </c>
      <c r="H130" s="39" t="n">
        <f aca="false">(('Business Case'!B11*$C130*'Business Case'!B12*$B130)-'Business Case'!B11*$C130*'Business Case'!B13*$D130-'Business Case'!B14*$E130)-MAX(0,(('Business Case'!B11*$C130*'Business Case'!B12*$B130)-'Business Case'!B11*$C130*'Business Case'!B13*$D130-'Business Case'!B14*$E130))*'Business Case'!$B$7-'Business Case'!$B$8*('Business Case'!B11*$C130*'Business Case'!B12*$B130)-'Business Case'!B15*$F130</f>
        <v>-2229797759.27007</v>
      </c>
      <c r="I130" s="39" t="n">
        <f aca="false">(('Business Case'!C11*$C130*'Business Case'!C12*$B130)-'Business Case'!C11*$C130*'Business Case'!C13*$D130-'Business Case'!C14*$E130)-MAX(0,(('Business Case'!C11*$C130*'Business Case'!C12*$B130)-'Business Case'!C11*$C130*'Business Case'!C13*$D130-'Business Case'!C14*$E130))*'Business Case'!$B$7-'Business Case'!$B$8*(('Business Case'!C11*$C130*'Business Case'!C12*$B130)-('Business Case'!B11*$C130*'Business Case'!B12*$B130))-'Business Case'!C15*$F130</f>
        <v>-6184080.37882015</v>
      </c>
      <c r="J130" s="39" t="n">
        <f aca="false">(('Business Case'!D11*$C130*'Business Case'!D12*$B130)-'Business Case'!D11*$C130*'Business Case'!D13*$D130-'Business Case'!D14*$E130)-MAX(0,(('Business Case'!D11*$C130*'Business Case'!D12*$B130)-'Business Case'!D11*$C130*'Business Case'!D13*$D130-'Business Case'!D14*$E130))*'Business Case'!$B$7-'Business Case'!$B$8*(('Business Case'!D11*$C130*'Business Case'!D12*$B130)-('Business Case'!C11*$C130*'Business Case'!C12*$B130))-'Business Case'!D15*$F130</f>
        <v>290128717.677482</v>
      </c>
      <c r="K130" s="39" t="n">
        <f aca="false">(('Business Case'!E11*$C130*'Business Case'!E12*$B130)-'Business Case'!E11*$C130*'Business Case'!E13*$D130-'Business Case'!E14*$E130)-MAX(0,(('Business Case'!E11*$C130*'Business Case'!E12*$B130)-'Business Case'!E11*$C130*'Business Case'!E13*$D130-'Business Case'!E14*$E130))*'Business Case'!$B$7-'Business Case'!$B$8*(('Business Case'!E11*$C130*'Business Case'!E12*$B130)-('Business Case'!D11*$C130*'Business Case'!D12*$B130))-'Business Case'!E15*$F130</f>
        <v>642186459.715536</v>
      </c>
      <c r="L130" s="39" t="n">
        <f aca="false">(('Business Case'!F11*$C130*'Business Case'!F12*$B130)-'Business Case'!F11*$C130*'Business Case'!F13*$D130-'Business Case'!F14*$E130)-MAX(0,(('Business Case'!F11*$C130*'Business Case'!F12*$B130)-'Business Case'!F11*$C130*'Business Case'!F13*$D130-'Business Case'!F14*$E130))*'Business Case'!$B$7-'Business Case'!$B$8*(('Business Case'!F11*$C130*'Business Case'!F12*$B130)-('Business Case'!E11*$C130*'Business Case'!E12*$B130))-'Business Case'!F15*$F130</f>
        <v>775725206.306683</v>
      </c>
      <c r="M130" s="39" t="n">
        <f aca="false">(('Business Case'!G11*$C130*'Business Case'!G12*$B130)-'Business Case'!G11*$C130*'Business Case'!G13*$D130-'Business Case'!G14*$E130)-MAX(0,(('Business Case'!G11*$C130*'Business Case'!G12*$B130)-'Business Case'!G11*$C130*'Business Case'!G13*$D130-'Business Case'!G14*$E130))*'Business Case'!$B$7-'Business Case'!$B$8*(('Business Case'!G11*$C130*'Business Case'!G12*$B130)-('Business Case'!F11*$C130*'Business Case'!F12*$B130))-'Business Case'!G15*$F130+'Business Case'!$B$8*('Business Case'!G11*$C130*'Business Case'!G12*$B130)</f>
        <v>966948182.788102</v>
      </c>
      <c r="N130" s="39" t="n">
        <f aca="false">IF(COUNT('Business Case'!B11:G11)=0,"",H130+NPV(G130,I130:M130))</f>
        <v>-405961007.580189</v>
      </c>
      <c r="P130" s="40" t="n">
        <f aca="true">RAND()</f>
        <v>0.633354800088684</v>
      </c>
      <c r="Q130" s="40" t="n">
        <f aca="true">RAND()</f>
        <v>0.616214576168037</v>
      </c>
      <c r="R130" s="40" t="n">
        <f aca="true">RAND()</f>
        <v>0.682745529975705</v>
      </c>
      <c r="S130" s="40" t="n">
        <f aca="true">RAND()</f>
        <v>0.0934827980041657</v>
      </c>
      <c r="T130" s="40" t="n">
        <f aca="true">RAND()</f>
        <v>0.855155986252552</v>
      </c>
      <c r="U130" s="40" t="n">
        <f aca="true">RAND()</f>
        <v>0.553230352329992</v>
      </c>
    </row>
    <row r="131" customFormat="false" ht="15" hidden="false" customHeight="false" outlineLevel="0" collapsed="false">
      <c r="A131" s="36" t="n">
        <v>51</v>
      </c>
      <c r="B131" s="37" t="n">
        <f aca="false">1+IF($G$6=$E$6,$F$6,IF(P131&lt;($F$6-$E$6)/($G$6-$E$6),$E$6+SQRT(P131*($G$6-$E$6)*($F$6-$E$6)),$G$6-SQRT((1-P131)*($G$6-$E$6)*($G$6-$F$6))))</f>
        <v>0.941907739878087</v>
      </c>
      <c r="C131" s="37" t="n">
        <f aca="false">1+IF($G$7=$E$7,$F$7,IF(Q131&lt;($F$7-$E$7)/($G$7-$E$7),$E$7+SQRT(Q131*($G$7-$E$7)*($F$7-$E$7)),$G$7-SQRT((1-Q131)*($G$7-$E$7)*($G$7-$F$7))))</f>
        <v>0.955802250386279</v>
      </c>
      <c r="D131" s="37" t="n">
        <f aca="false">1+IF($G$8=$E$8,$F$8,IF(R131&lt;($F$8-$E$8)/($G$8-$E$8),$E$8+SQRT(R131*($G$8-$E$8)*($F$8-$E$8)),$G$8-SQRT((1-R131)*($G$8-$E$8)*($G$8-$F$8))))</f>
        <v>0.996611218181117</v>
      </c>
      <c r="E131" s="37" t="n">
        <f aca="false">1+IF($G$9=$E$9,$F$9,IF(S131&lt;($F$9-$E$9)/($G$9-$E$9),$E$9+SQRT(S131*($G$9-$E$9)*($F$9-$E$9)),$G$9-SQRT((1-S131)*($G$9-$E$9)*($G$9-$F$9))))</f>
        <v>1.07020121239709</v>
      </c>
      <c r="F131" s="37" t="n">
        <f aca="false">1+IF($G$10=$E$10,$F$10,IF(T131&lt;($F$10-$E$10)/($G$10-$E$10),$E$10+SQRT(T131*($G$10-$E$10)*($F$10-$E$10)),$G$10-SQRT((1-T131)*($G$10-$E$10)*($G$10-$F$10))))</f>
        <v>1.13591423724089</v>
      </c>
      <c r="G131" s="38" t="n">
        <f aca="false">IF($G$11=$E$11,$F$11,IF(U131&lt;($F$11-$E$11)/($G$11-$E$11),$E$11+SQRT(U131*($G$11-$E$11)*($F$11-$E$11)),$G$11-SQRT((1-U131)*($G$11-$E$11)*($G$11-$F$11))))</f>
        <v>0.107602340970464</v>
      </c>
      <c r="H131" s="39" t="n">
        <f aca="false">(('Business Case'!B11*$C131*'Business Case'!B12*$B131)-'Business Case'!B11*$C131*'Business Case'!B13*$D131-'Business Case'!B14*$E131)-MAX(0,(('Business Case'!B11*$C131*'Business Case'!B12*$B131)-'Business Case'!B11*$C131*'Business Case'!B13*$D131-'Business Case'!B14*$E131))*'Business Case'!$B$7-'Business Case'!$B$8*('Business Case'!B11*$C131*'Business Case'!B12*$B131)-'Business Case'!B15*$F131</f>
        <v>-2271828474.48179</v>
      </c>
      <c r="I131" s="39" t="n">
        <f aca="false">(('Business Case'!C11*$C131*'Business Case'!C12*$B131)-'Business Case'!C11*$C131*'Business Case'!C13*$D131-'Business Case'!C14*$E131)-MAX(0,(('Business Case'!C11*$C131*'Business Case'!C12*$B131)-'Business Case'!C11*$C131*'Business Case'!C13*$D131-'Business Case'!C14*$E131))*'Business Case'!$B$7-'Business Case'!$B$8*(('Business Case'!C11*$C131*'Business Case'!C12*$B131)-('Business Case'!B11*$C131*'Business Case'!B12*$B131))-'Business Case'!C15*$F131</f>
        <v>-62688476.9585606</v>
      </c>
      <c r="J131" s="39" t="n">
        <f aca="false">(('Business Case'!D11*$C131*'Business Case'!D12*$B131)-'Business Case'!D11*$C131*'Business Case'!D13*$D131-'Business Case'!D14*$E131)-MAX(0,(('Business Case'!D11*$C131*'Business Case'!D12*$B131)-'Business Case'!D11*$C131*'Business Case'!D13*$D131-'Business Case'!D14*$E131))*'Business Case'!$B$7-'Business Case'!$B$8*(('Business Case'!D11*$C131*'Business Case'!D12*$B131)-('Business Case'!C11*$C131*'Business Case'!C12*$B131))-'Business Case'!D15*$F131</f>
        <v>187067469.750295</v>
      </c>
      <c r="K131" s="39" t="n">
        <f aca="false">(('Business Case'!E11*$C131*'Business Case'!E12*$B131)-'Business Case'!E11*$C131*'Business Case'!E13*$D131-'Business Case'!E14*$E131)-MAX(0,(('Business Case'!E11*$C131*'Business Case'!E12*$B131)-'Business Case'!E11*$C131*'Business Case'!E13*$D131-'Business Case'!E14*$E131))*'Business Case'!$B$7-'Business Case'!$B$8*(('Business Case'!E11*$C131*'Business Case'!E12*$B131)-('Business Case'!D11*$C131*'Business Case'!D12*$B131))-'Business Case'!E15*$F131</f>
        <v>493619128.321196</v>
      </c>
      <c r="L131" s="39" t="n">
        <f aca="false">(('Business Case'!F11*$C131*'Business Case'!F12*$B131)-'Business Case'!F11*$C131*'Business Case'!F13*$D131-'Business Case'!F14*$E131)-MAX(0,(('Business Case'!F11*$C131*'Business Case'!F12*$B131)-'Business Case'!F11*$C131*'Business Case'!F13*$D131-'Business Case'!F14*$E131))*'Business Case'!$B$7-'Business Case'!$B$8*(('Business Case'!F11*$C131*'Business Case'!F12*$B131)-('Business Case'!E11*$C131*'Business Case'!E12*$B131))-'Business Case'!F15*$F131</f>
        <v>607984702.251121</v>
      </c>
      <c r="M131" s="39" t="n">
        <f aca="false">(('Business Case'!G11*$C131*'Business Case'!G12*$B131)-'Business Case'!G11*$C131*'Business Case'!G13*$D131-'Business Case'!G14*$E131)-MAX(0,(('Business Case'!G11*$C131*'Business Case'!G12*$B131)-'Business Case'!G11*$C131*'Business Case'!G13*$D131-'Business Case'!G14*$E131))*'Business Case'!$B$7-'Business Case'!$B$8*(('Business Case'!G11*$C131*'Business Case'!G12*$B131)-('Business Case'!F11*$C131*'Business Case'!F12*$B131))-'Business Case'!G15*$F131+'Business Case'!$B$8*('Business Case'!G11*$C131*'Business Case'!G12*$B131)</f>
        <v>779109456.566144</v>
      </c>
      <c r="N131" s="39" t="n">
        <f aca="false">IF(COUNT('Business Case'!B11:G11)=0,"",H131+NPV(G131,I131:M131))</f>
        <v>-941294329.784121</v>
      </c>
      <c r="P131" s="40" t="n">
        <f aca="true">RAND()</f>
        <v>0.0499946944339503</v>
      </c>
      <c r="Q131" s="40" t="n">
        <f aca="true">RAND()</f>
        <v>0.346776303220413</v>
      </c>
      <c r="R131" s="40" t="n">
        <f aca="true">RAND()</f>
        <v>0.334247024665796</v>
      </c>
      <c r="S131" s="40" t="n">
        <f aca="true">RAND()</f>
        <v>0.940802150493098</v>
      </c>
      <c r="T131" s="40" t="n">
        <f aca="true">RAND()</f>
        <v>0.917860300231672</v>
      </c>
      <c r="U131" s="40" t="n">
        <f aca="true">RAND()</f>
        <v>0.743830084312267</v>
      </c>
    </row>
    <row r="132" customFormat="false" ht="15" hidden="false" customHeight="false" outlineLevel="0" collapsed="false">
      <c r="A132" s="36" t="n">
        <v>52</v>
      </c>
      <c r="B132" s="37" t="n">
        <f aca="false">1+IF($G$6=$E$6,$F$6,IF(P132&lt;($F$6-$E$6)/($G$6-$E$6),$E$6+SQRT(P132*($G$6-$E$6)*($F$6-$E$6)),$G$6-SQRT((1-P132)*($G$6-$E$6)*($G$6-$F$6))))</f>
        <v>0.993374668846885</v>
      </c>
      <c r="C132" s="37" t="n">
        <f aca="false">1+IF($G$7=$E$7,$F$7,IF(Q132&lt;($F$7-$E$7)/($G$7-$E$7),$E$7+SQRT(Q132*($G$7-$E$7)*($F$7-$E$7)),$G$7-SQRT((1-Q132)*($G$7-$E$7)*($G$7-$F$7))))</f>
        <v>0.990831456399444</v>
      </c>
      <c r="D132" s="37" t="n">
        <f aca="false">1+IF($G$8=$E$8,$F$8,IF(R132&lt;($F$8-$E$8)/($G$8-$E$8),$E$8+SQRT(R132*($G$8-$E$8)*($F$8-$E$8)),$G$8-SQRT((1-R132)*($G$8-$E$8)*($G$8-$F$8))))</f>
        <v>1.03861341528473</v>
      </c>
      <c r="E132" s="37" t="n">
        <f aca="false">1+IF($G$9=$E$9,$F$9,IF(S132&lt;($F$9-$E$9)/($G$9-$E$9),$E$9+SQRT(S132*($G$9-$E$9)*($F$9-$E$9)),$G$9-SQRT((1-S132)*($G$9-$E$9)*($G$9-$F$9))))</f>
        <v>1.02838757873459</v>
      </c>
      <c r="F132" s="37" t="n">
        <f aca="false">1+IF($G$10=$E$10,$F$10,IF(T132&lt;($F$10-$E$10)/($G$10-$E$10),$E$10+SQRT(T132*($G$10-$E$10)*($F$10-$E$10)),$G$10-SQRT((1-T132)*($G$10-$E$10)*($G$10-$F$10))))</f>
        <v>0.964737536277391</v>
      </c>
      <c r="G132" s="38" t="n">
        <f aca="false">IF($G$11=$E$11,$F$11,IF(U132&lt;($F$11-$E$11)/($G$11-$E$11),$E$11+SQRT(U132*($G$11-$E$11)*($F$11-$E$11)),$G$11-SQRT((1-U132)*($G$11-$E$11)*($G$11-$F$11))))</f>
        <v>0.106799967281304</v>
      </c>
      <c r="H132" s="39" t="n">
        <f aca="false">(('Business Case'!B11*$C132*'Business Case'!B12*$B132)-'Business Case'!B11*$C132*'Business Case'!B13*$D132-'Business Case'!B14*$E132)-MAX(0,(('Business Case'!B11*$C132*'Business Case'!B12*$B132)-'Business Case'!B11*$C132*'Business Case'!B13*$D132-'Business Case'!B14*$E132))*'Business Case'!$B$7-'Business Case'!$B$8*('Business Case'!B11*$C132*'Business Case'!B12*$B132)-'Business Case'!B15*$F132</f>
        <v>-1929475072.55478</v>
      </c>
      <c r="I132" s="39" t="n">
        <f aca="false">(('Business Case'!C11*$C132*'Business Case'!C12*$B132)-'Business Case'!C11*$C132*'Business Case'!C13*$D132-'Business Case'!C14*$E132)-MAX(0,(('Business Case'!C11*$C132*'Business Case'!C12*$B132)-'Business Case'!C11*$C132*'Business Case'!C13*$D132-'Business Case'!C14*$E132))*'Business Case'!$B$7-'Business Case'!$B$8*(('Business Case'!C11*$C132*'Business Case'!C12*$B132)-('Business Case'!B11*$C132*'Business Case'!B12*$B132))-'Business Case'!C15*$F132</f>
        <v>-14361612.5077356</v>
      </c>
      <c r="J132" s="39" t="n">
        <f aca="false">(('Business Case'!D11*$C132*'Business Case'!D12*$B132)-'Business Case'!D11*$C132*'Business Case'!D13*$D132-'Business Case'!D14*$E132)-MAX(0,(('Business Case'!D11*$C132*'Business Case'!D12*$B132)-'Business Case'!D11*$C132*'Business Case'!D13*$D132-'Business Case'!D14*$E132))*'Business Case'!$B$7-'Business Case'!$B$8*(('Business Case'!D11*$C132*'Business Case'!D12*$B132)-('Business Case'!C11*$C132*'Business Case'!C12*$B132))-'Business Case'!D15*$F132</f>
        <v>265011636.843107</v>
      </c>
      <c r="K132" s="39" t="n">
        <f aca="false">(('Business Case'!E11*$C132*'Business Case'!E12*$B132)-'Business Case'!E11*$C132*'Business Case'!E13*$D132-'Business Case'!E14*$E132)-MAX(0,(('Business Case'!E11*$C132*'Business Case'!E12*$B132)-'Business Case'!E11*$C132*'Business Case'!E13*$D132-'Business Case'!E14*$E132))*'Business Case'!$B$7-'Business Case'!$B$8*(('Business Case'!E11*$C132*'Business Case'!E12*$B132)-('Business Case'!D11*$C132*'Business Case'!D12*$B132))-'Business Case'!E15*$F132</f>
        <v>592621763.007819</v>
      </c>
      <c r="L132" s="39" t="n">
        <f aca="false">(('Business Case'!F11*$C132*'Business Case'!F12*$B132)-'Business Case'!F11*$C132*'Business Case'!F13*$D132-'Business Case'!F14*$E132)-MAX(0,(('Business Case'!F11*$C132*'Business Case'!F12*$B132)-'Business Case'!F11*$C132*'Business Case'!F13*$D132-'Business Case'!F14*$E132))*'Business Case'!$B$7-'Business Case'!$B$8*(('Business Case'!F11*$C132*'Business Case'!F12*$B132)-('Business Case'!E11*$C132*'Business Case'!E12*$B132))-'Business Case'!F15*$F132</f>
        <v>719762442.481287</v>
      </c>
      <c r="M132" s="39" t="n">
        <f aca="false">(('Business Case'!G11*$C132*'Business Case'!G12*$B132)-'Business Case'!G11*$C132*'Business Case'!G13*$D132-'Business Case'!G14*$E132)-MAX(0,(('Business Case'!G11*$C132*'Business Case'!G12*$B132)-'Business Case'!G11*$C132*'Business Case'!G13*$D132-'Business Case'!G14*$E132))*'Business Case'!$B$7-'Business Case'!$B$8*(('Business Case'!G11*$C132*'Business Case'!G12*$B132)-('Business Case'!F11*$C132*'Business Case'!F12*$B132))-'Business Case'!G15*$F132+'Business Case'!$B$8*('Business Case'!G11*$C132*'Business Case'!G12*$B132)</f>
        <v>906851889.108814</v>
      </c>
      <c r="N132" s="39" t="n">
        <f aca="false">IF(COUNT('Business Case'!B11:G11)=0,"",H132+NPV(G132,I132:M132))</f>
        <v>-263392148.489763</v>
      </c>
      <c r="P132" s="40" t="n">
        <f aca="true">RAND()</f>
        <v>0.560816877957297</v>
      </c>
      <c r="Q132" s="40" t="n">
        <f aca="true">RAND()</f>
        <v>0.520237782164755</v>
      </c>
      <c r="R132" s="40" t="n">
        <f aca="true">RAND()</f>
        <v>0.83530294284669</v>
      </c>
      <c r="S132" s="40" t="n">
        <f aca="true">RAND()</f>
        <v>0.658110741367069</v>
      </c>
      <c r="T132" s="40" t="n">
        <f aca="true">RAND()</f>
        <v>0.0173755980421923</v>
      </c>
      <c r="U132" s="40" t="n">
        <f aca="true">RAND()</f>
        <v>0.709598560375584</v>
      </c>
    </row>
    <row r="133" customFormat="false" ht="15" hidden="false" customHeight="false" outlineLevel="0" collapsed="false">
      <c r="A133" s="36" t="n">
        <v>53</v>
      </c>
      <c r="B133" s="37" t="n">
        <f aca="false">1+IF($G$6=$E$6,$F$6,IF(P133&lt;($F$6-$E$6)/($G$6-$E$6),$E$6+SQRT(P133*($G$6-$E$6)*($F$6-$E$6)),$G$6-SQRT((1-P133)*($G$6-$E$6)*($G$6-$F$6))))</f>
        <v>1.00183414309984</v>
      </c>
      <c r="C133" s="37" t="n">
        <f aca="false">1+IF($G$7=$E$7,$F$7,IF(Q133&lt;($F$7-$E$7)/($G$7-$E$7),$E$7+SQRT(Q133*($G$7-$E$7)*($F$7-$E$7)),$G$7-SQRT((1-Q133)*($G$7-$E$7)*($G$7-$F$7))))</f>
        <v>0.972150594873272</v>
      </c>
      <c r="D133" s="37" t="n">
        <f aca="false">1+IF($G$8=$E$8,$F$8,IF(R133&lt;($F$8-$E$8)/($G$8-$E$8),$E$8+SQRT(R133*($G$8-$E$8)*($F$8-$E$8)),$G$8-SQRT((1-R133)*($G$8-$E$8)*($G$8-$F$8))))</f>
        <v>0.993999474579651</v>
      </c>
      <c r="E133" s="37" t="n">
        <f aca="false">1+IF($G$9=$E$9,$F$9,IF(S133&lt;($F$9-$E$9)/($G$9-$E$9),$E$9+SQRT(S133*($G$9-$E$9)*($F$9-$E$9)),$G$9-SQRT((1-S133)*($G$9-$E$9)*($G$9-$F$9))))</f>
        <v>1.00402615914881</v>
      </c>
      <c r="F133" s="37" t="n">
        <f aca="false">1+IF($G$10=$E$10,$F$10,IF(T133&lt;($F$10-$E$10)/($G$10-$E$10),$E$10+SQRT(T133*($G$10-$E$10)*($F$10-$E$10)),$G$10-SQRT((1-T133)*($G$10-$E$10)*($G$10-$F$10))))</f>
        <v>1.01205700687001</v>
      </c>
      <c r="G133" s="38" t="n">
        <f aca="false">IF($G$11=$E$11,$F$11,IF(U133&lt;($F$11-$E$11)/($G$11-$E$11),$E$11+SQRT(U133*($G$11-$E$11)*($F$11-$E$11)),$G$11-SQRT((1-U133)*($G$11-$E$11)*($G$11-$F$11))))</f>
        <v>0.110095311644991</v>
      </c>
      <c r="H133" s="39" t="n">
        <f aca="false">(('Business Case'!B11*$C133*'Business Case'!B12*$B133)-'Business Case'!B11*$C133*'Business Case'!B13*$D133-'Business Case'!B14*$E133)-MAX(0,(('Business Case'!B11*$C133*'Business Case'!B12*$B133)-'Business Case'!B11*$C133*'Business Case'!B13*$D133-'Business Case'!B14*$E133))*'Business Case'!$B$7-'Business Case'!$B$8*('Business Case'!B11*$C133*'Business Case'!B12*$B133)-'Business Case'!B15*$F133</f>
        <v>-2024114013.74001</v>
      </c>
      <c r="I133" s="39" t="n">
        <f aca="false">(('Business Case'!C11*$C133*'Business Case'!C12*$B133)-'Business Case'!C11*$C133*'Business Case'!C13*$D133-'Business Case'!C14*$E133)-MAX(0,(('Business Case'!C11*$C133*'Business Case'!C12*$B133)-'Business Case'!C11*$C133*'Business Case'!C13*$D133-'Business Case'!C14*$E133))*'Business Case'!$B$7-'Business Case'!$B$8*(('Business Case'!C11*$C133*'Business Case'!C12*$B133)-('Business Case'!B11*$C133*'Business Case'!B12*$B133))-'Business Case'!C15*$F133</f>
        <v>8577756.86400515</v>
      </c>
      <c r="J133" s="39" t="n">
        <f aca="false">(('Business Case'!D11*$C133*'Business Case'!D12*$B133)-'Business Case'!D11*$C133*'Business Case'!D13*$D133-'Business Case'!D14*$E133)-MAX(0,(('Business Case'!D11*$C133*'Business Case'!D12*$B133)-'Business Case'!D11*$C133*'Business Case'!D13*$D133-'Business Case'!D14*$E133))*'Business Case'!$B$7-'Business Case'!$B$8*(('Business Case'!D11*$C133*'Business Case'!D12*$B133)-('Business Case'!C11*$C133*'Business Case'!C12*$B133))-'Business Case'!D15*$F133</f>
        <v>311622455.085964</v>
      </c>
      <c r="K133" s="39" t="n">
        <f aca="false">(('Business Case'!E11*$C133*'Business Case'!E12*$B133)-'Business Case'!E11*$C133*'Business Case'!E13*$D133-'Business Case'!E14*$E133)-MAX(0,(('Business Case'!E11*$C133*'Business Case'!E12*$B133)-'Business Case'!E11*$C133*'Business Case'!E13*$D133-'Business Case'!E14*$E133))*'Business Case'!$B$7-'Business Case'!$B$8*(('Business Case'!E11*$C133*'Business Case'!E12*$B133)-('Business Case'!D11*$C133*'Business Case'!D12*$B133))-'Business Case'!E15*$F133</f>
        <v>665270003.651423</v>
      </c>
      <c r="L133" s="39" t="n">
        <f aca="false">(('Business Case'!F11*$C133*'Business Case'!F12*$B133)-'Business Case'!F11*$C133*'Business Case'!F13*$D133-'Business Case'!F14*$E133)-MAX(0,(('Business Case'!F11*$C133*'Business Case'!F12*$B133)-'Business Case'!F11*$C133*'Business Case'!F13*$D133-'Business Case'!F14*$E133))*'Business Case'!$B$7-'Business Case'!$B$8*(('Business Case'!F11*$C133*'Business Case'!F12*$B133)-('Business Case'!E11*$C133*'Business Case'!E12*$B133))-'Business Case'!F15*$F133</f>
        <v>799944050.285403</v>
      </c>
      <c r="M133" s="39" t="n">
        <f aca="false">(('Business Case'!G11*$C133*'Business Case'!G12*$B133)-'Business Case'!G11*$C133*'Business Case'!G13*$D133-'Business Case'!G14*$E133)-MAX(0,(('Business Case'!G11*$C133*'Business Case'!G12*$B133)-'Business Case'!G11*$C133*'Business Case'!G13*$D133-'Business Case'!G14*$E133))*'Business Case'!$B$7-'Business Case'!$B$8*(('Business Case'!G11*$C133*'Business Case'!G12*$B133)-('Business Case'!F11*$C133*'Business Case'!F12*$B133))-'Business Case'!G15*$F133+'Business Case'!$B$8*('Business Case'!G11*$C133*'Business Case'!G12*$B133)</f>
        <v>985069360.032041</v>
      </c>
      <c r="N133" s="39" t="n">
        <f aca="false">IF(COUNT('Business Case'!B11:G11)=0,"",H133+NPV(G133,I133:M133))</f>
        <v>-166089438.858929</v>
      </c>
      <c r="P133" s="40" t="n">
        <f aca="true">RAND()</f>
        <v>0.696534868140904</v>
      </c>
      <c r="Q133" s="40" t="n">
        <f aca="true">RAND()</f>
        <v>0.423368961646018</v>
      </c>
      <c r="R133" s="40" t="n">
        <f aca="true">RAND()</f>
        <v>0.297839040505438</v>
      </c>
      <c r="S133" s="40" t="n">
        <f aca="true">RAND()</f>
        <v>0.385934791484657</v>
      </c>
      <c r="T133" s="40" t="n">
        <f aca="true">RAND()</f>
        <v>0.293548626666786</v>
      </c>
      <c r="U133" s="40" t="n">
        <f aca="true">RAND()</f>
        <v>0.83649524765025</v>
      </c>
    </row>
    <row r="134" customFormat="false" ht="15" hidden="false" customHeight="false" outlineLevel="0" collapsed="false">
      <c r="A134" s="36" t="n">
        <v>54</v>
      </c>
      <c r="B134" s="37" t="n">
        <f aca="false">1+IF($G$6=$E$6,$F$6,IF(P134&lt;($F$6-$E$6)/($G$6-$E$6),$E$6+SQRT(P134*($G$6-$E$6)*($F$6-$E$6)),$G$6-SQRT((1-P134)*($G$6-$E$6)*($G$6-$F$6))))</f>
        <v>0.96626749488066</v>
      </c>
      <c r="C134" s="37" t="n">
        <f aca="false">1+IF($G$7=$E$7,$F$7,IF(Q134&lt;($F$7-$E$7)/($G$7-$E$7),$E$7+SQRT(Q134*($G$7-$E$7)*($F$7-$E$7)),$G$7-SQRT((1-Q134)*($G$7-$E$7)*($G$7-$F$7))))</f>
        <v>0.952426289450924</v>
      </c>
      <c r="D134" s="37" t="n">
        <f aca="false">1+IF($G$8=$E$8,$F$8,IF(R134&lt;($F$8-$E$8)/($G$8-$E$8),$E$8+SQRT(R134*($G$8-$E$8)*($F$8-$E$8)),$G$8-SQRT((1-R134)*($G$8-$E$8)*($G$8-$F$8))))</f>
        <v>1.04228044335925</v>
      </c>
      <c r="E134" s="37" t="n">
        <f aca="false">1+IF($G$9=$E$9,$F$9,IF(S134&lt;($F$9-$E$9)/($G$9-$E$9),$E$9+SQRT(S134*($G$9-$E$9)*($F$9-$E$9)),$G$9-SQRT((1-S134)*($G$9-$E$9)*($G$9-$F$9))))</f>
        <v>0.990224475930682</v>
      </c>
      <c r="F134" s="37" t="n">
        <f aca="false">1+IF($G$10=$E$10,$F$10,IF(T134&lt;($F$10-$E$10)/($G$10-$E$10),$E$10+SQRT(T134*($G$10-$E$10)*($F$10-$E$10)),$G$10-SQRT((1-T134)*($G$10-$E$10)*($G$10-$F$10))))</f>
        <v>1.0719779755727</v>
      </c>
      <c r="G134" s="38" t="n">
        <f aca="false">IF($G$11=$E$11,$F$11,IF(U134&lt;($F$11-$E$11)/($G$11-$E$11),$E$11+SQRT(U134*($G$11-$E$11)*($F$11-$E$11)),$G$11-SQRT((1-U134)*($G$11-$E$11)*($G$11-$F$11))))</f>
        <v>0.104701118360595</v>
      </c>
      <c r="H134" s="39" t="n">
        <f aca="false">(('Business Case'!B11*$C134*'Business Case'!B12*$B134)-'Business Case'!B11*$C134*'Business Case'!B13*$D134-'Business Case'!B14*$E134)-MAX(0,(('Business Case'!B11*$C134*'Business Case'!B12*$B134)-'Business Case'!B11*$C134*'Business Case'!B13*$D134-'Business Case'!B14*$E134))*'Business Case'!$B$7-'Business Case'!$B$8*('Business Case'!B11*$C134*'Business Case'!B12*$B134)-'Business Case'!B15*$F134</f>
        <v>-2143955951.1454</v>
      </c>
      <c r="I134" s="39" t="n">
        <f aca="false">(('Business Case'!C11*$C134*'Business Case'!C12*$B134)-'Business Case'!C11*$C134*'Business Case'!C13*$D134-'Business Case'!C14*$E134)-MAX(0,(('Business Case'!C11*$C134*'Business Case'!C12*$B134)-'Business Case'!C11*$C134*'Business Case'!C13*$D134-'Business Case'!C14*$E134))*'Business Case'!$B$7-'Business Case'!$B$8*(('Business Case'!C11*$C134*'Business Case'!C12*$B134)-('Business Case'!B11*$C134*'Business Case'!B12*$B134))-'Business Case'!C15*$F134</f>
        <v>-50105785.1290627</v>
      </c>
      <c r="J134" s="39" t="n">
        <f aca="false">(('Business Case'!D11*$C134*'Business Case'!D12*$B134)-'Business Case'!D11*$C134*'Business Case'!D13*$D134-'Business Case'!D14*$E134)-MAX(0,(('Business Case'!D11*$C134*'Business Case'!D12*$B134)-'Business Case'!D11*$C134*'Business Case'!D13*$D134-'Business Case'!D14*$E134))*'Business Case'!$B$7-'Business Case'!$B$8*(('Business Case'!D11*$C134*'Business Case'!D12*$B134)-('Business Case'!C11*$C134*'Business Case'!C12*$B134))-'Business Case'!D15*$F134</f>
        <v>195504425.373969</v>
      </c>
      <c r="K134" s="39" t="n">
        <f aca="false">(('Business Case'!E11*$C134*'Business Case'!E12*$B134)-'Business Case'!E11*$C134*'Business Case'!E13*$D134-'Business Case'!E14*$E134)-MAX(0,(('Business Case'!E11*$C134*'Business Case'!E12*$B134)-'Business Case'!E11*$C134*'Business Case'!E13*$D134-'Business Case'!E14*$E134))*'Business Case'!$B$7-'Business Case'!$B$8*(('Business Case'!E11*$C134*'Business Case'!E12*$B134)-('Business Case'!D11*$C134*'Business Case'!D12*$B134))-'Business Case'!E15*$F134</f>
        <v>494713534.655635</v>
      </c>
      <c r="L134" s="39" t="n">
        <f aca="false">(('Business Case'!F11*$C134*'Business Case'!F12*$B134)-'Business Case'!F11*$C134*'Business Case'!F13*$D134-'Business Case'!F14*$E134)-MAX(0,(('Business Case'!F11*$C134*'Business Case'!F12*$B134)-'Business Case'!F11*$C134*'Business Case'!F13*$D134-'Business Case'!F14*$E134))*'Business Case'!$B$7-'Business Case'!$B$8*(('Business Case'!F11*$C134*'Business Case'!F12*$B134)-('Business Case'!E11*$C134*'Business Case'!E12*$B134))-'Business Case'!F15*$F134</f>
        <v>608389123.221633</v>
      </c>
      <c r="M134" s="39" t="n">
        <f aca="false">(('Business Case'!G11*$C134*'Business Case'!G12*$B134)-'Business Case'!G11*$C134*'Business Case'!G13*$D134-'Business Case'!G14*$E134)-MAX(0,(('Business Case'!G11*$C134*'Business Case'!G12*$B134)-'Business Case'!G11*$C134*'Business Case'!G13*$D134-'Business Case'!G14*$E134))*'Business Case'!$B$7-'Business Case'!$B$8*(('Business Case'!G11*$C134*'Business Case'!G12*$B134)-('Business Case'!F11*$C134*'Business Case'!F12*$B134))-'Business Case'!G15*$F134+'Business Case'!$B$8*('Business Case'!G11*$C134*'Business Case'!G12*$B134)</f>
        <v>783319474.412397</v>
      </c>
      <c r="N134" s="39" t="n">
        <f aca="false">IF(COUNT('Business Case'!B11:G11)=0,"",H134+NPV(G134,I134:M134))</f>
        <v>-777522597.206452</v>
      </c>
      <c r="P134" s="40" t="n">
        <f aca="true">RAND()</f>
        <v>0.222987612763735</v>
      </c>
      <c r="Q134" s="40" t="n">
        <f aca="true">RAND()</f>
        <v>0.331911053082527</v>
      </c>
      <c r="R134" s="40" t="n">
        <f aca="true">RAND()</f>
        <v>0.863195677579376</v>
      </c>
      <c r="S134" s="40" t="n">
        <f aca="true">RAND()</f>
        <v>0.215734461853071</v>
      </c>
      <c r="T134" s="40" t="n">
        <f aca="true">RAND()</f>
        <v>0.67220722523072</v>
      </c>
      <c r="U134" s="40" t="n">
        <f aca="true">RAND()</f>
        <v>0.60990703430581</v>
      </c>
    </row>
    <row r="135" customFormat="false" ht="15" hidden="false" customHeight="false" outlineLevel="0" collapsed="false">
      <c r="A135" s="36" t="n">
        <v>55</v>
      </c>
      <c r="B135" s="37" t="n">
        <f aca="false">1+IF($G$6=$E$6,$F$6,IF(P135&lt;($F$6-$E$6)/($G$6-$E$6),$E$6+SQRT(P135*($G$6-$E$6)*($F$6-$E$6)),$G$6-SQRT((1-P135)*($G$6-$E$6)*($G$6-$F$6))))</f>
        <v>0.9450211178753</v>
      </c>
      <c r="C135" s="37" t="n">
        <f aca="false">1+IF($G$7=$E$7,$F$7,IF(Q135&lt;($F$7-$E$7)/($G$7-$E$7),$E$7+SQRT(Q135*($G$7-$E$7)*($F$7-$E$7)),$G$7-SQRT((1-Q135)*($G$7-$E$7)*($G$7-$F$7))))</f>
        <v>1.04941999855632</v>
      </c>
      <c r="D135" s="37" t="n">
        <f aca="false">1+IF($G$8=$E$8,$F$8,IF(R135&lt;($F$8-$E$8)/($G$8-$E$8),$E$8+SQRT(R135*($G$8-$E$8)*($F$8-$E$8)),$G$8-SQRT((1-R135)*($G$8-$E$8)*($G$8-$F$8))))</f>
        <v>1.07684325795477</v>
      </c>
      <c r="E135" s="37" t="n">
        <f aca="false">1+IF($G$9=$E$9,$F$9,IF(S135&lt;($F$9-$E$9)/($G$9-$E$9),$E$9+SQRT(S135*($G$9-$E$9)*($F$9-$E$9)),$G$9-SQRT((1-S135)*($G$9-$E$9)*($G$9-$F$9))))</f>
        <v>1.07858668674548</v>
      </c>
      <c r="F135" s="37" t="n">
        <f aca="false">1+IF($G$10=$E$10,$F$10,IF(T135&lt;($F$10-$E$10)/($G$10-$E$10),$E$10+SQRT(T135*($G$10-$E$10)*($F$10-$E$10)),$G$10-SQRT((1-T135)*($G$10-$E$10)*($G$10-$F$10))))</f>
        <v>1.06739086326737</v>
      </c>
      <c r="G135" s="38" t="n">
        <f aca="false">IF($G$11=$E$11,$F$11,IF(U135&lt;($F$11-$E$11)/($G$11-$E$11),$E$11+SQRT(U135*($G$11-$E$11)*($F$11-$E$11)),$G$11-SQRT((1-U135)*($G$11-$E$11)*($G$11-$F$11))))</f>
        <v>0.102184276937282</v>
      </c>
      <c r="H135" s="39" t="n">
        <f aca="false">(('Business Case'!B11*$C135*'Business Case'!B12*$B135)-'Business Case'!B11*$C135*'Business Case'!B13*$D135-'Business Case'!B14*$E135)-MAX(0,(('Business Case'!B11*$C135*'Business Case'!B12*$B135)-'Business Case'!B11*$C135*'Business Case'!B13*$D135-'Business Case'!B14*$E135))*'Business Case'!$B$7-'Business Case'!$B$8*('Business Case'!B11*$C135*'Business Case'!B12*$B135)-'Business Case'!B15*$F135</f>
        <v>-2134781726.53474</v>
      </c>
      <c r="I135" s="39" t="n">
        <f aca="false">(('Business Case'!C11*$C135*'Business Case'!C12*$B135)-'Business Case'!C11*$C135*'Business Case'!C13*$D135-'Business Case'!C14*$E135)-MAX(0,(('Business Case'!C11*$C135*'Business Case'!C12*$B135)-'Business Case'!C11*$C135*'Business Case'!C13*$D135-'Business Case'!C14*$E135))*'Business Case'!$B$7-'Business Case'!$B$8*(('Business Case'!C11*$C135*'Business Case'!C12*$B135)-('Business Case'!B11*$C135*'Business Case'!B12*$B135))-'Business Case'!C15*$F135</f>
        <v>-77732429.4986573</v>
      </c>
      <c r="J135" s="39" t="n">
        <f aca="false">(('Business Case'!D11*$C135*'Business Case'!D12*$B135)-'Business Case'!D11*$C135*'Business Case'!D13*$D135-'Business Case'!D14*$E135)-MAX(0,(('Business Case'!D11*$C135*'Business Case'!D12*$B135)-'Business Case'!D11*$C135*'Business Case'!D13*$D135-'Business Case'!D14*$E135))*'Business Case'!$B$7-'Business Case'!$B$8*(('Business Case'!D11*$C135*'Business Case'!D12*$B135)-('Business Case'!C11*$C135*'Business Case'!C12*$B135))-'Business Case'!D15*$F135</f>
        <v>156060229.463137</v>
      </c>
      <c r="K135" s="39" t="n">
        <f aca="false">(('Business Case'!E11*$C135*'Business Case'!E12*$B135)-'Business Case'!E11*$C135*'Business Case'!E13*$D135-'Business Case'!E14*$E135)-MAX(0,(('Business Case'!E11*$C135*'Business Case'!E12*$B135)-'Business Case'!E11*$C135*'Business Case'!E13*$D135-'Business Case'!E14*$E135))*'Business Case'!$B$7-'Business Case'!$B$8*(('Business Case'!E11*$C135*'Business Case'!E12*$B135)-('Business Case'!D11*$C135*'Business Case'!D12*$B135))-'Business Case'!E15*$F135</f>
        <v>443222431.5883</v>
      </c>
      <c r="L135" s="39" t="n">
        <f aca="false">(('Business Case'!F11*$C135*'Business Case'!F12*$B135)-'Business Case'!F11*$C135*'Business Case'!F13*$D135-'Business Case'!F14*$E135)-MAX(0,(('Business Case'!F11*$C135*'Business Case'!F12*$B135)-'Business Case'!F11*$C135*'Business Case'!F13*$D135-'Business Case'!F14*$E135))*'Business Case'!$B$7-'Business Case'!$B$8*(('Business Case'!F11*$C135*'Business Case'!F12*$B135)-('Business Case'!E11*$C135*'Business Case'!E12*$B135))-'Business Case'!F15*$F135</f>
        <v>555427301.427903</v>
      </c>
      <c r="M135" s="39" t="n">
        <f aca="false">(('Business Case'!G11*$C135*'Business Case'!G12*$B135)-'Business Case'!G11*$C135*'Business Case'!G13*$D135-'Business Case'!G14*$E135)-MAX(0,(('Business Case'!G11*$C135*'Business Case'!G12*$B135)-'Business Case'!G11*$C135*'Business Case'!G13*$D135-'Business Case'!G14*$E135))*'Business Case'!$B$7-'Business Case'!$B$8*(('Business Case'!G11*$C135*'Business Case'!G12*$B135)-('Business Case'!F11*$C135*'Business Case'!F12*$B135))-'Business Case'!G15*$F135+'Business Case'!$B$8*('Business Case'!G11*$C135*'Business Case'!G12*$B135)</f>
        <v>743934210.782431</v>
      </c>
      <c r="N135" s="39" t="n">
        <f aca="false">IF(COUNT('Business Case'!B11:G11)=0,"",H135+NPV(G135,I135:M135))</f>
        <v>-912087546.498054</v>
      </c>
      <c r="P135" s="40" t="n">
        <f aca="true">RAND()</f>
        <v>0.0652142020551745</v>
      </c>
      <c r="Q135" s="40" t="n">
        <f aca="true">RAND()</f>
        <v>0.807307872563624</v>
      </c>
      <c r="R135" s="40" t="n">
        <f aca="true">RAND()</f>
        <v>0.999041824967295</v>
      </c>
      <c r="S135" s="40" t="n">
        <f aca="true">RAND()</f>
        <v>0.969431334364251</v>
      </c>
      <c r="T135" s="40" t="n">
        <f aca="true">RAND()</f>
        <v>0.648296337100543</v>
      </c>
      <c r="U135" s="40" t="n">
        <f aca="true">RAND()</f>
        <v>0.471000019587569</v>
      </c>
    </row>
    <row r="136" customFormat="false" ht="15" hidden="false" customHeight="false" outlineLevel="0" collapsed="false">
      <c r="A136" s="36" t="n">
        <v>56</v>
      </c>
      <c r="B136" s="37" t="n">
        <f aca="false">1+IF($G$6=$E$6,$F$6,IF(P136&lt;($F$6-$E$6)/($G$6-$E$6),$E$6+SQRT(P136*($G$6-$E$6)*($F$6-$E$6)),$G$6-SQRT((1-P136)*($G$6-$E$6)*($G$6-$F$6))))</f>
        <v>0.994181224874603</v>
      </c>
      <c r="C136" s="37" t="n">
        <f aca="false">1+IF($G$7=$E$7,$F$7,IF(Q136&lt;($F$7-$E$7)/($G$7-$E$7),$E$7+SQRT(Q136*($G$7-$E$7)*($F$7-$E$7)),$G$7-SQRT((1-Q136)*($G$7-$E$7)*($G$7-$F$7))))</f>
        <v>0.96167096633442</v>
      </c>
      <c r="D136" s="37" t="n">
        <f aca="false">1+IF($G$8=$E$8,$F$8,IF(R136&lt;($F$8-$E$8)/($G$8-$E$8),$E$8+SQRT(R136*($G$8-$E$8)*($F$8-$E$8)),$G$8-SQRT((1-R136)*($G$8-$E$8)*($G$8-$F$8))))</f>
        <v>1.01731888827725</v>
      </c>
      <c r="E136" s="37" t="n">
        <f aca="false">1+IF($G$9=$E$9,$F$9,IF(S136&lt;($F$9-$E$9)/($G$9-$E$9),$E$9+SQRT(S136*($G$9-$E$9)*($F$9-$E$9)),$G$9-SQRT((1-S136)*($G$9-$E$9)*($G$9-$F$9))))</f>
        <v>1.00950972821849</v>
      </c>
      <c r="F136" s="37" t="n">
        <f aca="false">1+IF($G$10=$E$10,$F$10,IF(T136&lt;($F$10-$E$10)/($G$10-$E$10),$E$10+SQRT(T136*($G$10-$E$10)*($F$10-$E$10)),$G$10-SQRT((1-T136)*($G$10-$E$10)*($G$10-$F$10))))</f>
        <v>1.0592846715094</v>
      </c>
      <c r="G136" s="38" t="n">
        <f aca="false">IF($G$11=$E$11,$F$11,IF(U136&lt;($F$11-$E$11)/($G$11-$E$11),$E$11+SQRT(U136*($G$11-$E$11)*($F$11-$E$11)),$G$11-SQRT((1-U136)*($G$11-$E$11)*($G$11-$F$11))))</f>
        <v>0.100561040675988</v>
      </c>
      <c r="H136" s="39" t="n">
        <f aca="false">(('Business Case'!B11*$C136*'Business Case'!B12*$B136)-'Business Case'!B11*$C136*'Business Case'!B13*$D136-'Business Case'!B14*$E136)-MAX(0,(('Business Case'!B11*$C136*'Business Case'!B12*$B136)-'Business Case'!B11*$C136*'Business Case'!B13*$D136-'Business Case'!B14*$E136))*'Business Case'!$B$7-'Business Case'!$B$8*('Business Case'!B11*$C136*'Business Case'!B12*$B136)-'Business Case'!B15*$F136</f>
        <v>-2118569343.0188</v>
      </c>
      <c r="I136" s="39" t="n">
        <f aca="false">(('Business Case'!C11*$C136*'Business Case'!C12*$B136)-'Business Case'!C11*$C136*'Business Case'!C13*$D136-'Business Case'!C14*$E136)-MAX(0,(('Business Case'!C11*$C136*'Business Case'!C12*$B136)-'Business Case'!C11*$C136*'Business Case'!C13*$D136-'Business Case'!C14*$E136))*'Business Case'!$B$7-'Business Case'!$B$8*(('Business Case'!C11*$C136*'Business Case'!C12*$B136)-('Business Case'!B11*$C136*'Business Case'!B12*$B136))-'Business Case'!C15*$F136</f>
        <v>-16773913.4553719</v>
      </c>
      <c r="J136" s="39" t="n">
        <f aca="false">(('Business Case'!D11*$C136*'Business Case'!D12*$B136)-'Business Case'!D11*$C136*'Business Case'!D13*$D136-'Business Case'!D14*$E136)-MAX(0,(('Business Case'!D11*$C136*'Business Case'!D12*$B136)-'Business Case'!D11*$C136*'Business Case'!D13*$D136-'Business Case'!D14*$E136))*'Business Case'!$B$7-'Business Case'!$B$8*(('Business Case'!D11*$C136*'Business Case'!D12*$B136)-('Business Case'!C11*$C136*'Business Case'!C12*$B136))-'Business Case'!D15*$F136</f>
        <v>265495862.958096</v>
      </c>
      <c r="K136" s="39" t="n">
        <f aca="false">(('Business Case'!E11*$C136*'Business Case'!E12*$B136)-'Business Case'!E11*$C136*'Business Case'!E13*$D136-'Business Case'!E14*$E136)-MAX(0,(('Business Case'!E11*$C136*'Business Case'!E12*$B136)-'Business Case'!E11*$C136*'Business Case'!E13*$D136-'Business Case'!E14*$E136))*'Business Case'!$B$7-'Business Case'!$B$8*(('Business Case'!E11*$C136*'Business Case'!E12*$B136)-('Business Case'!D11*$C136*'Business Case'!D12*$B136))-'Business Case'!E15*$F136</f>
        <v>600729872.947034</v>
      </c>
      <c r="L136" s="39" t="n">
        <f aca="false">(('Business Case'!F11*$C136*'Business Case'!F12*$B136)-'Business Case'!F11*$C136*'Business Case'!F13*$D136-'Business Case'!F14*$E136)-MAX(0,(('Business Case'!F11*$C136*'Business Case'!F12*$B136)-'Business Case'!F11*$C136*'Business Case'!F13*$D136-'Business Case'!F14*$E136))*'Business Case'!$B$7-'Business Case'!$B$8*(('Business Case'!F11*$C136*'Business Case'!F12*$B136)-('Business Case'!E11*$C136*'Business Case'!E12*$B136))-'Business Case'!F15*$F136</f>
        <v>727861757.99501</v>
      </c>
      <c r="M136" s="39" t="n">
        <f aca="false">(('Business Case'!G11*$C136*'Business Case'!G12*$B136)-'Business Case'!G11*$C136*'Business Case'!G13*$D136-'Business Case'!G14*$E136)-MAX(0,(('Business Case'!G11*$C136*'Business Case'!G12*$B136)-'Business Case'!G11*$C136*'Business Case'!G13*$D136-'Business Case'!G14*$E136))*'Business Case'!$B$7-'Business Case'!$B$8*(('Business Case'!G11*$C136*'Business Case'!G12*$B136)-('Business Case'!F11*$C136*'Business Case'!F12*$B136))-'Business Case'!G15*$F136+'Business Case'!$B$8*('Business Case'!G11*$C136*'Business Case'!G12*$B136)</f>
        <v>909592535.667522</v>
      </c>
      <c r="N136" s="39" t="n">
        <f aca="false">IF(COUNT('Business Case'!B11:G11)=0,"",H136+NPV(G136,I136:M136))</f>
        <v>-404495088.802155</v>
      </c>
      <c r="P136" s="40" t="n">
        <f aca="true">RAND()</f>
        <v>0.573213971239213</v>
      </c>
      <c r="Q136" s="40" t="n">
        <f aca="true">RAND()</f>
        <v>0.373392876507214</v>
      </c>
      <c r="R136" s="40" t="n">
        <f aca="true">RAND()</f>
        <v>0.622219060884679</v>
      </c>
      <c r="S136" s="40" t="n">
        <f aca="true">RAND()</f>
        <v>0.454100714193918</v>
      </c>
      <c r="T136" s="40" t="n">
        <f aca="true">RAND()</f>
        <v>0.60398392655565</v>
      </c>
      <c r="U136" s="40" t="n">
        <f aca="true">RAND()</f>
        <v>0.370211433999019</v>
      </c>
    </row>
    <row r="137" customFormat="false" ht="15" hidden="false" customHeight="false" outlineLevel="0" collapsed="false">
      <c r="A137" s="36" t="n">
        <v>57</v>
      </c>
      <c r="B137" s="37" t="n">
        <f aca="false">1+IF($G$6=$E$6,$F$6,IF(P137&lt;($F$6-$E$6)/($G$6-$E$6),$E$6+SQRT(P137*($G$6-$E$6)*($F$6-$E$6)),$G$6-SQRT((1-P137)*($G$6-$E$6)*($G$6-$F$6))))</f>
        <v>1.01658889557443</v>
      </c>
      <c r="C137" s="37" t="n">
        <f aca="false">1+IF($G$7=$E$7,$F$7,IF(Q137&lt;($F$7-$E$7)/($G$7-$E$7),$E$7+SQRT(Q137*($G$7-$E$7)*($F$7-$E$7)),$G$7-SQRT((1-Q137)*($G$7-$E$7)*($G$7-$F$7))))</f>
        <v>0.947361591587102</v>
      </c>
      <c r="D137" s="37" t="n">
        <f aca="false">1+IF($G$8=$E$8,$F$8,IF(R137&lt;($F$8-$E$8)/($G$8-$E$8),$E$8+SQRT(R137*($G$8-$E$8)*($F$8-$E$8)),$G$8-SQRT((1-R137)*($G$8-$E$8)*($G$8-$F$8))))</f>
        <v>1.01650411940363</v>
      </c>
      <c r="E137" s="37" t="n">
        <f aca="false">1+IF($G$9=$E$9,$F$9,IF(S137&lt;($F$9-$E$9)/($G$9-$E$9),$E$9+SQRT(S137*($G$9-$E$9)*($F$9-$E$9)),$G$9-SQRT((1-S137)*($G$9-$E$9)*($G$9-$F$9))))</f>
        <v>1.05056930312452</v>
      </c>
      <c r="F137" s="37" t="n">
        <f aca="false">1+IF($G$10=$E$10,$F$10,IF(T137&lt;($F$10-$E$10)/($G$10-$E$10),$E$10+SQRT(T137*($G$10-$E$10)*($F$10-$E$10)),$G$10-SQRT((1-T137)*($G$10-$E$10)*($G$10-$F$10))))</f>
        <v>1.02192908914465</v>
      </c>
      <c r="G137" s="38" t="n">
        <f aca="false">IF($G$11=$E$11,$F$11,IF(U137&lt;($F$11-$E$11)/($G$11-$E$11),$E$11+SQRT(U137*($G$11-$E$11)*($F$11-$E$11)),$G$11-SQRT((1-U137)*($G$11-$E$11)*($G$11-$F$11))))</f>
        <v>0.107536579388794</v>
      </c>
      <c r="H137" s="39" t="n">
        <f aca="false">(('Business Case'!B11*$C137*'Business Case'!B12*$B137)-'Business Case'!B11*$C137*'Business Case'!B13*$D137-'Business Case'!B14*$E137)-MAX(0,(('Business Case'!B11*$C137*'Business Case'!B12*$B137)-'Business Case'!B11*$C137*'Business Case'!B13*$D137-'Business Case'!B14*$E137))*'Business Case'!$B$7-'Business Case'!$B$8*('Business Case'!B11*$C137*'Business Case'!B12*$B137)-'Business Case'!B15*$F137</f>
        <v>-2043858178.2893</v>
      </c>
      <c r="I137" s="39" t="n">
        <f aca="false">(('Business Case'!C11*$C137*'Business Case'!C12*$B137)-'Business Case'!C11*$C137*'Business Case'!C13*$D137-'Business Case'!C14*$E137)-MAX(0,(('Business Case'!C11*$C137*'Business Case'!C12*$B137)-'Business Case'!C11*$C137*'Business Case'!C13*$D137-'Business Case'!C14*$E137))*'Business Case'!$B$7-'Business Case'!$B$8*(('Business Case'!C11*$C137*'Business Case'!C12*$B137)-('Business Case'!B11*$C137*'Business Case'!B12*$B137))-'Business Case'!C15*$F137</f>
        <v>-5657564.63024472</v>
      </c>
      <c r="J137" s="39" t="n">
        <f aca="false">(('Business Case'!D11*$C137*'Business Case'!D12*$B137)-'Business Case'!D11*$C137*'Business Case'!D13*$D137-'Business Case'!D14*$E137)-MAX(0,(('Business Case'!D11*$C137*'Business Case'!D12*$B137)-'Business Case'!D11*$C137*'Business Case'!D13*$D137-'Business Case'!D14*$E137))*'Business Case'!$B$7-'Business Case'!$B$8*(('Business Case'!D11*$C137*'Business Case'!D12*$B137)-('Business Case'!C11*$C137*'Business Case'!C12*$B137))-'Business Case'!D15*$F137</f>
        <v>290194660.447687</v>
      </c>
      <c r="K137" s="39" t="n">
        <f aca="false">(('Business Case'!E11*$C137*'Business Case'!E12*$B137)-'Business Case'!E11*$C137*'Business Case'!E13*$D137-'Business Case'!E14*$E137)-MAX(0,(('Business Case'!E11*$C137*'Business Case'!E12*$B137)-'Business Case'!E11*$C137*'Business Case'!E13*$D137-'Business Case'!E14*$E137))*'Business Case'!$B$7-'Business Case'!$B$8*(('Business Case'!E11*$C137*'Business Case'!E12*$B137)-('Business Case'!D11*$C137*'Business Case'!D12*$B137))-'Business Case'!E15*$F137</f>
        <v>637143339.982851</v>
      </c>
      <c r="L137" s="39" t="n">
        <f aca="false">(('Business Case'!F11*$C137*'Business Case'!F12*$B137)-'Business Case'!F11*$C137*'Business Case'!F13*$D137-'Business Case'!F14*$E137)-MAX(0,(('Business Case'!F11*$C137*'Business Case'!F12*$B137)-'Business Case'!F11*$C137*'Business Case'!F13*$D137-'Business Case'!F14*$E137))*'Business Case'!$B$7-'Business Case'!$B$8*(('Business Case'!F11*$C137*'Business Case'!F12*$B137)-('Business Case'!E11*$C137*'Business Case'!E12*$B137))-'Business Case'!F15*$F137</f>
        <v>769044698.935098</v>
      </c>
      <c r="M137" s="39" t="n">
        <f aca="false">(('Business Case'!G11*$C137*'Business Case'!G12*$B137)-'Business Case'!G11*$C137*'Business Case'!G13*$D137-'Business Case'!G14*$E137)-MAX(0,(('Business Case'!G11*$C137*'Business Case'!G12*$B137)-'Business Case'!G11*$C137*'Business Case'!G13*$D137-'Business Case'!G14*$E137))*'Business Case'!$B$7-'Business Case'!$B$8*(('Business Case'!G11*$C137*'Business Case'!G12*$B137)-('Business Case'!F11*$C137*'Business Case'!F12*$B137))-'Business Case'!G15*$F137+'Business Case'!$B$8*('Business Case'!G11*$C137*'Business Case'!G12*$B137)</f>
        <v>952106427.196247</v>
      </c>
      <c r="N137" s="39" t="n">
        <f aca="false">IF(COUNT('Business Case'!B11:G11)=0,"",H137+NPV(G137,I137:M137))</f>
        <v>-260943367.463105</v>
      </c>
      <c r="P137" s="40" t="n">
        <f aca="true">RAND()</f>
        <v>0.885816706161457</v>
      </c>
      <c r="Q137" s="40" t="n">
        <f aca="true">RAND()</f>
        <v>0.310220552501197</v>
      </c>
      <c r="R137" s="40" t="n">
        <f aca="true">RAND()</f>
        <v>0.61233395647033</v>
      </c>
      <c r="S137" s="40" t="n">
        <f aca="true">RAND()</f>
        <v>0.837107080426979</v>
      </c>
      <c r="T137" s="40" t="n">
        <f aca="true">RAND()</f>
        <v>0.365815014142902</v>
      </c>
      <c r="U137" s="40" t="n">
        <f aca="true">RAND()</f>
        <v>0.741105244446942</v>
      </c>
    </row>
    <row r="138" customFormat="false" ht="15" hidden="false" customHeight="false" outlineLevel="0" collapsed="false">
      <c r="A138" s="36" t="n">
        <v>58</v>
      </c>
      <c r="B138" s="37" t="n">
        <f aca="false">1+IF($G$6=$E$6,$F$6,IF(P138&lt;($F$6-$E$6)/($G$6-$E$6),$E$6+SQRT(P138*($G$6-$E$6)*($F$6-$E$6)),$G$6-SQRT((1-P138)*($G$6-$E$6)*($G$6-$F$6))))</f>
        <v>0.980012003089284</v>
      </c>
      <c r="C138" s="37" t="n">
        <f aca="false">1+IF($G$7=$E$7,$F$7,IF(Q138&lt;($F$7-$E$7)/($G$7-$E$7),$E$7+SQRT(Q138*($G$7-$E$7)*($F$7-$E$7)),$G$7-SQRT((1-Q138)*($G$7-$E$7)*($G$7-$F$7))))</f>
        <v>1.09445109894169</v>
      </c>
      <c r="D138" s="37" t="n">
        <f aca="false">1+IF($G$8=$E$8,$F$8,IF(R138&lt;($F$8-$E$8)/($G$8-$E$8),$E$8+SQRT(R138*($G$8-$E$8)*($F$8-$E$8)),$G$8-SQRT((1-R138)*($G$8-$E$8)*($G$8-$F$8))))</f>
        <v>0.978249186101332</v>
      </c>
      <c r="E138" s="37" t="n">
        <f aca="false">1+IF($G$9=$E$9,$F$9,IF(S138&lt;($F$9-$E$9)/($G$9-$E$9),$E$9+SQRT(S138*($G$9-$E$9)*($F$9-$E$9)),$G$9-SQRT((1-S138)*($G$9-$E$9)*($G$9-$F$9))))</f>
        <v>0.996703248467667</v>
      </c>
      <c r="F138" s="37" t="n">
        <f aca="false">1+IF($G$10=$E$10,$F$10,IF(T138&lt;($F$10-$E$10)/($G$10-$E$10),$E$10+SQRT(T138*($G$10-$E$10)*($F$10-$E$10)),$G$10-SQRT((1-T138)*($G$10-$E$10)*($G$10-$F$10))))</f>
        <v>0.965742571349361</v>
      </c>
      <c r="G138" s="38" t="n">
        <f aca="false">IF($G$11=$E$11,$F$11,IF(U138&lt;($F$11-$E$11)/($G$11-$E$11),$E$11+SQRT(U138*($G$11-$E$11)*($F$11-$E$11)),$G$11-SQRT((1-U138)*($G$11-$E$11)*($G$11-$F$11))))</f>
        <v>0.101633716788119</v>
      </c>
      <c r="H138" s="39" t="n">
        <f aca="false">(('Business Case'!B11*$C138*'Business Case'!B12*$B138)-'Business Case'!B11*$C138*'Business Case'!B13*$D138-'Business Case'!B14*$E138)-MAX(0,(('Business Case'!B11*$C138*'Business Case'!B12*$B138)-'Business Case'!B11*$C138*'Business Case'!B13*$D138-'Business Case'!B14*$E138))*'Business Case'!$B$7-'Business Case'!$B$8*('Business Case'!B11*$C138*'Business Case'!B12*$B138)-'Business Case'!B15*$F138</f>
        <v>-1931485142.69872</v>
      </c>
      <c r="I138" s="39" t="n">
        <f aca="false">(('Business Case'!C11*$C138*'Business Case'!C12*$B138)-'Business Case'!C11*$C138*'Business Case'!C13*$D138-'Business Case'!C14*$E138)-MAX(0,(('Business Case'!C11*$C138*'Business Case'!C12*$B138)-'Business Case'!C11*$C138*'Business Case'!C13*$D138-'Business Case'!C14*$E138))*'Business Case'!$B$7-'Business Case'!$B$8*(('Business Case'!C11*$C138*'Business Case'!C12*$B138)-('Business Case'!B11*$C138*'Business Case'!B12*$B138))-'Business Case'!C15*$F138</f>
        <v>36523519.8610827</v>
      </c>
      <c r="J138" s="39" t="n">
        <f aca="false">(('Business Case'!D11*$C138*'Business Case'!D12*$B138)-'Business Case'!D11*$C138*'Business Case'!D13*$D138-'Business Case'!D14*$E138)-MAX(0,(('Business Case'!D11*$C138*'Business Case'!D12*$B138)-'Business Case'!D11*$C138*'Business Case'!D13*$D138-'Business Case'!D14*$E138))*'Business Case'!$B$7-'Business Case'!$B$8*(('Business Case'!D11*$C138*'Business Case'!D12*$B138)-('Business Case'!C11*$C138*'Business Case'!C12*$B138))-'Business Case'!D15*$F138</f>
        <v>366954797.870372</v>
      </c>
      <c r="K138" s="39" t="n">
        <f aca="false">(('Business Case'!E11*$C138*'Business Case'!E12*$B138)-'Business Case'!E11*$C138*'Business Case'!E13*$D138-'Business Case'!E14*$E138)-MAX(0,(('Business Case'!E11*$C138*'Business Case'!E12*$B138)-'Business Case'!E11*$C138*'Business Case'!E13*$D138-'Business Case'!E14*$E138))*'Business Case'!$B$7-'Business Case'!$B$8*(('Business Case'!E11*$C138*'Business Case'!E12*$B138)-('Business Case'!D11*$C138*'Business Case'!D12*$B138))-'Business Case'!E15*$F138</f>
        <v>745673204.44713</v>
      </c>
      <c r="L138" s="39" t="n">
        <f aca="false">(('Business Case'!F11*$C138*'Business Case'!F12*$B138)-'Business Case'!F11*$C138*'Business Case'!F13*$D138-'Business Case'!F14*$E138)-MAX(0,(('Business Case'!F11*$C138*'Business Case'!F12*$B138)-'Business Case'!F11*$C138*'Business Case'!F13*$D138-'Business Case'!F14*$E138))*'Business Case'!$B$7-'Business Case'!$B$8*(('Business Case'!F11*$C138*'Business Case'!F12*$B138)-('Business Case'!E11*$C138*'Business Case'!E12*$B138))-'Business Case'!F15*$F138</f>
        <v>892885163.171005</v>
      </c>
      <c r="M138" s="39" t="n">
        <f aca="false">(('Business Case'!G11*$C138*'Business Case'!G12*$B138)-'Business Case'!G11*$C138*'Business Case'!G13*$D138-'Business Case'!G14*$E138)-MAX(0,(('Business Case'!G11*$C138*'Business Case'!G12*$B138)-'Business Case'!G11*$C138*'Business Case'!G13*$D138-'Business Case'!G14*$E138))*'Business Case'!$B$7-'Business Case'!$B$8*(('Business Case'!G11*$C138*'Business Case'!G12*$B138)-('Business Case'!F11*$C138*'Business Case'!F12*$B138))-'Business Case'!G15*$F138+'Business Case'!$B$8*('Business Case'!G11*$C138*'Business Case'!G12*$B138)</f>
        <v>1096760259.80196</v>
      </c>
      <c r="N138" s="39" t="n">
        <f aca="false">IF(COUNT('Business Case'!B11:G11)=0,"",H138+NPV(G138,I138:M138))</f>
        <v>243995117.311232</v>
      </c>
      <c r="P138" s="40" t="n">
        <f aca="true">RAND()</f>
        <v>0.375150053623772</v>
      </c>
      <c r="Q138" s="40" t="n">
        <f aca="true">RAND()</f>
        <v>0.941225135070735</v>
      </c>
      <c r="R138" s="40" t="n">
        <f aca="true">RAND()</f>
        <v>0.122771771598101</v>
      </c>
      <c r="S138" s="40" t="n">
        <f aca="true">RAND()</f>
        <v>0.290825788991023</v>
      </c>
      <c r="T138" s="40" t="n">
        <f aca="true">RAND()</f>
        <v>0.019826284215178</v>
      </c>
      <c r="U138" s="40" t="n">
        <f aca="true">RAND()</f>
        <v>0.437799401634955</v>
      </c>
    </row>
    <row r="139" customFormat="false" ht="15" hidden="false" customHeight="false" outlineLevel="0" collapsed="false">
      <c r="A139" s="36" t="n">
        <v>59</v>
      </c>
      <c r="B139" s="37" t="n">
        <f aca="false">1+IF($G$6=$E$6,$F$6,IF(P139&lt;($F$6-$E$6)/($G$6-$E$6),$E$6+SQRT(P139*($G$6-$E$6)*($F$6-$E$6)),$G$6-SQRT((1-P139)*($G$6-$E$6)*($G$6-$F$6))))</f>
        <v>0.986026179725953</v>
      </c>
      <c r="C139" s="37" t="n">
        <f aca="false">1+IF($G$7=$E$7,$F$7,IF(Q139&lt;($F$7-$E$7)/($G$7-$E$7),$E$7+SQRT(Q139*($G$7-$E$7)*($F$7-$E$7)),$G$7-SQRT((1-Q139)*($G$7-$E$7)*($G$7-$F$7))))</f>
        <v>1.01100813595167</v>
      </c>
      <c r="D139" s="37" t="n">
        <f aca="false">1+IF($G$8=$E$8,$F$8,IF(R139&lt;($F$8-$E$8)/($G$8-$E$8),$E$8+SQRT(R139*($G$8-$E$8)*($F$8-$E$8)),$G$8-SQRT((1-R139)*($G$8-$E$8)*($G$8-$F$8))))</f>
        <v>0.997706976333319</v>
      </c>
      <c r="E139" s="37" t="n">
        <f aca="false">1+IF($G$9=$E$9,$F$9,IF(S139&lt;($F$9-$E$9)/($G$9-$E$9),$E$9+SQRT(S139*($G$9-$E$9)*($F$9-$E$9)),$G$9-SQRT((1-S139)*($G$9-$E$9)*($G$9-$F$9))))</f>
        <v>1.04642773428762</v>
      </c>
      <c r="F139" s="37" t="n">
        <f aca="false">1+IF($G$10=$E$10,$F$10,IF(T139&lt;($F$10-$E$10)/($G$10-$E$10),$E$10+SQRT(T139*($G$10-$E$10)*($F$10-$E$10)),$G$10-SQRT((1-T139)*($G$10-$E$10)*($G$10-$F$10))))</f>
        <v>1.04821791134913</v>
      </c>
      <c r="G139" s="38" t="n">
        <f aca="false">IF($G$11=$E$11,$F$11,IF(U139&lt;($F$11-$E$11)/($G$11-$E$11),$E$11+SQRT(U139*($G$11-$E$11)*($F$11-$E$11)),$G$11-SQRT((1-U139)*($G$11-$E$11)*($G$11-$F$11))))</f>
        <v>0.097181308968487</v>
      </c>
      <c r="H139" s="39" t="n">
        <f aca="false">(('Business Case'!B11*$C139*'Business Case'!B12*$B139)-'Business Case'!B11*$C139*'Business Case'!B13*$D139-'Business Case'!B14*$E139)-MAX(0,(('Business Case'!B11*$C139*'Business Case'!B12*$B139)-'Business Case'!B11*$C139*'Business Case'!B13*$D139-'Business Case'!B14*$E139))*'Business Case'!$B$7-'Business Case'!$B$8*('Business Case'!B11*$C139*'Business Case'!B12*$B139)-'Business Case'!B15*$F139</f>
        <v>-2096435822.69825</v>
      </c>
      <c r="I139" s="39" t="n">
        <f aca="false">(('Business Case'!C11*$C139*'Business Case'!C12*$B139)-'Business Case'!C11*$C139*'Business Case'!C13*$D139-'Business Case'!C14*$E139)-MAX(0,(('Business Case'!C11*$C139*'Business Case'!C12*$B139)-'Business Case'!C11*$C139*'Business Case'!C13*$D139-'Business Case'!C14*$E139))*'Business Case'!$B$7-'Business Case'!$B$8*(('Business Case'!C11*$C139*'Business Case'!C12*$B139)-('Business Case'!B11*$C139*'Business Case'!B12*$B139))-'Business Case'!C15*$F139</f>
        <v>-5153721.31349452</v>
      </c>
      <c r="J139" s="39" t="n">
        <f aca="false">(('Business Case'!D11*$C139*'Business Case'!D12*$B139)-'Business Case'!D11*$C139*'Business Case'!D13*$D139-'Business Case'!D14*$E139)-MAX(0,(('Business Case'!D11*$C139*'Business Case'!D12*$B139)-'Business Case'!D11*$C139*'Business Case'!D13*$D139-'Business Case'!D14*$E139))*'Business Case'!$B$7-'Business Case'!$B$8*(('Business Case'!D11*$C139*'Business Case'!D12*$B139)-('Business Case'!C11*$C139*'Business Case'!C12*$B139))-'Business Case'!D15*$F139</f>
        <v>294994656.923371</v>
      </c>
      <c r="K139" s="39" t="n">
        <f aca="false">(('Business Case'!E11*$C139*'Business Case'!E12*$B139)-'Business Case'!E11*$C139*'Business Case'!E13*$D139-'Business Case'!E14*$E139)-MAX(0,(('Business Case'!E11*$C139*'Business Case'!E12*$B139)-'Business Case'!E11*$C139*'Business Case'!E13*$D139-'Business Case'!E14*$E139))*'Business Case'!$B$7-'Business Case'!$B$8*(('Business Case'!E11*$C139*'Business Case'!E12*$B139)-('Business Case'!D11*$C139*'Business Case'!D12*$B139))-'Business Case'!E15*$F139</f>
        <v>647553930.727693</v>
      </c>
      <c r="L139" s="39" t="n">
        <f aca="false">(('Business Case'!F11*$C139*'Business Case'!F12*$B139)-'Business Case'!F11*$C139*'Business Case'!F13*$D139-'Business Case'!F14*$E139)-MAX(0,(('Business Case'!F11*$C139*'Business Case'!F12*$B139)-'Business Case'!F11*$C139*'Business Case'!F13*$D139-'Business Case'!F14*$E139))*'Business Case'!$B$7-'Business Case'!$B$8*(('Business Case'!F11*$C139*'Business Case'!F12*$B139)-('Business Case'!E11*$C139*'Business Case'!E12*$B139))-'Business Case'!F15*$F139</f>
        <v>782055579.873147</v>
      </c>
      <c r="M139" s="39" t="n">
        <f aca="false">(('Business Case'!G11*$C139*'Business Case'!G12*$B139)-'Business Case'!G11*$C139*'Business Case'!G13*$D139-'Business Case'!G14*$E139)-MAX(0,(('Business Case'!G11*$C139*'Business Case'!G12*$B139)-'Business Case'!G11*$C139*'Business Case'!G13*$D139-'Business Case'!G14*$E139))*'Business Case'!$B$7-'Business Case'!$B$8*(('Business Case'!G11*$C139*'Business Case'!G12*$B139)-('Business Case'!F11*$C139*'Business Case'!F12*$B139))-'Business Case'!G15*$F139+'Business Case'!$B$8*('Business Case'!G11*$C139*'Business Case'!G12*$B139)</f>
        <v>971542623.405557</v>
      </c>
      <c r="N139" s="39" t="n">
        <f aca="false">IF(COUNT('Business Case'!B11:G11)=0,"",H139+NPV(G139,I139:M139))</f>
        <v>-215100438.784168</v>
      </c>
      <c r="P139" s="40" t="n">
        <f aca="true">RAND()</f>
        <v>0.454110042625403</v>
      </c>
      <c r="Q139" s="40" t="n">
        <f aca="true">RAND()</f>
        <v>0.632024032921321</v>
      </c>
      <c r="R139" s="40" t="n">
        <f aca="true">RAND()</f>
        <v>0.350147013979663</v>
      </c>
      <c r="S139" s="40" t="n">
        <f aca="true">RAND()</f>
        <v>0.80866748976279</v>
      </c>
      <c r="T139" s="40" t="n">
        <f aca="true">RAND()</f>
        <v>0.539243951295567</v>
      </c>
      <c r="U139" s="40" t="n">
        <f aca="true">RAND()</f>
        <v>0.171903995002908</v>
      </c>
    </row>
    <row r="140" customFormat="false" ht="15" hidden="false" customHeight="false" outlineLevel="0" collapsed="false">
      <c r="A140" s="36" t="n">
        <v>60</v>
      </c>
      <c r="B140" s="37" t="n">
        <f aca="false">1+IF($G$6=$E$6,$F$6,IF(P140&lt;($F$6-$E$6)/($G$6-$E$6),$E$6+SQRT(P140*($G$6-$E$6)*($F$6-$E$6)),$G$6-SQRT((1-P140)*($G$6-$E$6)*($G$6-$F$6))))</f>
        <v>0.992457517454276</v>
      </c>
      <c r="C140" s="37" t="n">
        <f aca="false">1+IF($G$7=$E$7,$F$7,IF(Q140&lt;($F$7-$E$7)/($G$7-$E$7),$E$7+SQRT(Q140*($G$7-$E$7)*($F$7-$E$7)),$G$7-SQRT((1-Q140)*($G$7-$E$7)*($G$7-$F$7))))</f>
        <v>1.09383456163608</v>
      </c>
      <c r="D140" s="37" t="n">
        <f aca="false">1+IF($G$8=$E$8,$F$8,IF(R140&lt;($F$8-$E$8)/($G$8-$E$8),$E$8+SQRT(R140*($G$8-$E$8)*($F$8-$E$8)),$G$8-SQRT((1-R140)*($G$8-$E$8)*($G$8-$F$8))))</f>
        <v>0.99817706249531</v>
      </c>
      <c r="E140" s="37" t="n">
        <f aca="false">1+IF($G$9=$E$9,$F$9,IF(S140&lt;($F$9-$E$9)/($G$9-$E$9),$E$9+SQRT(S140*($G$9-$E$9)*($F$9-$E$9)),$G$9-SQRT((1-S140)*($G$9-$E$9)*($G$9-$F$9))))</f>
        <v>0.980338621896955</v>
      </c>
      <c r="F140" s="37" t="n">
        <f aca="false">1+IF($G$10=$E$10,$F$10,IF(T140&lt;($F$10-$E$10)/($G$10-$E$10),$E$10+SQRT(T140*($G$10-$E$10)*($F$10-$E$10)),$G$10-SQRT((1-T140)*($G$10-$E$10)*($G$10-$F$10))))</f>
        <v>1.11886524379083</v>
      </c>
      <c r="G140" s="38" t="n">
        <f aca="false">IF($G$11=$E$11,$F$11,IF(U140&lt;($F$11-$E$11)/($G$11-$E$11),$E$11+SQRT(U140*($G$11-$E$11)*($F$11-$E$11)),$G$11-SQRT((1-U140)*($G$11-$E$11)*($G$11-$F$11))))</f>
        <v>0.101744033701223</v>
      </c>
      <c r="H140" s="39" t="n">
        <f aca="false">(('Business Case'!B11*$C140*'Business Case'!B12*$B140)-'Business Case'!B11*$C140*'Business Case'!B13*$D140-'Business Case'!B14*$E140)-MAX(0,(('Business Case'!B11*$C140*'Business Case'!B12*$B140)-'Business Case'!B11*$C140*'Business Case'!B13*$D140-'Business Case'!B14*$E140))*'Business Case'!$B$7-'Business Case'!$B$8*('Business Case'!B11*$C140*'Business Case'!B12*$B140)-'Business Case'!B15*$F140</f>
        <v>-2237730487.58167</v>
      </c>
      <c r="I140" s="39" t="n">
        <f aca="false">(('Business Case'!C11*$C140*'Business Case'!C12*$B140)-'Business Case'!C11*$C140*'Business Case'!C13*$D140-'Business Case'!C14*$E140)-MAX(0,(('Business Case'!C11*$C140*'Business Case'!C12*$B140)-'Business Case'!C11*$C140*'Business Case'!C13*$D140-'Business Case'!C14*$E140))*'Business Case'!$B$7-'Business Case'!$B$8*(('Business Case'!C11*$C140*'Business Case'!C12*$B140)-('Business Case'!B11*$C140*'Business Case'!B12*$B140))-'Business Case'!C15*$F140</f>
        <v>22669338.5987398</v>
      </c>
      <c r="J140" s="39" t="n">
        <f aca="false">(('Business Case'!D11*$C140*'Business Case'!D12*$B140)-'Business Case'!D11*$C140*'Business Case'!D13*$D140-'Business Case'!D14*$E140)-MAX(0,(('Business Case'!D11*$C140*'Business Case'!D12*$B140)-'Business Case'!D11*$C140*'Business Case'!D13*$D140-'Business Case'!D14*$E140))*'Business Case'!$B$7-'Business Case'!$B$8*(('Business Case'!D11*$C140*'Business Case'!D12*$B140)-('Business Case'!C11*$C140*'Business Case'!C12*$B140))-'Business Case'!D15*$F140</f>
        <v>352906045.461388</v>
      </c>
      <c r="K140" s="39" t="n">
        <f aca="false">(('Business Case'!E11*$C140*'Business Case'!E12*$B140)-'Business Case'!E11*$C140*'Business Case'!E13*$D140-'Business Case'!E14*$E140)-MAX(0,(('Business Case'!E11*$C140*'Business Case'!E12*$B140)-'Business Case'!E11*$C140*'Business Case'!E13*$D140-'Business Case'!E14*$E140))*'Business Case'!$B$7-'Business Case'!$B$8*(('Business Case'!E11*$C140*'Business Case'!E12*$B140)-('Business Case'!D11*$C140*'Business Case'!D12*$B140))-'Business Case'!E15*$F140</f>
        <v>739086014.513578</v>
      </c>
      <c r="L140" s="39" t="n">
        <f aca="false">(('Business Case'!F11*$C140*'Business Case'!F12*$B140)-'Business Case'!F11*$C140*'Business Case'!F13*$D140-'Business Case'!F14*$E140)-MAX(0,(('Business Case'!F11*$C140*'Business Case'!F12*$B140)-'Business Case'!F11*$C140*'Business Case'!F13*$D140-'Business Case'!F14*$E140))*'Business Case'!$B$7-'Business Case'!$B$8*(('Business Case'!F11*$C140*'Business Case'!F12*$B140)-('Business Case'!E11*$C140*'Business Case'!E12*$B140))-'Business Case'!F15*$F140</f>
        <v>886682711.368512</v>
      </c>
      <c r="M140" s="39" t="n">
        <f aca="false">(('Business Case'!G11*$C140*'Business Case'!G12*$B140)-'Business Case'!G11*$C140*'Business Case'!G13*$D140-'Business Case'!G14*$E140)-MAX(0,(('Business Case'!G11*$C140*'Business Case'!G12*$B140)-'Business Case'!G11*$C140*'Business Case'!G13*$D140-'Business Case'!G14*$E140))*'Business Case'!$B$7-'Business Case'!$B$8*(('Business Case'!G11*$C140*'Business Case'!G12*$B140)-('Business Case'!F11*$C140*'Business Case'!F12*$B140))-'Business Case'!G15*$F140+'Business Case'!$B$8*('Business Case'!G11*$C140*'Business Case'!G12*$B140)</f>
        <v>1093030581.48913</v>
      </c>
      <c r="N140" s="39" t="n">
        <f aca="false">IF(COUNT('Business Case'!B11:G11)=0,"",H140+NPV(G140,I140:M140))</f>
        <v>-98644080.8033018</v>
      </c>
      <c r="P140" s="40" t="n">
        <f aca="true">RAND()</f>
        <v>0.54688456621215</v>
      </c>
      <c r="Q140" s="40" t="n">
        <f aca="true">RAND()</f>
        <v>0.939913210159778</v>
      </c>
      <c r="R140" s="40" t="n">
        <f aca="true">RAND()</f>
        <v>0.357081438565694</v>
      </c>
      <c r="S140" s="40" t="n">
        <f aca="true">RAND()</f>
        <v>0.122724263814184</v>
      </c>
      <c r="T140" s="40" t="n">
        <f aca="true">RAND()</f>
        <v>0.868343026697586</v>
      </c>
      <c r="U140" s="40" t="n">
        <f aca="true">RAND()</f>
        <v>0.444532824163199</v>
      </c>
    </row>
    <row r="141" customFormat="false" ht="15" hidden="false" customHeight="false" outlineLevel="0" collapsed="false">
      <c r="A141" s="36" t="n">
        <v>61</v>
      </c>
      <c r="B141" s="37" t="n">
        <f aca="false">1+IF($G$6=$E$6,$F$6,IF(P141&lt;($F$6-$E$6)/($G$6-$E$6),$E$6+SQRT(P141*($G$6-$E$6)*($F$6-$E$6)),$G$6-SQRT((1-P141)*($G$6-$E$6)*($G$6-$F$6))))</f>
        <v>1.01222022723231</v>
      </c>
      <c r="C141" s="37" t="n">
        <f aca="false">1+IF($G$7=$E$7,$F$7,IF(Q141&lt;($F$7-$E$7)/($G$7-$E$7),$E$7+SQRT(Q141*($G$7-$E$7)*($F$7-$E$7)),$G$7-SQRT((1-Q141)*($G$7-$E$7)*($G$7-$F$7))))</f>
        <v>0.880350802335796</v>
      </c>
      <c r="D141" s="37" t="n">
        <f aca="false">1+IF($G$8=$E$8,$F$8,IF(R141&lt;($F$8-$E$8)/($G$8-$E$8),$E$8+SQRT(R141*($G$8-$E$8)*($F$8-$E$8)),$G$8-SQRT((1-R141)*($G$8-$E$8)*($G$8-$F$8))))</f>
        <v>0.97595355946109</v>
      </c>
      <c r="E141" s="37" t="n">
        <f aca="false">1+IF($G$9=$E$9,$F$9,IF(S141&lt;($F$9-$E$9)/($G$9-$E$9),$E$9+SQRT(S141*($G$9-$E$9)*($F$9-$E$9)),$G$9-SQRT((1-S141)*($G$9-$E$9)*($G$9-$F$9))))</f>
        <v>1.01605117232122</v>
      </c>
      <c r="F141" s="37" t="n">
        <f aca="false">1+IF($G$10=$E$10,$F$10,IF(T141&lt;($F$10-$E$10)/($G$10-$E$10),$E$10+SQRT(T141*($G$10-$E$10)*($F$10-$E$10)),$G$10-SQRT((1-T141)*($G$10-$E$10)*($G$10-$F$10))))</f>
        <v>1.06041350082379</v>
      </c>
      <c r="G141" s="38" t="n">
        <f aca="false">IF($G$11=$E$11,$F$11,IF(U141&lt;($F$11-$E$11)/($G$11-$E$11),$E$11+SQRT(U141*($G$11-$E$11)*($F$11-$E$11)),$G$11-SQRT((1-U141)*($G$11-$E$11)*($G$11-$F$11))))</f>
        <v>0.101637346033374</v>
      </c>
      <c r="H141" s="39" t="n">
        <f aca="false">(('Business Case'!B11*$C141*'Business Case'!B12*$B141)-'Business Case'!B11*$C141*'Business Case'!B13*$D141-'Business Case'!B14*$E141)-MAX(0,(('Business Case'!B11*$C141*'Business Case'!B12*$B141)-'Business Case'!B11*$C141*'Business Case'!B13*$D141-'Business Case'!B14*$E141))*'Business Case'!$B$7-'Business Case'!$B$8*('Business Case'!B11*$C141*'Business Case'!B12*$B141)-'Business Case'!B15*$F141</f>
        <v>-2120827001.64759</v>
      </c>
      <c r="I141" s="39" t="n">
        <f aca="false">(('Business Case'!C11*$C141*'Business Case'!C12*$B141)-'Business Case'!C11*$C141*'Business Case'!C13*$D141-'Business Case'!C14*$E141)-MAX(0,(('Business Case'!C11*$C141*'Business Case'!C12*$B141)-'Business Case'!C11*$C141*'Business Case'!C13*$D141-'Business Case'!C14*$E141))*'Business Case'!$B$7-'Business Case'!$B$8*(('Business Case'!C11*$C141*'Business Case'!C12*$B141)-('Business Case'!B11*$C141*'Business Case'!B12*$B141))-'Business Case'!C15*$F141</f>
        <v>-6668764.54613099</v>
      </c>
      <c r="J141" s="39" t="n">
        <f aca="false">(('Business Case'!D11*$C141*'Business Case'!D12*$B141)-'Business Case'!D11*$C141*'Business Case'!D13*$D141-'Business Case'!D14*$E141)-MAX(0,(('Business Case'!D11*$C141*'Business Case'!D12*$B141)-'Business Case'!D11*$C141*'Business Case'!D13*$D141-'Business Case'!D14*$E141))*'Business Case'!$B$7-'Business Case'!$B$8*(('Business Case'!D11*$C141*'Business Case'!D12*$B141)-('Business Case'!C11*$C141*'Business Case'!C12*$B141))-'Business Case'!D15*$F141</f>
        <v>283381382.509518</v>
      </c>
      <c r="K141" s="39" t="n">
        <f aca="false">(('Business Case'!E11*$C141*'Business Case'!E12*$B141)-'Business Case'!E11*$C141*'Business Case'!E13*$D141-'Business Case'!E14*$E141)-MAX(0,(('Business Case'!E11*$C141*'Business Case'!E12*$B141)-'Business Case'!E11*$C141*'Business Case'!E13*$D141-'Business Case'!E14*$E141))*'Business Case'!$B$7-'Business Case'!$B$8*(('Business Case'!E11*$C141*'Business Case'!E12*$B141)-('Business Case'!D11*$C141*'Business Case'!D12*$B141))-'Business Case'!E15*$F141</f>
        <v>626452204.606356</v>
      </c>
      <c r="L141" s="39" t="n">
        <f aca="false">(('Business Case'!F11*$C141*'Business Case'!F12*$B141)-'Business Case'!F11*$C141*'Business Case'!F13*$D141-'Business Case'!F14*$E141)-MAX(0,(('Business Case'!F11*$C141*'Business Case'!F12*$B141)-'Business Case'!F11*$C141*'Business Case'!F13*$D141-'Business Case'!F14*$E141))*'Business Case'!$B$7-'Business Case'!$B$8*(('Business Case'!F11*$C141*'Business Case'!F12*$B141)-('Business Case'!E11*$C141*'Business Case'!E12*$B141))-'Business Case'!F15*$F141</f>
        <v>753932310.168455</v>
      </c>
      <c r="M141" s="39" t="n">
        <f aca="false">(('Business Case'!G11*$C141*'Business Case'!G12*$B141)-'Business Case'!G11*$C141*'Business Case'!G13*$D141-'Business Case'!G14*$E141)-MAX(0,(('Business Case'!G11*$C141*'Business Case'!G12*$B141)-'Business Case'!G11*$C141*'Business Case'!G13*$D141-'Business Case'!G14*$E141))*'Business Case'!$B$7-'Business Case'!$B$8*(('Business Case'!G11*$C141*'Business Case'!G12*$B141)-('Business Case'!F11*$C141*'Business Case'!F12*$B141))-'Business Case'!G15*$F141+'Business Case'!$B$8*('Business Case'!G11*$C141*'Business Case'!G12*$B141)</f>
        <v>923314287.824642</v>
      </c>
      <c r="N141" s="39" t="n">
        <f aca="false">IF(COUNT('Business Case'!B11:G11)=0,"",H141+NPV(G141,I141:M141))</f>
        <v>-343860348.413422</v>
      </c>
      <c r="P141" s="40" t="n">
        <f aca="true">RAND()</f>
        <v>0.839225880203176</v>
      </c>
      <c r="Q141" s="40" t="n">
        <f aca="true">RAND()</f>
        <v>0.0922321633715159</v>
      </c>
      <c r="R141" s="40" t="n">
        <f aca="true">RAND()</f>
        <v>0.10362880749236</v>
      </c>
      <c r="S141" s="40" t="n">
        <f aca="true">RAND()</f>
        <v>0.530172955423873</v>
      </c>
      <c r="T141" s="40" t="n">
        <f aca="true">RAND()</f>
        <v>0.610312184954614</v>
      </c>
      <c r="U141" s="40" t="n">
        <f aca="true">RAND()</f>
        <v>0.438021565503234</v>
      </c>
    </row>
    <row r="142" customFormat="false" ht="15" hidden="false" customHeight="false" outlineLevel="0" collapsed="false">
      <c r="A142" s="36" t="n">
        <v>62</v>
      </c>
      <c r="B142" s="37" t="n">
        <f aca="false">1+IF($G$6=$E$6,$F$6,IF(P142&lt;($F$6-$E$6)/($G$6-$E$6),$E$6+SQRT(P142*($G$6-$E$6)*($F$6-$E$6)),$G$6-SQRT((1-P142)*($G$6-$E$6)*($G$6-$F$6))))</f>
        <v>0.998204061663359</v>
      </c>
      <c r="C142" s="37" t="n">
        <f aca="false">1+IF($G$7=$E$7,$F$7,IF(Q142&lt;($F$7-$E$7)/($G$7-$E$7),$E$7+SQRT(Q142*($G$7-$E$7)*($F$7-$E$7)),$G$7-SQRT((1-Q142)*($G$7-$E$7)*($G$7-$F$7))))</f>
        <v>0.998953386687725</v>
      </c>
      <c r="D142" s="37" t="n">
        <f aca="false">1+IF($G$8=$E$8,$F$8,IF(R142&lt;($F$8-$E$8)/($G$8-$E$8),$E$8+SQRT(R142*($G$8-$E$8)*($F$8-$E$8)),$G$8-SQRT((1-R142)*($G$8-$E$8)*($G$8-$F$8))))</f>
        <v>1.0257927687443</v>
      </c>
      <c r="E142" s="37" t="n">
        <f aca="false">1+IF($G$9=$E$9,$F$9,IF(S142&lt;($F$9-$E$9)/($G$9-$E$9),$E$9+SQRT(S142*($G$9-$E$9)*($F$9-$E$9)),$G$9-SQRT((1-S142)*($G$9-$E$9)*($G$9-$F$9))))</f>
        <v>1.03777686885206</v>
      </c>
      <c r="F142" s="37" t="n">
        <f aca="false">1+IF($G$10=$E$10,$F$10,IF(T142&lt;($F$10-$E$10)/($G$10-$E$10),$E$10+SQRT(T142*($G$10-$E$10)*($F$10-$E$10)),$G$10-SQRT((1-T142)*($G$10-$E$10)*($G$10-$F$10))))</f>
        <v>1.03394563175923</v>
      </c>
      <c r="G142" s="38" t="n">
        <f aca="false">IF($G$11=$E$11,$F$11,IF(U142&lt;($F$11-$E$11)/($G$11-$E$11),$E$11+SQRT(U142*($G$11-$E$11)*($F$11-$E$11)),$G$11-SQRT((1-U142)*($G$11-$E$11)*($G$11-$F$11))))</f>
        <v>0.0993977375097105</v>
      </c>
      <c r="H142" s="39" t="n">
        <f aca="false">(('Business Case'!B11*$C142*'Business Case'!B12*$B142)-'Business Case'!B11*$C142*'Business Case'!B13*$D142-'Business Case'!B14*$E142)-MAX(0,(('Business Case'!B11*$C142*'Business Case'!B12*$B142)-'Business Case'!B11*$C142*'Business Case'!B13*$D142-'Business Case'!B14*$E142))*'Business Case'!$B$7-'Business Case'!$B$8*('Business Case'!B11*$C142*'Business Case'!B12*$B142)-'Business Case'!B15*$F142</f>
        <v>-2067891263.51846</v>
      </c>
      <c r="I142" s="39" t="n">
        <f aca="false">(('Business Case'!C11*$C142*'Business Case'!C12*$B142)-'Business Case'!C11*$C142*'Business Case'!C13*$D142-'Business Case'!C14*$E142)-MAX(0,(('Business Case'!C11*$C142*'Business Case'!C12*$B142)-'Business Case'!C11*$C142*'Business Case'!C13*$D142-'Business Case'!C14*$E142))*'Business Case'!$B$7-'Business Case'!$B$8*(('Business Case'!C11*$C142*'Business Case'!C12*$B142)-('Business Case'!B11*$C142*'Business Case'!B12*$B142))-'Business Case'!C15*$F142</f>
        <v>-10488120.9636205</v>
      </c>
      <c r="J142" s="39" t="n">
        <f aca="false">(('Business Case'!D11*$C142*'Business Case'!D12*$B142)-'Business Case'!D11*$C142*'Business Case'!D13*$D142-'Business Case'!D14*$E142)-MAX(0,(('Business Case'!D11*$C142*'Business Case'!D12*$B142)-'Business Case'!D11*$C142*'Business Case'!D13*$D142-'Business Case'!D14*$E142))*'Business Case'!$B$7-'Business Case'!$B$8*(('Business Case'!D11*$C142*'Business Case'!D12*$B142)-('Business Case'!C11*$C142*'Business Case'!C12*$B142))-'Business Case'!D15*$F142</f>
        <v>281682931.563175</v>
      </c>
      <c r="K142" s="39" t="n">
        <f aca="false">(('Business Case'!E11*$C142*'Business Case'!E12*$B142)-'Business Case'!E11*$C142*'Business Case'!E13*$D142-'Business Case'!E14*$E142)-MAX(0,(('Business Case'!E11*$C142*'Business Case'!E12*$B142)-'Business Case'!E11*$C142*'Business Case'!E13*$D142-'Business Case'!E14*$E142))*'Business Case'!$B$7-'Business Case'!$B$8*(('Business Case'!E11*$C142*'Business Case'!E12*$B142)-('Business Case'!D11*$C142*'Business Case'!D12*$B142))-'Business Case'!E15*$F142</f>
        <v>625551265.677931</v>
      </c>
      <c r="L142" s="39" t="n">
        <f aca="false">(('Business Case'!F11*$C142*'Business Case'!F12*$B142)-'Business Case'!F11*$C142*'Business Case'!F13*$D142-'Business Case'!F14*$E142)-MAX(0,(('Business Case'!F11*$C142*'Business Case'!F12*$B142)-'Business Case'!F11*$C142*'Business Case'!F13*$D142-'Business Case'!F14*$E142))*'Business Case'!$B$7-'Business Case'!$B$8*(('Business Case'!F11*$C142*'Business Case'!F12*$B142)-('Business Case'!E11*$C142*'Business Case'!E12*$B142))-'Business Case'!F15*$F142</f>
        <v>757403442.896016</v>
      </c>
      <c r="M142" s="39" t="n">
        <f aca="false">(('Business Case'!G11*$C142*'Business Case'!G12*$B142)-'Business Case'!G11*$C142*'Business Case'!G13*$D142-'Business Case'!G14*$E142)-MAX(0,(('Business Case'!G11*$C142*'Business Case'!G12*$B142)-'Business Case'!G11*$C142*'Business Case'!G13*$D142-'Business Case'!G14*$E142))*'Business Case'!$B$7-'Business Case'!$B$8*(('Business Case'!G11*$C142*'Business Case'!G12*$B142)-('Business Case'!F11*$C142*'Business Case'!F12*$B142))-'Business Case'!G15*$F142+'Business Case'!$B$8*('Business Case'!G11*$C142*'Business Case'!G12*$B142)</f>
        <v>946943487.963027</v>
      </c>
      <c r="N142" s="39" t="n">
        <f aca="false">IF(COUNT('Business Case'!B11:G11)=0,"",H142+NPV(G142,I142:M142))</f>
        <v>-265580551.677969</v>
      </c>
      <c r="P142" s="40" t="n">
        <f aca="true">RAND()</f>
        <v>0.63707033965067</v>
      </c>
      <c r="Q142" s="40" t="n">
        <f aca="true">RAND()</f>
        <v>0.565463572493075</v>
      </c>
      <c r="R142" s="40" t="n">
        <f aca="true">RAND()</f>
        <v>0.71745923842224</v>
      </c>
      <c r="S142" s="40" t="n">
        <f aca="true">RAND()</f>
        <v>0.741885463343065</v>
      </c>
      <c r="T142" s="40" t="n">
        <f aca="true">RAND()</f>
        <v>0.448518935763159</v>
      </c>
      <c r="U142" s="40" t="n">
        <f aca="true">RAND()</f>
        <v>0.294391567671396</v>
      </c>
    </row>
    <row r="143" customFormat="false" ht="15" hidden="false" customHeight="false" outlineLevel="0" collapsed="false">
      <c r="A143" s="36" t="n">
        <v>63</v>
      </c>
      <c r="B143" s="37" t="n">
        <f aca="false">1+IF($G$6=$E$6,$F$6,IF(P143&lt;($F$6-$E$6)/($G$6-$E$6),$E$6+SQRT(P143*($G$6-$E$6)*($F$6-$E$6)),$G$6-SQRT((1-P143)*($G$6-$E$6)*($G$6-$F$6))))</f>
        <v>0.997041378691658</v>
      </c>
      <c r="C143" s="37" t="n">
        <f aca="false">1+IF($G$7=$E$7,$F$7,IF(Q143&lt;($F$7-$E$7)/($G$7-$E$7),$E$7+SQRT(Q143*($G$7-$E$7)*($F$7-$E$7)),$G$7-SQRT((1-Q143)*($G$7-$E$7)*($G$7-$F$7))))</f>
        <v>0.836432848571348</v>
      </c>
      <c r="D143" s="37" t="n">
        <f aca="false">1+IF($G$8=$E$8,$F$8,IF(R143&lt;($F$8-$E$8)/($G$8-$E$8),$E$8+SQRT(R143*($G$8-$E$8)*($F$8-$E$8)),$G$8-SQRT((1-R143)*($G$8-$E$8)*($G$8-$F$8))))</f>
        <v>0.974260546156537</v>
      </c>
      <c r="E143" s="37" t="n">
        <f aca="false">1+IF($G$9=$E$9,$F$9,IF(S143&lt;($F$9-$E$9)/($G$9-$E$9),$E$9+SQRT(S143*($G$9-$E$9)*($F$9-$E$9)),$G$9-SQRT((1-S143)*($G$9-$E$9)*($G$9-$F$9))))</f>
        <v>0.982894545779642</v>
      </c>
      <c r="F143" s="37" t="n">
        <f aca="false">1+IF($G$10=$E$10,$F$10,IF(T143&lt;($F$10-$E$10)/($G$10-$E$10),$E$10+SQRT(T143*($G$10-$E$10)*($F$10-$E$10)),$G$10-SQRT((1-T143)*($G$10-$E$10)*($G$10-$F$10))))</f>
        <v>0.974370146889316</v>
      </c>
      <c r="G143" s="38" t="n">
        <f aca="false">IF($G$11=$E$11,$F$11,IF(U143&lt;($F$11-$E$11)/($G$11-$E$11),$E$11+SQRT(U143*($G$11-$E$11)*($F$11-$E$11)),$G$11-SQRT((1-U143)*($G$11-$E$11)*($G$11-$F$11))))</f>
        <v>0.100485727965335</v>
      </c>
      <c r="H143" s="39" t="n">
        <f aca="false">(('Business Case'!B11*$C143*'Business Case'!B12*$B143)-'Business Case'!B11*$C143*'Business Case'!B13*$D143-'Business Case'!B14*$E143)-MAX(0,(('Business Case'!B11*$C143*'Business Case'!B12*$B143)-'Business Case'!B11*$C143*'Business Case'!B13*$D143-'Business Case'!B14*$E143))*'Business Case'!$B$7-'Business Case'!$B$8*('Business Case'!B11*$C143*'Business Case'!B12*$B143)-'Business Case'!B15*$F143</f>
        <v>-1948740293.77863</v>
      </c>
      <c r="I143" s="39" t="n">
        <f aca="false">(('Business Case'!C11*$C143*'Business Case'!C12*$B143)-'Business Case'!C11*$C143*'Business Case'!C13*$D143-'Business Case'!C14*$E143)-MAX(0,(('Business Case'!C11*$C143*'Business Case'!C12*$B143)-'Business Case'!C11*$C143*'Business Case'!C13*$D143-'Business Case'!C14*$E143))*'Business Case'!$B$7-'Business Case'!$B$8*(('Business Case'!C11*$C143*'Business Case'!C12*$B143)-('Business Case'!B11*$C143*'Business Case'!B12*$B143))-'Business Case'!C15*$F143</f>
        <v>-14530643.6254995</v>
      </c>
      <c r="J143" s="39" t="n">
        <f aca="false">(('Business Case'!D11*$C143*'Business Case'!D12*$B143)-'Business Case'!D11*$C143*'Business Case'!D13*$D143-'Business Case'!D14*$E143)-MAX(0,(('Business Case'!D11*$C143*'Business Case'!D12*$B143)-'Business Case'!D11*$C143*'Business Case'!D13*$D143-'Business Case'!D14*$E143))*'Business Case'!$B$7-'Business Case'!$B$8*(('Business Case'!D11*$C143*'Business Case'!D12*$B143)-('Business Case'!C11*$C143*'Business Case'!C12*$B143))-'Business Case'!D15*$F143</f>
        <v>251375722.889288</v>
      </c>
      <c r="K143" s="39" t="n">
        <f aca="false">(('Business Case'!E11*$C143*'Business Case'!E12*$B143)-'Business Case'!E11*$C143*'Business Case'!E13*$D143-'Business Case'!E14*$E143)-MAX(0,(('Business Case'!E11*$C143*'Business Case'!E12*$B143)-'Business Case'!E11*$C143*'Business Case'!E13*$D143-'Business Case'!E14*$E143))*'Business Case'!$B$7-'Business Case'!$B$8*(('Business Case'!E11*$C143*'Business Case'!E12*$B143)-('Business Case'!D11*$C143*'Business Case'!D12*$B143))-'Business Case'!E15*$F143</f>
        <v>566000596.748541</v>
      </c>
      <c r="L143" s="39" t="n">
        <f aca="false">(('Business Case'!F11*$C143*'Business Case'!F12*$B143)-'Business Case'!F11*$C143*'Business Case'!F13*$D143-'Business Case'!F14*$E143)-MAX(0,(('Business Case'!F11*$C143*'Business Case'!F12*$B143)-'Business Case'!F11*$C143*'Business Case'!F13*$D143-'Business Case'!F14*$E143))*'Business Case'!$B$7-'Business Case'!$B$8*(('Business Case'!F11*$C143*'Business Case'!F12*$B143)-('Business Case'!E11*$C143*'Business Case'!E12*$B143))-'Business Case'!F15*$F143</f>
        <v>683457646.28113</v>
      </c>
      <c r="M143" s="39" t="n">
        <f aca="false">(('Business Case'!G11*$C143*'Business Case'!G12*$B143)-'Business Case'!G11*$C143*'Business Case'!G13*$D143-'Business Case'!G14*$E143)-MAX(0,(('Business Case'!G11*$C143*'Business Case'!G12*$B143)-'Business Case'!G11*$C143*'Business Case'!G13*$D143-'Business Case'!G14*$E143))*'Business Case'!$B$7-'Business Case'!$B$8*(('Business Case'!G11*$C143*'Business Case'!G12*$B143)-('Business Case'!F11*$C143*'Business Case'!F12*$B143))-'Business Case'!G15*$F143+'Business Case'!$B$8*('Business Case'!G11*$C143*'Business Case'!G12*$B143)</f>
        <v>841976413.43326</v>
      </c>
      <c r="N143" s="39" t="n">
        <f aca="false">IF(COUNT('Business Case'!B11:G11)=0,"",H143+NPV(G143,I143:M143))</f>
        <v>-342061636.926567</v>
      </c>
      <c r="P143" s="40" t="n">
        <f aca="true">RAND()</f>
        <v>0.618268128199115</v>
      </c>
      <c r="Q143" s="40" t="n">
        <f aca="true">RAND()</f>
        <v>0.0189621779288964</v>
      </c>
      <c r="R143" s="40" t="n">
        <f aca="true">RAND()</f>
        <v>0.0905498615097607</v>
      </c>
      <c r="S143" s="40" t="n">
        <f aca="true">RAND()</f>
        <v>0.14427348560653</v>
      </c>
      <c r="T143" s="40" t="n">
        <f aca="true">RAND()</f>
        <v>0.0475123247525468</v>
      </c>
      <c r="U143" s="40" t="n">
        <f aca="true">RAND()</f>
        <v>0.365321978261835</v>
      </c>
    </row>
    <row r="144" customFormat="false" ht="15" hidden="false" customHeight="false" outlineLevel="0" collapsed="false">
      <c r="A144" s="36" t="n">
        <v>64</v>
      </c>
      <c r="B144" s="37" t="n">
        <f aca="false">1+IF($G$6=$E$6,$F$6,IF(P144&lt;($F$6-$E$6)/($G$6-$E$6),$E$6+SQRT(P144*($G$6-$E$6)*($F$6-$E$6)),$G$6-SQRT((1-P144)*($G$6-$E$6)*($G$6-$F$6))))</f>
        <v>0.969789550904342</v>
      </c>
      <c r="C144" s="37" t="n">
        <f aca="false">1+IF($G$7=$E$7,$F$7,IF(Q144&lt;($F$7-$E$7)/($G$7-$E$7),$E$7+SQRT(Q144*($G$7-$E$7)*($F$7-$E$7)),$G$7-SQRT((1-Q144)*($G$7-$E$7)*($G$7-$F$7))))</f>
        <v>1.0324219003098</v>
      </c>
      <c r="D144" s="37" t="n">
        <f aca="false">1+IF($G$8=$E$8,$F$8,IF(R144&lt;($F$8-$E$8)/($G$8-$E$8),$E$8+SQRT(R144*($G$8-$E$8)*($F$8-$E$8)),$G$8-SQRT((1-R144)*($G$8-$E$8)*($G$8-$F$8))))</f>
        <v>1.05104746903184</v>
      </c>
      <c r="E144" s="37" t="n">
        <f aca="false">1+IF($G$9=$E$9,$F$9,IF(S144&lt;($F$9-$E$9)/($G$9-$E$9),$E$9+SQRT(S144*($G$9-$E$9)*($F$9-$E$9)),$G$9-SQRT((1-S144)*($G$9-$E$9)*($G$9-$F$9))))</f>
        <v>1.04966369314752</v>
      </c>
      <c r="F144" s="37" t="n">
        <f aca="false">1+IF($G$10=$E$10,$F$10,IF(T144&lt;($F$10-$E$10)/($G$10-$E$10),$E$10+SQRT(T144*($G$10-$E$10)*($F$10-$E$10)),$G$10-SQRT((1-T144)*($G$10-$E$10)*($G$10-$F$10))))</f>
        <v>1.01664591225311</v>
      </c>
      <c r="G144" s="38" t="n">
        <f aca="false">IF($G$11=$E$11,$F$11,IF(U144&lt;($F$11-$E$11)/($G$11-$E$11),$E$11+SQRT(U144*($G$11-$E$11)*($F$11-$E$11)),$G$11-SQRT((1-U144)*($G$11-$E$11)*($G$11-$F$11))))</f>
        <v>0.103252302070614</v>
      </c>
      <c r="H144" s="39" t="n">
        <f aca="false">(('Business Case'!B11*$C144*'Business Case'!B12*$B144)-'Business Case'!B11*$C144*'Business Case'!B13*$D144-'Business Case'!B14*$E144)-MAX(0,(('Business Case'!B11*$C144*'Business Case'!B12*$B144)-'Business Case'!B11*$C144*'Business Case'!B13*$D144-'Business Case'!B14*$E144))*'Business Case'!$B$7-'Business Case'!$B$8*('Business Case'!B11*$C144*'Business Case'!B12*$B144)-'Business Case'!B15*$F144</f>
        <v>-2033291824.50622</v>
      </c>
      <c r="I144" s="39" t="n">
        <f aca="false">(('Business Case'!C11*$C144*'Business Case'!C12*$B144)-'Business Case'!C11*$C144*'Business Case'!C13*$D144-'Business Case'!C14*$E144)-MAX(0,(('Business Case'!C11*$C144*'Business Case'!C12*$B144)-'Business Case'!C11*$C144*'Business Case'!C13*$D144-'Business Case'!C14*$E144))*'Business Case'!$B$7-'Business Case'!$B$8*(('Business Case'!C11*$C144*'Business Case'!C12*$B144)-('Business Case'!B11*$C144*'Business Case'!B12*$B144))-'Business Case'!C15*$F144</f>
        <v>-38246456.5782306</v>
      </c>
      <c r="J144" s="39" t="n">
        <f aca="false">(('Business Case'!D11*$C144*'Business Case'!D12*$B144)-'Business Case'!D11*$C144*'Business Case'!D13*$D144-'Business Case'!D14*$E144)-MAX(0,(('Business Case'!D11*$C144*'Business Case'!D12*$B144)-'Business Case'!D11*$C144*'Business Case'!D13*$D144-'Business Case'!D14*$E144))*'Business Case'!$B$7-'Business Case'!$B$8*(('Business Case'!D11*$C144*'Business Case'!D12*$B144)-('Business Case'!C11*$C144*'Business Case'!C12*$B144))-'Business Case'!D15*$F144</f>
        <v>226337720.613412</v>
      </c>
      <c r="K144" s="39" t="n">
        <f aca="false">(('Business Case'!E11*$C144*'Business Case'!E12*$B144)-'Business Case'!E11*$C144*'Business Case'!E13*$D144-'Business Case'!E14*$E144)-MAX(0,(('Business Case'!E11*$C144*'Business Case'!E12*$B144)-'Business Case'!E11*$C144*'Business Case'!E13*$D144-'Business Case'!E14*$E144))*'Business Case'!$B$7-'Business Case'!$B$8*(('Business Case'!E11*$C144*'Business Case'!E12*$B144)-('Business Case'!D11*$C144*'Business Case'!D12*$B144))-'Business Case'!E15*$F144</f>
        <v>541754193.417711</v>
      </c>
      <c r="L144" s="39" t="n">
        <f aca="false">(('Business Case'!F11*$C144*'Business Case'!F12*$B144)-'Business Case'!F11*$C144*'Business Case'!F13*$D144-'Business Case'!F14*$E144)-MAX(0,(('Business Case'!F11*$C144*'Business Case'!F12*$B144)-'Business Case'!F11*$C144*'Business Case'!F13*$D144-'Business Case'!F14*$E144))*'Business Case'!$B$7-'Business Case'!$B$8*(('Business Case'!F11*$C144*'Business Case'!F12*$B144)-('Business Case'!E11*$C144*'Business Case'!E12*$B144))-'Business Case'!F15*$F144</f>
        <v>664551496.067583</v>
      </c>
      <c r="M144" s="39" t="n">
        <f aca="false">(('Business Case'!G11*$C144*'Business Case'!G12*$B144)-'Business Case'!G11*$C144*'Business Case'!G13*$D144-'Business Case'!G14*$E144)-MAX(0,(('Business Case'!G11*$C144*'Business Case'!G12*$B144)-'Business Case'!G11*$C144*'Business Case'!G13*$D144-'Business Case'!G14*$E144))*'Business Case'!$B$7-'Business Case'!$B$8*(('Business Case'!G11*$C144*'Business Case'!G12*$B144)-('Business Case'!F11*$C144*'Business Case'!F12*$B144))-'Business Case'!G15*$F144+'Business Case'!$B$8*('Business Case'!G11*$C144*'Business Case'!G12*$B144)</f>
        <v>854865669.123863</v>
      </c>
      <c r="N144" s="39" t="n">
        <f aca="false">IF(COUNT('Business Case'!B11:G11)=0,"",H144+NPV(G144,I144:M144))</f>
        <v>-506969728.168986</v>
      </c>
      <c r="P144" s="40" t="n">
        <f aca="true">RAND()</f>
        <v>0.258229102005837</v>
      </c>
      <c r="Q144" s="40" t="n">
        <f aca="true">RAND()</f>
        <v>0.736674104252201</v>
      </c>
      <c r="R144" s="40" t="n">
        <f aca="true">RAND()</f>
        <v>0.919399129859398</v>
      </c>
      <c r="S144" s="40" t="n">
        <f aca="true">RAND()</f>
        <v>0.831083747496843</v>
      </c>
      <c r="T144" s="40" t="n">
        <f aca="true">RAND()</f>
        <v>0.327625570130123</v>
      </c>
      <c r="U144" s="40" t="n">
        <f aca="true">RAND()</f>
        <v>0.532524356776753</v>
      </c>
    </row>
    <row r="145" customFormat="false" ht="15" hidden="false" customHeight="false" outlineLevel="0" collapsed="false">
      <c r="A145" s="36" t="n">
        <v>65</v>
      </c>
      <c r="B145" s="37" t="n">
        <f aca="false">1+IF($G$6=$E$6,$F$6,IF(P145&lt;($F$6-$E$6)/($G$6-$E$6),$E$6+SQRT(P145*($G$6-$E$6)*($F$6-$E$6)),$G$6-SQRT((1-P145)*($G$6-$E$6)*($G$6-$F$6))))</f>
        <v>1.00556476359188</v>
      </c>
      <c r="C145" s="37" t="n">
        <f aca="false">1+IF($G$7=$E$7,$F$7,IF(Q145&lt;($F$7-$E$7)/($G$7-$E$7),$E$7+SQRT(Q145*($G$7-$E$7)*($F$7-$E$7)),$G$7-SQRT((1-Q145)*($G$7-$E$7)*($G$7-$F$7))))</f>
        <v>0.973009223082831</v>
      </c>
      <c r="D145" s="37" t="n">
        <f aca="false">1+IF($G$8=$E$8,$F$8,IF(R145&lt;($F$8-$E$8)/($G$8-$E$8),$E$8+SQRT(R145*($G$8-$E$8)*($F$8-$E$8)),$G$8-SQRT((1-R145)*($G$8-$E$8)*($G$8-$F$8))))</f>
        <v>1.04156447745074</v>
      </c>
      <c r="E145" s="37" t="n">
        <f aca="false">1+IF($G$9=$E$9,$F$9,IF(S145&lt;($F$9-$E$9)/($G$9-$E$9),$E$9+SQRT(S145*($G$9-$E$9)*($F$9-$E$9)),$G$9-SQRT((1-S145)*($G$9-$E$9)*($G$9-$F$9))))</f>
        <v>1.02142257633684</v>
      </c>
      <c r="F145" s="37" t="n">
        <f aca="false">1+IF($G$10=$E$10,$F$10,IF(T145&lt;($F$10-$E$10)/($G$10-$E$10),$E$10+SQRT(T145*($G$10-$E$10)*($F$10-$E$10)),$G$10-SQRT((1-T145)*($G$10-$E$10)*($G$10-$F$10))))</f>
        <v>1.00481759843622</v>
      </c>
      <c r="G145" s="38" t="n">
        <f aca="false">IF($G$11=$E$11,$F$11,IF(U145&lt;($F$11-$E$11)/($G$11-$E$11),$E$11+SQRT(U145*($G$11-$E$11)*($F$11-$E$11)),$G$11-SQRT((1-U145)*($G$11-$E$11)*($G$11-$F$11))))</f>
        <v>0.102357617125254</v>
      </c>
      <c r="H145" s="39" t="n">
        <f aca="false">(('Business Case'!B11*$C145*'Business Case'!B12*$B145)-'Business Case'!B11*$C145*'Business Case'!B13*$D145-'Business Case'!B14*$E145)-MAX(0,(('Business Case'!B11*$C145*'Business Case'!B12*$B145)-'Business Case'!B11*$C145*'Business Case'!B13*$D145-'Business Case'!B14*$E145))*'Business Case'!$B$7-'Business Case'!$B$8*('Business Case'!B11*$C145*'Business Case'!B12*$B145)-'Business Case'!B15*$F145</f>
        <v>-2009635196.87245</v>
      </c>
      <c r="I145" s="39" t="n">
        <f aca="false">(('Business Case'!C11*$C145*'Business Case'!C12*$B145)-'Business Case'!C11*$C145*'Business Case'!C13*$D145-'Business Case'!C14*$E145)-MAX(0,(('Business Case'!C11*$C145*'Business Case'!C12*$B145)-'Business Case'!C11*$C145*'Business Case'!C13*$D145-'Business Case'!C14*$E145))*'Business Case'!$B$7-'Business Case'!$B$8*(('Business Case'!C11*$C145*'Business Case'!C12*$B145)-('Business Case'!B11*$C145*'Business Case'!B12*$B145))-'Business Case'!C15*$F145</f>
        <v>-13856276.8895964</v>
      </c>
      <c r="J145" s="39" t="n">
        <f aca="false">(('Business Case'!D11*$C145*'Business Case'!D12*$B145)-'Business Case'!D11*$C145*'Business Case'!D13*$D145-'Business Case'!D14*$E145)-MAX(0,(('Business Case'!D11*$C145*'Business Case'!D12*$B145)-'Business Case'!D11*$C145*'Business Case'!D13*$D145-'Business Case'!D14*$E145))*'Business Case'!$B$7-'Business Case'!$B$8*(('Business Case'!D11*$C145*'Business Case'!D12*$B145)-('Business Case'!C11*$C145*'Business Case'!C12*$B145))-'Business Case'!D15*$F145</f>
        <v>268736985.661092</v>
      </c>
      <c r="K145" s="39" t="n">
        <f aca="false">(('Business Case'!E11*$C145*'Business Case'!E12*$B145)-'Business Case'!E11*$C145*'Business Case'!E13*$D145-'Business Case'!E14*$E145)-MAX(0,(('Business Case'!E11*$C145*'Business Case'!E12*$B145)-'Business Case'!E11*$C145*'Business Case'!E13*$D145-'Business Case'!E14*$E145))*'Business Case'!$B$7-'Business Case'!$B$8*(('Business Case'!E11*$C145*'Business Case'!E12*$B145)-('Business Case'!D11*$C145*'Business Case'!D12*$B145))-'Business Case'!E15*$F145</f>
        <v>601571128.133591</v>
      </c>
      <c r="L145" s="39" t="n">
        <f aca="false">(('Business Case'!F11*$C145*'Business Case'!F12*$B145)-'Business Case'!F11*$C145*'Business Case'!F13*$D145-'Business Case'!F14*$E145)-MAX(0,(('Business Case'!F11*$C145*'Business Case'!F12*$B145)-'Business Case'!F11*$C145*'Business Case'!F13*$D145-'Business Case'!F14*$E145))*'Business Case'!$B$7-'Business Case'!$B$8*(('Business Case'!F11*$C145*'Business Case'!F12*$B145)-('Business Case'!E11*$C145*'Business Case'!E12*$B145))-'Business Case'!F15*$F145</f>
        <v>729583208.478196</v>
      </c>
      <c r="M145" s="39" t="n">
        <f aca="false">(('Business Case'!G11*$C145*'Business Case'!G12*$B145)-'Business Case'!G11*$C145*'Business Case'!G13*$D145-'Business Case'!G14*$E145)-MAX(0,(('Business Case'!G11*$C145*'Business Case'!G12*$B145)-'Business Case'!G11*$C145*'Business Case'!G13*$D145-'Business Case'!G14*$E145))*'Business Case'!$B$7-'Business Case'!$B$8*(('Business Case'!G11*$C145*'Business Case'!G12*$B145)-('Business Case'!F11*$C145*'Business Case'!F12*$B145))-'Business Case'!G15*$F145+'Business Case'!$B$8*('Business Case'!G11*$C145*'Business Case'!G12*$B145)</f>
        <v>915562002.363928</v>
      </c>
      <c r="N145" s="39" t="n">
        <f aca="false">IF(COUNT('Business Case'!B11:G11)=0,"",H145+NPV(G145,I145:M145))</f>
        <v>-295477022.788413</v>
      </c>
      <c r="P145" s="40" t="n">
        <f aca="true">RAND()</f>
        <v>0.752961352816026</v>
      </c>
      <c r="Q145" s="40" t="n">
        <f aca="true">RAND()</f>
        <v>0.42760273245321</v>
      </c>
      <c r="R145" s="40" t="n">
        <f aca="true">RAND()</f>
        <v>0.857952942919741</v>
      </c>
      <c r="S145" s="40" t="n">
        <f aca="true">RAND()</f>
        <v>0.588372566030724</v>
      </c>
      <c r="T145" s="40" t="n">
        <f aca="true">RAND()</f>
        <v>0.238076602395937</v>
      </c>
      <c r="U145" s="40" t="n">
        <f aca="true">RAND()</f>
        <v>0.481243877501474</v>
      </c>
    </row>
    <row r="146" customFormat="false" ht="15" hidden="false" customHeight="false" outlineLevel="0" collapsed="false">
      <c r="A146" s="36" t="n">
        <v>66</v>
      </c>
      <c r="B146" s="37" t="n">
        <f aca="false">1+IF($G$6=$E$6,$F$6,IF(P146&lt;($F$6-$E$6)/($G$6-$E$6),$E$6+SQRT(P146*($G$6-$E$6)*($F$6-$E$6)),$G$6-SQRT((1-P146)*($G$6-$E$6)*($G$6-$F$6))))</f>
        <v>0.99652884248326</v>
      </c>
      <c r="C146" s="37" t="n">
        <f aca="false">1+IF($G$7=$E$7,$F$7,IF(Q146&lt;($F$7-$E$7)/($G$7-$E$7),$E$7+SQRT(Q146*($G$7-$E$7)*($F$7-$E$7)),$G$7-SQRT((1-Q146)*($G$7-$E$7)*($G$7-$F$7))))</f>
        <v>0.959010492805741</v>
      </c>
      <c r="D146" s="37" t="n">
        <f aca="false">1+IF($G$8=$E$8,$F$8,IF(R146&lt;($F$8-$E$8)/($G$8-$E$8),$E$8+SQRT(R146*($G$8-$E$8)*($F$8-$E$8)),$G$8-SQRT((1-R146)*($G$8-$E$8)*($G$8-$F$8))))</f>
        <v>1.00597274278381</v>
      </c>
      <c r="E146" s="37" t="n">
        <f aca="false">1+IF($G$9=$E$9,$F$9,IF(S146&lt;($F$9-$E$9)/($G$9-$E$9),$E$9+SQRT(S146*($G$9-$E$9)*($F$9-$E$9)),$G$9-SQRT((1-S146)*($G$9-$E$9)*($G$9-$F$9))))</f>
        <v>1.00101269888847</v>
      </c>
      <c r="F146" s="37" t="n">
        <f aca="false">1+IF($G$10=$E$10,$F$10,IF(T146&lt;($F$10-$E$10)/($G$10-$E$10),$E$10+SQRT(T146*($G$10-$E$10)*($F$10-$E$10)),$G$10-SQRT((1-T146)*($G$10-$E$10)*($G$10-$F$10))))</f>
        <v>1.0283867481336</v>
      </c>
      <c r="G146" s="38" t="n">
        <f aca="false">IF($G$11=$E$11,$F$11,IF(U146&lt;($F$11-$E$11)/($G$11-$E$11),$E$11+SQRT(U146*($G$11-$E$11)*($F$11-$E$11)),$G$11-SQRT((1-U146)*($G$11-$E$11)*($G$11-$F$11))))</f>
        <v>0.105533708857212</v>
      </c>
      <c r="H146" s="39" t="n">
        <f aca="false">(('Business Case'!B11*$C146*'Business Case'!B12*$B146)-'Business Case'!B11*$C146*'Business Case'!B13*$D146-'Business Case'!B14*$E146)-MAX(0,(('Business Case'!B11*$C146*'Business Case'!B12*$B146)-'Business Case'!B11*$C146*'Business Case'!B13*$D146-'Business Case'!B14*$E146))*'Business Case'!$B$7-'Business Case'!$B$8*('Business Case'!B11*$C146*'Business Case'!B12*$B146)-'Business Case'!B15*$F146</f>
        <v>-2056773496.2672</v>
      </c>
      <c r="I146" s="39" t="n">
        <f aca="false">(('Business Case'!C11*$C146*'Business Case'!C12*$B146)-'Business Case'!C11*$C146*'Business Case'!C13*$D146-'Business Case'!C14*$E146)-MAX(0,(('Business Case'!C11*$C146*'Business Case'!C12*$B146)-'Business Case'!C11*$C146*'Business Case'!C13*$D146-'Business Case'!C14*$E146))*'Business Case'!$B$7-'Business Case'!$B$8*(('Business Case'!C11*$C146*'Business Case'!C12*$B146)-('Business Case'!B11*$C146*'Business Case'!B12*$B146))-'Business Case'!C15*$F146</f>
        <v>-5822052.55856484</v>
      </c>
      <c r="J146" s="39" t="n">
        <f aca="false">(('Business Case'!D11*$C146*'Business Case'!D12*$B146)-'Business Case'!D11*$C146*'Business Case'!D13*$D146-'Business Case'!D14*$E146)-MAX(0,(('Business Case'!D11*$C146*'Business Case'!D12*$B146)-'Business Case'!D11*$C146*'Business Case'!D13*$D146-'Business Case'!D14*$E146))*'Business Case'!$B$7-'Business Case'!$B$8*(('Business Case'!D11*$C146*'Business Case'!D12*$B146)-('Business Case'!C11*$C146*'Business Case'!C12*$B146))-'Business Case'!D15*$F146</f>
        <v>283081110.46846</v>
      </c>
      <c r="K146" s="39" t="n">
        <f aca="false">(('Business Case'!E11*$C146*'Business Case'!E12*$B146)-'Business Case'!E11*$C146*'Business Case'!E13*$D146-'Business Case'!E14*$E146)-MAX(0,(('Business Case'!E11*$C146*'Business Case'!E12*$B146)-'Business Case'!E11*$C146*'Business Case'!E13*$D146-'Business Case'!E14*$E146))*'Business Case'!$B$7-'Business Case'!$B$8*(('Business Case'!E11*$C146*'Business Case'!E12*$B146)-('Business Case'!D11*$C146*'Business Case'!D12*$B146))-'Business Case'!E15*$F146</f>
        <v>623403610.902165</v>
      </c>
      <c r="L146" s="39" t="n">
        <f aca="false">(('Business Case'!F11*$C146*'Business Case'!F12*$B146)-'Business Case'!F11*$C146*'Business Case'!F13*$D146-'Business Case'!F14*$E146)-MAX(0,(('Business Case'!F11*$C146*'Business Case'!F12*$B146)-'Business Case'!F11*$C146*'Business Case'!F13*$D146-'Business Case'!F14*$E146))*'Business Case'!$B$7-'Business Case'!$B$8*(('Business Case'!F11*$C146*'Business Case'!F12*$B146)-('Business Case'!E11*$C146*'Business Case'!E12*$B146))-'Business Case'!F15*$F146</f>
        <v>752733021.904699</v>
      </c>
      <c r="M146" s="39" t="n">
        <f aca="false">(('Business Case'!G11*$C146*'Business Case'!G12*$B146)-'Business Case'!G11*$C146*'Business Case'!G13*$D146-'Business Case'!G14*$E146)-MAX(0,(('Business Case'!G11*$C146*'Business Case'!G12*$B146)-'Business Case'!G11*$C146*'Business Case'!G13*$D146-'Business Case'!G14*$E146))*'Business Case'!$B$7-'Business Case'!$B$8*(('Business Case'!G11*$C146*'Business Case'!G12*$B146)-('Business Case'!F11*$C146*'Business Case'!F12*$B146))-'Business Case'!G15*$F146+'Business Case'!$B$8*('Business Case'!G11*$C146*'Business Case'!G12*$B146)</f>
        <v>934388983.535756</v>
      </c>
      <c r="N146" s="39" t="n">
        <f aca="false">IF(COUNT('Business Case'!B11:G11)=0,"",H146+NPV(G146,I146:M146))</f>
        <v>-299334092.016187</v>
      </c>
      <c r="P146" s="40" t="n">
        <f aca="true">RAND()</f>
        <v>0.610069138732044</v>
      </c>
      <c r="Q146" s="40" t="n">
        <f aca="true">RAND()</f>
        <v>0.361204811747495</v>
      </c>
      <c r="R146" s="40" t="n">
        <f aca="true">RAND()</f>
        <v>0.47307357586994</v>
      </c>
      <c r="S146" s="40" t="n">
        <f aca="true">RAND()</f>
        <v>0.346767614577069</v>
      </c>
      <c r="T146" s="40" t="n">
        <f aca="true">RAND()</f>
        <v>0.410977835676809</v>
      </c>
      <c r="U146" s="40" t="n">
        <f aca="true">RAND()</f>
        <v>0.651210700953507</v>
      </c>
    </row>
    <row r="147" customFormat="false" ht="15" hidden="false" customHeight="false" outlineLevel="0" collapsed="false">
      <c r="A147" s="36" t="n">
        <v>67</v>
      </c>
      <c r="B147" s="37" t="n">
        <f aca="false">1+IF($G$6=$E$6,$F$6,IF(P147&lt;($F$6-$E$6)/($G$6-$E$6),$E$6+SQRT(P147*($G$6-$E$6)*($F$6-$E$6)),$G$6-SQRT((1-P147)*($G$6-$E$6)*($G$6-$F$6))))</f>
        <v>1.02583228363132</v>
      </c>
      <c r="C147" s="37" t="n">
        <f aca="false">1+IF($G$7=$E$7,$F$7,IF(Q147&lt;($F$7-$E$7)/($G$7-$E$7),$E$7+SQRT(Q147*($G$7-$E$7)*($F$7-$E$7)),$G$7-SQRT((1-Q147)*($G$7-$E$7)*($G$7-$F$7))))</f>
        <v>0.80196900201731</v>
      </c>
      <c r="D147" s="37" t="n">
        <f aca="false">1+IF($G$8=$E$8,$F$8,IF(R147&lt;($F$8-$E$8)/($G$8-$E$8),$E$8+SQRT(R147*($G$8-$E$8)*($F$8-$E$8)),$G$8-SQRT((1-R147)*($G$8-$E$8)*($G$8-$F$8))))</f>
        <v>1.04003244987585</v>
      </c>
      <c r="E147" s="37" t="n">
        <f aca="false">1+IF($G$9=$E$9,$F$9,IF(S147&lt;($F$9-$E$9)/($G$9-$E$9),$E$9+SQRT(S147*($G$9-$E$9)*($F$9-$E$9)),$G$9-SQRT((1-S147)*($G$9-$E$9)*($G$9-$F$9))))</f>
        <v>1.03121083210037</v>
      </c>
      <c r="F147" s="37" t="n">
        <f aca="false">1+IF($G$10=$E$10,$F$10,IF(T147&lt;($F$10-$E$10)/($G$10-$E$10),$E$10+SQRT(T147*($G$10-$E$10)*($F$10-$E$10)),$G$10-SQRT((1-T147)*($G$10-$E$10)*($G$10-$F$10))))</f>
        <v>0.987355787054888</v>
      </c>
      <c r="G147" s="38" t="n">
        <f aca="false">IF($G$11=$E$11,$F$11,IF(U147&lt;($F$11-$E$11)/($G$11-$E$11),$E$11+SQRT(U147*($G$11-$E$11)*($F$11-$E$11)),$G$11-SQRT((1-U147)*($G$11-$E$11)*($G$11-$F$11))))</f>
        <v>0.108790383045218</v>
      </c>
      <c r="H147" s="39" t="n">
        <f aca="false">(('Business Case'!B11*$C147*'Business Case'!B12*$B147)-'Business Case'!B11*$C147*'Business Case'!B13*$D147-'Business Case'!B14*$E147)-MAX(0,(('Business Case'!B11*$C147*'Business Case'!B12*$B147)-'Business Case'!B11*$C147*'Business Case'!B13*$D147-'Business Case'!B14*$E147))*'Business Case'!$B$7-'Business Case'!$B$8*('Business Case'!B11*$C147*'Business Case'!B12*$B147)-'Business Case'!B15*$F147</f>
        <v>-1974711574.10977</v>
      </c>
      <c r="I147" s="39" t="n">
        <f aca="false">(('Business Case'!C11*$C147*'Business Case'!C12*$B147)-'Business Case'!C11*$C147*'Business Case'!C13*$D147-'Business Case'!C14*$E147)-MAX(0,(('Business Case'!C11*$C147*'Business Case'!C12*$B147)-'Business Case'!C11*$C147*'Business Case'!C13*$D147-'Business Case'!C14*$E147))*'Business Case'!$B$7-'Business Case'!$B$8*(('Business Case'!C11*$C147*'Business Case'!C12*$B147)-('Business Case'!B11*$C147*'Business Case'!B12*$B147))-'Business Case'!C15*$F147</f>
        <v>-41162022.0912555</v>
      </c>
      <c r="J147" s="39" t="n">
        <f aca="false">(('Business Case'!D11*$C147*'Business Case'!D12*$B147)-'Business Case'!D11*$C147*'Business Case'!D13*$D147-'Business Case'!D14*$E147)-MAX(0,(('Business Case'!D11*$C147*'Business Case'!D12*$B147)-'Business Case'!D11*$C147*'Business Case'!D13*$D147-'Business Case'!D14*$E147))*'Business Case'!$B$7-'Business Case'!$B$8*(('Business Case'!D11*$C147*'Business Case'!D12*$B147)-('Business Case'!C11*$C147*'Business Case'!C12*$B147))-'Business Case'!D15*$F147</f>
        <v>205697741.159341</v>
      </c>
      <c r="K147" s="39" t="n">
        <f aca="false">(('Business Case'!E11*$C147*'Business Case'!E12*$B147)-'Business Case'!E11*$C147*'Business Case'!E13*$D147-'Business Case'!E14*$E147)-MAX(0,(('Business Case'!E11*$C147*'Business Case'!E12*$B147)-'Business Case'!E11*$C147*'Business Case'!E13*$D147-'Business Case'!E14*$E147))*'Business Case'!$B$7-'Business Case'!$B$8*(('Business Case'!E11*$C147*'Business Case'!E12*$B147)-('Business Case'!D11*$C147*'Business Case'!D12*$B147))-'Business Case'!E15*$F147</f>
        <v>501925293.762682</v>
      </c>
      <c r="L147" s="39" t="n">
        <f aca="false">(('Business Case'!F11*$C147*'Business Case'!F12*$B147)-'Business Case'!F11*$C147*'Business Case'!F13*$D147-'Business Case'!F14*$E147)-MAX(0,(('Business Case'!F11*$C147*'Business Case'!F12*$B147)-'Business Case'!F11*$C147*'Business Case'!F13*$D147-'Business Case'!F14*$E147))*'Business Case'!$B$7-'Business Case'!$B$8*(('Business Case'!F11*$C147*'Business Case'!F12*$B147)-('Business Case'!E11*$C147*'Business Case'!E12*$B147))-'Business Case'!F15*$F147</f>
        <v>612643899.054008</v>
      </c>
      <c r="M147" s="39" t="n">
        <f aca="false">(('Business Case'!G11*$C147*'Business Case'!G12*$B147)-'Business Case'!G11*$C147*'Business Case'!G13*$D147-'Business Case'!G14*$E147)-MAX(0,(('Business Case'!G11*$C147*'Business Case'!G12*$B147)-'Business Case'!G11*$C147*'Business Case'!G13*$D147-'Business Case'!G14*$E147))*'Business Case'!$B$7-'Business Case'!$B$8*(('Business Case'!G11*$C147*'Business Case'!G12*$B147)-('Business Case'!F11*$C147*'Business Case'!F12*$B147))-'Business Case'!G15*$F147+'Business Case'!$B$8*('Business Case'!G11*$C147*'Business Case'!G12*$B147)</f>
        <v>769019995.530207</v>
      </c>
      <c r="N147" s="39" t="n">
        <f aca="false">IF(COUNT('Business Case'!B11:G11)=0,"",H147+NPV(G147,I147:M147))</f>
        <v>-612113469.440909</v>
      </c>
      <c r="P147" s="40" t="n">
        <f aca="true">RAND()</f>
        <v>0.958182461020111</v>
      </c>
      <c r="Q147" s="40" t="n">
        <f aca="true">RAND()</f>
        <v>5.53852706310148E-005</v>
      </c>
      <c r="R147" s="40" t="n">
        <f aca="true">RAND()</f>
        <v>0.846403359333971</v>
      </c>
      <c r="S147" s="40" t="n">
        <f aca="true">RAND()</f>
        <v>0.684536691978441</v>
      </c>
      <c r="T147" s="40" t="n">
        <f aca="true">RAND()</f>
        <v>0.111636386119208</v>
      </c>
      <c r="U147" s="40" t="n">
        <f aca="true">RAND()</f>
        <v>0.790574146211774</v>
      </c>
    </row>
    <row r="148" customFormat="false" ht="15" hidden="false" customHeight="false" outlineLevel="0" collapsed="false">
      <c r="A148" s="36" t="n">
        <v>68</v>
      </c>
      <c r="B148" s="37" t="n">
        <f aca="false">1+IF($G$6=$E$6,$F$6,IF(P148&lt;($F$6-$E$6)/($G$6-$E$6),$E$6+SQRT(P148*($G$6-$E$6)*($F$6-$E$6)),$G$6-SQRT((1-P148)*($G$6-$E$6)*($G$6-$F$6))))</f>
        <v>0.994222344007563</v>
      </c>
      <c r="C148" s="37" t="n">
        <f aca="false">1+IF($G$7=$E$7,$F$7,IF(Q148&lt;($F$7-$E$7)/($G$7-$E$7),$E$7+SQRT(Q148*($G$7-$E$7)*($F$7-$E$7)),$G$7-SQRT((1-Q148)*($G$7-$E$7)*($G$7-$F$7))))</f>
        <v>1.01645112443815</v>
      </c>
      <c r="D148" s="37" t="n">
        <f aca="false">1+IF($G$8=$E$8,$F$8,IF(R148&lt;($F$8-$E$8)/($G$8-$E$8),$E$8+SQRT(R148*($G$8-$E$8)*($F$8-$E$8)),$G$8-SQRT((1-R148)*($G$8-$E$8)*($G$8-$F$8))))</f>
        <v>0.958073585929375</v>
      </c>
      <c r="E148" s="37" t="n">
        <f aca="false">1+IF($G$9=$E$9,$F$9,IF(S148&lt;($F$9-$E$9)/($G$9-$E$9),$E$9+SQRT(S148*($G$9-$E$9)*($F$9-$E$9)),$G$9-SQRT((1-S148)*($G$9-$E$9)*($G$9-$F$9))))</f>
        <v>1.0726890957197</v>
      </c>
      <c r="F148" s="37" t="n">
        <f aca="false">1+IF($G$10=$E$10,$F$10,IF(T148&lt;($F$10-$E$10)/($G$10-$E$10),$E$10+SQRT(T148*($G$10-$E$10)*($F$10-$E$10)),$G$10-SQRT((1-T148)*($G$10-$E$10)*($G$10-$F$10))))</f>
        <v>1.04279411001331</v>
      </c>
      <c r="G148" s="38" t="n">
        <f aca="false">IF($G$11=$E$11,$F$11,IF(U148&lt;($F$11-$E$11)/($G$11-$E$11),$E$11+SQRT(U148*($G$11-$E$11)*($F$11-$E$11)),$G$11-SQRT((1-U148)*($G$11-$E$11)*($G$11-$F$11))))</f>
        <v>0.104985139545141</v>
      </c>
      <c r="H148" s="39" t="n">
        <f aca="false">(('Business Case'!B11*$C148*'Business Case'!B12*$B148)-'Business Case'!B11*$C148*'Business Case'!B13*$D148-'Business Case'!B14*$E148)-MAX(0,(('Business Case'!B11*$C148*'Business Case'!B12*$B148)-'Business Case'!B11*$C148*'Business Case'!B13*$D148-'Business Case'!B14*$E148))*'Business Case'!$B$7-'Business Case'!$B$8*('Business Case'!B11*$C148*'Business Case'!B12*$B148)-'Business Case'!B15*$F148</f>
        <v>-2085588220.02662</v>
      </c>
      <c r="I148" s="39" t="n">
        <f aca="false">(('Business Case'!C11*$C148*'Business Case'!C12*$B148)-'Business Case'!C11*$C148*'Business Case'!C13*$D148-'Business Case'!C14*$E148)-MAX(0,(('Business Case'!C11*$C148*'Business Case'!C12*$B148)-'Business Case'!C11*$C148*'Business Case'!C13*$D148-'Business Case'!C14*$E148))*'Business Case'!$B$7-'Business Case'!$B$8*(('Business Case'!C11*$C148*'Business Case'!C12*$B148)-('Business Case'!B11*$C148*'Business Case'!B12*$B148))-'Business Case'!C15*$F148</f>
        <v>20006701.8004504</v>
      </c>
      <c r="J148" s="39" t="n">
        <f aca="false">(('Business Case'!D11*$C148*'Business Case'!D12*$B148)-'Business Case'!D11*$C148*'Business Case'!D13*$D148-'Business Case'!D14*$E148)-MAX(0,(('Business Case'!D11*$C148*'Business Case'!D12*$B148)-'Business Case'!D11*$C148*'Business Case'!D13*$D148-'Business Case'!D14*$E148))*'Business Case'!$B$7-'Business Case'!$B$8*(('Business Case'!D11*$C148*'Business Case'!D12*$B148)-('Business Case'!C11*$C148*'Business Case'!C12*$B148))-'Business Case'!D15*$F148</f>
        <v>349217589.280869</v>
      </c>
      <c r="K148" s="39" t="n">
        <f aca="false">(('Business Case'!E11*$C148*'Business Case'!E12*$B148)-'Business Case'!E11*$C148*'Business Case'!E13*$D148-'Business Case'!E14*$E148)-MAX(0,(('Business Case'!E11*$C148*'Business Case'!E12*$B148)-'Business Case'!E11*$C148*'Business Case'!E13*$D148-'Business Case'!E14*$E148))*'Business Case'!$B$7-'Business Case'!$B$8*(('Business Case'!E11*$C148*'Business Case'!E12*$B148)-('Business Case'!D11*$C148*'Business Case'!D12*$B148))-'Business Case'!E15*$F148</f>
        <v>730568182.261953</v>
      </c>
      <c r="L148" s="39" t="n">
        <f aca="false">(('Business Case'!F11*$C148*'Business Case'!F12*$B148)-'Business Case'!F11*$C148*'Business Case'!F13*$D148-'Business Case'!F14*$E148)-MAX(0,(('Business Case'!F11*$C148*'Business Case'!F12*$B148)-'Business Case'!F11*$C148*'Business Case'!F13*$D148-'Business Case'!F14*$E148))*'Business Case'!$B$7-'Business Case'!$B$8*(('Business Case'!F11*$C148*'Business Case'!F12*$B148)-('Business Case'!E11*$C148*'Business Case'!E12*$B148))-'Business Case'!F15*$F148</f>
        <v>875230734.933623</v>
      </c>
      <c r="M148" s="39" t="n">
        <f aca="false">(('Business Case'!G11*$C148*'Business Case'!G12*$B148)-'Business Case'!G11*$C148*'Business Case'!G13*$D148-'Business Case'!G14*$E148)-MAX(0,(('Business Case'!G11*$C148*'Business Case'!G12*$B148)-'Business Case'!G11*$C148*'Business Case'!G13*$D148-'Business Case'!G14*$E148))*'Business Case'!$B$7-'Business Case'!$B$8*(('Business Case'!G11*$C148*'Business Case'!G12*$B148)-('Business Case'!F11*$C148*'Business Case'!F12*$B148))-'Business Case'!G15*$F148+'Business Case'!$B$8*('Business Case'!G11*$C148*'Business Case'!G12*$B148)</f>
        <v>1067321480.91371</v>
      </c>
      <c r="N148" s="39" t="n">
        <f aca="false">IF(COUNT('Business Case'!B11:G11)=0,"",H148+NPV(G148,I148:M148))</f>
        <v>-4992846.80285454</v>
      </c>
      <c r="P148" s="40" t="n">
        <f aca="true">RAND()</f>
        <v>0.573849619789273</v>
      </c>
      <c r="Q148" s="40" t="n">
        <f aca="true">RAND()</f>
        <v>0.660279958784092</v>
      </c>
      <c r="R148" s="40" t="n">
        <f aca="true">RAND()</f>
        <v>0.0100281215013854</v>
      </c>
      <c r="S148" s="40" t="n">
        <f aca="true">RAND()</f>
        <v>0.950274300492828</v>
      </c>
      <c r="T148" s="40" t="n">
        <f aca="true">RAND()</f>
        <v>0.505726163069856</v>
      </c>
      <c r="U148" s="40" t="n">
        <f aca="true">RAND()</f>
        <v>0.624256609201853</v>
      </c>
    </row>
    <row r="149" customFormat="false" ht="15" hidden="false" customHeight="false" outlineLevel="0" collapsed="false">
      <c r="A149" s="36" t="n">
        <v>69</v>
      </c>
      <c r="B149" s="37" t="n">
        <f aca="false">1+IF($G$6=$E$6,$F$6,IF(P149&lt;($F$6-$E$6)/($G$6-$E$6),$E$6+SQRT(P149*($G$6-$E$6)*($F$6-$E$6)),$G$6-SQRT((1-P149)*($G$6-$E$6)*($G$6-$F$6))))</f>
        <v>0.999106878284588</v>
      </c>
      <c r="C149" s="37" t="n">
        <f aca="false">1+IF($G$7=$E$7,$F$7,IF(Q149&lt;($F$7-$E$7)/($G$7-$E$7),$E$7+SQRT(Q149*($G$7-$E$7)*($F$7-$E$7)),$G$7-SQRT((1-Q149)*($G$7-$E$7)*($G$7-$F$7))))</f>
        <v>0.813779751744975</v>
      </c>
      <c r="D149" s="37" t="n">
        <f aca="false">1+IF($G$8=$E$8,$F$8,IF(R149&lt;($F$8-$E$8)/($G$8-$E$8),$E$8+SQRT(R149*($G$8-$E$8)*($F$8-$E$8)),$G$8-SQRT((1-R149)*($G$8-$E$8)*($G$8-$F$8))))</f>
        <v>1.06477947633718</v>
      </c>
      <c r="E149" s="37" t="n">
        <f aca="false">1+IF($G$9=$E$9,$F$9,IF(S149&lt;($F$9-$E$9)/($G$9-$E$9),$E$9+SQRT(S149*($G$9-$E$9)*($F$9-$E$9)),$G$9-SQRT((1-S149)*($G$9-$E$9)*($G$9-$F$9))))</f>
        <v>1.01756874422629</v>
      </c>
      <c r="F149" s="37" t="n">
        <f aca="false">1+IF($G$10=$E$10,$F$10,IF(T149&lt;($F$10-$E$10)/($G$10-$E$10),$E$10+SQRT(T149*($G$10-$E$10)*($F$10-$E$10)),$G$10-SQRT((1-T149)*($G$10-$E$10)*($G$10-$F$10))))</f>
        <v>1.03878890542301</v>
      </c>
      <c r="G149" s="38" t="n">
        <f aca="false">IF($G$11=$E$11,$F$11,IF(U149&lt;($F$11-$E$11)/($G$11-$E$11),$E$11+SQRT(U149*($G$11-$E$11)*($F$11-$E$11)),$G$11-SQRT((1-U149)*($G$11-$E$11)*($G$11-$F$11))))</f>
        <v>0.104877269185489</v>
      </c>
      <c r="H149" s="39" t="n">
        <f aca="false">(('Business Case'!B11*$C149*'Business Case'!B12*$B149)-'Business Case'!B11*$C149*'Business Case'!B13*$D149-'Business Case'!B14*$E149)-MAX(0,(('Business Case'!B11*$C149*'Business Case'!B12*$B149)-'Business Case'!B11*$C149*'Business Case'!B13*$D149-'Business Case'!B14*$E149))*'Business Case'!$B$7-'Business Case'!$B$8*('Business Case'!B11*$C149*'Business Case'!B12*$B149)-'Business Case'!B15*$F149</f>
        <v>-2077577810.84602</v>
      </c>
      <c r="I149" s="39" t="n">
        <f aca="false">(('Business Case'!C11*$C149*'Business Case'!C12*$B149)-'Business Case'!C11*$C149*'Business Case'!C13*$D149-'Business Case'!C14*$E149)-MAX(0,(('Business Case'!C11*$C149*'Business Case'!C12*$B149)-'Business Case'!C11*$C149*'Business Case'!C13*$D149-'Business Case'!C14*$E149))*'Business Case'!$B$7-'Business Case'!$B$8*(('Business Case'!C11*$C149*'Business Case'!C12*$B149)-('Business Case'!B11*$C149*'Business Case'!B12*$B149))-'Business Case'!C15*$F149</f>
        <v>-68353548.0644043</v>
      </c>
      <c r="J149" s="39" t="n">
        <f aca="false">(('Business Case'!D11*$C149*'Business Case'!D12*$B149)-'Business Case'!D11*$C149*'Business Case'!D13*$D149-'Business Case'!D14*$E149)-MAX(0,(('Business Case'!D11*$C149*'Business Case'!D12*$B149)-'Business Case'!D11*$C149*'Business Case'!D13*$D149-'Business Case'!D14*$E149))*'Business Case'!$B$7-'Business Case'!$B$8*(('Business Case'!D11*$C149*'Business Case'!D12*$B149)-('Business Case'!C11*$C149*'Business Case'!C12*$B149))-'Business Case'!D15*$F149</f>
        <v>154018734.634501</v>
      </c>
      <c r="K149" s="39" t="n">
        <f aca="false">(('Business Case'!E11*$C149*'Business Case'!E12*$B149)-'Business Case'!E11*$C149*'Business Case'!E13*$D149-'Business Case'!E14*$E149)-MAX(0,(('Business Case'!E11*$C149*'Business Case'!E12*$B149)-'Business Case'!E11*$C149*'Business Case'!E13*$D149-'Business Case'!E14*$E149))*'Business Case'!$B$7-'Business Case'!$B$8*(('Business Case'!E11*$C149*'Business Case'!E12*$B149)-('Business Case'!D11*$C149*'Business Case'!D12*$B149))-'Business Case'!E15*$F149</f>
        <v>428330462.604557</v>
      </c>
      <c r="L149" s="39" t="n">
        <f aca="false">(('Business Case'!F11*$C149*'Business Case'!F12*$B149)-'Business Case'!F11*$C149*'Business Case'!F13*$D149-'Business Case'!F14*$E149)-MAX(0,(('Business Case'!F11*$C149*'Business Case'!F12*$B149)-'Business Case'!F11*$C149*'Business Case'!F13*$D149-'Business Case'!F14*$E149))*'Business Case'!$B$7-'Business Case'!$B$8*(('Business Case'!F11*$C149*'Business Case'!F12*$B149)-('Business Case'!E11*$C149*'Business Case'!E12*$B149))-'Business Case'!F15*$F149</f>
        <v>530553666.698879</v>
      </c>
      <c r="M149" s="39" t="n">
        <f aca="false">(('Business Case'!G11*$C149*'Business Case'!G12*$B149)-'Business Case'!G11*$C149*'Business Case'!G13*$D149-'Business Case'!G14*$E149)-MAX(0,(('Business Case'!G11*$C149*'Business Case'!G12*$B149)-'Business Case'!G11*$C149*'Business Case'!G13*$D149-'Business Case'!G14*$E149))*'Business Case'!$B$7-'Business Case'!$B$8*(('Business Case'!G11*$C149*'Business Case'!G12*$B149)-('Business Case'!F11*$C149*'Business Case'!F12*$B149))-'Business Case'!G15*$F149+'Business Case'!$B$8*('Business Case'!G11*$C149*'Business Case'!G12*$B149)</f>
        <v>685098770.936324</v>
      </c>
      <c r="N149" s="39" t="n">
        <f aca="false">IF(COUNT('Business Case'!B11:G11)=0,"",H149+NPV(G149,I149:M149))</f>
        <v>-923603216.814514</v>
      </c>
      <c r="P149" s="40" t="n">
        <f aca="true">RAND()</f>
        <v>0.651864394992982</v>
      </c>
      <c r="Q149" s="40" t="n">
        <f aca="true">RAND()</f>
        <v>0.00271259368790183</v>
      </c>
      <c r="R149" s="40" t="n">
        <f aca="true">RAND()</f>
        <v>0.977724582637444</v>
      </c>
      <c r="S149" s="40" t="n">
        <f aca="true">RAND()</f>
        <v>0.547005871437964</v>
      </c>
      <c r="T149" s="40" t="n">
        <f aca="true">RAND()</f>
        <v>0.480219659705772</v>
      </c>
      <c r="U149" s="40" t="n">
        <f aca="true">RAND()</f>
        <v>0.618838354519714</v>
      </c>
    </row>
    <row r="150" customFormat="false" ht="15" hidden="false" customHeight="false" outlineLevel="0" collapsed="false">
      <c r="A150" s="36" t="n">
        <v>70</v>
      </c>
      <c r="B150" s="37" t="n">
        <f aca="false">1+IF($G$6=$E$6,$F$6,IF(P150&lt;($F$6-$E$6)/($G$6-$E$6),$E$6+SQRT(P150*($G$6-$E$6)*($F$6-$E$6)),$G$6-SQRT((1-P150)*($G$6-$E$6)*($G$6-$F$6))))</f>
        <v>0.986411316507179</v>
      </c>
      <c r="C150" s="37" t="n">
        <f aca="false">1+IF($G$7=$E$7,$F$7,IF(Q150&lt;($F$7-$E$7)/($G$7-$E$7),$E$7+SQRT(Q150*($G$7-$E$7)*($F$7-$E$7)),$G$7-SQRT((1-Q150)*($G$7-$E$7)*($G$7-$F$7))))</f>
        <v>1.10343861029372</v>
      </c>
      <c r="D150" s="37" t="n">
        <f aca="false">1+IF($G$8=$E$8,$F$8,IF(R150&lt;($F$8-$E$8)/($G$8-$E$8),$E$8+SQRT(R150*($G$8-$E$8)*($F$8-$E$8)),$G$8-SQRT((1-R150)*($G$8-$E$8)*($G$8-$F$8))))</f>
        <v>0.967286489321428</v>
      </c>
      <c r="E150" s="37" t="n">
        <f aca="false">1+IF($G$9=$E$9,$F$9,IF(S150&lt;($F$9-$E$9)/($G$9-$E$9),$E$9+SQRT(S150*($G$9-$E$9)*($F$9-$E$9)),$G$9-SQRT((1-S150)*($G$9-$E$9)*($G$9-$F$9))))</f>
        <v>1.01768198789741</v>
      </c>
      <c r="F150" s="37" t="n">
        <f aca="false">1+IF($G$10=$E$10,$F$10,IF(T150&lt;($F$10-$E$10)/($G$10-$E$10),$E$10+SQRT(T150*($G$10-$E$10)*($F$10-$E$10)),$G$10-SQRT((1-T150)*($G$10-$E$10)*($G$10-$F$10))))</f>
        <v>1.08218303237924</v>
      </c>
      <c r="G150" s="38" t="n">
        <f aca="false">IF($G$11=$E$11,$F$11,IF(U150&lt;($F$11-$E$11)/($G$11-$E$11),$E$11+SQRT(U150*($G$11-$E$11)*($F$11-$E$11)),$G$11-SQRT((1-U150)*($G$11-$E$11)*($G$11-$F$11))))</f>
        <v>0.111821332456944</v>
      </c>
      <c r="H150" s="39" t="n">
        <f aca="false">(('Business Case'!B11*$C150*'Business Case'!B12*$B150)-'Business Case'!B11*$C150*'Business Case'!B13*$D150-'Business Case'!B14*$E150)-MAX(0,(('Business Case'!B11*$C150*'Business Case'!B12*$B150)-'Business Case'!B11*$C150*'Business Case'!B13*$D150-'Business Case'!B14*$E150))*'Business Case'!$B$7-'Business Case'!$B$8*('Business Case'!B11*$C150*'Business Case'!B12*$B150)-'Business Case'!B15*$F150</f>
        <v>-2164366064.75849</v>
      </c>
      <c r="I150" s="39" t="n">
        <f aca="false">(('Business Case'!C11*$C150*'Business Case'!C12*$B150)-'Business Case'!C11*$C150*'Business Case'!C13*$D150-'Business Case'!C14*$E150)-MAX(0,(('Business Case'!C11*$C150*'Business Case'!C12*$B150)-'Business Case'!C11*$C150*'Business Case'!C13*$D150-'Business Case'!C14*$E150))*'Business Case'!$B$7-'Business Case'!$B$8*(('Business Case'!C11*$C150*'Business Case'!C12*$B150)-('Business Case'!B11*$C150*'Business Case'!B12*$B150))-'Business Case'!C15*$F150</f>
        <v>35763302.435166</v>
      </c>
      <c r="J150" s="39" t="n">
        <f aca="false">(('Business Case'!D11*$C150*'Business Case'!D12*$B150)-'Business Case'!D11*$C150*'Business Case'!D13*$D150-'Business Case'!D14*$E150)-MAX(0,(('Business Case'!D11*$C150*'Business Case'!D12*$B150)-'Business Case'!D11*$C150*'Business Case'!D13*$D150-'Business Case'!D14*$E150))*'Business Case'!$B$7-'Business Case'!$B$8*(('Business Case'!D11*$C150*'Business Case'!D12*$B150)-('Business Case'!C11*$C150*'Business Case'!C12*$B150))-'Business Case'!D15*$F150</f>
        <v>380884240.97187</v>
      </c>
      <c r="K150" s="39" t="n">
        <f aca="false">(('Business Case'!E11*$C150*'Business Case'!E12*$B150)-'Business Case'!E11*$C150*'Business Case'!E13*$D150-'Business Case'!E14*$E150)-MAX(0,(('Business Case'!E11*$C150*'Business Case'!E12*$B150)-'Business Case'!E11*$C150*'Business Case'!E13*$D150-'Business Case'!E14*$E150))*'Business Case'!$B$7-'Business Case'!$B$8*(('Business Case'!E11*$C150*'Business Case'!E12*$B150)-('Business Case'!D11*$C150*'Business Case'!D12*$B150))-'Business Case'!E15*$F150</f>
        <v>780114331.127536</v>
      </c>
      <c r="L150" s="39" t="n">
        <f aca="false">(('Business Case'!F11*$C150*'Business Case'!F12*$B150)-'Business Case'!F11*$C150*'Business Case'!F13*$D150-'Business Case'!F14*$E150)-MAX(0,(('Business Case'!F11*$C150*'Business Case'!F12*$B150)-'Business Case'!F11*$C150*'Business Case'!F13*$D150-'Business Case'!F14*$E150))*'Business Case'!$B$7-'Business Case'!$B$8*(('Business Case'!F11*$C150*'Business Case'!F12*$B150)-('Business Case'!E11*$C150*'Business Case'!E12*$B150))-'Business Case'!F15*$F150</f>
        <v>932771280.096171</v>
      </c>
      <c r="M150" s="39" t="n">
        <f aca="false">(('Business Case'!G11*$C150*'Business Case'!G12*$B150)-'Business Case'!G11*$C150*'Business Case'!G13*$D150-'Business Case'!G14*$E150)-MAX(0,(('Business Case'!G11*$C150*'Business Case'!G12*$B150)-'Business Case'!G11*$C150*'Business Case'!G13*$D150-'Business Case'!G14*$E150))*'Business Case'!$B$7-'Business Case'!$B$8*(('Business Case'!G11*$C150*'Business Case'!G12*$B150)-('Business Case'!F11*$C150*'Business Case'!F12*$B150))-'Business Case'!G15*$F150+'Business Case'!$B$8*('Business Case'!G11*$C150*'Business Case'!G12*$B150)</f>
        <v>1139662778.77304</v>
      </c>
      <c r="N150" s="39" t="n">
        <f aca="false">IF(COUNT('Business Case'!B11:G11)=0,"",H150+NPV(G150,I150:M150))</f>
        <v>24778562.3594503</v>
      </c>
      <c r="P150" s="40" t="n">
        <f aca="true">RAND()</f>
        <v>0.459423225022578</v>
      </c>
      <c r="Q150" s="40" t="n">
        <f aca="true">RAND()</f>
        <v>0.958705466449912</v>
      </c>
      <c r="R150" s="40" t="n">
        <f aca="true">RAND()</f>
        <v>0.045972725086132</v>
      </c>
      <c r="S150" s="40" t="n">
        <f aca="true">RAND()</f>
        <v>0.54824965889855</v>
      </c>
      <c r="T150" s="40" t="n">
        <f aca="true">RAND()</f>
        <v>0.722383242812998</v>
      </c>
      <c r="U150" s="40" t="n">
        <f aca="true">RAND()</f>
        <v>0.888515662033598</v>
      </c>
    </row>
    <row r="151" customFormat="false" ht="15" hidden="false" customHeight="false" outlineLevel="0" collapsed="false">
      <c r="A151" s="36" t="n">
        <v>71</v>
      </c>
      <c r="B151" s="37" t="n">
        <f aca="false">1+IF($G$6=$E$6,$F$6,IF(P151&lt;($F$6-$E$6)/($G$6-$E$6),$E$6+SQRT(P151*($G$6-$E$6)*($F$6-$E$6)),$G$6-SQRT((1-P151)*($G$6-$E$6)*($G$6-$F$6))))</f>
        <v>1.02170122832314</v>
      </c>
      <c r="C151" s="37" t="n">
        <f aca="false">1+IF($G$7=$E$7,$F$7,IF(Q151&lt;($F$7-$E$7)/($G$7-$E$7),$E$7+SQRT(Q151*($G$7-$E$7)*($F$7-$E$7)),$G$7-SQRT((1-Q151)*($G$7-$E$7)*($G$7-$F$7))))</f>
        <v>0.966729604684918</v>
      </c>
      <c r="D151" s="37" t="n">
        <f aca="false">1+IF($G$8=$E$8,$F$8,IF(R151&lt;($F$8-$E$8)/($G$8-$E$8),$E$8+SQRT(R151*($G$8-$E$8)*($F$8-$E$8)),$G$8-SQRT((1-R151)*($G$8-$E$8)*($G$8-$F$8))))</f>
        <v>0.991722768356622</v>
      </c>
      <c r="E151" s="37" t="n">
        <f aca="false">1+IF($G$9=$E$9,$F$9,IF(S151&lt;($F$9-$E$9)/($G$9-$E$9),$E$9+SQRT(S151*($G$9-$E$9)*($F$9-$E$9)),$G$9-SQRT((1-S151)*($G$9-$E$9)*($G$9-$F$9))))</f>
        <v>1.02289583332038</v>
      </c>
      <c r="F151" s="37" t="n">
        <f aca="false">1+IF($G$10=$E$10,$F$10,IF(T151&lt;($F$10-$E$10)/($G$10-$E$10),$E$10+SQRT(T151*($G$10-$E$10)*($F$10-$E$10)),$G$10-SQRT((1-T151)*($G$10-$E$10)*($G$10-$F$10))))</f>
        <v>1.00968371822021</v>
      </c>
      <c r="G151" s="38" t="n">
        <f aca="false">IF($G$11=$E$11,$F$11,IF(U151&lt;($F$11-$E$11)/($G$11-$E$11),$E$11+SQRT(U151*($G$11-$E$11)*($F$11-$E$11)),$G$11-SQRT((1-U151)*($G$11-$E$11)*($G$11-$F$11))))</f>
        <v>0.107171912966094</v>
      </c>
      <c r="H151" s="39" t="n">
        <f aca="false">(('Business Case'!B11*$C151*'Business Case'!B12*$B151)-'Business Case'!B11*$C151*'Business Case'!B13*$D151-'Business Case'!B14*$E151)-MAX(0,(('Business Case'!B11*$C151*'Business Case'!B12*$B151)-'Business Case'!B11*$C151*'Business Case'!B13*$D151-'Business Case'!B14*$E151))*'Business Case'!$B$7-'Business Case'!$B$8*('Business Case'!B11*$C151*'Business Case'!B12*$B151)-'Business Case'!B15*$F151</f>
        <v>-2019367436.44042</v>
      </c>
      <c r="I151" s="39" t="n">
        <f aca="false">(('Business Case'!C11*$C151*'Business Case'!C12*$B151)-'Business Case'!C11*$C151*'Business Case'!C13*$D151-'Business Case'!C14*$E151)-MAX(0,(('Business Case'!C11*$C151*'Business Case'!C12*$B151)-'Business Case'!C11*$C151*'Business Case'!C13*$D151-'Business Case'!C14*$E151))*'Business Case'!$B$7-'Business Case'!$B$8*(('Business Case'!C11*$C151*'Business Case'!C12*$B151)-('Business Case'!B11*$C151*'Business Case'!B12*$B151))-'Business Case'!C15*$F151</f>
        <v>20585742.7647303</v>
      </c>
      <c r="J151" s="39" t="n">
        <f aca="false">(('Business Case'!D11*$C151*'Business Case'!D12*$B151)-'Business Case'!D11*$C151*'Business Case'!D13*$D151-'Business Case'!D14*$E151)-MAX(0,(('Business Case'!D11*$C151*'Business Case'!D12*$B151)-'Business Case'!D11*$C151*'Business Case'!D13*$D151-'Business Case'!D14*$E151))*'Business Case'!$B$7-'Business Case'!$B$8*(('Business Case'!D11*$C151*'Business Case'!D12*$B151)-('Business Case'!C11*$C151*'Business Case'!C12*$B151))-'Business Case'!D15*$F151</f>
        <v>338798470.314982</v>
      </c>
      <c r="K151" s="39" t="n">
        <f aca="false">(('Business Case'!E11*$C151*'Business Case'!E12*$B151)-'Business Case'!E11*$C151*'Business Case'!E13*$D151-'Business Case'!E14*$E151)-MAX(0,(('Business Case'!E11*$C151*'Business Case'!E12*$B151)-'Business Case'!E11*$C151*'Business Case'!E13*$D151-'Business Case'!E14*$E151))*'Business Case'!$B$7-'Business Case'!$B$8*(('Business Case'!E11*$C151*'Business Case'!E12*$B151)-('Business Case'!D11*$C151*'Business Case'!D12*$B151))-'Business Case'!E15*$F151</f>
        <v>707495383.776244</v>
      </c>
      <c r="L151" s="39" t="n">
        <f aca="false">(('Business Case'!F11*$C151*'Business Case'!F12*$B151)-'Business Case'!F11*$C151*'Business Case'!F13*$D151-'Business Case'!F14*$E151)-MAX(0,(('Business Case'!F11*$C151*'Business Case'!F12*$B151)-'Business Case'!F11*$C151*'Business Case'!F13*$D151-'Business Case'!F14*$E151))*'Business Case'!$B$7-'Business Case'!$B$8*(('Business Case'!F11*$C151*'Business Case'!F12*$B151)-('Business Case'!E11*$C151*'Business Case'!E12*$B151))-'Business Case'!F15*$F151</f>
        <v>847701509.936556</v>
      </c>
      <c r="M151" s="39" t="n">
        <f aca="false">(('Business Case'!G11*$C151*'Business Case'!G12*$B151)-'Business Case'!G11*$C151*'Business Case'!G13*$D151-'Business Case'!G14*$E151)-MAX(0,(('Business Case'!G11*$C151*'Business Case'!G12*$B151)-'Business Case'!G11*$C151*'Business Case'!G13*$D151-'Business Case'!G14*$E151))*'Business Case'!$B$7-'Business Case'!$B$8*(('Business Case'!G11*$C151*'Business Case'!G12*$B151)-('Business Case'!F11*$C151*'Business Case'!F12*$B151))-'Business Case'!G15*$F151+'Business Case'!$B$8*('Business Case'!G11*$C151*'Business Case'!G12*$B151)</f>
        <v>1035445203.30948</v>
      </c>
      <c r="N151" s="39" t="n">
        <f aca="false">IF(COUNT('Business Case'!B11:G11)=0,"",H151+NPV(G151,I151:M151))</f>
        <v>-16593392.5741944</v>
      </c>
      <c r="P151" s="40" t="n">
        <f aca="true">RAND()</f>
        <v>0.930240615649643</v>
      </c>
      <c r="Q151" s="40" t="n">
        <f aca="true">RAND()</f>
        <v>0.397125158262702</v>
      </c>
      <c r="R151" s="40" t="n">
        <f aca="true">RAND()</f>
        <v>0.267813753744665</v>
      </c>
      <c r="S151" s="40" t="n">
        <f aca="true">RAND()</f>
        <v>0.60366316537608</v>
      </c>
      <c r="T151" s="40" t="n">
        <f aca="true">RAND()</f>
        <v>0.275594257790326</v>
      </c>
      <c r="U151" s="40" t="n">
        <f aca="true">RAND()</f>
        <v>0.725733638417568</v>
      </c>
    </row>
    <row r="152" customFormat="false" ht="15" hidden="false" customHeight="false" outlineLevel="0" collapsed="false">
      <c r="A152" s="36" t="n">
        <v>72</v>
      </c>
      <c r="B152" s="37" t="n">
        <f aca="false">1+IF($G$6=$E$6,$F$6,IF(P152&lt;($F$6-$E$6)/($G$6-$E$6),$E$6+SQRT(P152*($G$6-$E$6)*($F$6-$E$6)),$G$6-SQRT((1-P152)*($G$6-$E$6)*($G$6-$F$6))))</f>
        <v>0.99939239049459</v>
      </c>
      <c r="C152" s="37" t="n">
        <f aca="false">1+IF($G$7=$E$7,$F$7,IF(Q152&lt;($F$7-$E$7)/($G$7-$E$7),$E$7+SQRT(Q152*($G$7-$E$7)*($F$7-$E$7)),$G$7-SQRT((1-Q152)*($G$7-$E$7)*($G$7-$F$7))))</f>
        <v>0.97489996967904</v>
      </c>
      <c r="D152" s="37" t="n">
        <f aca="false">1+IF($G$8=$E$8,$F$8,IF(R152&lt;($F$8-$E$8)/($G$8-$E$8),$E$8+SQRT(R152*($G$8-$E$8)*($F$8-$E$8)),$G$8-SQRT((1-R152)*($G$8-$E$8)*($G$8-$F$8))))</f>
        <v>1.00261576046404</v>
      </c>
      <c r="E152" s="37" t="n">
        <f aca="false">1+IF($G$9=$E$9,$F$9,IF(S152&lt;($F$9-$E$9)/($G$9-$E$9),$E$9+SQRT(S152*($G$9-$E$9)*($F$9-$E$9)),$G$9-SQRT((1-S152)*($G$9-$E$9)*($G$9-$F$9))))</f>
        <v>1.05225369124777</v>
      </c>
      <c r="F152" s="37" t="n">
        <f aca="false">1+IF($G$10=$E$10,$F$10,IF(T152&lt;($F$10-$E$10)/($G$10-$E$10),$E$10+SQRT(T152*($G$10-$E$10)*($F$10-$E$10)),$G$10-SQRT((1-T152)*($G$10-$E$10)*($G$10-$F$10))))</f>
        <v>0.968217396039849</v>
      </c>
      <c r="G152" s="38" t="n">
        <f aca="false">IF($G$11=$E$11,$F$11,IF(U152&lt;($F$11-$E$11)/($G$11-$E$11),$E$11+SQRT(U152*($G$11-$E$11)*($F$11-$E$11)),$G$11-SQRT((1-U152)*($G$11-$E$11)*($G$11-$F$11))))</f>
        <v>0.0962619544844534</v>
      </c>
      <c r="H152" s="39" t="n">
        <f aca="false">(('Business Case'!B11*$C152*'Business Case'!B12*$B152)-'Business Case'!B11*$C152*'Business Case'!B13*$D152-'Business Case'!B14*$E152)-MAX(0,(('Business Case'!B11*$C152*'Business Case'!B12*$B152)-'Business Case'!B11*$C152*'Business Case'!B13*$D152-'Business Case'!B14*$E152))*'Business Case'!$B$7-'Business Case'!$B$8*('Business Case'!B11*$C152*'Business Case'!B12*$B152)-'Business Case'!B15*$F152</f>
        <v>-1936434792.0797</v>
      </c>
      <c r="I152" s="39" t="n">
        <f aca="false">(('Business Case'!C11*$C152*'Business Case'!C12*$B152)-'Business Case'!C11*$C152*'Business Case'!C13*$D152-'Business Case'!C14*$E152)-MAX(0,(('Business Case'!C11*$C152*'Business Case'!C12*$B152)-'Business Case'!C11*$C152*'Business Case'!C13*$D152-'Business Case'!C14*$E152))*'Business Case'!$B$7-'Business Case'!$B$8*(('Business Case'!C11*$C152*'Business Case'!C12*$B152)-('Business Case'!B11*$C152*'Business Case'!B12*$B152))-'Business Case'!C15*$F152</f>
        <v>691520.523784563</v>
      </c>
      <c r="J152" s="39" t="n">
        <f aca="false">(('Business Case'!D11*$C152*'Business Case'!D12*$B152)-'Business Case'!D11*$C152*'Business Case'!D13*$D152-'Business Case'!D14*$E152)-MAX(0,(('Business Case'!D11*$C152*'Business Case'!D12*$B152)-'Business Case'!D11*$C152*'Business Case'!D13*$D152-'Business Case'!D14*$E152))*'Business Case'!$B$7-'Business Case'!$B$8*(('Business Case'!D11*$C152*'Business Case'!D12*$B152)-('Business Case'!C11*$C152*'Business Case'!C12*$B152))-'Business Case'!D15*$F152</f>
        <v>298343362.11111</v>
      </c>
      <c r="K152" s="39" t="n">
        <f aca="false">(('Business Case'!E11*$C152*'Business Case'!E12*$B152)-'Business Case'!E11*$C152*'Business Case'!E13*$D152-'Business Case'!E14*$E152)-MAX(0,(('Business Case'!E11*$C152*'Business Case'!E12*$B152)-'Business Case'!E11*$C152*'Business Case'!E13*$D152-'Business Case'!E14*$E152))*'Business Case'!$B$7-'Business Case'!$B$8*(('Business Case'!E11*$C152*'Business Case'!E12*$B152)-('Business Case'!D11*$C152*'Business Case'!D12*$B152))-'Business Case'!E15*$F152</f>
        <v>644406073.500428</v>
      </c>
      <c r="L152" s="39" t="n">
        <f aca="false">(('Business Case'!F11*$C152*'Business Case'!F12*$B152)-'Business Case'!F11*$C152*'Business Case'!F13*$D152-'Business Case'!F14*$E152)-MAX(0,(('Business Case'!F11*$C152*'Business Case'!F12*$B152)-'Business Case'!F11*$C152*'Business Case'!F13*$D152-'Business Case'!F14*$E152))*'Business Case'!$B$7-'Business Case'!$B$8*(('Business Case'!F11*$C152*'Business Case'!F12*$B152)-('Business Case'!E11*$C152*'Business Case'!E12*$B152))-'Business Case'!F15*$F152</f>
        <v>777295425.072285</v>
      </c>
      <c r="M152" s="39" t="n">
        <f aca="false">(('Business Case'!G11*$C152*'Business Case'!G12*$B152)-'Business Case'!G11*$C152*'Business Case'!G13*$D152-'Business Case'!G14*$E152)-MAX(0,(('Business Case'!G11*$C152*'Business Case'!G12*$B152)-'Business Case'!G11*$C152*'Business Case'!G13*$D152-'Business Case'!G14*$E152))*'Business Case'!$B$7-'Business Case'!$B$8*(('Business Case'!G11*$C152*'Business Case'!G12*$B152)-('Business Case'!F11*$C152*'Business Case'!F12*$B152))-'Business Case'!G15*$F152+'Business Case'!$B$8*('Business Case'!G11*$C152*'Business Case'!G12*$B152)</f>
        <v>962491815.807401</v>
      </c>
      <c r="N152" s="39" t="n">
        <f aca="false">IF(COUNT('Business Case'!B11:G11)=0,"",H152+NPV(G152,I152:M152))</f>
        <v>-52361620.1900675</v>
      </c>
      <c r="P152" s="40" t="n">
        <f aca="true">RAND()</f>
        <v>0.656578298796398</v>
      </c>
      <c r="Q152" s="40" t="n">
        <f aca="true">RAND()</f>
        <v>0.436999991338987</v>
      </c>
      <c r="R152" s="40" t="n">
        <f aca="true">RAND()</f>
        <v>0.424199949176979</v>
      </c>
      <c r="S152" s="40" t="n">
        <f aca="true">RAND()</f>
        <v>0.848019333369128</v>
      </c>
      <c r="T152" s="40" t="n">
        <f aca="true">RAND()</f>
        <v>0.0265498814778159</v>
      </c>
      <c r="U152" s="40" t="n">
        <f aca="true">RAND()</f>
        <v>0.130706913217885</v>
      </c>
    </row>
    <row r="153" customFormat="false" ht="15" hidden="false" customHeight="false" outlineLevel="0" collapsed="false">
      <c r="A153" s="36" t="n">
        <v>73</v>
      </c>
      <c r="B153" s="37" t="n">
        <f aca="false">1+IF($G$6=$E$6,$F$6,IF(P153&lt;($F$6-$E$6)/($G$6-$E$6),$E$6+SQRT(P153*($G$6-$E$6)*($F$6-$E$6)),$G$6-SQRT((1-P153)*($G$6-$E$6)*($G$6-$F$6))))</f>
        <v>1.02965916686407</v>
      </c>
      <c r="C153" s="37" t="n">
        <f aca="false">1+IF($G$7=$E$7,$F$7,IF(Q153&lt;($F$7-$E$7)/($G$7-$E$7),$E$7+SQRT(Q153*($G$7-$E$7)*($F$7-$E$7)),$G$7-SQRT((1-Q153)*($G$7-$E$7)*($G$7-$F$7))))</f>
        <v>1.06831163800046</v>
      </c>
      <c r="D153" s="37" t="n">
        <f aca="false">1+IF($G$8=$E$8,$F$8,IF(R153&lt;($F$8-$E$8)/($G$8-$E$8),$E$8+SQRT(R153*($G$8-$E$8)*($F$8-$E$8)),$G$8-SQRT((1-R153)*($G$8-$E$8)*($G$8-$F$8))))</f>
        <v>0.980373469109504</v>
      </c>
      <c r="E153" s="37" t="n">
        <f aca="false">1+IF($G$9=$E$9,$F$9,IF(S153&lt;($F$9-$E$9)/($G$9-$E$9),$E$9+SQRT(S153*($G$9-$E$9)*($F$9-$E$9)),$G$9-SQRT((1-S153)*($G$9-$E$9)*($G$9-$F$9))))</f>
        <v>1.03820946011956</v>
      </c>
      <c r="F153" s="37" t="n">
        <f aca="false">1+IF($G$10=$E$10,$F$10,IF(T153&lt;($F$10-$E$10)/($G$10-$E$10),$E$10+SQRT(T153*($G$10-$E$10)*($F$10-$E$10)),$G$10-SQRT((1-T153)*($G$10-$E$10)*($G$10-$F$10))))</f>
        <v>0.975475343992799</v>
      </c>
      <c r="G153" s="38" t="n">
        <f aca="false">IF($G$11=$E$11,$F$11,IF(U153&lt;($F$11-$E$11)/($G$11-$E$11),$E$11+SQRT(U153*($G$11-$E$11)*($F$11-$E$11)),$G$11-SQRT((1-U153)*($G$11-$E$11)*($G$11-$F$11))))</f>
        <v>0.112082938926476</v>
      </c>
      <c r="H153" s="39" t="n">
        <f aca="false">(('Business Case'!B11*$C153*'Business Case'!B12*$B153)-'Business Case'!B11*$C153*'Business Case'!B13*$D153-'Business Case'!B14*$E153)-MAX(0,(('Business Case'!B11*$C153*'Business Case'!B12*$B153)-'Business Case'!B11*$C153*'Business Case'!B13*$D153-'Business Case'!B14*$E153))*'Business Case'!$B$7-'Business Case'!$B$8*('Business Case'!B11*$C153*'Business Case'!B12*$B153)-'Business Case'!B15*$F153</f>
        <v>-1950950687.9856</v>
      </c>
      <c r="I153" s="39" t="n">
        <f aca="false">(('Business Case'!C11*$C153*'Business Case'!C12*$B153)-'Business Case'!C11*$C153*'Business Case'!C13*$D153-'Business Case'!C14*$E153)-MAX(0,(('Business Case'!C11*$C153*'Business Case'!C12*$B153)-'Business Case'!C11*$C153*'Business Case'!C13*$D153-'Business Case'!C14*$E153))*'Business Case'!$B$7-'Business Case'!$B$8*(('Business Case'!C11*$C153*'Business Case'!C12*$B153)-('Business Case'!B11*$C153*'Business Case'!B12*$B153))-'Business Case'!C15*$F153</f>
        <v>62615341.3991811</v>
      </c>
      <c r="J153" s="39" t="n">
        <f aca="false">(('Business Case'!D11*$C153*'Business Case'!D12*$B153)-'Business Case'!D11*$C153*'Business Case'!D13*$D153-'Business Case'!D14*$E153)-MAX(0,(('Business Case'!D11*$C153*'Business Case'!D12*$B153)-'Business Case'!D11*$C153*'Business Case'!D13*$D153-'Business Case'!D14*$E153))*'Business Case'!$B$7-'Business Case'!$B$8*(('Business Case'!D11*$C153*'Business Case'!D12*$B153)-('Business Case'!C11*$C153*'Business Case'!C12*$B153))-'Business Case'!D15*$F153</f>
        <v>427435440.226269</v>
      </c>
      <c r="K153" s="39" t="n">
        <f aca="false">(('Business Case'!E11*$C153*'Business Case'!E12*$B153)-'Business Case'!E11*$C153*'Business Case'!E13*$D153-'Business Case'!E14*$E153)-MAX(0,(('Business Case'!E11*$C153*'Business Case'!E12*$B153)-'Business Case'!E11*$C153*'Business Case'!E13*$D153-'Business Case'!E14*$E153))*'Business Case'!$B$7-'Business Case'!$B$8*(('Business Case'!E11*$C153*'Business Case'!E12*$B153)-('Business Case'!D11*$C153*'Business Case'!D12*$B153))-'Business Case'!E15*$F153</f>
        <v>841029306.252997</v>
      </c>
      <c r="L153" s="39" t="n">
        <f aca="false">(('Business Case'!F11*$C153*'Business Case'!F12*$B153)-'Business Case'!F11*$C153*'Business Case'!F13*$D153-'Business Case'!F14*$E153)-MAX(0,(('Business Case'!F11*$C153*'Business Case'!F12*$B153)-'Business Case'!F11*$C153*'Business Case'!F13*$D153-'Business Case'!F14*$E153))*'Business Case'!$B$7-'Business Case'!$B$8*(('Business Case'!F11*$C153*'Business Case'!F12*$B153)-('Business Case'!E11*$C153*'Business Case'!E12*$B153))-'Business Case'!F15*$F153</f>
        <v>1000651897.72844</v>
      </c>
      <c r="M153" s="39" t="n">
        <f aca="false">(('Business Case'!G11*$C153*'Business Case'!G12*$B153)-'Business Case'!G11*$C153*'Business Case'!G13*$D153-'Business Case'!G14*$E153)-MAX(0,(('Business Case'!G11*$C153*'Business Case'!G12*$B153)-'Business Case'!G11*$C153*'Business Case'!G13*$D153-'Business Case'!G14*$E153))*'Business Case'!$B$7-'Business Case'!$B$8*(('Business Case'!G11*$C153*'Business Case'!G12*$B153)-('Business Case'!F11*$C153*'Business Case'!F12*$B153))-'Business Case'!G15*$F153+'Business Case'!$B$8*('Business Case'!G11*$C153*'Business Case'!G12*$B153)</f>
        <v>1209739302.99374</v>
      </c>
      <c r="N153" s="39" t="n">
        <f aca="false">IF(COUNT('Business Case'!B11:G11)=0,"",H153+NPV(G153,I153:M153))</f>
        <v>427935126.885336</v>
      </c>
      <c r="P153" s="40" t="n">
        <f aca="true">RAND()</f>
        <v>0.977722327094775</v>
      </c>
      <c r="Q153" s="40" t="n">
        <f aca="true">RAND()</f>
        <v>0.872895457406323</v>
      </c>
      <c r="R153" s="40" t="n">
        <f aca="true">RAND()</f>
        <v>0.141930403960917</v>
      </c>
      <c r="S153" s="40" t="n">
        <f aca="true">RAND()</f>
        <v>0.745461945418928</v>
      </c>
      <c r="T153" s="40" t="n">
        <f aca="true">RAND()</f>
        <v>0.0519194521241167</v>
      </c>
      <c r="U153" s="40" t="n">
        <f aca="true">RAND()</f>
        <v>0.895533573263477</v>
      </c>
    </row>
    <row r="154" customFormat="false" ht="15" hidden="false" customHeight="false" outlineLevel="0" collapsed="false">
      <c r="A154" s="36" t="n">
        <v>74</v>
      </c>
      <c r="B154" s="37" t="n">
        <f aca="false">1+IF($G$6=$E$6,$F$6,IF(P154&lt;($F$6-$E$6)/($G$6-$E$6),$E$6+SQRT(P154*($G$6-$E$6)*($F$6-$E$6)),$G$6-SQRT((1-P154)*($G$6-$E$6)*($G$6-$F$6))))</f>
        <v>0.992813649640659</v>
      </c>
      <c r="C154" s="37" t="n">
        <f aca="false">1+IF($G$7=$E$7,$F$7,IF(Q154&lt;($F$7-$E$7)/($G$7-$E$7),$E$7+SQRT(Q154*($G$7-$E$7)*($F$7-$E$7)),$G$7-SQRT((1-Q154)*($G$7-$E$7)*($G$7-$F$7))))</f>
        <v>0.977486584622479</v>
      </c>
      <c r="D154" s="37" t="n">
        <f aca="false">1+IF($G$8=$E$8,$F$8,IF(R154&lt;($F$8-$E$8)/($G$8-$E$8),$E$8+SQRT(R154*($G$8-$E$8)*($F$8-$E$8)),$G$8-SQRT((1-R154)*($G$8-$E$8)*($G$8-$F$8))))</f>
        <v>1.00346540978673</v>
      </c>
      <c r="E154" s="37" t="n">
        <f aca="false">1+IF($G$9=$E$9,$F$9,IF(S154&lt;($F$9-$E$9)/($G$9-$E$9),$E$9+SQRT(S154*($G$9-$E$9)*($F$9-$E$9)),$G$9-SQRT((1-S154)*($G$9-$E$9)*($G$9-$F$9))))</f>
        <v>1.0529605163309</v>
      </c>
      <c r="F154" s="37" t="n">
        <f aca="false">1+IF($G$10=$E$10,$F$10,IF(T154&lt;($F$10-$E$10)/($G$10-$E$10),$E$10+SQRT(T154*($G$10-$E$10)*($F$10-$E$10)),$G$10-SQRT((1-T154)*($G$10-$E$10)*($G$10-$F$10))))</f>
        <v>1.08784122333292</v>
      </c>
      <c r="G154" s="38" t="n">
        <f aca="false">IF($G$11=$E$11,$F$11,IF(U154&lt;($F$11-$E$11)/($G$11-$E$11),$E$11+SQRT(U154*($G$11-$E$11)*($F$11-$E$11)),$G$11-SQRT((1-U154)*($G$11-$E$11)*($G$11-$F$11))))</f>
        <v>0.104100358495154</v>
      </c>
      <c r="H154" s="39" t="n">
        <f aca="false">(('Business Case'!B11*$C154*'Business Case'!B12*$B154)-'Business Case'!B11*$C154*'Business Case'!B13*$D154-'Business Case'!B14*$E154)-MAX(0,(('Business Case'!B11*$C154*'Business Case'!B12*$B154)-'Business Case'!B11*$C154*'Business Case'!B13*$D154-'Business Case'!B14*$E154))*'Business Case'!$B$7-'Business Case'!$B$8*('Business Case'!B11*$C154*'Business Case'!B12*$B154)-'Business Case'!B15*$F154</f>
        <v>-2175682446.66584</v>
      </c>
      <c r="I154" s="39" t="n">
        <f aca="false">(('Business Case'!C11*$C154*'Business Case'!C12*$B154)-'Business Case'!C11*$C154*'Business Case'!C13*$D154-'Business Case'!C14*$E154)-MAX(0,(('Business Case'!C11*$C154*'Business Case'!C12*$B154)-'Business Case'!C11*$C154*'Business Case'!C13*$D154-'Business Case'!C14*$E154))*'Business Case'!$B$7-'Business Case'!$B$8*(('Business Case'!C11*$C154*'Business Case'!C12*$B154)-('Business Case'!B11*$C154*'Business Case'!B12*$B154))-'Business Case'!C15*$F154</f>
        <v>-16074594.3962034</v>
      </c>
      <c r="J154" s="39" t="n">
        <f aca="false">(('Business Case'!D11*$C154*'Business Case'!D12*$B154)-'Business Case'!D11*$C154*'Business Case'!D13*$D154-'Business Case'!D14*$E154)-MAX(0,(('Business Case'!D11*$C154*'Business Case'!D12*$B154)-'Business Case'!D11*$C154*'Business Case'!D13*$D154-'Business Case'!D14*$E154))*'Business Case'!$B$7-'Business Case'!$B$8*(('Business Case'!D11*$C154*'Business Case'!D12*$B154)-('Business Case'!C11*$C154*'Business Case'!C12*$B154))-'Business Case'!D15*$F154</f>
        <v>276674670.264169</v>
      </c>
      <c r="K154" s="39" t="n">
        <f aca="false">(('Business Case'!E11*$C154*'Business Case'!E12*$B154)-'Business Case'!E11*$C154*'Business Case'!E13*$D154-'Business Case'!E14*$E154)-MAX(0,(('Business Case'!E11*$C154*'Business Case'!E12*$B154)-'Business Case'!E11*$C154*'Business Case'!E13*$D154-'Business Case'!E14*$E154))*'Business Case'!$B$7-'Business Case'!$B$8*(('Business Case'!E11*$C154*'Business Case'!E12*$B154)-('Business Case'!D11*$C154*'Business Case'!D12*$B154))-'Business Case'!E15*$F154</f>
        <v>623815996.091187</v>
      </c>
      <c r="L154" s="39" t="n">
        <f aca="false">(('Business Case'!F11*$C154*'Business Case'!F12*$B154)-'Business Case'!F11*$C154*'Business Case'!F13*$D154-'Business Case'!F14*$E154)-MAX(0,(('Business Case'!F11*$C154*'Business Case'!F12*$B154)-'Business Case'!F11*$C154*'Business Case'!F13*$D154-'Business Case'!F14*$E154))*'Business Case'!$B$7-'Business Case'!$B$8*(('Business Case'!F11*$C154*'Business Case'!F12*$B154)-('Business Case'!E11*$C154*'Business Case'!E12*$B154))-'Business Case'!F15*$F154</f>
        <v>754938251.845331</v>
      </c>
      <c r="M154" s="39" t="n">
        <f aca="false">(('Business Case'!G11*$C154*'Business Case'!G12*$B154)-'Business Case'!G11*$C154*'Business Case'!G13*$D154-'Business Case'!G14*$E154)-MAX(0,(('Business Case'!G11*$C154*'Business Case'!G12*$B154)-'Business Case'!G11*$C154*'Business Case'!G13*$D154-'Business Case'!G14*$E154))*'Business Case'!$B$7-'Business Case'!$B$8*(('Business Case'!G11*$C154*'Business Case'!G12*$B154)-('Business Case'!F11*$C154*'Business Case'!F12*$B154))-'Business Case'!G15*$F154+'Business Case'!$B$8*('Business Case'!G11*$C154*'Business Case'!G12*$B154)</f>
        <v>939403673.282442</v>
      </c>
      <c r="N154" s="39" t="n">
        <f aca="false">IF(COUNT('Business Case'!B11:G11)=0,"",H154+NPV(G154,I154:M154))</f>
        <v>-419239400.381768</v>
      </c>
      <c r="P154" s="40" t="n">
        <f aca="true">RAND()</f>
        <v>0.552273705624232</v>
      </c>
      <c r="Q154" s="40" t="n">
        <f aca="true">RAND()</f>
        <v>0.450021253156463</v>
      </c>
      <c r="R154" s="40" t="n">
        <f aca="true">RAND()</f>
        <v>0.436774663546783</v>
      </c>
      <c r="S154" s="40" t="n">
        <f aca="true">RAND()</f>
        <v>0.852485798409602</v>
      </c>
      <c r="T154" s="40" t="n">
        <f aca="true">RAND()</f>
        <v>0.748408176330878</v>
      </c>
      <c r="U154" s="40" t="n">
        <f aca="true">RAND()</f>
        <v>0.578669000028989</v>
      </c>
    </row>
    <row r="155" customFormat="false" ht="15" hidden="false" customHeight="false" outlineLevel="0" collapsed="false">
      <c r="A155" s="36" t="n">
        <v>75</v>
      </c>
      <c r="B155" s="37" t="n">
        <f aca="false">1+IF($G$6=$E$6,$F$6,IF(P155&lt;($F$6-$E$6)/($G$6-$E$6),$E$6+SQRT(P155*($G$6-$E$6)*($F$6-$E$6)),$G$6-SQRT((1-P155)*($G$6-$E$6)*($G$6-$F$6))))</f>
        <v>0.955210060360148</v>
      </c>
      <c r="C155" s="37" t="n">
        <f aca="false">1+IF($G$7=$E$7,$F$7,IF(Q155&lt;($F$7-$E$7)/($G$7-$E$7),$E$7+SQRT(Q155*($G$7-$E$7)*($F$7-$E$7)),$G$7-SQRT((1-Q155)*($G$7-$E$7)*($G$7-$F$7))))</f>
        <v>0.883626456793898</v>
      </c>
      <c r="D155" s="37" t="n">
        <f aca="false">1+IF($G$8=$E$8,$F$8,IF(R155&lt;($F$8-$E$8)/($G$8-$E$8),$E$8+SQRT(R155*($G$8-$E$8)*($F$8-$E$8)),$G$8-SQRT((1-R155)*($G$8-$E$8)*($G$8-$F$8))))</f>
        <v>0.986698244473791</v>
      </c>
      <c r="E155" s="37" t="n">
        <f aca="false">1+IF($G$9=$E$9,$F$9,IF(S155&lt;($F$9-$E$9)/($G$9-$E$9),$E$9+SQRT(S155*($G$9-$E$9)*($F$9-$E$9)),$G$9-SQRT((1-S155)*($G$9-$E$9)*($G$9-$F$9))))</f>
        <v>1.00922210803594</v>
      </c>
      <c r="F155" s="37" t="n">
        <f aca="false">1+IF($G$10=$E$10,$F$10,IF(T155&lt;($F$10-$E$10)/($G$10-$E$10),$E$10+SQRT(T155*($G$10-$E$10)*($F$10-$E$10)),$G$10-SQRT((1-T155)*($G$10-$E$10)*($G$10-$F$10))))</f>
        <v>1.02590877594561</v>
      </c>
      <c r="G155" s="38" t="n">
        <f aca="false">IF($G$11=$E$11,$F$11,IF(U155&lt;($F$11-$E$11)/($G$11-$E$11),$E$11+SQRT(U155*($G$11-$E$11)*($F$11-$E$11)),$G$11-SQRT((1-U155)*($G$11-$E$11)*($G$11-$F$11))))</f>
        <v>0.11281494949025</v>
      </c>
      <c r="H155" s="39" t="n">
        <f aca="false">(('Business Case'!B11*$C155*'Business Case'!B12*$B155)-'Business Case'!B11*$C155*'Business Case'!B13*$D155-'Business Case'!B14*$E155)-MAX(0,(('Business Case'!B11*$C155*'Business Case'!B12*$B155)-'Business Case'!B11*$C155*'Business Case'!B13*$D155-'Business Case'!B14*$E155))*'Business Case'!$B$7-'Business Case'!$B$8*('Business Case'!B11*$C155*'Business Case'!B12*$B155)-'Business Case'!B15*$F155</f>
        <v>-2051817551.89123</v>
      </c>
      <c r="I155" s="39" t="n">
        <f aca="false">(('Business Case'!C11*$C155*'Business Case'!C12*$B155)-'Business Case'!C11*$C155*'Business Case'!C13*$D155-'Business Case'!C14*$E155)-MAX(0,(('Business Case'!C11*$C155*'Business Case'!C12*$B155)-'Business Case'!C11*$C155*'Business Case'!C13*$D155-'Business Case'!C14*$E155))*'Business Case'!$B$7-'Business Case'!$B$8*(('Business Case'!C11*$C155*'Business Case'!C12*$B155)-('Business Case'!B11*$C155*'Business Case'!B12*$B155))-'Business Case'!C15*$F155</f>
        <v>-44850009.305141</v>
      </c>
      <c r="J155" s="39" t="n">
        <f aca="false">(('Business Case'!D11*$C155*'Business Case'!D12*$B155)-'Business Case'!D11*$C155*'Business Case'!D13*$D155-'Business Case'!D14*$E155)-MAX(0,(('Business Case'!D11*$C155*'Business Case'!D12*$B155)-'Business Case'!D11*$C155*'Business Case'!D13*$D155-'Business Case'!D14*$E155))*'Business Case'!$B$7-'Business Case'!$B$8*(('Business Case'!D11*$C155*'Business Case'!D12*$B155)-('Business Case'!C11*$C155*'Business Case'!C12*$B155))-'Business Case'!D15*$F155</f>
        <v>200157736.744765</v>
      </c>
      <c r="K155" s="39" t="n">
        <f aca="false">(('Business Case'!E11*$C155*'Business Case'!E12*$B155)-'Business Case'!E11*$C155*'Business Case'!E13*$D155-'Business Case'!E14*$E155)-MAX(0,(('Business Case'!E11*$C155*'Business Case'!E12*$B155)-'Business Case'!E11*$C155*'Business Case'!E13*$D155-'Business Case'!E14*$E155))*'Business Case'!$B$7-'Business Case'!$B$8*(('Business Case'!E11*$C155*'Business Case'!E12*$B155)-('Business Case'!D11*$C155*'Business Case'!D12*$B155))-'Business Case'!E15*$F155</f>
        <v>496460921.591952</v>
      </c>
      <c r="L155" s="39" t="n">
        <f aca="false">(('Business Case'!F11*$C155*'Business Case'!F12*$B155)-'Business Case'!F11*$C155*'Business Case'!F13*$D155-'Business Case'!F14*$E155)-MAX(0,(('Business Case'!F11*$C155*'Business Case'!F12*$B155)-'Business Case'!F11*$C155*'Business Case'!F13*$D155-'Business Case'!F14*$E155))*'Business Case'!$B$7-'Business Case'!$B$8*(('Business Case'!F11*$C155*'Business Case'!F12*$B155)-('Business Case'!E11*$C155*'Business Case'!E12*$B155))-'Business Case'!F15*$F155</f>
        <v>607300499.607104</v>
      </c>
      <c r="M155" s="39" t="n">
        <f aca="false">(('Business Case'!G11*$C155*'Business Case'!G12*$B155)-'Business Case'!G11*$C155*'Business Case'!G13*$D155-'Business Case'!G14*$E155)-MAX(0,(('Business Case'!G11*$C155*'Business Case'!G12*$B155)-'Business Case'!G11*$C155*'Business Case'!G13*$D155-'Business Case'!G14*$E155))*'Business Case'!$B$7-'Business Case'!$B$8*(('Business Case'!G11*$C155*'Business Case'!G12*$B155)-('Business Case'!F11*$C155*'Business Case'!F12*$B155))-'Business Case'!G15*$F155+'Business Case'!$B$8*('Business Case'!G11*$C155*'Business Case'!G12*$B155)</f>
        <v>767737310.93228</v>
      </c>
      <c r="N155" s="39" t="n">
        <f aca="false">IF(COUNT('Business Case'!B11:G11)=0,"",H155+NPV(G155,I155:M155))</f>
        <v>-724332511.600393</v>
      </c>
      <c r="P155" s="40" t="n">
        <f aca="true">RAND()</f>
        <v>0.129140453183882</v>
      </c>
      <c r="Q155" s="40" t="n">
        <f aca="true">RAND()</f>
        <v>0.0999054896557383</v>
      </c>
      <c r="R155" s="40" t="n">
        <f aca="true">RAND()</f>
        <v>0.20719402268587</v>
      </c>
      <c r="S155" s="40" t="n">
        <f aca="true">RAND()</f>
        <v>0.450624955370744</v>
      </c>
      <c r="T155" s="40" t="n">
        <f aca="true">RAND()</f>
        <v>0.393844914144905</v>
      </c>
      <c r="U155" s="40" t="n">
        <f aca="true">RAND()</f>
        <v>0.91395841528724</v>
      </c>
    </row>
    <row r="156" customFormat="false" ht="15" hidden="false" customHeight="false" outlineLevel="0" collapsed="false">
      <c r="A156" s="36" t="n">
        <v>76</v>
      </c>
      <c r="B156" s="37" t="n">
        <f aca="false">1+IF($G$6=$E$6,$F$6,IF(P156&lt;($F$6-$E$6)/($G$6-$E$6),$E$6+SQRT(P156*($G$6-$E$6)*($F$6-$E$6)),$G$6-SQRT((1-P156)*($G$6-$E$6)*($G$6-$F$6))))</f>
        <v>0.940195875358073</v>
      </c>
      <c r="C156" s="37" t="n">
        <f aca="false">1+IF($G$7=$E$7,$F$7,IF(Q156&lt;($F$7-$E$7)/($G$7-$E$7),$E$7+SQRT(Q156*($G$7-$E$7)*($F$7-$E$7)),$G$7-SQRT((1-Q156)*($G$7-$E$7)*($G$7-$F$7))))</f>
        <v>0.934937913777624</v>
      </c>
      <c r="D156" s="37" t="n">
        <f aca="false">1+IF($G$8=$E$8,$F$8,IF(R156&lt;($F$8-$E$8)/($G$8-$E$8),$E$8+SQRT(R156*($G$8-$E$8)*($F$8-$E$8)),$G$8-SQRT((1-R156)*($G$8-$E$8)*($G$8-$F$8))))</f>
        <v>0.988623484724794</v>
      </c>
      <c r="E156" s="37" t="n">
        <f aca="false">1+IF($G$9=$E$9,$F$9,IF(S156&lt;($F$9-$E$9)/($G$9-$E$9),$E$9+SQRT(S156*($G$9-$E$9)*($F$9-$E$9)),$G$9-SQRT((1-S156)*($G$9-$E$9)*($G$9-$F$9))))</f>
        <v>0.999800904594054</v>
      </c>
      <c r="F156" s="37" t="n">
        <f aca="false">1+IF($G$10=$E$10,$F$10,IF(T156&lt;($F$10-$E$10)/($G$10-$E$10),$E$10+SQRT(T156*($G$10-$E$10)*($F$10-$E$10)),$G$10-SQRT((1-T156)*($G$10-$E$10)*($G$10-$F$10))))</f>
        <v>0.974359628288636</v>
      </c>
      <c r="G156" s="38" t="n">
        <f aca="false">IF($G$11=$E$11,$F$11,IF(U156&lt;($F$11-$E$11)/($G$11-$E$11),$E$11+SQRT(U156*($G$11-$E$11)*($F$11-$E$11)),$G$11-SQRT((1-U156)*($G$11-$E$11)*($G$11-$F$11))))</f>
        <v>0.0942123177752182</v>
      </c>
      <c r="H156" s="39" t="n">
        <f aca="false">(('Business Case'!B11*$C156*'Business Case'!B12*$B156)-'Business Case'!B11*$C156*'Business Case'!B13*$D156-'Business Case'!B14*$E156)-MAX(0,(('Business Case'!B11*$C156*'Business Case'!B12*$B156)-'Business Case'!B11*$C156*'Business Case'!B13*$D156-'Business Case'!B14*$E156))*'Business Case'!$B$7-'Business Case'!$B$8*('Business Case'!B11*$C156*'Business Case'!B12*$B156)-'Business Case'!B15*$F156</f>
        <v>-1948719256.57727</v>
      </c>
      <c r="I156" s="39" t="n">
        <f aca="false">(('Business Case'!C11*$C156*'Business Case'!C12*$B156)-'Business Case'!C11*$C156*'Business Case'!C13*$D156-'Business Case'!C14*$E156)-MAX(0,(('Business Case'!C11*$C156*'Business Case'!C12*$B156)-'Business Case'!C11*$C156*'Business Case'!C13*$D156-'Business Case'!C14*$E156))*'Business Case'!$B$7-'Business Case'!$B$8*(('Business Case'!C11*$C156*'Business Case'!C12*$B156)-('Business Case'!B11*$C156*'Business Case'!B12*$B156))-'Business Case'!C15*$F156</f>
        <v>-38360182.9076523</v>
      </c>
      <c r="J156" s="39" t="n">
        <f aca="false">(('Business Case'!D11*$C156*'Business Case'!D12*$B156)-'Business Case'!D11*$C156*'Business Case'!D13*$D156-'Business Case'!D14*$E156)-MAX(0,(('Business Case'!D11*$C156*'Business Case'!D12*$B156)-'Business Case'!D11*$C156*'Business Case'!D13*$D156-'Business Case'!D14*$E156))*'Business Case'!$B$7-'Business Case'!$B$8*(('Business Case'!D11*$C156*'Business Case'!D12*$B156)-('Business Case'!C11*$C156*'Business Case'!C12*$B156))-'Business Case'!D15*$F156</f>
        <v>208455929.736573</v>
      </c>
      <c r="K156" s="39" t="n">
        <f aca="false">(('Business Case'!E11*$C156*'Business Case'!E12*$B156)-'Business Case'!E11*$C156*'Business Case'!E13*$D156-'Business Case'!E14*$E156)-MAX(0,(('Business Case'!E11*$C156*'Business Case'!E12*$B156)-'Business Case'!E11*$C156*'Business Case'!E13*$D156-'Business Case'!E14*$E156))*'Business Case'!$B$7-'Business Case'!$B$8*(('Business Case'!E11*$C156*'Business Case'!E12*$B156)-('Business Case'!D11*$C156*'Business Case'!D12*$B156))-'Business Case'!E15*$F156</f>
        <v>503990023.79523</v>
      </c>
      <c r="L156" s="39" t="n">
        <f aca="false">(('Business Case'!F11*$C156*'Business Case'!F12*$B156)-'Business Case'!F11*$C156*'Business Case'!F13*$D156-'Business Case'!F14*$E156)-MAX(0,(('Business Case'!F11*$C156*'Business Case'!F12*$B156)-'Business Case'!F11*$C156*'Business Case'!F13*$D156-'Business Case'!F14*$E156))*'Business Case'!$B$7-'Business Case'!$B$8*(('Business Case'!F11*$C156*'Business Case'!F12*$B156)-('Business Case'!E11*$C156*'Business Case'!E12*$B156))-'Business Case'!F15*$F156</f>
        <v>616641157.403132</v>
      </c>
      <c r="M156" s="39" t="n">
        <f aca="false">(('Business Case'!G11*$C156*'Business Case'!G12*$B156)-'Business Case'!G11*$C156*'Business Case'!G13*$D156-'Business Case'!G14*$E156)-MAX(0,(('Business Case'!G11*$C156*'Business Case'!G12*$B156)-'Business Case'!G11*$C156*'Business Case'!G13*$D156-'Business Case'!G14*$E156))*'Business Case'!$B$7-'Business Case'!$B$8*(('Business Case'!G11*$C156*'Business Case'!G12*$B156)-('Business Case'!F11*$C156*'Business Case'!F12*$B156))-'Business Case'!G15*$F156+'Business Case'!$B$8*('Business Case'!G11*$C156*'Business Case'!G12*$B156)</f>
        <v>783726185.732176</v>
      </c>
      <c r="N156" s="39" t="n">
        <f aca="false">IF(COUNT('Business Case'!B11:G11)=0,"",H156+NPV(G156,I156:M156))</f>
        <v>-495180990.740901</v>
      </c>
      <c r="P156" s="40" t="n">
        <f aca="true">RAND()</f>
        <v>0.0424868105707094</v>
      </c>
      <c r="Q156" s="40" t="n">
        <f aca="true">RAND()</f>
        <v>0.260117722495107</v>
      </c>
      <c r="R156" s="40" t="n">
        <f aca="true">RAND()</f>
        <v>0.229503626505598</v>
      </c>
      <c r="S156" s="40" t="n">
        <f aca="true">RAND()</f>
        <v>0.330684013118147</v>
      </c>
      <c r="T156" s="40" t="n">
        <f aca="true">RAND()</f>
        <v>0.0474713192288425</v>
      </c>
      <c r="U156" s="40" t="n">
        <f aca="true">RAND()</f>
        <v>0.059145403464731</v>
      </c>
    </row>
    <row r="157" customFormat="false" ht="15" hidden="false" customHeight="false" outlineLevel="0" collapsed="false">
      <c r="A157" s="36" t="n">
        <v>77</v>
      </c>
      <c r="B157" s="37" t="n">
        <f aca="false">1+IF($G$6=$E$6,$F$6,IF(P157&lt;($F$6-$E$6)/($G$6-$E$6),$E$6+SQRT(P157*($G$6-$E$6)*($F$6-$E$6)),$G$6-SQRT((1-P157)*($G$6-$E$6)*($G$6-$F$6))))</f>
        <v>0.933786028813457</v>
      </c>
      <c r="C157" s="37" t="n">
        <f aca="false">1+IF($G$7=$E$7,$F$7,IF(Q157&lt;($F$7-$E$7)/($G$7-$E$7),$E$7+SQRT(Q157*($G$7-$E$7)*($F$7-$E$7)),$G$7-SQRT((1-Q157)*($G$7-$E$7)*($G$7-$F$7))))</f>
        <v>1.03488032743355</v>
      </c>
      <c r="D157" s="37" t="n">
        <f aca="false">1+IF($G$8=$E$8,$F$8,IF(R157&lt;($F$8-$E$8)/($G$8-$E$8),$E$8+SQRT(R157*($G$8-$E$8)*($F$8-$E$8)),$G$8-SQRT((1-R157)*($G$8-$E$8)*($G$8-$F$8))))</f>
        <v>0.969215845278117</v>
      </c>
      <c r="E157" s="37" t="n">
        <f aca="false">1+IF($G$9=$E$9,$F$9,IF(S157&lt;($F$9-$E$9)/($G$9-$E$9),$E$9+SQRT(S157*($G$9-$E$9)*($F$9-$E$9)),$G$9-SQRT((1-S157)*($G$9-$E$9)*($G$9-$F$9))))</f>
        <v>0.992666474241774</v>
      </c>
      <c r="F157" s="37" t="n">
        <f aca="false">1+IF($G$10=$E$10,$F$10,IF(T157&lt;($F$10-$E$10)/($G$10-$E$10),$E$10+SQRT(T157*($G$10-$E$10)*($F$10-$E$10)),$G$10-SQRT((1-T157)*($G$10-$E$10)*($G$10-$F$10))))</f>
        <v>1.01229785569544</v>
      </c>
      <c r="G157" s="38" t="n">
        <f aca="false">IF($G$11=$E$11,$F$11,IF(U157&lt;($F$11-$E$11)/($G$11-$E$11),$E$11+SQRT(U157*($G$11-$E$11)*($F$11-$E$11)),$G$11-SQRT((1-U157)*($G$11-$E$11)*($G$11-$F$11))))</f>
        <v>0.101869364647332</v>
      </c>
      <c r="H157" s="39" t="n">
        <f aca="false">(('Business Case'!B11*$C157*'Business Case'!B12*$B157)-'Business Case'!B11*$C157*'Business Case'!B13*$D157-'Business Case'!B14*$E157)-MAX(0,(('Business Case'!B11*$C157*'Business Case'!B12*$B157)-'Business Case'!B11*$C157*'Business Case'!B13*$D157-'Business Case'!B14*$E157))*'Business Case'!$B$7-'Business Case'!$B$8*('Business Case'!B11*$C157*'Business Case'!B12*$B157)-'Business Case'!B15*$F157</f>
        <v>-2024595711.39089</v>
      </c>
      <c r="I157" s="39" t="n">
        <f aca="false">(('Business Case'!C11*$C157*'Business Case'!C12*$B157)-'Business Case'!C11*$C157*'Business Case'!C13*$D157-'Business Case'!C14*$E157)-MAX(0,(('Business Case'!C11*$C157*'Business Case'!C12*$B157)-'Business Case'!C11*$C157*'Business Case'!C13*$D157-'Business Case'!C14*$E157))*'Business Case'!$B$7-'Business Case'!$B$8*(('Business Case'!C11*$C157*'Business Case'!C12*$B157)-('Business Case'!B11*$C157*'Business Case'!B12*$B157))-'Business Case'!C15*$F157</f>
        <v>-14434337.3418521</v>
      </c>
      <c r="J157" s="39" t="n">
        <f aca="false">(('Business Case'!D11*$C157*'Business Case'!D12*$B157)-'Business Case'!D11*$C157*'Business Case'!D13*$D157-'Business Case'!D14*$E157)-MAX(0,(('Business Case'!D11*$C157*'Business Case'!D12*$B157)-'Business Case'!D11*$C157*'Business Case'!D13*$D157-'Business Case'!D14*$E157))*'Business Case'!$B$7-'Business Case'!$B$8*(('Business Case'!D11*$C157*'Business Case'!D12*$B157)-('Business Case'!C11*$C157*'Business Case'!C12*$B157))-'Business Case'!D15*$F157</f>
        <v>263614219.58149</v>
      </c>
      <c r="K157" s="39" t="n">
        <f aca="false">(('Business Case'!E11*$C157*'Business Case'!E12*$B157)-'Business Case'!E11*$C157*'Business Case'!E13*$D157-'Business Case'!E14*$E157)-MAX(0,(('Business Case'!E11*$C157*'Business Case'!E12*$B157)-'Business Case'!E11*$C157*'Business Case'!E13*$D157-'Business Case'!E14*$E157))*'Business Case'!$B$7-'Business Case'!$B$8*(('Business Case'!E11*$C157*'Business Case'!E12*$B157)-('Business Case'!D11*$C157*'Business Case'!D12*$B157))-'Business Case'!E15*$F157</f>
        <v>592277669.289604</v>
      </c>
      <c r="L157" s="39" t="n">
        <f aca="false">(('Business Case'!F11*$C157*'Business Case'!F12*$B157)-'Business Case'!F11*$C157*'Business Case'!F13*$D157-'Business Case'!F14*$E157)-MAX(0,(('Business Case'!F11*$C157*'Business Case'!F12*$B157)-'Business Case'!F11*$C157*'Business Case'!F13*$D157-'Business Case'!F14*$E157))*'Business Case'!$B$7-'Business Case'!$B$8*(('Business Case'!F11*$C157*'Business Case'!F12*$B157)-('Business Case'!E11*$C157*'Business Case'!E12*$B157))-'Business Case'!F15*$F157</f>
        <v>718357812.303031</v>
      </c>
      <c r="M157" s="39" t="n">
        <f aca="false">(('Business Case'!G11*$C157*'Business Case'!G12*$B157)-'Business Case'!G11*$C157*'Business Case'!G13*$D157-'Business Case'!G14*$E157)-MAX(0,(('Business Case'!G11*$C157*'Business Case'!G12*$B157)-'Business Case'!G11*$C157*'Business Case'!G13*$D157-'Business Case'!G14*$E157))*'Business Case'!$B$7-'Business Case'!$B$8*(('Business Case'!G11*$C157*'Business Case'!G12*$B157)-('Business Case'!F11*$C157*'Business Case'!F12*$B157))-'Business Case'!G15*$F157+'Business Case'!$B$8*('Business Case'!G11*$C157*'Business Case'!G12*$B157)</f>
        <v>902042911.184086</v>
      </c>
      <c r="N157" s="39" t="n">
        <f aca="false">IF(COUNT('Business Case'!B11:G11)=0,"",H157+NPV(G157,I157:M157))</f>
        <v>-335155642.660134</v>
      </c>
      <c r="P157" s="40" t="n">
        <f aca="true">RAND()</f>
        <v>0.019797353171403</v>
      </c>
      <c r="Q157" s="40" t="n">
        <f aca="true">RAND()</f>
        <v>0.747570685489384</v>
      </c>
      <c r="R157" s="40" t="n">
        <f aca="true">RAND()</f>
        <v>0.0568074938080839</v>
      </c>
      <c r="S157" s="40" t="n">
        <f aca="true">RAND()</f>
        <v>0.242723736563195</v>
      </c>
      <c r="T157" s="40" t="n">
        <f aca="true">RAND()</f>
        <v>0.295358100469428</v>
      </c>
      <c r="U157" s="40" t="n">
        <f aca="true">RAND()</f>
        <v>0.452133436180993</v>
      </c>
    </row>
    <row r="158" customFormat="false" ht="15" hidden="false" customHeight="false" outlineLevel="0" collapsed="false">
      <c r="A158" s="36" t="n">
        <v>78</v>
      </c>
      <c r="B158" s="37" t="n">
        <f aca="false">1+IF($G$6=$E$6,$F$6,IF(P158&lt;($F$6-$E$6)/($G$6-$E$6),$E$6+SQRT(P158*($G$6-$E$6)*($F$6-$E$6)),$G$6-SQRT((1-P158)*($G$6-$E$6)*($G$6-$F$6))))</f>
        <v>0.979953857621372</v>
      </c>
      <c r="C158" s="37" t="n">
        <f aca="false">1+IF($G$7=$E$7,$F$7,IF(Q158&lt;($F$7-$E$7)/($G$7-$E$7),$E$7+SQRT(Q158*($G$7-$E$7)*($F$7-$E$7)),$G$7-SQRT((1-Q158)*($G$7-$E$7)*($G$7-$F$7))))</f>
        <v>0.943335257917269</v>
      </c>
      <c r="D158" s="37" t="n">
        <f aca="false">1+IF($G$8=$E$8,$F$8,IF(R158&lt;($F$8-$E$8)/($G$8-$E$8),$E$8+SQRT(R158*($G$8-$E$8)*($F$8-$E$8)),$G$8-SQRT((1-R158)*($G$8-$E$8)*($G$8-$F$8))))</f>
        <v>1.03715849107476</v>
      </c>
      <c r="E158" s="37" t="n">
        <f aca="false">1+IF($G$9=$E$9,$F$9,IF(S158&lt;($F$9-$E$9)/($G$9-$E$9),$E$9+SQRT(S158*($G$9-$E$9)*($F$9-$E$9)),$G$9-SQRT((1-S158)*($G$9-$E$9)*($G$9-$F$9))))</f>
        <v>1.05068539535385</v>
      </c>
      <c r="F158" s="37" t="n">
        <f aca="false">1+IF($G$10=$E$10,$F$10,IF(T158&lt;($F$10-$E$10)/($G$10-$E$10),$E$10+SQRT(T158*($G$10-$E$10)*($F$10-$E$10)),$G$10-SQRT((1-T158)*($G$10-$E$10)*($G$10-$F$10))))</f>
        <v>1.07048953327234</v>
      </c>
      <c r="G158" s="38" t="n">
        <f aca="false">IF($G$11=$E$11,$F$11,IF(U158&lt;($F$11-$E$11)/($G$11-$E$11),$E$11+SQRT(U158*($G$11-$E$11)*($F$11-$E$11)),$G$11-SQRT((1-U158)*($G$11-$E$11)*($G$11-$F$11))))</f>
        <v>0.0963156234847111</v>
      </c>
      <c r="H158" s="39" t="n">
        <f aca="false">(('Business Case'!B11*$C158*'Business Case'!B12*$B158)-'Business Case'!B11*$C158*'Business Case'!B13*$D158-'Business Case'!B14*$E158)-MAX(0,(('Business Case'!B11*$C158*'Business Case'!B12*$B158)-'Business Case'!B11*$C158*'Business Case'!B13*$D158-'Business Case'!B14*$E158))*'Business Case'!$B$7-'Business Case'!$B$8*('Business Case'!B11*$C158*'Business Case'!B12*$B158)-'Business Case'!B15*$F158</f>
        <v>-2140979066.54467</v>
      </c>
      <c r="I158" s="39" t="n">
        <f aca="false">(('Business Case'!C11*$C158*'Business Case'!C12*$B158)-'Business Case'!C11*$C158*'Business Case'!C13*$D158-'Business Case'!C14*$E158)-MAX(0,(('Business Case'!C11*$C158*'Business Case'!C12*$B158)-'Business Case'!C11*$C158*'Business Case'!C13*$D158-'Business Case'!C14*$E158))*'Business Case'!$B$7-'Business Case'!$B$8*(('Business Case'!C11*$C158*'Business Case'!C12*$B158)-('Business Case'!B11*$C158*'Business Case'!B12*$B158))-'Business Case'!C15*$F158</f>
        <v>-48064429.1034675</v>
      </c>
      <c r="J158" s="39" t="n">
        <f aca="false">(('Business Case'!D11*$C158*'Business Case'!D12*$B158)-'Business Case'!D11*$C158*'Business Case'!D13*$D158-'Business Case'!D14*$E158)-MAX(0,(('Business Case'!D11*$C158*'Business Case'!D12*$B158)-'Business Case'!D11*$C158*'Business Case'!D13*$D158-'Business Case'!D14*$E158))*'Business Case'!$B$7-'Business Case'!$B$8*(('Business Case'!D11*$C158*'Business Case'!D12*$B158)-('Business Case'!C11*$C158*'Business Case'!C12*$B158))-'Business Case'!D15*$F158</f>
        <v>208249751.636978</v>
      </c>
      <c r="K158" s="39" t="n">
        <f aca="false">(('Business Case'!E11*$C158*'Business Case'!E12*$B158)-'Business Case'!E11*$C158*'Business Case'!E13*$D158-'Business Case'!E14*$E158)-MAX(0,(('Business Case'!E11*$C158*'Business Case'!E12*$B158)-'Business Case'!E11*$C158*'Business Case'!E13*$D158-'Business Case'!E14*$E158))*'Business Case'!$B$7-'Business Case'!$B$8*(('Business Case'!E11*$C158*'Business Case'!E12*$B158)-('Business Case'!D11*$C158*'Business Case'!D12*$B158))-'Business Case'!E15*$F158</f>
        <v>518088409.04104</v>
      </c>
      <c r="L158" s="39" t="n">
        <f aca="false">(('Business Case'!F11*$C158*'Business Case'!F12*$B158)-'Business Case'!F11*$C158*'Business Case'!F13*$D158-'Business Case'!F14*$E158)-MAX(0,(('Business Case'!F11*$C158*'Business Case'!F12*$B158)-'Business Case'!F11*$C158*'Business Case'!F13*$D158-'Business Case'!F14*$E158))*'Business Case'!$B$7-'Business Case'!$B$8*(('Business Case'!F11*$C158*'Business Case'!F12*$B158)-('Business Case'!E11*$C158*'Business Case'!E12*$B158))-'Business Case'!F15*$F158</f>
        <v>635474598.152764</v>
      </c>
      <c r="M158" s="39" t="n">
        <f aca="false">(('Business Case'!G11*$C158*'Business Case'!G12*$B158)-'Business Case'!G11*$C158*'Business Case'!G13*$D158-'Business Case'!G14*$E158)-MAX(0,(('Business Case'!G11*$C158*'Business Case'!G12*$B158)-'Business Case'!G11*$C158*'Business Case'!G13*$D158-'Business Case'!G14*$E158))*'Business Case'!$B$7-'Business Case'!$B$8*(('Business Case'!G11*$C158*'Business Case'!G12*$B158)-('Business Case'!F11*$C158*'Business Case'!F12*$B158))-'Business Case'!G15*$F158+'Business Case'!$B$8*('Business Case'!G11*$C158*'Business Case'!G12*$B158)</f>
        <v>811189306.909759</v>
      </c>
      <c r="N158" s="39" t="n">
        <f aca="false">IF(COUNT('Business Case'!B11:G11)=0,"",H158+NPV(G158,I158:M158))</f>
        <v>-666262458.695448</v>
      </c>
      <c r="P158" s="40" t="n">
        <f aca="true">RAND()</f>
        <v>0.374423442050395</v>
      </c>
      <c r="Q158" s="40" t="n">
        <f aca="true">RAND()</f>
        <v>0.293499945174429</v>
      </c>
      <c r="R158" s="40" t="n">
        <f aca="true">RAND()</f>
        <v>0.82351972240463</v>
      </c>
      <c r="S158" s="40" t="n">
        <f aca="true">RAND()</f>
        <v>0.837871317906248</v>
      </c>
      <c r="T158" s="40" t="n">
        <f aca="true">RAND()</f>
        <v>0.664540780159653</v>
      </c>
      <c r="U158" s="40" t="n">
        <f aca="true">RAND()</f>
        <v>0.132957000002114</v>
      </c>
    </row>
    <row r="159" customFormat="false" ht="15" hidden="false" customHeight="false" outlineLevel="0" collapsed="false">
      <c r="A159" s="36" t="n">
        <v>79</v>
      </c>
      <c r="B159" s="37" t="n">
        <f aca="false">1+IF($G$6=$E$6,$F$6,IF(P159&lt;($F$6-$E$6)/($G$6-$E$6),$E$6+SQRT(P159*($G$6-$E$6)*($F$6-$E$6)),$G$6-SQRT((1-P159)*($G$6-$E$6)*($G$6-$F$6))))</f>
        <v>1.01110899092124</v>
      </c>
      <c r="C159" s="37" t="n">
        <f aca="false">1+IF($G$7=$E$7,$F$7,IF(Q159&lt;($F$7-$E$7)/($G$7-$E$7),$E$7+SQRT(Q159*($G$7-$E$7)*($F$7-$E$7)),$G$7-SQRT((1-Q159)*($G$7-$E$7)*($G$7-$F$7))))</f>
        <v>1.02572443119387</v>
      </c>
      <c r="D159" s="37" t="n">
        <f aca="false">1+IF($G$8=$E$8,$F$8,IF(R159&lt;($F$8-$E$8)/($G$8-$E$8),$E$8+SQRT(R159*($G$8-$E$8)*($F$8-$E$8)),$G$8-SQRT((1-R159)*($G$8-$E$8)*($G$8-$F$8))))</f>
        <v>0.998364808676341</v>
      </c>
      <c r="E159" s="37" t="n">
        <f aca="false">1+IF($G$9=$E$9,$F$9,IF(S159&lt;($F$9-$E$9)/($G$9-$E$9),$E$9+SQRT(S159*($G$9-$E$9)*($F$9-$E$9)),$G$9-SQRT((1-S159)*($G$9-$E$9)*($G$9-$F$9))))</f>
        <v>1.02885638409226</v>
      </c>
      <c r="F159" s="37" t="n">
        <f aca="false">1+IF($G$10=$E$10,$F$10,IF(T159&lt;($F$10-$E$10)/($G$10-$E$10),$E$10+SQRT(T159*($G$10-$E$10)*($F$10-$E$10)),$G$10-SQRT((1-T159)*($G$10-$E$10)*($G$10-$F$10))))</f>
        <v>0.981432330376897</v>
      </c>
      <c r="G159" s="38" t="n">
        <f aca="false">IF($G$11=$E$11,$F$11,IF(U159&lt;($F$11-$E$11)/($G$11-$E$11),$E$11+SQRT(U159*($G$11-$E$11)*($F$11-$E$11)),$G$11-SQRT((1-U159)*($G$11-$E$11)*($G$11-$F$11))))</f>
        <v>0.112210622211297</v>
      </c>
      <c r="H159" s="39" t="n">
        <f aca="false">(('Business Case'!B11*$C159*'Business Case'!B12*$B159)-'Business Case'!B11*$C159*'Business Case'!B13*$D159-'Business Case'!B14*$E159)-MAX(0,(('Business Case'!B11*$C159*'Business Case'!B12*$B159)-'Business Case'!B11*$C159*'Business Case'!B13*$D159-'Business Case'!B14*$E159))*'Business Case'!$B$7-'Business Case'!$B$8*('Business Case'!B11*$C159*'Business Case'!B12*$B159)-'Business Case'!B15*$F159</f>
        <v>-1962864660.75379</v>
      </c>
      <c r="I159" s="39" t="n">
        <f aca="false">(('Business Case'!C11*$C159*'Business Case'!C12*$B159)-'Business Case'!C11*$C159*'Business Case'!C13*$D159-'Business Case'!C14*$E159)-MAX(0,(('Business Case'!C11*$C159*'Business Case'!C12*$B159)-'Business Case'!C11*$C159*'Business Case'!C13*$D159-'Business Case'!C14*$E159))*'Business Case'!$B$7-'Business Case'!$B$8*(('Business Case'!C11*$C159*'Business Case'!C12*$B159)-('Business Case'!B11*$C159*'Business Case'!B12*$B159))-'Business Case'!C15*$F159</f>
        <v>27034192.962534</v>
      </c>
      <c r="J159" s="39" t="n">
        <f aca="false">(('Business Case'!D11*$C159*'Business Case'!D12*$B159)-'Business Case'!D11*$C159*'Business Case'!D13*$D159-'Business Case'!D14*$E159)-MAX(0,(('Business Case'!D11*$C159*'Business Case'!D12*$B159)-'Business Case'!D11*$C159*'Business Case'!D13*$D159-'Business Case'!D14*$E159))*'Business Case'!$B$7-'Business Case'!$B$8*(('Business Case'!D11*$C159*'Business Case'!D12*$B159)-('Business Case'!C11*$C159*'Business Case'!C12*$B159))-'Business Case'!D15*$F159</f>
        <v>352279255.828103</v>
      </c>
      <c r="K159" s="39" t="n">
        <f aca="false">(('Business Case'!E11*$C159*'Business Case'!E12*$B159)-'Business Case'!E11*$C159*'Business Case'!E13*$D159-'Business Case'!E14*$E159)-MAX(0,(('Business Case'!E11*$C159*'Business Case'!E12*$B159)-'Business Case'!E11*$C159*'Business Case'!E13*$D159-'Business Case'!E14*$E159))*'Business Case'!$B$7-'Business Case'!$B$8*(('Business Case'!E11*$C159*'Business Case'!E12*$B159)-('Business Case'!D11*$C159*'Business Case'!D12*$B159))-'Business Case'!E15*$F159</f>
        <v>726595935.212518</v>
      </c>
      <c r="L159" s="39" t="n">
        <f aca="false">(('Business Case'!F11*$C159*'Business Case'!F12*$B159)-'Business Case'!F11*$C159*'Business Case'!F13*$D159-'Business Case'!F14*$E159)-MAX(0,(('Business Case'!F11*$C159*'Business Case'!F12*$B159)-'Business Case'!F11*$C159*'Business Case'!F13*$D159-'Business Case'!F14*$E159))*'Business Case'!$B$7-'Business Case'!$B$8*(('Business Case'!F11*$C159*'Business Case'!F12*$B159)-('Business Case'!E11*$C159*'Business Case'!E12*$B159))-'Business Case'!F15*$F159</f>
        <v>870853795.532659</v>
      </c>
      <c r="M159" s="39" t="n">
        <f aca="false">(('Business Case'!G11*$C159*'Business Case'!G12*$B159)-'Business Case'!G11*$C159*'Business Case'!G13*$D159-'Business Case'!G14*$E159)-MAX(0,(('Business Case'!G11*$C159*'Business Case'!G12*$B159)-'Business Case'!G11*$C159*'Business Case'!G13*$D159-'Business Case'!G14*$E159))*'Business Case'!$B$7-'Business Case'!$B$8*(('Business Case'!G11*$C159*'Business Case'!G12*$B159)-('Business Case'!F11*$C159*'Business Case'!F12*$B159))-'Business Case'!G15*$F159+'Business Case'!$B$8*('Business Case'!G11*$C159*'Business Case'!G12*$B159)</f>
        <v>1067989412.03989</v>
      </c>
      <c r="N159" s="39" t="n">
        <f aca="false">IF(COUNT('Business Case'!B11:G11)=0,"",H159+NPV(G159,I159:M159))</f>
        <v>70980622.6672454</v>
      </c>
      <c r="P159" s="40" t="n">
        <f aca="true">RAND()</f>
        <v>0.826106165502255</v>
      </c>
      <c r="Q159" s="40" t="n">
        <f aca="true">RAND()</f>
        <v>0.705820628531656</v>
      </c>
      <c r="R159" s="40" t="n">
        <f aca="true">RAND()</f>
        <v>0.359869956661401</v>
      </c>
      <c r="S159" s="40" t="n">
        <f aca="true">RAND()</f>
        <v>0.662572394371509</v>
      </c>
      <c r="T159" s="40" t="n">
        <f aca="true">RAND()</f>
        <v>0.0790393114337908</v>
      </c>
      <c r="U159" s="40" t="n">
        <f aca="true">RAND()</f>
        <v>0.898875989441426</v>
      </c>
    </row>
    <row r="160" customFormat="false" ht="15" hidden="false" customHeight="false" outlineLevel="0" collapsed="false">
      <c r="A160" s="36" t="n">
        <v>80</v>
      </c>
      <c r="B160" s="37" t="n">
        <f aca="false">1+IF($G$6=$E$6,$F$6,IF(P160&lt;($F$6-$E$6)/($G$6-$E$6),$E$6+SQRT(P160*($G$6-$E$6)*($F$6-$E$6)),$G$6-SQRT((1-P160)*($G$6-$E$6)*($G$6-$F$6))))</f>
        <v>1.00024582022779</v>
      </c>
      <c r="C160" s="37" t="n">
        <f aca="false">1+IF($G$7=$E$7,$F$7,IF(Q160&lt;($F$7-$E$7)/($G$7-$E$7),$E$7+SQRT(Q160*($G$7-$E$7)*($F$7-$E$7)),$G$7-SQRT((1-Q160)*($G$7-$E$7)*($G$7-$F$7))))</f>
        <v>1.02970343256724</v>
      </c>
      <c r="D160" s="37" t="n">
        <f aca="false">1+IF($G$8=$E$8,$F$8,IF(R160&lt;($F$8-$E$8)/($G$8-$E$8),$E$8+SQRT(R160*($G$8-$E$8)*($F$8-$E$8)),$G$8-SQRT((1-R160)*($G$8-$E$8)*($G$8-$F$8))))</f>
        <v>1.06669705942317</v>
      </c>
      <c r="E160" s="37" t="n">
        <f aca="false">1+IF($G$9=$E$9,$F$9,IF(S160&lt;($F$9-$E$9)/($G$9-$E$9),$E$9+SQRT(S160*($G$9-$E$9)*($F$9-$E$9)),$G$9-SQRT((1-S160)*($G$9-$E$9)*($G$9-$F$9))))</f>
        <v>0.984751540707643</v>
      </c>
      <c r="F160" s="37" t="n">
        <f aca="false">1+IF($G$10=$E$10,$F$10,IF(T160&lt;($F$10-$E$10)/($G$10-$E$10),$E$10+SQRT(T160*($G$10-$E$10)*($F$10-$E$10)),$G$10-SQRT((1-T160)*($G$10-$E$10)*($G$10-$F$10))))</f>
        <v>1.05710351924728</v>
      </c>
      <c r="G160" s="38" t="n">
        <f aca="false">IF($G$11=$E$11,$F$11,IF(U160&lt;($F$11-$E$11)/($G$11-$E$11),$E$11+SQRT(U160*($G$11-$E$11)*($F$11-$E$11)),$G$11-SQRT((1-U160)*($G$11-$E$11)*($G$11-$F$11))))</f>
        <v>0.0992495714980621</v>
      </c>
      <c r="H160" s="39" t="n">
        <f aca="false">(('Business Case'!B11*$C160*'Business Case'!B12*$B160)-'Business Case'!B11*$C160*'Business Case'!B13*$D160-'Business Case'!B14*$E160)-MAX(0,(('Business Case'!B11*$C160*'Business Case'!B12*$B160)-'Business Case'!B11*$C160*'Business Case'!B13*$D160-'Business Case'!B14*$E160))*'Business Case'!$B$7-'Business Case'!$B$8*('Business Case'!B11*$C160*'Business Case'!B12*$B160)-'Business Case'!B15*$F160</f>
        <v>-2114207038.49455</v>
      </c>
      <c r="I160" s="39" t="n">
        <f aca="false">(('Business Case'!C11*$C160*'Business Case'!C12*$B160)-'Business Case'!C11*$C160*'Business Case'!C13*$D160-'Business Case'!C14*$E160)-MAX(0,(('Business Case'!C11*$C160*'Business Case'!C12*$B160)-'Business Case'!C11*$C160*'Business Case'!C13*$D160-'Business Case'!C14*$E160))*'Business Case'!$B$7-'Business Case'!$B$8*(('Business Case'!C11*$C160*'Business Case'!C12*$B160)-('Business Case'!B11*$C160*'Business Case'!B12*$B160))-'Business Case'!C15*$F160</f>
        <v>-17809914.5435169</v>
      </c>
      <c r="J160" s="39" t="n">
        <f aca="false">(('Business Case'!D11*$C160*'Business Case'!D12*$B160)-'Business Case'!D11*$C160*'Business Case'!D13*$D160-'Business Case'!D14*$E160)-MAX(0,(('Business Case'!D11*$C160*'Business Case'!D12*$B160)-'Business Case'!D11*$C160*'Business Case'!D13*$D160-'Business Case'!D14*$E160))*'Business Case'!$B$7-'Business Case'!$B$8*(('Business Case'!D11*$C160*'Business Case'!D12*$B160)-('Business Case'!C11*$C160*'Business Case'!C12*$B160))-'Business Case'!D15*$F160</f>
        <v>263515139.711579</v>
      </c>
      <c r="K160" s="39" t="n">
        <f aca="false">(('Business Case'!E11*$C160*'Business Case'!E12*$B160)-'Business Case'!E11*$C160*'Business Case'!E13*$D160-'Business Case'!E14*$E160)-MAX(0,(('Business Case'!E11*$C160*'Business Case'!E12*$B160)-'Business Case'!E11*$C160*'Business Case'!E13*$D160-'Business Case'!E14*$E160))*'Business Case'!$B$7-'Business Case'!$B$8*(('Business Case'!E11*$C160*'Business Case'!E12*$B160)-('Business Case'!D11*$C160*'Business Case'!D12*$B160))-'Business Case'!E15*$F160</f>
        <v>597695369.929039</v>
      </c>
      <c r="L160" s="39" t="n">
        <f aca="false">(('Business Case'!F11*$C160*'Business Case'!F12*$B160)-'Business Case'!F11*$C160*'Business Case'!F13*$D160-'Business Case'!F14*$E160)-MAX(0,(('Business Case'!F11*$C160*'Business Case'!F12*$B160)-'Business Case'!F11*$C160*'Business Case'!F13*$D160-'Business Case'!F14*$E160))*'Business Case'!$B$7-'Business Case'!$B$8*(('Business Case'!F11*$C160*'Business Case'!F12*$B160)-('Business Case'!E11*$C160*'Business Case'!E12*$B160))-'Business Case'!F15*$F160</f>
        <v>727065686.537577</v>
      </c>
      <c r="M160" s="39" t="n">
        <f aca="false">(('Business Case'!G11*$C160*'Business Case'!G12*$B160)-'Business Case'!G11*$C160*'Business Case'!G13*$D160-'Business Case'!G14*$E160)-MAX(0,(('Business Case'!G11*$C160*'Business Case'!G12*$B160)-'Business Case'!G11*$C160*'Business Case'!G13*$D160-'Business Case'!G14*$E160))*'Business Case'!$B$7-'Business Case'!$B$8*(('Business Case'!G11*$C160*'Business Case'!G12*$B160)-('Business Case'!F11*$C160*'Business Case'!F12*$B160))-'Business Case'!G15*$F160+'Business Case'!$B$8*('Business Case'!G11*$C160*'Business Case'!G12*$B160)</f>
        <v>922839828.416858</v>
      </c>
      <c r="N160" s="39" t="n">
        <f aca="false">IF(COUNT('Business Case'!B11:G11)=0,"",H160+NPV(G160,I160:M160))</f>
        <v>-389430099.97563</v>
      </c>
      <c r="P160" s="40" t="n">
        <f aca="true">RAND()</f>
        <v>0.670751081383033</v>
      </c>
      <c r="Q160" s="40" t="n">
        <f aca="true">RAND()</f>
        <v>0.724356873597992</v>
      </c>
      <c r="R160" s="40" t="n">
        <f aca="true">RAND()</f>
        <v>0.982983824231654</v>
      </c>
      <c r="S160" s="40" t="n">
        <f aca="true">RAND()</f>
        <v>0.161022610873993</v>
      </c>
      <c r="T160" s="40" t="n">
        <f aca="true">RAND()</f>
        <v>0.59161191576973</v>
      </c>
      <c r="U160" s="40" t="n">
        <f aca="true">RAND()</f>
        <v>0.285181909659211</v>
      </c>
    </row>
    <row r="161" customFormat="false" ht="15" hidden="false" customHeight="false" outlineLevel="0" collapsed="false">
      <c r="A161" s="36" t="n">
        <v>81</v>
      </c>
      <c r="B161" s="37" t="n">
        <f aca="false">1+IF($G$6=$E$6,$F$6,IF(P161&lt;($F$6-$E$6)/($G$6-$E$6),$E$6+SQRT(P161*($G$6-$E$6)*($F$6-$E$6)),$G$6-SQRT((1-P161)*($G$6-$E$6)*($G$6-$F$6))))</f>
        <v>0.976930904693651</v>
      </c>
      <c r="C161" s="37" t="n">
        <f aca="false">1+IF($G$7=$E$7,$F$7,IF(Q161&lt;($F$7-$E$7)/($G$7-$E$7),$E$7+SQRT(Q161*($G$7-$E$7)*($F$7-$E$7)),$G$7-SQRT((1-Q161)*($G$7-$E$7)*($G$7-$F$7))))</f>
        <v>1.04759472970383</v>
      </c>
      <c r="D161" s="37" t="n">
        <f aca="false">1+IF($G$8=$E$8,$F$8,IF(R161&lt;($F$8-$E$8)/($G$8-$E$8),$E$8+SQRT(R161*($G$8-$E$8)*($F$8-$E$8)),$G$8-SQRT((1-R161)*($G$8-$E$8)*($G$8-$F$8))))</f>
        <v>1.02320499899122</v>
      </c>
      <c r="E161" s="37" t="n">
        <f aca="false">1+IF($G$9=$E$9,$F$9,IF(S161&lt;($F$9-$E$9)/($G$9-$E$9),$E$9+SQRT(S161*($G$9-$E$9)*($F$9-$E$9)),$G$9-SQRT((1-S161)*($G$9-$E$9)*($G$9-$F$9))))</f>
        <v>1.04274911326695</v>
      </c>
      <c r="F161" s="37" t="n">
        <f aca="false">1+IF($G$10=$E$10,$F$10,IF(T161&lt;($F$10-$E$10)/($G$10-$E$10),$E$10+SQRT(T161*($G$10-$E$10)*($F$10-$E$10)),$G$10-SQRT((1-T161)*($G$10-$E$10)*($G$10-$F$10))))</f>
        <v>1.01799881934479</v>
      </c>
      <c r="G161" s="38" t="n">
        <f aca="false">IF($G$11=$E$11,$F$11,IF(U161&lt;($F$11-$E$11)/($G$11-$E$11),$E$11+SQRT(U161*($G$11-$E$11)*($F$11-$E$11)),$G$11-SQRT((1-U161)*($G$11-$E$11)*($G$11-$F$11))))</f>
        <v>0.106462901533197</v>
      </c>
      <c r="H161" s="39" t="n">
        <f aca="false">(('Business Case'!B11*$C161*'Business Case'!B12*$B161)-'Business Case'!B11*$C161*'Business Case'!B13*$D161-'Business Case'!B14*$E161)-MAX(0,(('Business Case'!B11*$C161*'Business Case'!B12*$B161)-'Business Case'!B11*$C161*'Business Case'!B13*$D161-'Business Case'!B14*$E161))*'Business Case'!$B$7-'Business Case'!$B$8*('Business Case'!B11*$C161*'Business Case'!B12*$B161)-'Business Case'!B15*$F161</f>
        <v>-2035997638.68958</v>
      </c>
      <c r="I161" s="39" t="n">
        <f aca="false">(('Business Case'!C11*$C161*'Business Case'!C12*$B161)-'Business Case'!C11*$C161*'Business Case'!C13*$D161-'Business Case'!C14*$E161)-MAX(0,(('Business Case'!C11*$C161*'Business Case'!C12*$B161)-'Business Case'!C11*$C161*'Business Case'!C13*$D161-'Business Case'!C14*$E161))*'Business Case'!$B$7-'Business Case'!$B$8*(('Business Case'!C11*$C161*'Business Case'!C12*$B161)-('Business Case'!B11*$C161*'Business Case'!B12*$B161))-'Business Case'!C15*$F161</f>
        <v>-13601529.8151326</v>
      </c>
      <c r="J161" s="39" t="n">
        <f aca="false">(('Business Case'!D11*$C161*'Business Case'!D12*$B161)-'Business Case'!D11*$C161*'Business Case'!D13*$D161-'Business Case'!D14*$E161)-MAX(0,(('Business Case'!D11*$C161*'Business Case'!D12*$B161)-'Business Case'!D11*$C161*'Business Case'!D13*$D161-'Business Case'!D14*$E161))*'Business Case'!$B$7-'Business Case'!$B$8*(('Business Case'!D11*$C161*'Business Case'!D12*$B161)-('Business Case'!C11*$C161*'Business Case'!C12*$B161))-'Business Case'!D15*$F161</f>
        <v>275930236.470224</v>
      </c>
      <c r="K161" s="39" t="n">
        <f aca="false">(('Business Case'!E11*$C161*'Business Case'!E12*$B161)-'Business Case'!E11*$C161*'Business Case'!E13*$D161-'Business Case'!E14*$E161)-MAX(0,(('Business Case'!E11*$C161*'Business Case'!E12*$B161)-'Business Case'!E11*$C161*'Business Case'!E13*$D161-'Business Case'!E14*$E161))*'Business Case'!$B$7-'Business Case'!$B$8*(('Business Case'!E11*$C161*'Business Case'!E12*$B161)-('Business Case'!D11*$C161*'Business Case'!D12*$B161))-'Business Case'!E15*$F161</f>
        <v>616361943.72282</v>
      </c>
      <c r="L161" s="39" t="n">
        <f aca="false">(('Business Case'!F11*$C161*'Business Case'!F12*$B161)-'Business Case'!F11*$C161*'Business Case'!F13*$D161-'Business Case'!F14*$E161)-MAX(0,(('Business Case'!F11*$C161*'Business Case'!F12*$B161)-'Business Case'!F11*$C161*'Business Case'!F13*$D161-'Business Case'!F14*$E161))*'Business Case'!$B$7-'Business Case'!$B$8*(('Business Case'!F11*$C161*'Business Case'!F12*$B161)-('Business Case'!E11*$C161*'Business Case'!E12*$B161))-'Business Case'!F15*$F161</f>
        <v>748242192.657573</v>
      </c>
      <c r="M161" s="39" t="n">
        <f aca="false">(('Business Case'!G11*$C161*'Business Case'!G12*$B161)-'Business Case'!G11*$C161*'Business Case'!G13*$D161-'Business Case'!G14*$E161)-MAX(0,(('Business Case'!G11*$C161*'Business Case'!G12*$B161)-'Business Case'!G11*$C161*'Business Case'!G13*$D161-'Business Case'!G14*$E161))*'Business Case'!$B$7-'Business Case'!$B$8*(('Business Case'!G11*$C161*'Business Case'!G12*$B161)-('Business Case'!F11*$C161*'Business Case'!F12*$B161))-'Business Case'!G15*$F161+'Business Case'!$B$8*('Business Case'!G11*$C161*'Business Case'!G12*$B161)</f>
        <v>942775323.60889</v>
      </c>
      <c r="N161" s="39" t="n">
        <f aca="false">IF(COUNT('Business Case'!B11:G11)=0,"",H161+NPV(G161,I161:M161))</f>
        <v>-300176001.277749</v>
      </c>
      <c r="P161" s="40" t="n">
        <f aca="true">RAND()</f>
        <v>0.337617490545582</v>
      </c>
      <c r="Q161" s="40" t="n">
        <f aca="true">RAND()</f>
        <v>0.800250678391775</v>
      </c>
      <c r="R161" s="40" t="n">
        <f aca="true">RAND()</f>
        <v>0.689839217347358</v>
      </c>
      <c r="S161" s="40" t="n">
        <f aca="true">RAND()</f>
        <v>0.781489064551946</v>
      </c>
      <c r="T161" s="40" t="n">
        <f aca="true">RAND()</f>
        <v>0.337511404802191</v>
      </c>
      <c r="U161" s="40" t="n">
        <f aca="true">RAND()</f>
        <v>0.694578275166782</v>
      </c>
    </row>
    <row r="162" customFormat="false" ht="15" hidden="false" customHeight="false" outlineLevel="0" collapsed="false">
      <c r="A162" s="36" t="n">
        <v>82</v>
      </c>
      <c r="B162" s="37" t="n">
        <f aca="false">1+IF($G$6=$E$6,$F$6,IF(P162&lt;($F$6-$E$6)/($G$6-$E$6),$E$6+SQRT(P162*($G$6-$E$6)*($F$6-$E$6)),$G$6-SQRT((1-P162)*($G$6-$E$6)*($G$6-$F$6))))</f>
        <v>0.996752991945335</v>
      </c>
      <c r="C162" s="37" t="n">
        <f aca="false">1+IF($G$7=$E$7,$F$7,IF(Q162&lt;($F$7-$E$7)/($G$7-$E$7),$E$7+SQRT(Q162*($G$7-$E$7)*($F$7-$E$7)),$G$7-SQRT((1-Q162)*($G$7-$E$7)*($G$7-$F$7))))</f>
        <v>1.02440679415046</v>
      </c>
      <c r="D162" s="37" t="n">
        <f aca="false">1+IF($G$8=$E$8,$F$8,IF(R162&lt;($F$8-$E$8)/($G$8-$E$8),$E$8+SQRT(R162*($G$8-$E$8)*($F$8-$E$8)),$G$8-SQRT((1-R162)*($G$8-$E$8)*($G$8-$F$8))))</f>
        <v>1.0023439346911</v>
      </c>
      <c r="E162" s="37" t="n">
        <f aca="false">1+IF($G$9=$E$9,$F$9,IF(S162&lt;($F$9-$E$9)/($G$9-$E$9),$E$9+SQRT(S162*($G$9-$E$9)*($F$9-$E$9)),$G$9-SQRT((1-S162)*($G$9-$E$9)*($G$9-$F$9))))</f>
        <v>0.962150781395316</v>
      </c>
      <c r="F162" s="37" t="n">
        <f aca="false">1+IF($G$10=$E$10,$F$10,IF(T162&lt;($F$10-$E$10)/($G$10-$E$10),$E$10+SQRT(T162*($G$10-$E$10)*($F$10-$E$10)),$G$10-SQRT((1-T162)*($G$10-$E$10)*($G$10-$F$10))))</f>
        <v>1.11972882899751</v>
      </c>
      <c r="G162" s="38" t="n">
        <f aca="false">IF($G$11=$E$11,$F$11,IF(U162&lt;($F$11-$E$11)/($G$11-$E$11),$E$11+SQRT(U162*($G$11-$E$11)*($F$11-$E$11)),$G$11-SQRT((1-U162)*($G$11-$E$11)*($G$11-$F$11))))</f>
        <v>0.10383841915316</v>
      </c>
      <c r="H162" s="39" t="n">
        <f aca="false">(('Business Case'!B11*$C162*'Business Case'!B12*$B162)-'Business Case'!B11*$C162*'Business Case'!B13*$D162-'Business Case'!B14*$E162)-MAX(0,(('Business Case'!B11*$C162*'Business Case'!B12*$B162)-'Business Case'!B11*$C162*'Business Case'!B13*$D162-'Business Case'!B14*$E162))*'Business Case'!$B$7-'Business Case'!$B$8*('Business Case'!B11*$C162*'Business Case'!B12*$B162)-'Business Case'!B15*$F162</f>
        <v>-2239457657.99501</v>
      </c>
      <c r="I162" s="39" t="n">
        <f aca="false">(('Business Case'!C11*$C162*'Business Case'!C12*$B162)-'Business Case'!C11*$C162*'Business Case'!C13*$D162-'Business Case'!C14*$E162)-MAX(0,(('Business Case'!C11*$C162*'Business Case'!C12*$B162)-'Business Case'!C11*$C162*'Business Case'!C13*$D162-'Business Case'!C14*$E162))*'Business Case'!$B$7-'Business Case'!$B$8*(('Business Case'!C11*$C162*'Business Case'!C12*$B162)-('Business Case'!B11*$C162*'Business Case'!B12*$B162))-'Business Case'!C15*$F162</f>
        <v>8971419.58616471</v>
      </c>
      <c r="J162" s="39" t="n">
        <f aca="false">(('Business Case'!D11*$C162*'Business Case'!D12*$B162)-'Business Case'!D11*$C162*'Business Case'!D13*$D162-'Business Case'!D14*$E162)-MAX(0,(('Business Case'!D11*$C162*'Business Case'!D12*$B162)-'Business Case'!D11*$C162*'Business Case'!D13*$D162-'Business Case'!D14*$E162))*'Business Case'!$B$7-'Business Case'!$B$8*(('Business Case'!D11*$C162*'Business Case'!D12*$B162)-('Business Case'!C11*$C162*'Business Case'!C12*$B162))-'Business Case'!D15*$F162</f>
        <v>319666378.226575</v>
      </c>
      <c r="K162" s="39" t="n">
        <f aca="false">(('Business Case'!E11*$C162*'Business Case'!E12*$B162)-'Business Case'!E11*$C162*'Business Case'!E13*$D162-'Business Case'!E14*$E162)-MAX(0,(('Business Case'!E11*$C162*'Business Case'!E12*$B162)-'Business Case'!E11*$C162*'Business Case'!E13*$D162-'Business Case'!E14*$E162))*'Business Case'!$B$7-'Business Case'!$B$8*(('Business Case'!E11*$C162*'Business Case'!E12*$B162)-('Business Case'!D11*$C162*'Business Case'!D12*$B162))-'Business Case'!E15*$F162</f>
        <v>686347778.316861</v>
      </c>
      <c r="L162" s="39" t="n">
        <f aca="false">(('Business Case'!F11*$C162*'Business Case'!F12*$B162)-'Business Case'!F11*$C162*'Business Case'!F13*$D162-'Business Case'!F14*$E162)-MAX(0,(('Business Case'!F11*$C162*'Business Case'!F12*$B162)-'Business Case'!F11*$C162*'Business Case'!F13*$D162-'Business Case'!F14*$E162))*'Business Case'!$B$7-'Business Case'!$B$8*(('Business Case'!F11*$C162*'Business Case'!F12*$B162)-('Business Case'!E11*$C162*'Business Case'!E12*$B162))-'Business Case'!F15*$F162</f>
        <v>825201307.890385</v>
      </c>
      <c r="M162" s="39" t="n">
        <f aca="false">(('Business Case'!G11*$C162*'Business Case'!G12*$B162)-'Business Case'!G11*$C162*'Business Case'!G13*$D162-'Business Case'!G14*$E162)-MAX(0,(('Business Case'!G11*$C162*'Business Case'!G12*$B162)-'Business Case'!G11*$C162*'Business Case'!G13*$D162-'Business Case'!G14*$E162))*'Business Case'!$B$7-'Business Case'!$B$8*(('Business Case'!G11*$C162*'Business Case'!G12*$B162)-('Business Case'!F11*$C162*'Business Case'!F12*$B162))-'Business Case'!G15*$F162+'Business Case'!$B$8*('Business Case'!G11*$C162*'Business Case'!G12*$B162)</f>
        <v>1019288296.37068</v>
      </c>
      <c r="N162" s="39" t="n">
        <f aca="false">IF(COUNT('Business Case'!B11:G11)=0,"",H162+NPV(G162,I162:M162))</f>
        <v>-280879853.61768</v>
      </c>
      <c r="P162" s="40" t="n">
        <f aca="true">RAND()</f>
        <v>0.613648101308399</v>
      </c>
      <c r="Q162" s="40" t="n">
        <f aca="true">RAND()</f>
        <v>0.699549459894008</v>
      </c>
      <c r="R162" s="40" t="n">
        <f aca="true">RAND()</f>
        <v>0.420147646225019</v>
      </c>
      <c r="S162" s="40" t="n">
        <f aca="true">RAND()</f>
        <v>0.0196855318022348</v>
      </c>
      <c r="T162" s="40" t="n">
        <f aca="true">RAND()</f>
        <v>0.871130782117765</v>
      </c>
      <c r="U162" s="40" t="n">
        <f aca="true">RAND()</f>
        <v>0.564672174218418</v>
      </c>
    </row>
    <row r="163" customFormat="false" ht="15" hidden="false" customHeight="false" outlineLevel="0" collapsed="false">
      <c r="A163" s="36" t="n">
        <v>83</v>
      </c>
      <c r="B163" s="37" t="n">
        <f aca="false">1+IF($G$6=$E$6,$F$6,IF(P163&lt;($F$6-$E$6)/($G$6-$E$6),$E$6+SQRT(P163*($G$6-$E$6)*($F$6-$E$6)),$G$6-SQRT((1-P163)*($G$6-$E$6)*($G$6-$F$6))))</f>
        <v>0.995151296972148</v>
      </c>
      <c r="C163" s="37" t="n">
        <f aca="false">1+IF($G$7=$E$7,$F$7,IF(Q163&lt;($F$7-$E$7)/($G$7-$E$7),$E$7+SQRT(Q163*($G$7-$E$7)*($F$7-$E$7)),$G$7-SQRT((1-Q163)*($G$7-$E$7)*($G$7-$F$7))))</f>
        <v>1.11067497343559</v>
      </c>
      <c r="D163" s="37" t="n">
        <f aca="false">1+IF($G$8=$E$8,$F$8,IF(R163&lt;($F$8-$E$8)/($G$8-$E$8),$E$8+SQRT(R163*($G$8-$E$8)*($F$8-$E$8)),$G$8-SQRT((1-R163)*($G$8-$E$8)*($G$8-$F$8))))</f>
        <v>0.984175369201159</v>
      </c>
      <c r="E163" s="37" t="n">
        <f aca="false">1+IF($G$9=$E$9,$F$9,IF(S163&lt;($F$9-$E$9)/($G$9-$E$9),$E$9+SQRT(S163*($G$9-$E$9)*($F$9-$E$9)),$G$9-SQRT((1-S163)*($G$9-$E$9)*($G$9-$F$9))))</f>
        <v>0.985196306364956</v>
      </c>
      <c r="F163" s="37" t="n">
        <f aca="false">1+IF($G$10=$E$10,$F$10,IF(T163&lt;($F$10-$E$10)/($G$10-$E$10),$E$10+SQRT(T163*($G$10-$E$10)*($F$10-$E$10)),$G$10-SQRT((1-T163)*($G$10-$E$10)*($G$10-$F$10))))</f>
        <v>0.992053618154348</v>
      </c>
      <c r="G163" s="38" t="n">
        <f aca="false">IF($G$11=$E$11,$F$11,IF(U163&lt;($F$11-$E$11)/($G$11-$E$11),$E$11+SQRT(U163*($G$11-$E$11)*($F$11-$E$11)),$G$11-SQRT((1-U163)*($G$11-$E$11)*($G$11-$F$11))))</f>
        <v>0.102341743251425</v>
      </c>
      <c r="H163" s="39" t="n">
        <f aca="false">(('Business Case'!B11*$C163*'Business Case'!B12*$B163)-'Business Case'!B11*$C163*'Business Case'!B13*$D163-'Business Case'!B14*$E163)-MAX(0,(('Business Case'!B11*$C163*'Business Case'!B12*$B163)-'Business Case'!B11*$C163*'Business Case'!B13*$D163-'Business Case'!B14*$E163))*'Business Case'!$B$7-'Business Case'!$B$8*('Business Case'!B11*$C163*'Business Case'!B12*$B163)-'Business Case'!B15*$F163</f>
        <v>-1984107236.3087</v>
      </c>
      <c r="I163" s="39" t="n">
        <f aca="false">(('Business Case'!C11*$C163*'Business Case'!C12*$B163)-'Business Case'!C11*$C163*'Business Case'!C13*$D163-'Business Case'!C14*$E163)-MAX(0,(('Business Case'!C11*$C163*'Business Case'!C12*$B163)-'Business Case'!C11*$C163*'Business Case'!C13*$D163-'Business Case'!C14*$E163))*'Business Case'!$B$7-'Business Case'!$B$8*(('Business Case'!C11*$C163*'Business Case'!C12*$B163)-('Business Case'!B11*$C163*'Business Case'!B12*$B163))-'Business Case'!C15*$F163</f>
        <v>49134089.2182295</v>
      </c>
      <c r="J163" s="39" t="n">
        <f aca="false">(('Business Case'!D11*$C163*'Business Case'!D12*$B163)-'Business Case'!D11*$C163*'Business Case'!D13*$D163-'Business Case'!D14*$E163)-MAX(0,(('Business Case'!D11*$C163*'Business Case'!D12*$B163)-'Business Case'!D11*$C163*'Business Case'!D13*$D163-'Business Case'!D14*$E163))*'Business Case'!$B$7-'Business Case'!$B$8*(('Business Case'!D11*$C163*'Business Case'!D12*$B163)-('Business Case'!C11*$C163*'Business Case'!C12*$B163))-'Business Case'!D15*$F163</f>
        <v>394866669.971643</v>
      </c>
      <c r="K163" s="39" t="n">
        <f aca="false">(('Business Case'!E11*$C163*'Business Case'!E12*$B163)-'Business Case'!E11*$C163*'Business Case'!E13*$D163-'Business Case'!E14*$E163)-MAX(0,(('Business Case'!E11*$C163*'Business Case'!E12*$B163)-'Business Case'!E11*$C163*'Business Case'!E13*$D163-'Business Case'!E14*$E163))*'Business Case'!$B$7-'Business Case'!$B$8*(('Business Case'!E11*$C163*'Business Case'!E12*$B163)-('Business Case'!D11*$C163*'Business Case'!D12*$B163))-'Business Case'!E15*$F163</f>
        <v>790201931.632773</v>
      </c>
      <c r="L163" s="39" t="n">
        <f aca="false">(('Business Case'!F11*$C163*'Business Case'!F12*$B163)-'Business Case'!F11*$C163*'Business Case'!F13*$D163-'Business Case'!F14*$E163)-MAX(0,(('Business Case'!F11*$C163*'Business Case'!F12*$B163)-'Business Case'!F11*$C163*'Business Case'!F13*$D163-'Business Case'!F14*$E163))*'Business Case'!$B$7-'Business Case'!$B$8*(('Business Case'!F11*$C163*'Business Case'!F12*$B163)-('Business Case'!E11*$C163*'Business Case'!E12*$B163))-'Business Case'!F15*$F163</f>
        <v>943644935.187012</v>
      </c>
      <c r="M163" s="39" t="n">
        <f aca="false">(('Business Case'!G11*$C163*'Business Case'!G12*$B163)-'Business Case'!G11*$C163*'Business Case'!G13*$D163-'Business Case'!G14*$E163)-MAX(0,(('Business Case'!G11*$C163*'Business Case'!G12*$B163)-'Business Case'!G11*$C163*'Business Case'!G13*$D163-'Business Case'!G14*$E163))*'Business Case'!$B$7-'Business Case'!$B$8*(('Business Case'!G11*$C163*'Business Case'!G12*$B163)-('Business Case'!F11*$C163*'Business Case'!F12*$B163))-'Business Case'!G15*$F163+'Business Case'!$B$8*('Business Case'!G11*$C163*'Business Case'!G12*$B163)</f>
        <v>1153738390.02074</v>
      </c>
      <c r="N163" s="39" t="n">
        <f aca="false">IF(COUNT('Business Case'!B11:G11)=0,"",H163+NPV(G163,I163:M163))</f>
        <v>323197899.109527</v>
      </c>
      <c r="P163" s="40" t="n">
        <f aca="true">RAND()</f>
        <v>0.588303899645421</v>
      </c>
      <c r="Q163" s="40" t="n">
        <f aca="true">RAND()</f>
        <v>0.970543662584924</v>
      </c>
      <c r="R163" s="40" t="n">
        <f aca="true">RAND()</f>
        <v>0.179685516928546</v>
      </c>
      <c r="S163" s="40" t="n">
        <f aca="true">RAND()</f>
        <v>0.165170664231446</v>
      </c>
      <c r="T163" s="40" t="n">
        <f aca="true">RAND()</f>
        <v>0.141480543989736</v>
      </c>
      <c r="U163" s="40" t="n">
        <f aca="true">RAND()</f>
        <v>0.480309947668997</v>
      </c>
    </row>
    <row r="164" customFormat="false" ht="15" hidden="false" customHeight="false" outlineLevel="0" collapsed="false">
      <c r="A164" s="36" t="n">
        <v>84</v>
      </c>
      <c r="B164" s="37" t="n">
        <f aca="false">1+IF($G$6=$E$6,$F$6,IF(P164&lt;($F$6-$E$6)/($G$6-$E$6),$E$6+SQRT(P164*($G$6-$E$6)*($F$6-$E$6)),$G$6-SQRT((1-P164)*($G$6-$E$6)*($G$6-$F$6))))</f>
        <v>0.980511410563136</v>
      </c>
      <c r="C164" s="37" t="n">
        <f aca="false">1+IF($G$7=$E$7,$F$7,IF(Q164&lt;($F$7-$E$7)/($G$7-$E$7),$E$7+SQRT(Q164*($G$7-$E$7)*($F$7-$E$7)),$G$7-SQRT((1-Q164)*($G$7-$E$7)*($G$7-$F$7))))</f>
        <v>1.02329954303194</v>
      </c>
      <c r="D164" s="37" t="n">
        <f aca="false">1+IF($G$8=$E$8,$F$8,IF(R164&lt;($F$8-$E$8)/($G$8-$E$8),$E$8+SQRT(R164*($G$8-$E$8)*($F$8-$E$8)),$G$8-SQRT((1-R164)*($G$8-$E$8)*($G$8-$F$8))))</f>
        <v>0.984320352526855</v>
      </c>
      <c r="E164" s="37" t="n">
        <f aca="false">1+IF($G$9=$E$9,$F$9,IF(S164&lt;($F$9-$E$9)/($G$9-$E$9),$E$9+SQRT(S164*($G$9-$E$9)*($F$9-$E$9)),$G$9-SQRT((1-S164)*($G$9-$E$9)*($G$9-$F$9))))</f>
        <v>1.04922780962157</v>
      </c>
      <c r="F164" s="37" t="n">
        <f aca="false">1+IF($G$10=$E$10,$F$10,IF(T164&lt;($F$10-$E$10)/($G$10-$E$10),$E$10+SQRT(T164*($G$10-$E$10)*($F$10-$E$10)),$G$10-SQRT((1-T164)*($G$10-$E$10)*($G$10-$F$10))))</f>
        <v>1.12771807058212</v>
      </c>
      <c r="G164" s="38" t="n">
        <f aca="false">IF($G$11=$E$11,$F$11,IF(U164&lt;($F$11-$E$11)/($G$11-$E$11),$E$11+SQRT(U164*($G$11-$E$11)*($F$11-$E$11)),$G$11-SQRT((1-U164)*($G$11-$E$11)*($G$11-$F$11))))</f>
        <v>0.096740393360961</v>
      </c>
      <c r="H164" s="39" t="n">
        <f aca="false">(('Business Case'!B11*$C164*'Business Case'!B12*$B164)-'Business Case'!B11*$C164*'Business Case'!B13*$D164-'Business Case'!B14*$E164)-MAX(0,(('Business Case'!B11*$C164*'Business Case'!B12*$B164)-'Business Case'!B11*$C164*'Business Case'!B13*$D164-'Business Case'!B14*$E164))*'Business Case'!$B$7-'Business Case'!$B$8*('Business Case'!B11*$C164*'Business Case'!B12*$B164)-'Business Case'!B15*$F164</f>
        <v>-2255436141.16424</v>
      </c>
      <c r="I164" s="39" t="n">
        <f aca="false">(('Business Case'!C11*$C164*'Business Case'!C12*$B164)-'Business Case'!C11*$C164*'Business Case'!C13*$D164-'Business Case'!C14*$E164)-MAX(0,(('Business Case'!C11*$C164*'Business Case'!C12*$B164)-'Business Case'!C11*$C164*'Business Case'!C13*$D164-'Business Case'!C14*$E164))*'Business Case'!$B$7-'Business Case'!$B$8*(('Business Case'!C11*$C164*'Business Case'!C12*$B164)-('Business Case'!B11*$C164*'Business Case'!B12*$B164))-'Business Case'!C15*$F164</f>
        <v>-7798254.99001937</v>
      </c>
      <c r="J164" s="39" t="n">
        <f aca="false">(('Business Case'!D11*$C164*'Business Case'!D12*$B164)-'Business Case'!D11*$C164*'Business Case'!D13*$D164-'Business Case'!D14*$E164)-MAX(0,(('Business Case'!D11*$C164*'Business Case'!D12*$B164)-'Business Case'!D11*$C164*'Business Case'!D13*$D164-'Business Case'!D14*$E164))*'Business Case'!$B$7-'Business Case'!$B$8*(('Business Case'!D11*$C164*'Business Case'!D12*$B164)-('Business Case'!C11*$C164*'Business Case'!C12*$B164))-'Business Case'!D15*$F164</f>
        <v>298389512.180899</v>
      </c>
      <c r="K164" s="39" t="n">
        <f aca="false">(('Business Case'!E11*$C164*'Business Case'!E12*$B164)-'Business Case'!E11*$C164*'Business Case'!E13*$D164-'Business Case'!E14*$E164)-MAX(0,(('Business Case'!E11*$C164*'Business Case'!E12*$B164)-'Business Case'!E11*$C164*'Business Case'!E13*$D164-'Business Case'!E14*$E164))*'Business Case'!$B$7-'Business Case'!$B$8*(('Business Case'!E11*$C164*'Business Case'!E12*$B164)-('Business Case'!D11*$C164*'Business Case'!D12*$B164))-'Business Case'!E15*$F164</f>
        <v>660963182.880923</v>
      </c>
      <c r="L164" s="39" t="n">
        <f aca="false">(('Business Case'!F11*$C164*'Business Case'!F12*$B164)-'Business Case'!F11*$C164*'Business Case'!F13*$D164-'Business Case'!F14*$E164)-MAX(0,(('Business Case'!F11*$C164*'Business Case'!F12*$B164)-'Business Case'!F11*$C164*'Business Case'!F13*$D164-'Business Case'!F14*$E164))*'Business Case'!$B$7-'Business Case'!$B$8*(('Business Case'!F11*$C164*'Business Case'!F12*$B164)-('Business Case'!E11*$C164*'Business Case'!E12*$B164))-'Business Case'!F15*$F164</f>
        <v>797701785.654254</v>
      </c>
      <c r="M164" s="39" t="n">
        <f aca="false">(('Business Case'!G11*$C164*'Business Case'!G12*$B164)-'Business Case'!G11*$C164*'Business Case'!G13*$D164-'Business Case'!G14*$E164)-MAX(0,(('Business Case'!G11*$C164*'Business Case'!G12*$B164)-'Business Case'!G11*$C164*'Business Case'!G13*$D164-'Business Case'!G14*$E164))*'Business Case'!$B$7-'Business Case'!$B$8*(('Business Case'!G11*$C164*'Business Case'!G12*$B164)-('Business Case'!F11*$C164*'Business Case'!F12*$B164))-'Business Case'!G15*$F164+'Business Case'!$B$8*('Business Case'!G11*$C164*'Business Case'!G12*$B164)</f>
        <v>988419861.094226</v>
      </c>
      <c r="N164" s="39" t="n">
        <f aca="false">IF(COUNT('Business Case'!B11:G11)=0,"",H164+NPV(G164,I164:M164))</f>
        <v>-339190379.213577</v>
      </c>
      <c r="P164" s="40" t="n">
        <f aca="true">RAND()</f>
        <v>0.381419875868797</v>
      </c>
      <c r="Q164" s="40" t="n">
        <f aca="true">RAND()</f>
        <v>0.694228461030176</v>
      </c>
      <c r="R164" s="40" t="n">
        <f aca="true">RAND()</f>
        <v>0.181213322702702</v>
      </c>
      <c r="S164" s="40" t="n">
        <f aca="true">RAND()</f>
        <v>0.828145645611792</v>
      </c>
      <c r="T164" s="40" t="n">
        <f aca="true">RAND()</f>
        <v>0.895506453592566</v>
      </c>
      <c r="U164" s="40" t="n">
        <f aca="true">RAND()</f>
        <v>0.151443008868288</v>
      </c>
    </row>
    <row r="165" customFormat="false" ht="15" hidden="false" customHeight="false" outlineLevel="0" collapsed="false">
      <c r="A165" s="36" t="n">
        <v>85</v>
      </c>
      <c r="B165" s="37" t="n">
        <f aca="false">1+IF($G$6=$E$6,$F$6,IF(P165&lt;($F$6-$E$6)/($G$6-$E$6),$E$6+SQRT(P165*($G$6-$E$6)*($F$6-$E$6)),$G$6-SQRT((1-P165)*($G$6-$E$6)*($G$6-$F$6))))</f>
        <v>1.01414699975095</v>
      </c>
      <c r="C165" s="37" t="n">
        <f aca="false">1+IF($G$7=$E$7,$F$7,IF(Q165&lt;($F$7-$E$7)/($G$7-$E$7),$E$7+SQRT(Q165*($G$7-$E$7)*($F$7-$E$7)),$G$7-SQRT((1-Q165)*($G$7-$E$7)*($G$7-$F$7))))</f>
        <v>1.12380786444447</v>
      </c>
      <c r="D165" s="37" t="n">
        <f aca="false">1+IF($G$8=$E$8,$F$8,IF(R165&lt;($F$8-$E$8)/($G$8-$E$8),$E$8+SQRT(R165*($G$8-$E$8)*($F$8-$E$8)),$G$8-SQRT((1-R165)*($G$8-$E$8)*($G$8-$F$8))))</f>
        <v>1.0243824499095</v>
      </c>
      <c r="E165" s="37" t="n">
        <f aca="false">1+IF($G$9=$E$9,$F$9,IF(S165&lt;($F$9-$E$9)/($G$9-$E$9),$E$9+SQRT(S165*($G$9-$E$9)*($F$9-$E$9)),$G$9-SQRT((1-S165)*($G$9-$E$9)*($G$9-$F$9))))</f>
        <v>1.0688552410726</v>
      </c>
      <c r="F165" s="37" t="n">
        <f aca="false">1+IF($G$10=$E$10,$F$10,IF(T165&lt;($F$10-$E$10)/($G$10-$E$10),$E$10+SQRT(T165*($G$10-$E$10)*($F$10-$E$10)),$G$10-SQRT((1-T165)*($G$10-$E$10)*($G$10-$F$10))))</f>
        <v>1.08549681474987</v>
      </c>
      <c r="G165" s="38" t="n">
        <f aca="false">IF($G$11=$E$11,$F$11,IF(U165&lt;($F$11-$E$11)/($G$11-$E$11),$E$11+SQRT(U165*($G$11-$E$11)*($F$11-$E$11)),$G$11-SQRT((1-U165)*($G$11-$E$11)*($G$11-$F$11))))</f>
        <v>0.100891220223457</v>
      </c>
      <c r="H165" s="39" t="n">
        <f aca="false">(('Business Case'!B11*$C165*'Business Case'!B12*$B165)-'Business Case'!B11*$C165*'Business Case'!B13*$D165-'Business Case'!B14*$E165)-MAX(0,(('Business Case'!B11*$C165*'Business Case'!B12*$B165)-'Business Case'!B11*$C165*'Business Case'!B13*$D165-'Business Case'!B14*$E165))*'Business Case'!$B$7-'Business Case'!$B$8*('Business Case'!B11*$C165*'Business Case'!B12*$B165)-'Business Case'!B15*$F165</f>
        <v>-2170993629.49973</v>
      </c>
      <c r="I165" s="39" t="n">
        <f aca="false">(('Business Case'!C11*$C165*'Business Case'!C12*$B165)-'Business Case'!C11*$C165*'Business Case'!C13*$D165-'Business Case'!C14*$E165)-MAX(0,(('Business Case'!C11*$C165*'Business Case'!C12*$B165)-'Business Case'!C11*$C165*'Business Case'!C13*$D165-'Business Case'!C14*$E165))*'Business Case'!$B$7-'Business Case'!$B$8*(('Business Case'!C11*$C165*'Business Case'!C12*$B165)-('Business Case'!B11*$C165*'Business Case'!B12*$B165))-'Business Case'!C15*$F165</f>
        <v>24551365.3786023</v>
      </c>
      <c r="J165" s="39" t="n">
        <f aca="false">(('Business Case'!D11*$C165*'Business Case'!D12*$B165)-'Business Case'!D11*$C165*'Business Case'!D13*$D165-'Business Case'!D14*$E165)-MAX(0,(('Business Case'!D11*$C165*'Business Case'!D12*$B165)-'Business Case'!D11*$C165*'Business Case'!D13*$D165-'Business Case'!D14*$E165))*'Business Case'!$B$7-'Business Case'!$B$8*(('Business Case'!D11*$C165*'Business Case'!D12*$B165)-('Business Case'!C11*$C165*'Business Case'!C12*$B165))-'Business Case'!D15*$F165</f>
        <v>368726005.94206</v>
      </c>
      <c r="K165" s="39" t="n">
        <f aca="false">(('Business Case'!E11*$C165*'Business Case'!E12*$B165)-'Business Case'!E11*$C165*'Business Case'!E13*$D165-'Business Case'!E14*$E165)-MAX(0,(('Business Case'!E11*$C165*'Business Case'!E12*$B165)-'Business Case'!E11*$C165*'Business Case'!E13*$D165-'Business Case'!E14*$E165))*'Business Case'!$B$7-'Business Case'!$B$8*(('Business Case'!E11*$C165*'Business Case'!E12*$B165)-('Business Case'!D11*$C165*'Business Case'!D12*$B165))-'Business Case'!E15*$F165</f>
        <v>767175487.243012</v>
      </c>
      <c r="L165" s="39" t="n">
        <f aca="false">(('Business Case'!F11*$C165*'Business Case'!F12*$B165)-'Business Case'!F11*$C165*'Business Case'!F13*$D165-'Business Case'!F14*$E165)-MAX(0,(('Business Case'!F11*$C165*'Business Case'!F12*$B165)-'Business Case'!F11*$C165*'Business Case'!F13*$D165-'Business Case'!F14*$E165))*'Business Case'!$B$7-'Business Case'!$B$8*(('Business Case'!F11*$C165*'Business Case'!F12*$B165)-('Business Case'!E11*$C165*'Business Case'!E12*$B165))-'Business Case'!F15*$F165</f>
        <v>921288619.717062</v>
      </c>
      <c r="M165" s="39" t="n">
        <f aca="false">(('Business Case'!G11*$C165*'Business Case'!G12*$B165)-'Business Case'!G11*$C165*'Business Case'!G13*$D165-'Business Case'!G14*$E165)-MAX(0,(('Business Case'!G11*$C165*'Business Case'!G12*$B165)-'Business Case'!G11*$C165*'Business Case'!G13*$D165-'Business Case'!G14*$E165))*'Business Case'!$B$7-'Business Case'!$B$8*(('Business Case'!G11*$C165*'Business Case'!G12*$B165)-('Business Case'!F11*$C165*'Business Case'!F12*$B165))-'Business Case'!G15*$F165+'Business Case'!$B$8*('Business Case'!G11*$C165*'Business Case'!G12*$B165)</f>
        <v>1137924007.29133</v>
      </c>
      <c r="N165" s="39" t="n">
        <f aca="false">IF(COUNT('Business Case'!B11:G11)=0,"",H165+NPV(G165,I165:M165))</f>
        <v>61461672.4108043</v>
      </c>
      <c r="P165" s="40" t="n">
        <f aca="true">RAND()</f>
        <v>0.860754662108838</v>
      </c>
      <c r="Q165" s="40" t="n">
        <f aca="true">RAND()</f>
        <v>0.986932800667441</v>
      </c>
      <c r="R165" s="40" t="n">
        <f aca="true">RAND()</f>
        <v>0.702566165570246</v>
      </c>
      <c r="S165" s="40" t="n">
        <f aca="true">RAND()</f>
        <v>0.935333599423596</v>
      </c>
      <c r="T165" s="40" t="n">
        <f aca="true">RAND()</f>
        <v>0.73778041135147</v>
      </c>
      <c r="U165" s="40" t="n">
        <f aca="true">RAND()</f>
        <v>0.39142422575263</v>
      </c>
    </row>
    <row r="166" customFormat="false" ht="15" hidden="false" customHeight="false" outlineLevel="0" collapsed="false">
      <c r="A166" s="36" t="n">
        <v>86</v>
      </c>
      <c r="B166" s="37" t="n">
        <f aca="false">1+IF($G$6=$E$6,$F$6,IF(P166&lt;($F$6-$E$6)/($G$6-$E$6),$E$6+SQRT(P166*($G$6-$E$6)*($F$6-$E$6)),$G$6-SQRT((1-P166)*($G$6-$E$6)*($G$6-$F$6))))</f>
        <v>1.00441371406782</v>
      </c>
      <c r="C166" s="37" t="n">
        <f aca="false">1+IF($G$7=$E$7,$F$7,IF(Q166&lt;($F$7-$E$7)/($G$7-$E$7),$E$7+SQRT(Q166*($G$7-$E$7)*($F$7-$E$7)),$G$7-SQRT((1-Q166)*($G$7-$E$7)*($G$7-$F$7))))</f>
        <v>1.10272154442342</v>
      </c>
      <c r="D166" s="37" t="n">
        <f aca="false">1+IF($G$8=$E$8,$F$8,IF(R166&lt;($F$8-$E$8)/($G$8-$E$8),$E$8+SQRT(R166*($G$8-$E$8)*($F$8-$E$8)),$G$8-SQRT((1-R166)*($G$8-$E$8)*($G$8-$F$8))))</f>
        <v>1.00986423810308</v>
      </c>
      <c r="E166" s="37" t="n">
        <f aca="false">1+IF($G$9=$E$9,$F$9,IF(S166&lt;($F$9-$E$9)/($G$9-$E$9),$E$9+SQRT(S166*($G$9-$E$9)*($F$9-$E$9)),$G$9-SQRT((1-S166)*($G$9-$E$9)*($G$9-$F$9))))</f>
        <v>0.990301745338263</v>
      </c>
      <c r="F166" s="37" t="n">
        <f aca="false">1+IF($G$10=$E$10,$F$10,IF(T166&lt;($F$10-$E$10)/($G$10-$E$10),$E$10+SQRT(T166*($G$10-$E$10)*($F$10-$E$10)),$G$10-SQRT((1-T166)*($G$10-$E$10)*($G$10-$F$10))))</f>
        <v>1.09218020053652</v>
      </c>
      <c r="G166" s="38" t="n">
        <f aca="false">IF($G$11=$E$11,$F$11,IF(U166&lt;($F$11-$E$11)/($G$11-$E$11),$E$11+SQRT(U166*($G$11-$E$11)*($F$11-$E$11)),$G$11-SQRT((1-U166)*($G$11-$E$11)*($G$11-$F$11))))</f>
        <v>0.107436312453745</v>
      </c>
      <c r="H166" s="39" t="n">
        <f aca="false">(('Business Case'!B11*$C166*'Business Case'!B12*$B166)-'Business Case'!B11*$C166*'Business Case'!B13*$D166-'Business Case'!B14*$E166)-MAX(0,(('Business Case'!B11*$C166*'Business Case'!B12*$B166)-'Business Case'!B11*$C166*'Business Case'!B13*$D166-'Business Case'!B14*$E166))*'Business Case'!$B$7-'Business Case'!$B$8*('Business Case'!B11*$C166*'Business Case'!B12*$B166)-'Business Case'!B15*$F166</f>
        <v>-2184360401.07305</v>
      </c>
      <c r="I166" s="39" t="n">
        <f aca="false">(('Business Case'!C11*$C166*'Business Case'!C12*$B166)-'Business Case'!C11*$C166*'Business Case'!C13*$D166-'Business Case'!C14*$E166)-MAX(0,(('Business Case'!C11*$C166*'Business Case'!C12*$B166)-'Business Case'!C11*$C166*'Business Case'!C13*$D166-'Business Case'!C14*$E166))*'Business Case'!$B$7-'Business Case'!$B$8*(('Business Case'!C11*$C166*'Business Case'!C12*$B166)-('Business Case'!B11*$C166*'Business Case'!B12*$B166))-'Business Case'!C15*$F166</f>
        <v>29664893.8982723</v>
      </c>
      <c r="J166" s="39" t="n">
        <f aca="false">(('Business Case'!D11*$C166*'Business Case'!D12*$B166)-'Business Case'!D11*$C166*'Business Case'!D13*$D166-'Business Case'!D14*$E166)-MAX(0,(('Business Case'!D11*$C166*'Business Case'!D12*$B166)-'Business Case'!D11*$C166*'Business Case'!D13*$D166-'Business Case'!D14*$E166))*'Business Case'!$B$7-'Business Case'!$B$8*(('Business Case'!D11*$C166*'Business Case'!D12*$B166)-('Business Case'!C11*$C166*'Business Case'!C12*$B166))-'Business Case'!D15*$F166</f>
        <v>366786111.239456</v>
      </c>
      <c r="K166" s="39" t="n">
        <f aca="false">(('Business Case'!E11*$C166*'Business Case'!E12*$B166)-'Business Case'!E11*$C166*'Business Case'!E13*$D166-'Business Case'!E14*$E166)-MAX(0,(('Business Case'!E11*$C166*'Business Case'!E12*$B166)-'Business Case'!E11*$C166*'Business Case'!E13*$D166-'Business Case'!E14*$E166))*'Business Case'!$B$7-'Business Case'!$B$8*(('Business Case'!E11*$C166*'Business Case'!E12*$B166)-('Business Case'!D11*$C166*'Business Case'!D12*$B166))-'Business Case'!E15*$F166</f>
        <v>758516338.607465</v>
      </c>
      <c r="L166" s="39" t="n">
        <f aca="false">(('Business Case'!F11*$C166*'Business Case'!F12*$B166)-'Business Case'!F11*$C166*'Business Case'!F13*$D166-'Business Case'!F14*$E166)-MAX(0,(('Business Case'!F11*$C166*'Business Case'!F12*$B166)-'Business Case'!F11*$C166*'Business Case'!F13*$D166-'Business Case'!F14*$E166))*'Business Case'!$B$7-'Business Case'!$B$8*(('Business Case'!F11*$C166*'Business Case'!F12*$B166)-('Business Case'!E11*$C166*'Business Case'!E12*$B166))-'Business Case'!F15*$F166</f>
        <v>909168341.189298</v>
      </c>
      <c r="M166" s="39" t="n">
        <f aca="false">(('Business Case'!G11*$C166*'Business Case'!G12*$B166)-'Business Case'!G11*$C166*'Business Case'!G13*$D166-'Business Case'!G14*$E166)-MAX(0,(('Business Case'!G11*$C166*'Business Case'!G12*$B166)-'Business Case'!G11*$C166*'Business Case'!G13*$D166-'Business Case'!G14*$E166))*'Business Case'!$B$7-'Business Case'!$B$8*(('Business Case'!G11*$C166*'Business Case'!G12*$B166)-('Business Case'!F11*$C166*'Business Case'!F12*$B166))-'Business Case'!G15*$F166+'Business Case'!$B$8*('Business Case'!G11*$C166*'Business Case'!G12*$B166)</f>
        <v>1119698790.26388</v>
      </c>
      <c r="N166" s="39" t="n">
        <f aca="false">IF(COUNT('Business Case'!B11:G11)=0,"",H166+NPV(G166,I166:M166))</f>
        <v>-23344199.0661407</v>
      </c>
      <c r="P166" s="40" t="n">
        <f aca="true">RAND()</f>
        <v>0.736170052823574</v>
      </c>
      <c r="Q166" s="40" t="n">
        <f aca="true">RAND()</f>
        <v>0.957423764538926</v>
      </c>
      <c r="R166" s="40" t="n">
        <f aca="true">RAND()</f>
        <v>0.527016817609477</v>
      </c>
      <c r="S166" s="40" t="n">
        <f aca="true">RAND()</f>
        <v>0.216564090308025</v>
      </c>
      <c r="T166" s="40" t="n">
        <f aca="true">RAND()</f>
        <v>0.767497816873112</v>
      </c>
      <c r="U166" s="40" t="n">
        <f aca="true">RAND()</f>
        <v>0.73692292540013</v>
      </c>
    </row>
    <row r="167" customFormat="false" ht="15" hidden="false" customHeight="false" outlineLevel="0" collapsed="false">
      <c r="A167" s="36" t="n">
        <v>87</v>
      </c>
      <c r="B167" s="37" t="n">
        <f aca="false">1+IF($G$6=$E$6,$F$6,IF(P167&lt;($F$6-$E$6)/($G$6-$E$6),$E$6+SQRT(P167*($G$6-$E$6)*($F$6-$E$6)),$G$6-SQRT((1-P167)*($G$6-$E$6)*($G$6-$F$6))))</f>
        <v>0.999074849884153</v>
      </c>
      <c r="C167" s="37" t="n">
        <f aca="false">1+IF($G$7=$E$7,$F$7,IF(Q167&lt;($F$7-$E$7)/($G$7-$E$7),$E$7+SQRT(Q167*($G$7-$E$7)*($F$7-$E$7)),$G$7-SQRT((1-Q167)*($G$7-$E$7)*($G$7-$F$7))))</f>
        <v>1.02846347431583</v>
      </c>
      <c r="D167" s="37" t="n">
        <f aca="false">1+IF($G$8=$E$8,$F$8,IF(R167&lt;($F$8-$E$8)/($G$8-$E$8),$E$8+SQRT(R167*($G$8-$E$8)*($F$8-$E$8)),$G$8-SQRT((1-R167)*($G$8-$E$8)*($G$8-$F$8))))</f>
        <v>1.02928737745357</v>
      </c>
      <c r="E167" s="37" t="n">
        <f aca="false">1+IF($G$9=$E$9,$F$9,IF(S167&lt;($F$9-$E$9)/($G$9-$E$9),$E$9+SQRT(S167*($G$9-$E$9)*($F$9-$E$9)),$G$9-SQRT((1-S167)*($G$9-$E$9)*($G$9-$F$9))))</f>
        <v>0.969850966244192</v>
      </c>
      <c r="F167" s="37" t="n">
        <f aca="false">1+IF($G$10=$E$10,$F$10,IF(T167&lt;($F$10-$E$10)/($G$10-$E$10),$E$10+SQRT(T167*($G$10-$E$10)*($F$10-$E$10)),$G$10-SQRT((1-T167)*($G$10-$E$10)*($G$10-$F$10))))</f>
        <v>0.998261812286188</v>
      </c>
      <c r="G167" s="38" t="n">
        <f aca="false">IF($G$11=$E$11,$F$11,IF(U167&lt;($F$11-$E$11)/($G$11-$E$11),$E$11+SQRT(U167*($G$11-$E$11)*($F$11-$E$11)),$G$11-SQRT((1-U167)*($G$11-$E$11)*($G$11-$F$11))))</f>
        <v>0.0943682239274908</v>
      </c>
      <c r="H167" s="39" t="n">
        <f aca="false">(('Business Case'!B11*$C167*'Business Case'!B12*$B167)-'Business Case'!B11*$C167*'Business Case'!B13*$D167-'Business Case'!B14*$E167)-MAX(0,(('Business Case'!B11*$C167*'Business Case'!B12*$B167)-'Business Case'!B11*$C167*'Business Case'!B13*$D167-'Business Case'!B14*$E167))*'Business Case'!$B$7-'Business Case'!$B$8*('Business Case'!B11*$C167*'Business Case'!B12*$B167)-'Business Case'!B15*$F167</f>
        <v>-1996523624.57238</v>
      </c>
      <c r="I167" s="39" t="n">
        <f aca="false">(('Business Case'!C11*$C167*'Business Case'!C12*$B167)-'Business Case'!C11*$C167*'Business Case'!C13*$D167-'Business Case'!C14*$E167)-MAX(0,(('Business Case'!C11*$C167*'Business Case'!C12*$B167)-'Business Case'!C11*$C167*'Business Case'!C13*$D167-'Business Case'!C14*$E167))*'Business Case'!$B$7-'Business Case'!$B$8*(('Business Case'!C11*$C167*'Business Case'!C12*$B167)-('Business Case'!B11*$C167*'Business Case'!B12*$B167))-'Business Case'!C15*$F167</f>
        <v>8690528.3618079</v>
      </c>
      <c r="J167" s="39" t="n">
        <f aca="false">(('Business Case'!D11*$C167*'Business Case'!D12*$B167)-'Business Case'!D11*$C167*'Business Case'!D13*$D167-'Business Case'!D14*$E167)-MAX(0,(('Business Case'!D11*$C167*'Business Case'!D12*$B167)-'Business Case'!D11*$C167*'Business Case'!D13*$D167-'Business Case'!D14*$E167))*'Business Case'!$B$7-'Business Case'!$B$8*(('Business Case'!D11*$C167*'Business Case'!D12*$B167)-('Business Case'!C11*$C167*'Business Case'!C12*$B167))-'Business Case'!D15*$F167</f>
        <v>308386266.976662</v>
      </c>
      <c r="K167" s="39" t="n">
        <f aca="false">(('Business Case'!E11*$C167*'Business Case'!E12*$B167)-'Business Case'!E11*$C167*'Business Case'!E13*$D167-'Business Case'!E14*$E167)-MAX(0,(('Business Case'!E11*$C167*'Business Case'!E12*$B167)-'Business Case'!E11*$C167*'Business Case'!E13*$D167-'Business Case'!E14*$E167))*'Business Case'!$B$7-'Business Case'!$B$8*(('Business Case'!E11*$C167*'Business Case'!E12*$B167)-('Business Case'!D11*$C167*'Business Case'!D12*$B167))-'Business Case'!E15*$F167</f>
        <v>657995096.205826</v>
      </c>
      <c r="L167" s="39" t="n">
        <f aca="false">(('Business Case'!F11*$C167*'Business Case'!F12*$B167)-'Business Case'!F11*$C167*'Business Case'!F13*$D167-'Business Case'!F14*$E167)-MAX(0,(('Business Case'!F11*$C167*'Business Case'!F12*$B167)-'Business Case'!F11*$C167*'Business Case'!F13*$D167-'Business Case'!F14*$E167))*'Business Case'!$B$7-'Business Case'!$B$8*(('Business Case'!F11*$C167*'Business Case'!F12*$B167)-('Business Case'!E11*$C167*'Business Case'!E12*$B167))-'Business Case'!F15*$F167</f>
        <v>793404490.160446</v>
      </c>
      <c r="M167" s="39" t="n">
        <f aca="false">(('Business Case'!G11*$C167*'Business Case'!G12*$B167)-'Business Case'!G11*$C167*'Business Case'!G13*$D167-'Business Case'!G14*$E167)-MAX(0,(('Business Case'!G11*$C167*'Business Case'!G12*$B167)-'Business Case'!G11*$C167*'Business Case'!G13*$D167-'Business Case'!G14*$E167))*'Business Case'!$B$7-'Business Case'!$B$8*(('Business Case'!G11*$C167*'Business Case'!G12*$B167)-('Business Case'!F11*$C167*'Business Case'!F12*$B167))-'Business Case'!G15*$F167+'Business Case'!$B$8*('Business Case'!G11*$C167*'Business Case'!G12*$B167)</f>
        <v>988713969.450293</v>
      </c>
      <c r="N167" s="39" t="n">
        <f aca="false">IF(COUNT('Business Case'!B11:G11)=0,"",H167+NPV(G167,I167:M167))</f>
        <v>-46034257.9651547</v>
      </c>
      <c r="P167" s="40" t="n">
        <f aca="true">RAND()</f>
        <v>0.651336654604302</v>
      </c>
      <c r="Q167" s="40" t="n">
        <f aca="true">RAND()</f>
        <v>0.718645198564189</v>
      </c>
      <c r="R167" s="40" t="n">
        <f aca="true">RAND()</f>
        <v>0.752714414852232</v>
      </c>
      <c r="S167" s="40" t="n">
        <f aca="true">RAND()</f>
        <v>0.052541448110408</v>
      </c>
      <c r="T167" s="40" t="n">
        <f aca="true">RAND()</f>
        <v>0.186336202011778</v>
      </c>
      <c r="U167" s="40" t="n">
        <f aca="true">RAND()</f>
        <v>0.0636046009356757</v>
      </c>
    </row>
    <row r="168" customFormat="false" ht="15" hidden="false" customHeight="false" outlineLevel="0" collapsed="false">
      <c r="A168" s="36" t="n">
        <v>88</v>
      </c>
      <c r="B168" s="37" t="n">
        <f aca="false">1+IF($G$6=$E$6,$F$6,IF(P168&lt;($F$6-$E$6)/($G$6-$E$6),$E$6+SQRT(P168*($G$6-$E$6)*($F$6-$E$6)),$G$6-SQRT((1-P168)*($G$6-$E$6)*($G$6-$F$6))))</f>
        <v>0.99819554755583</v>
      </c>
      <c r="C168" s="37" t="n">
        <f aca="false">1+IF($G$7=$E$7,$F$7,IF(Q168&lt;($F$7-$E$7)/($G$7-$E$7),$E$7+SQRT(Q168*($G$7-$E$7)*($F$7-$E$7)),$G$7-SQRT((1-Q168)*($G$7-$E$7)*($G$7-$F$7))))</f>
        <v>0.892501693260096</v>
      </c>
      <c r="D168" s="37" t="n">
        <f aca="false">1+IF($G$8=$E$8,$F$8,IF(R168&lt;($F$8-$E$8)/($G$8-$E$8),$E$8+SQRT(R168*($G$8-$E$8)*($F$8-$E$8)),$G$8-SQRT((1-R168)*($G$8-$E$8)*($G$8-$F$8))))</f>
        <v>0.978510007185094</v>
      </c>
      <c r="E168" s="37" t="n">
        <f aca="false">1+IF($G$9=$E$9,$F$9,IF(S168&lt;($F$9-$E$9)/($G$9-$E$9),$E$9+SQRT(S168*($G$9-$E$9)*($F$9-$E$9)),$G$9-SQRT((1-S168)*($G$9-$E$9)*($G$9-$F$9))))</f>
        <v>0.966483561102159</v>
      </c>
      <c r="F168" s="37" t="n">
        <f aca="false">1+IF($G$10=$E$10,$F$10,IF(T168&lt;($F$10-$E$10)/($G$10-$E$10),$E$10+SQRT(T168*($G$10-$E$10)*($F$10-$E$10)),$G$10-SQRT((1-T168)*($G$10-$E$10)*($G$10-$F$10))))</f>
        <v>1.08283085386218</v>
      </c>
      <c r="G168" s="38" t="n">
        <f aca="false">IF($G$11=$E$11,$F$11,IF(U168&lt;($F$11-$E$11)/($G$11-$E$11),$E$11+SQRT(U168*($G$11-$E$11)*($F$11-$E$11)),$G$11-SQRT((1-U168)*($G$11-$E$11)*($G$11-$F$11))))</f>
        <v>0.0938531906954824</v>
      </c>
      <c r="H168" s="39" t="n">
        <f aca="false">(('Business Case'!B11*$C168*'Business Case'!B12*$B168)-'Business Case'!B11*$C168*'Business Case'!B13*$D168-'Business Case'!B14*$E168)-MAX(0,(('Business Case'!B11*$C168*'Business Case'!B12*$B168)-'Business Case'!B11*$C168*'Business Case'!B13*$D168-'Business Case'!B14*$E168))*'Business Case'!$B$7-'Business Case'!$B$8*('Business Case'!B11*$C168*'Business Case'!B12*$B168)-'Business Case'!B15*$F168</f>
        <v>-2165661707.72435</v>
      </c>
      <c r="I168" s="39" t="n">
        <f aca="false">(('Business Case'!C11*$C168*'Business Case'!C12*$B168)-'Business Case'!C11*$C168*'Business Case'!C13*$D168-'Business Case'!C14*$E168)-MAX(0,(('Business Case'!C11*$C168*'Business Case'!C12*$B168)-'Business Case'!C11*$C168*'Business Case'!C13*$D168-'Business Case'!C14*$E168))*'Business Case'!$B$7-'Business Case'!$B$8*(('Business Case'!C11*$C168*'Business Case'!C12*$B168)-('Business Case'!B11*$C168*'Business Case'!B12*$B168))-'Business Case'!C15*$F168</f>
        <v>-9267713.48994459</v>
      </c>
      <c r="J168" s="39" t="n">
        <f aca="false">(('Business Case'!D11*$C168*'Business Case'!D12*$B168)-'Business Case'!D11*$C168*'Business Case'!D13*$D168-'Business Case'!D14*$E168)-MAX(0,(('Business Case'!D11*$C168*'Business Case'!D12*$B168)-'Business Case'!D11*$C168*'Business Case'!D13*$D168-'Business Case'!D14*$E168))*'Business Case'!$B$7-'Business Case'!$B$8*(('Business Case'!D11*$C168*'Business Case'!D12*$B168)-('Business Case'!C11*$C168*'Business Case'!C12*$B168))-'Business Case'!D15*$F168</f>
        <v>273365421.453141</v>
      </c>
      <c r="K168" s="39" t="n">
        <f aca="false">(('Business Case'!E11*$C168*'Business Case'!E12*$B168)-'Business Case'!E11*$C168*'Business Case'!E13*$D168-'Business Case'!E14*$E168)-MAX(0,(('Business Case'!E11*$C168*'Business Case'!E12*$B168)-'Business Case'!E11*$C168*'Business Case'!E13*$D168-'Business Case'!E14*$E168))*'Business Case'!$B$7-'Business Case'!$B$8*(('Business Case'!E11*$C168*'Business Case'!E12*$B168)-('Business Case'!D11*$C168*'Business Case'!D12*$B168))-'Business Case'!E15*$F168</f>
        <v>610140099.089336</v>
      </c>
      <c r="L168" s="39" t="n">
        <f aca="false">(('Business Case'!F11*$C168*'Business Case'!F12*$B168)-'Business Case'!F11*$C168*'Business Case'!F13*$D168-'Business Case'!F14*$E168)-MAX(0,(('Business Case'!F11*$C168*'Business Case'!F12*$B168)-'Business Case'!F11*$C168*'Business Case'!F13*$D168-'Business Case'!F14*$E168))*'Business Case'!$B$7-'Business Case'!$B$8*(('Business Case'!F11*$C168*'Business Case'!F12*$B168)-('Business Case'!E11*$C168*'Business Case'!E12*$B168))-'Business Case'!F15*$F168</f>
        <v>735140344.509089</v>
      </c>
      <c r="M168" s="39" t="n">
        <f aca="false">(('Business Case'!G11*$C168*'Business Case'!G12*$B168)-'Business Case'!G11*$C168*'Business Case'!G13*$D168-'Business Case'!G14*$E168)-MAX(0,(('Business Case'!G11*$C168*'Business Case'!G12*$B168)-'Business Case'!G11*$C168*'Business Case'!G13*$D168-'Business Case'!G14*$E168))*'Business Case'!$B$7-'Business Case'!$B$8*(('Business Case'!G11*$C168*'Business Case'!G12*$B168)-('Business Case'!F11*$C168*'Business Case'!F12*$B168))-'Business Case'!G15*$F168+'Business Case'!$B$8*('Business Case'!G11*$C168*'Business Case'!G12*$B168)</f>
        <v>904480946.922071</v>
      </c>
      <c r="N168" s="39" t="n">
        <f aca="false">IF(COUNT('Business Case'!B11:G11)=0,"",H168+NPV(G168,I168:M168))</f>
        <v>-388425474.61443</v>
      </c>
      <c r="P168" s="40" t="n">
        <f aca="true">RAND()</f>
        <v>0.636931630995431</v>
      </c>
      <c r="Q168" s="40" t="n">
        <f aca="true">RAND()</f>
        <v>0.122236617942642</v>
      </c>
      <c r="R168" s="40" t="n">
        <f aca="true">RAND()</f>
        <v>0.125049309183713</v>
      </c>
      <c r="S168" s="40" t="n">
        <f aca="true">RAND()</f>
        <v>0.0362277048811459</v>
      </c>
      <c r="T168" s="40" t="n">
        <f aca="true">RAND()</f>
        <v>0.72542782386666</v>
      </c>
      <c r="U168" s="40" t="n">
        <f aca="true">RAND()</f>
        <v>0.0494902617858409</v>
      </c>
    </row>
    <row r="169" customFormat="false" ht="15" hidden="false" customHeight="false" outlineLevel="0" collapsed="false">
      <c r="A169" s="36" t="n">
        <v>89</v>
      </c>
      <c r="B169" s="37" t="n">
        <f aca="false">1+IF($G$6=$E$6,$F$6,IF(P169&lt;($F$6-$E$6)/($G$6-$E$6),$E$6+SQRT(P169*($G$6-$E$6)*($F$6-$E$6)),$G$6-SQRT((1-P169)*($G$6-$E$6)*($G$6-$F$6))))</f>
        <v>0.996538233157897</v>
      </c>
      <c r="C169" s="37" t="n">
        <f aca="false">1+IF($G$7=$E$7,$F$7,IF(Q169&lt;($F$7-$E$7)/($G$7-$E$7),$E$7+SQRT(Q169*($G$7-$E$7)*($F$7-$E$7)),$G$7-SQRT((1-Q169)*($G$7-$E$7)*($G$7-$F$7))))</f>
        <v>0.977573748435986</v>
      </c>
      <c r="D169" s="37" t="n">
        <f aca="false">1+IF($G$8=$E$8,$F$8,IF(R169&lt;($F$8-$E$8)/($G$8-$E$8),$E$8+SQRT(R169*($G$8-$E$8)*($F$8-$E$8)),$G$8-SQRT((1-R169)*($G$8-$E$8)*($G$8-$F$8))))</f>
        <v>1.00292909458146</v>
      </c>
      <c r="E169" s="37" t="n">
        <f aca="false">1+IF($G$9=$E$9,$F$9,IF(S169&lt;($F$9-$E$9)/($G$9-$E$9),$E$9+SQRT(S169*($G$9-$E$9)*($F$9-$E$9)),$G$9-SQRT((1-S169)*($G$9-$E$9)*($G$9-$F$9))))</f>
        <v>1.08091341716298</v>
      </c>
      <c r="F169" s="37" t="n">
        <f aca="false">1+IF($G$10=$E$10,$F$10,IF(T169&lt;($F$10-$E$10)/($G$10-$E$10),$E$10+SQRT(T169*($G$10-$E$10)*($F$10-$E$10)),$G$10-SQRT((1-T169)*($G$10-$E$10)*($G$10-$F$10))))</f>
        <v>1.08844760920632</v>
      </c>
      <c r="G169" s="38" t="n">
        <f aca="false">IF($G$11=$E$11,$F$11,IF(U169&lt;($F$11-$E$11)/($G$11-$E$11),$E$11+SQRT(U169*($G$11-$E$11)*($F$11-$E$11)),$G$11-SQRT((1-U169)*($G$11-$E$11)*($G$11-$F$11))))</f>
        <v>0.101345221178486</v>
      </c>
      <c r="H169" s="39" t="n">
        <f aca="false">(('Business Case'!B11*$C169*'Business Case'!B12*$B169)-'Business Case'!B11*$C169*'Business Case'!B13*$D169-'Business Case'!B14*$E169)-MAX(0,(('Business Case'!B11*$C169*'Business Case'!B12*$B169)-'Business Case'!B11*$C169*'Business Case'!B13*$D169-'Business Case'!B14*$E169))*'Business Case'!$B$7-'Business Case'!$B$8*('Business Case'!B11*$C169*'Business Case'!B12*$B169)-'Business Case'!B15*$F169</f>
        <v>-2176895218.41264</v>
      </c>
      <c r="I169" s="39" t="n">
        <f aca="false">(('Business Case'!C11*$C169*'Business Case'!C12*$B169)-'Business Case'!C11*$C169*'Business Case'!C13*$D169-'Business Case'!C14*$E169)-MAX(0,(('Business Case'!C11*$C169*'Business Case'!C12*$B169)-'Business Case'!C11*$C169*'Business Case'!C13*$D169-'Business Case'!C14*$E169))*'Business Case'!$B$7-'Business Case'!$B$8*(('Business Case'!C11*$C169*'Business Case'!C12*$B169)-('Business Case'!B11*$C169*'Business Case'!B12*$B169))-'Business Case'!C15*$F169</f>
        <v>-17026589.4247824</v>
      </c>
      <c r="J169" s="39" t="n">
        <f aca="false">(('Business Case'!D11*$C169*'Business Case'!D12*$B169)-'Business Case'!D11*$C169*'Business Case'!D13*$D169-'Business Case'!D14*$E169)-MAX(0,(('Business Case'!D11*$C169*'Business Case'!D12*$B169)-'Business Case'!D11*$C169*'Business Case'!D13*$D169-'Business Case'!D14*$E169))*'Business Case'!$B$7-'Business Case'!$B$8*(('Business Case'!D11*$C169*'Business Case'!D12*$B169)-('Business Case'!C11*$C169*'Business Case'!C12*$B169))-'Business Case'!D15*$F169</f>
        <v>278999459.687568</v>
      </c>
      <c r="K169" s="39" t="n">
        <f aca="false">(('Business Case'!E11*$C169*'Business Case'!E12*$B169)-'Business Case'!E11*$C169*'Business Case'!E13*$D169-'Business Case'!E14*$E169)-MAX(0,(('Business Case'!E11*$C169*'Business Case'!E12*$B169)-'Business Case'!E11*$C169*'Business Case'!E13*$D169-'Business Case'!E14*$E169))*'Business Case'!$B$7-'Business Case'!$B$8*(('Business Case'!E11*$C169*'Business Case'!E12*$B169)-('Business Case'!D11*$C169*'Business Case'!D12*$B169))-'Business Case'!E15*$F169</f>
        <v>629447889.260235</v>
      </c>
      <c r="L169" s="39" t="n">
        <f aca="false">(('Business Case'!F11*$C169*'Business Case'!F12*$B169)-'Business Case'!F11*$C169*'Business Case'!F13*$D169-'Business Case'!F14*$E169)-MAX(0,(('Business Case'!F11*$C169*'Business Case'!F12*$B169)-'Business Case'!F11*$C169*'Business Case'!F13*$D169-'Business Case'!F14*$E169))*'Business Case'!$B$7-'Business Case'!$B$8*(('Business Case'!F11*$C169*'Business Case'!F12*$B169)-('Business Case'!E11*$C169*'Business Case'!E12*$B169))-'Business Case'!F15*$F169</f>
        <v>761791232.094969</v>
      </c>
      <c r="M169" s="39" t="n">
        <f aca="false">(('Business Case'!G11*$C169*'Business Case'!G12*$B169)-'Business Case'!G11*$C169*'Business Case'!G13*$D169-'Business Case'!G14*$E169)-MAX(0,(('Business Case'!G11*$C169*'Business Case'!G12*$B169)-'Business Case'!G11*$C169*'Business Case'!G13*$D169-'Business Case'!G14*$E169))*'Business Case'!$B$7-'Business Case'!$B$8*(('Business Case'!G11*$C169*'Business Case'!G12*$B169)-('Business Case'!F11*$C169*'Business Case'!F12*$B169))-'Business Case'!G15*$F169+'Business Case'!$B$8*('Business Case'!G11*$C169*'Business Case'!G12*$B169)</f>
        <v>946965194.313361</v>
      </c>
      <c r="N169" s="39" t="n">
        <f aca="false">IF(COUNT('Business Case'!B11:G11)=0,"",H169+NPV(G169,I169:M169))</f>
        <v>-388972279.712487</v>
      </c>
      <c r="P169" s="40" t="n">
        <f aca="true">RAND()</f>
        <v>0.610218868222144</v>
      </c>
      <c r="Q169" s="40" t="n">
        <f aca="true">RAND()</f>
        <v>0.450463373337238</v>
      </c>
      <c r="R169" s="40" t="n">
        <f aca="true">RAND()</f>
        <v>0.428853417112163</v>
      </c>
      <c r="S169" s="40" t="n">
        <f aca="true">RAND()</f>
        <v>0.975713490373712</v>
      </c>
      <c r="T169" s="40" t="n">
        <f aca="true">RAND()</f>
        <v>0.751121282164271</v>
      </c>
      <c r="U169" s="40" t="n">
        <f aca="true">RAND()</f>
        <v>0.419998711867294</v>
      </c>
    </row>
    <row r="170" customFormat="false" ht="15" hidden="false" customHeight="false" outlineLevel="0" collapsed="false">
      <c r="A170" s="36" t="n">
        <v>90</v>
      </c>
      <c r="B170" s="37" t="n">
        <f aca="false">1+IF($G$6=$E$6,$F$6,IF(P170&lt;($F$6-$E$6)/($G$6-$E$6),$E$6+SQRT(P170*($G$6-$E$6)*($F$6-$E$6)),$G$6-SQRT((1-P170)*($G$6-$E$6)*($G$6-$F$6))))</f>
        <v>0.999569984251932</v>
      </c>
      <c r="C170" s="37" t="n">
        <f aca="false">1+IF($G$7=$E$7,$F$7,IF(Q170&lt;($F$7-$E$7)/($G$7-$E$7),$E$7+SQRT(Q170*($G$7-$E$7)*($F$7-$E$7)),$G$7-SQRT((1-Q170)*($G$7-$E$7)*($G$7-$F$7))))</f>
        <v>1.02064411473267</v>
      </c>
      <c r="D170" s="37" t="n">
        <f aca="false">1+IF($G$8=$E$8,$F$8,IF(R170&lt;($F$8-$E$8)/($G$8-$E$8),$E$8+SQRT(R170*($G$8-$E$8)*($F$8-$E$8)),$G$8-SQRT((1-R170)*($G$8-$E$8)*($G$8-$F$8))))</f>
        <v>1.04435516272968</v>
      </c>
      <c r="E170" s="37" t="n">
        <f aca="false">1+IF($G$9=$E$9,$F$9,IF(S170&lt;($F$9-$E$9)/($G$9-$E$9),$E$9+SQRT(S170*($G$9-$E$9)*($F$9-$E$9)),$G$9-SQRT((1-S170)*($G$9-$E$9)*($G$9-$F$9))))</f>
        <v>0.985230069479795</v>
      </c>
      <c r="F170" s="37" t="n">
        <f aca="false">1+IF($G$10=$E$10,$F$10,IF(T170&lt;($F$10-$E$10)/($G$10-$E$10),$E$10+SQRT(T170*($G$10-$E$10)*($F$10-$E$10)),$G$10-SQRT((1-T170)*($G$10-$E$10)*($G$10-$F$10))))</f>
        <v>1.01252778919648</v>
      </c>
      <c r="G170" s="38" t="n">
        <f aca="false">IF($G$11=$E$11,$F$11,IF(U170&lt;($F$11-$E$11)/($G$11-$E$11),$E$11+SQRT(U170*($G$11-$E$11)*($F$11-$E$11)),$G$11-SQRT((1-U170)*($G$11-$E$11)*($G$11-$F$11))))</f>
        <v>0.106069104017909</v>
      </c>
      <c r="H170" s="39" t="n">
        <f aca="false">(('Business Case'!B11*$C170*'Business Case'!B12*$B170)-'Business Case'!B11*$C170*'Business Case'!B13*$D170-'Business Case'!B14*$E170)-MAX(0,(('Business Case'!B11*$C170*'Business Case'!B12*$B170)-'Business Case'!B11*$C170*'Business Case'!B13*$D170-'Business Case'!B14*$E170))*'Business Case'!$B$7-'Business Case'!$B$8*('Business Case'!B11*$C170*'Business Case'!B12*$B170)-'Business Case'!B15*$F170</f>
        <v>-2025055578.39296</v>
      </c>
      <c r="I170" s="39" t="n">
        <f aca="false">(('Business Case'!C11*$C170*'Business Case'!C12*$B170)-'Business Case'!C11*$C170*'Business Case'!C13*$D170-'Business Case'!C14*$E170)-MAX(0,(('Business Case'!C11*$C170*'Business Case'!C12*$B170)-'Business Case'!C11*$C170*'Business Case'!C13*$D170-'Business Case'!C14*$E170))*'Business Case'!$B$7-'Business Case'!$B$8*(('Business Case'!C11*$C170*'Business Case'!C12*$B170)-('Business Case'!B11*$C170*'Business Case'!B12*$B170))-'Business Case'!C15*$F170</f>
        <v>-4281583.62757993</v>
      </c>
      <c r="J170" s="39" t="n">
        <f aca="false">(('Business Case'!D11*$C170*'Business Case'!D12*$B170)-'Business Case'!D11*$C170*'Business Case'!D13*$D170-'Business Case'!D14*$E170)-MAX(0,(('Business Case'!D11*$C170*'Business Case'!D12*$B170)-'Business Case'!D11*$C170*'Business Case'!D13*$D170-'Business Case'!D14*$E170))*'Business Case'!$B$7-'Business Case'!$B$8*(('Business Case'!D11*$C170*'Business Case'!D12*$B170)-('Business Case'!C11*$C170*'Business Case'!C12*$B170))-'Business Case'!D15*$F170</f>
        <v>285676766.236933</v>
      </c>
      <c r="K170" s="39" t="n">
        <f aca="false">(('Business Case'!E11*$C170*'Business Case'!E12*$B170)-'Business Case'!E11*$C170*'Business Case'!E13*$D170-'Business Case'!E14*$E170)-MAX(0,(('Business Case'!E11*$C170*'Business Case'!E12*$B170)-'Business Case'!E11*$C170*'Business Case'!E13*$D170-'Business Case'!E14*$E170))*'Business Case'!$B$7-'Business Case'!$B$8*(('Business Case'!E11*$C170*'Business Case'!E12*$B170)-('Business Case'!D11*$C170*'Business Case'!D12*$B170))-'Business Case'!E15*$F170</f>
        <v>626261505.561271</v>
      </c>
      <c r="L170" s="39" t="n">
        <f aca="false">(('Business Case'!F11*$C170*'Business Case'!F12*$B170)-'Business Case'!F11*$C170*'Business Case'!F13*$D170-'Business Case'!F14*$E170)-MAX(0,(('Business Case'!F11*$C170*'Business Case'!F12*$B170)-'Business Case'!F11*$C170*'Business Case'!F13*$D170-'Business Case'!F14*$E170))*'Business Case'!$B$7-'Business Case'!$B$8*(('Business Case'!F11*$C170*'Business Case'!F12*$B170)-('Business Case'!E11*$C170*'Business Case'!E12*$B170))-'Business Case'!F15*$F170</f>
        <v>758172581.311054</v>
      </c>
      <c r="M170" s="39" t="n">
        <f aca="false">(('Business Case'!G11*$C170*'Business Case'!G12*$B170)-'Business Case'!G11*$C170*'Business Case'!G13*$D170-'Business Case'!G14*$E170)-MAX(0,(('Business Case'!G11*$C170*'Business Case'!G12*$B170)-'Business Case'!G11*$C170*'Business Case'!G13*$D170-'Business Case'!G14*$E170))*'Business Case'!$B$7-'Business Case'!$B$8*(('Business Case'!G11*$C170*'Business Case'!G12*$B170)-('Business Case'!F11*$C170*'Business Case'!F12*$B170))-'Business Case'!G15*$F170+'Business Case'!$B$8*('Business Case'!G11*$C170*'Business Case'!G12*$B170)</f>
        <v>952093189.849921</v>
      </c>
      <c r="N170" s="39" t="n">
        <f aca="false">IF(COUNT('Business Case'!B11:G11)=0,"",H170+NPV(G170,I170:M170))</f>
        <v>-250895008.858769</v>
      </c>
      <c r="P170" s="40" t="n">
        <f aca="true">RAND()</f>
        <v>0.659518999359658</v>
      </c>
      <c r="Q170" s="40" t="n">
        <f aca="true">RAND()</f>
        <v>0.681277237080125</v>
      </c>
      <c r="R170" s="40" t="n">
        <f aca="true">RAND()</f>
        <v>0.877831305381993</v>
      </c>
      <c r="S170" s="40" t="n">
        <f aca="true">RAND()</f>
        <v>0.165487706073489</v>
      </c>
      <c r="T170" s="40" t="n">
        <f aca="true">RAND()</f>
        <v>0.297083403528816</v>
      </c>
      <c r="U170" s="40" t="n">
        <f aca="true">RAND()</f>
        <v>0.676550228560256</v>
      </c>
    </row>
    <row r="171" customFormat="false" ht="15" hidden="false" customHeight="false" outlineLevel="0" collapsed="false">
      <c r="A171" s="36" t="n">
        <v>91</v>
      </c>
      <c r="B171" s="37" t="n">
        <f aca="false">1+IF($G$6=$E$6,$F$6,IF(P171&lt;($F$6-$E$6)/($G$6-$E$6),$E$6+SQRT(P171*($G$6-$E$6)*($F$6-$E$6)),$G$6-SQRT((1-P171)*($G$6-$E$6)*($G$6-$F$6))))</f>
        <v>0.978309815248778</v>
      </c>
      <c r="C171" s="37" t="n">
        <f aca="false">1+IF($G$7=$E$7,$F$7,IF(Q171&lt;($F$7-$E$7)/($G$7-$E$7),$E$7+SQRT(Q171*($G$7-$E$7)*($F$7-$E$7)),$G$7-SQRT((1-Q171)*($G$7-$E$7)*($G$7-$F$7))))</f>
        <v>1.04107450508661</v>
      </c>
      <c r="D171" s="37" t="n">
        <f aca="false">1+IF($G$8=$E$8,$F$8,IF(R171&lt;($F$8-$E$8)/($G$8-$E$8),$E$8+SQRT(R171*($G$8-$E$8)*($F$8-$E$8)),$G$8-SQRT((1-R171)*($G$8-$E$8)*($G$8-$F$8))))</f>
        <v>1.00746015659161</v>
      </c>
      <c r="E171" s="37" t="n">
        <f aca="false">1+IF($G$9=$E$9,$F$9,IF(S171&lt;($F$9-$E$9)/($G$9-$E$9),$E$9+SQRT(S171*($G$9-$E$9)*($F$9-$E$9)),$G$9-SQRT((1-S171)*($G$9-$E$9)*($G$9-$F$9))))</f>
        <v>1.04672785825132</v>
      </c>
      <c r="F171" s="37" t="n">
        <f aca="false">1+IF($G$10=$E$10,$F$10,IF(T171&lt;($F$10-$E$10)/($G$10-$E$10),$E$10+SQRT(T171*($G$10-$E$10)*($F$10-$E$10)),$G$10-SQRT((1-T171)*($G$10-$E$10)*($G$10-$F$10))))</f>
        <v>1.00778525066934</v>
      </c>
      <c r="G171" s="38" t="n">
        <f aca="false">IF($G$11=$E$11,$F$11,IF(U171&lt;($F$11-$E$11)/($G$11-$E$11),$E$11+SQRT(U171*($G$11-$E$11)*($F$11-$E$11)),$G$11-SQRT((1-U171)*($G$11-$E$11)*($G$11-$F$11))))</f>
        <v>0.101541658044843</v>
      </c>
      <c r="H171" s="39" t="n">
        <f aca="false">(('Business Case'!B11*$C171*'Business Case'!B12*$B171)-'Business Case'!B11*$C171*'Business Case'!B13*$D171-'Business Case'!B14*$E171)-MAX(0,(('Business Case'!B11*$C171*'Business Case'!B12*$B171)-'Business Case'!B11*$C171*'Business Case'!B13*$D171-'Business Case'!B14*$E171))*'Business Case'!$B$7-'Business Case'!$B$8*('Business Case'!B11*$C171*'Business Case'!B12*$B171)-'Business Case'!B15*$F171</f>
        <v>-2015570501.33867</v>
      </c>
      <c r="I171" s="39" t="n">
        <f aca="false">(('Business Case'!C11*$C171*'Business Case'!C12*$B171)-'Business Case'!C11*$C171*'Business Case'!C13*$D171-'Business Case'!C14*$E171)-MAX(0,(('Business Case'!C11*$C171*'Business Case'!C12*$B171)-'Business Case'!C11*$C171*'Business Case'!C13*$D171-'Business Case'!C14*$E171))*'Business Case'!$B$7-'Business Case'!$B$8*(('Business Case'!C11*$C171*'Business Case'!C12*$B171)-('Business Case'!B11*$C171*'Business Case'!B12*$B171))-'Business Case'!C15*$F171</f>
        <v>-5125220.75620371</v>
      </c>
      <c r="J171" s="39" t="n">
        <f aca="false">(('Business Case'!D11*$C171*'Business Case'!D12*$B171)-'Business Case'!D11*$C171*'Business Case'!D13*$D171-'Business Case'!D14*$E171)-MAX(0,(('Business Case'!D11*$C171*'Business Case'!D12*$B171)-'Business Case'!D11*$C171*'Business Case'!D13*$D171-'Business Case'!D14*$E171))*'Business Case'!$B$7-'Business Case'!$B$8*(('Business Case'!D11*$C171*'Business Case'!D12*$B171)-('Business Case'!C11*$C171*'Business Case'!C12*$B171))-'Business Case'!D15*$F171</f>
        <v>292171483.202824</v>
      </c>
      <c r="K171" s="39" t="n">
        <f aca="false">(('Business Case'!E11*$C171*'Business Case'!E12*$B171)-'Business Case'!E11*$C171*'Business Case'!E13*$D171-'Business Case'!E14*$E171)-MAX(0,(('Business Case'!E11*$C171*'Business Case'!E12*$B171)-'Business Case'!E11*$C171*'Business Case'!E13*$D171-'Business Case'!E14*$E171))*'Business Case'!$B$7-'Business Case'!$B$8*(('Business Case'!E11*$C171*'Business Case'!E12*$B171)-('Business Case'!D11*$C171*'Business Case'!D12*$B171))-'Business Case'!E15*$F171</f>
        <v>639857449.695318</v>
      </c>
      <c r="L171" s="39" t="n">
        <f aca="false">(('Business Case'!F11*$C171*'Business Case'!F12*$B171)-'Business Case'!F11*$C171*'Business Case'!F13*$D171-'Business Case'!F14*$E171)-MAX(0,(('Business Case'!F11*$C171*'Business Case'!F12*$B171)-'Business Case'!F11*$C171*'Business Case'!F13*$D171-'Business Case'!F14*$E171))*'Business Case'!$B$7-'Business Case'!$B$8*(('Business Case'!F11*$C171*'Business Case'!F12*$B171)-('Business Case'!E11*$C171*'Business Case'!E12*$B171))-'Business Case'!F15*$F171</f>
        <v>774155483.151634</v>
      </c>
      <c r="M171" s="39" t="n">
        <f aca="false">(('Business Case'!G11*$C171*'Business Case'!G12*$B171)-'Business Case'!G11*$C171*'Business Case'!G13*$D171-'Business Case'!G14*$E171)-MAX(0,(('Business Case'!G11*$C171*'Business Case'!G12*$B171)-'Business Case'!G11*$C171*'Business Case'!G13*$D171-'Business Case'!G14*$E171))*'Business Case'!$B$7-'Business Case'!$B$8*(('Business Case'!G11*$C171*'Business Case'!G12*$B171)-('Business Case'!F11*$C171*'Business Case'!F12*$B171))-'Business Case'!G15*$F171+'Business Case'!$B$8*('Business Case'!G11*$C171*'Business Case'!G12*$B171)</f>
        <v>967750709.903155</v>
      </c>
      <c r="N171" s="39" t="n">
        <f aca="false">IF(COUNT('Business Case'!B11:G11)=0,"",H171+NPV(G171,I171:M171))</f>
        <v>-178207254.658277</v>
      </c>
      <c r="P171" s="40" t="n">
        <f aca="true">RAND()</f>
        <v>0.354170266077767</v>
      </c>
      <c r="Q171" s="40" t="n">
        <f aca="true">RAND()</f>
        <v>0.774004505864228</v>
      </c>
      <c r="R171" s="40" t="n">
        <f aca="true">RAND()</f>
        <v>0.494035684450635</v>
      </c>
      <c r="S171" s="40" t="n">
        <f aca="true">RAND()</f>
        <v>0.810805260900536</v>
      </c>
      <c r="T171" s="40" t="n">
        <f aca="true">RAND()</f>
        <v>0.26106980279501</v>
      </c>
      <c r="U171" s="40" t="n">
        <f aca="true">RAND()</f>
        <v>0.432149353777453</v>
      </c>
    </row>
    <row r="172" customFormat="false" ht="15" hidden="false" customHeight="false" outlineLevel="0" collapsed="false">
      <c r="A172" s="36" t="n">
        <v>92</v>
      </c>
      <c r="B172" s="37" t="n">
        <f aca="false">1+IF($G$6=$E$6,$F$6,IF(P172&lt;($F$6-$E$6)/($G$6-$E$6),$E$6+SQRT(P172*($G$6-$E$6)*($F$6-$E$6)),$G$6-SQRT((1-P172)*($G$6-$E$6)*($G$6-$F$6))))</f>
        <v>0.956672881302545</v>
      </c>
      <c r="C172" s="37" t="n">
        <f aca="false">1+IF($G$7=$E$7,$F$7,IF(Q172&lt;($F$7-$E$7)/($G$7-$E$7),$E$7+SQRT(Q172*($G$7-$E$7)*($F$7-$E$7)),$G$7-SQRT((1-Q172)*($G$7-$E$7)*($G$7-$F$7))))</f>
        <v>0.896977554094988</v>
      </c>
      <c r="D172" s="37" t="n">
        <f aca="false">1+IF($G$8=$E$8,$F$8,IF(R172&lt;($F$8-$E$8)/($G$8-$E$8),$E$8+SQRT(R172*($G$8-$E$8)*($F$8-$E$8)),$G$8-SQRT((1-R172)*($G$8-$E$8)*($G$8-$F$8))))</f>
        <v>1.02508086205644</v>
      </c>
      <c r="E172" s="37" t="n">
        <f aca="false">1+IF($G$9=$E$9,$F$9,IF(S172&lt;($F$9-$E$9)/($G$9-$E$9),$E$9+SQRT(S172*($G$9-$E$9)*($F$9-$E$9)),$G$9-SQRT((1-S172)*($G$9-$E$9)*($G$9-$F$9))))</f>
        <v>0.988659080677023</v>
      </c>
      <c r="F172" s="37" t="n">
        <f aca="false">1+IF($G$10=$E$10,$F$10,IF(T172&lt;($F$10-$E$10)/($G$10-$E$10),$E$10+SQRT(T172*($G$10-$E$10)*($F$10-$E$10)),$G$10-SQRT((1-T172)*($G$10-$E$10)*($G$10-$F$10))))</f>
        <v>1.00100228544354</v>
      </c>
      <c r="G172" s="38" t="n">
        <f aca="false">IF($G$11=$E$11,$F$11,IF(U172&lt;($F$11-$E$11)/($G$11-$E$11),$E$11+SQRT(U172*($G$11-$E$11)*($F$11-$E$11)),$G$11-SQRT((1-U172)*($G$11-$E$11)*($G$11-$F$11))))</f>
        <v>0.110896432090335</v>
      </c>
      <c r="H172" s="39" t="n">
        <f aca="false">(('Business Case'!B11*$C172*'Business Case'!B12*$B172)-'Business Case'!B11*$C172*'Business Case'!B13*$D172-'Business Case'!B14*$E172)-MAX(0,(('Business Case'!B11*$C172*'Business Case'!B12*$B172)-'Business Case'!B11*$C172*'Business Case'!B13*$D172-'Business Case'!B14*$E172))*'Business Case'!$B$7-'Business Case'!$B$8*('Business Case'!B11*$C172*'Business Case'!B12*$B172)-'Business Case'!B15*$F172</f>
        <v>-2002004570.88709</v>
      </c>
      <c r="I172" s="39" t="n">
        <f aca="false">(('Business Case'!C11*$C172*'Business Case'!C12*$B172)-'Business Case'!C11*$C172*'Business Case'!C13*$D172-'Business Case'!C14*$E172)-MAX(0,(('Business Case'!C11*$C172*'Business Case'!C12*$B172)-'Business Case'!C11*$C172*'Business Case'!C13*$D172-'Business Case'!C14*$E172))*'Business Case'!$B$7-'Business Case'!$B$8*(('Business Case'!C11*$C172*'Business Case'!C12*$B172)-('Business Case'!B11*$C172*'Business Case'!B12*$B172))-'Business Case'!C15*$F172</f>
        <v>-53012350.3002604</v>
      </c>
      <c r="J172" s="39" t="n">
        <f aca="false">(('Business Case'!D11*$C172*'Business Case'!D12*$B172)-'Business Case'!D11*$C172*'Business Case'!D13*$D172-'Business Case'!D14*$E172)-MAX(0,(('Business Case'!D11*$C172*'Business Case'!D12*$B172)-'Business Case'!D11*$C172*'Business Case'!D13*$D172-'Business Case'!D14*$E172))*'Business Case'!$B$7-'Business Case'!$B$8*(('Business Case'!D11*$C172*'Business Case'!D12*$B172)-('Business Case'!C11*$C172*'Business Case'!C12*$B172))-'Business Case'!D15*$F172</f>
        <v>179147484.219191</v>
      </c>
      <c r="K172" s="39" t="n">
        <f aca="false">(('Business Case'!E11*$C172*'Business Case'!E12*$B172)-'Business Case'!E11*$C172*'Business Case'!E13*$D172-'Business Case'!E14*$E172)-MAX(0,(('Business Case'!E11*$C172*'Business Case'!E12*$B172)-'Business Case'!E11*$C172*'Business Case'!E13*$D172-'Business Case'!E14*$E172))*'Business Case'!$B$7-'Business Case'!$B$8*(('Business Case'!E11*$C172*'Business Case'!E12*$B172)-('Business Case'!D11*$C172*'Business Case'!D12*$B172))-'Business Case'!E15*$F172</f>
        <v>461357433.01082</v>
      </c>
      <c r="L172" s="39" t="n">
        <f aca="false">(('Business Case'!F11*$C172*'Business Case'!F12*$B172)-'Business Case'!F11*$C172*'Business Case'!F13*$D172-'Business Case'!F14*$E172)-MAX(0,(('Business Case'!F11*$C172*'Business Case'!F12*$B172)-'Business Case'!F11*$C172*'Business Case'!F13*$D172-'Business Case'!F14*$E172))*'Business Case'!$B$7-'Business Case'!$B$8*(('Business Case'!F11*$C172*'Business Case'!F12*$B172)-('Business Case'!E11*$C172*'Business Case'!E12*$B172))-'Business Case'!F15*$F172</f>
        <v>568400467.852694</v>
      </c>
      <c r="M172" s="39" t="n">
        <f aca="false">(('Business Case'!G11*$C172*'Business Case'!G12*$B172)-'Business Case'!G11*$C172*'Business Case'!G13*$D172-'Business Case'!G14*$E172)-MAX(0,(('Business Case'!G11*$C172*'Business Case'!G12*$B172)-'Business Case'!G11*$C172*'Business Case'!G13*$D172-'Business Case'!G14*$E172))*'Business Case'!$B$7-'Business Case'!$B$8*(('Business Case'!G11*$C172*'Business Case'!G12*$B172)-('Business Case'!F11*$C172*'Business Case'!F12*$B172))-'Business Case'!G15*$F172+'Business Case'!$B$8*('Business Case'!G11*$C172*'Business Case'!G12*$B172)</f>
        <v>731510796.19734</v>
      </c>
      <c r="N172" s="39" t="n">
        <f aca="false">IF(COUNT('Business Case'!B11:G11)=0,"",H172+NPV(G172,I172:M172))</f>
        <v>-762451521.621383</v>
      </c>
      <c r="P172" s="40" t="n">
        <f aca="true">RAND()</f>
        <v>0.140093773232352</v>
      </c>
      <c r="Q172" s="40" t="n">
        <f aca="true">RAND()</f>
        <v>0.134352085689232</v>
      </c>
      <c r="R172" s="40" t="n">
        <f aca="true">RAND()</f>
        <v>0.709989258416938</v>
      </c>
      <c r="S172" s="40" t="n">
        <f aca="true">RAND()</f>
        <v>0.199269935839009</v>
      </c>
      <c r="T172" s="40" t="n">
        <f aca="true">RAND()</f>
        <v>0.207998192026137</v>
      </c>
      <c r="U172" s="40" t="n">
        <f aca="true">RAND()</f>
        <v>0.861875085523521</v>
      </c>
    </row>
    <row r="173" customFormat="false" ht="15" hidden="false" customHeight="false" outlineLevel="0" collapsed="false">
      <c r="A173" s="36" t="n">
        <v>93</v>
      </c>
      <c r="B173" s="37" t="n">
        <f aca="false">1+IF($G$6=$E$6,$F$6,IF(P173&lt;($F$6-$E$6)/($G$6-$E$6),$E$6+SQRT(P173*($G$6-$E$6)*($F$6-$E$6)),$G$6-SQRT((1-P173)*($G$6-$E$6)*($G$6-$F$6))))</f>
        <v>0.981799040261835</v>
      </c>
      <c r="C173" s="37" t="n">
        <f aca="false">1+IF($G$7=$E$7,$F$7,IF(Q173&lt;($F$7-$E$7)/($G$7-$E$7),$E$7+SQRT(Q173*($G$7-$E$7)*($F$7-$E$7)),$G$7-SQRT((1-Q173)*($G$7-$E$7)*($G$7-$F$7))))</f>
        <v>0.903173580632312</v>
      </c>
      <c r="D173" s="37" t="n">
        <f aca="false">1+IF($G$8=$E$8,$F$8,IF(R173&lt;($F$8-$E$8)/($G$8-$E$8),$E$8+SQRT(R173*($G$8-$E$8)*($F$8-$E$8)),$G$8-SQRT((1-R173)*($G$8-$E$8)*($G$8-$F$8))))</f>
        <v>1.03858702708827</v>
      </c>
      <c r="E173" s="37" t="n">
        <f aca="false">1+IF($G$9=$E$9,$F$9,IF(S173&lt;($F$9-$E$9)/($G$9-$E$9),$E$9+SQRT(S173*($G$9-$E$9)*($F$9-$E$9)),$G$9-SQRT((1-S173)*($G$9-$E$9)*($G$9-$F$9))))</f>
        <v>1.07990513990196</v>
      </c>
      <c r="F173" s="37" t="n">
        <f aca="false">1+IF($G$10=$E$10,$F$10,IF(T173&lt;($F$10-$E$10)/($G$10-$E$10),$E$10+SQRT(T173*($G$10-$E$10)*($F$10-$E$10)),$G$10-SQRT((1-T173)*($G$10-$E$10)*($G$10-$F$10))))</f>
        <v>1.00754602093287</v>
      </c>
      <c r="G173" s="38" t="n">
        <f aca="false">IF($G$11=$E$11,$F$11,IF(U173&lt;($F$11-$E$11)/($G$11-$E$11),$E$11+SQRT(U173*($G$11-$E$11)*($F$11-$E$11)),$G$11-SQRT((1-U173)*($G$11-$E$11)*($G$11-$F$11))))</f>
        <v>0.105698931033318</v>
      </c>
      <c r="H173" s="39" t="n">
        <f aca="false">(('Business Case'!B11*$C173*'Business Case'!B12*$B173)-'Business Case'!B11*$C173*'Business Case'!B13*$D173-'Business Case'!B14*$E173)-MAX(0,(('Business Case'!B11*$C173*'Business Case'!B12*$B173)-'Business Case'!B11*$C173*'Business Case'!B13*$D173-'Business Case'!B14*$E173))*'Business Case'!$B$7-'Business Case'!$B$8*('Business Case'!B11*$C173*'Business Case'!B12*$B173)-'Business Case'!B15*$F173</f>
        <v>-2015092041.86573</v>
      </c>
      <c r="I173" s="39" t="n">
        <f aca="false">(('Business Case'!C11*$C173*'Business Case'!C12*$B173)-'Business Case'!C11*$C173*'Business Case'!C13*$D173-'Business Case'!C14*$E173)-MAX(0,(('Business Case'!C11*$C173*'Business Case'!C12*$B173)-'Business Case'!C11*$C173*'Business Case'!C13*$D173-'Business Case'!C14*$E173))*'Business Case'!$B$7-'Business Case'!$B$8*(('Business Case'!C11*$C173*'Business Case'!C12*$B173)-('Business Case'!B11*$C173*'Business Case'!B12*$B173))-'Business Case'!C15*$F173</f>
        <v>-54179112.704057</v>
      </c>
      <c r="J173" s="39" t="n">
        <f aca="false">(('Business Case'!D11*$C173*'Business Case'!D12*$B173)-'Business Case'!D11*$C173*'Business Case'!D13*$D173-'Business Case'!D14*$E173)-MAX(0,(('Business Case'!D11*$C173*'Business Case'!D12*$B173)-'Business Case'!D11*$C173*'Business Case'!D13*$D173-'Business Case'!D14*$E173))*'Business Case'!$B$7-'Business Case'!$B$8*(('Business Case'!D11*$C173*'Business Case'!D12*$B173)-('Business Case'!C11*$C173*'Business Case'!C12*$B173))-'Business Case'!D15*$F173</f>
        <v>191927227.628529</v>
      </c>
      <c r="K173" s="39" t="n">
        <f aca="false">(('Business Case'!E11*$C173*'Business Case'!E12*$B173)-'Business Case'!E11*$C173*'Business Case'!E13*$D173-'Business Case'!E14*$E173)-MAX(0,(('Business Case'!E11*$C173*'Business Case'!E12*$B173)-'Business Case'!E11*$C173*'Business Case'!E13*$D173-'Business Case'!E14*$E173))*'Business Case'!$B$7-'Business Case'!$B$8*(('Business Case'!E11*$C173*'Business Case'!E12*$B173)-('Business Case'!D11*$C173*'Business Case'!D12*$B173))-'Business Case'!E15*$F173</f>
        <v>488410869.007758</v>
      </c>
      <c r="L173" s="39" t="n">
        <f aca="false">(('Business Case'!F11*$C173*'Business Case'!F12*$B173)-'Business Case'!F11*$C173*'Business Case'!F13*$D173-'Business Case'!F14*$E173)-MAX(0,(('Business Case'!F11*$C173*'Business Case'!F12*$B173)-'Business Case'!F11*$C173*'Business Case'!F13*$D173-'Business Case'!F14*$E173))*'Business Case'!$B$7-'Business Case'!$B$8*(('Business Case'!F11*$C173*'Business Case'!F12*$B173)-('Business Case'!E11*$C173*'Business Case'!E12*$B173))-'Business Case'!F15*$F173</f>
        <v>601091875.818152</v>
      </c>
      <c r="M173" s="39" t="n">
        <f aca="false">(('Business Case'!G11*$C173*'Business Case'!G12*$B173)-'Business Case'!G11*$C173*'Business Case'!G13*$D173-'Business Case'!G14*$E173)-MAX(0,(('Business Case'!G11*$C173*'Business Case'!G12*$B173)-'Business Case'!G11*$C173*'Business Case'!G13*$D173-'Business Case'!G14*$E173))*'Business Case'!$B$7-'Business Case'!$B$8*(('Business Case'!G11*$C173*'Business Case'!G12*$B173)-('Business Case'!F11*$C173*'Business Case'!F12*$B173))-'Business Case'!G15*$F173+'Business Case'!$B$8*('Business Case'!G11*$C173*'Business Case'!G12*$B173)</f>
        <v>769642455.998907</v>
      </c>
      <c r="N173" s="39" t="n">
        <f aca="false">IF(COUNT('Business Case'!B11:G11)=0,"",H173+NPV(G173,I173:M173))</f>
        <v>-677946623.794187</v>
      </c>
      <c r="P173" s="40" t="n">
        <f aca="true">RAND()</f>
        <v>0.397825143467075</v>
      </c>
      <c r="Q173" s="40" t="n">
        <f aca="true">RAND()</f>
        <v>0.152068396292747</v>
      </c>
      <c r="R173" s="40" t="n">
        <f aca="true">RAND()</f>
        <v>0.835092853328069</v>
      </c>
      <c r="S173" s="40" t="n">
        <f aca="true">RAND()</f>
        <v>0.973079773176025</v>
      </c>
      <c r="T173" s="40" t="n">
        <f aca="true">RAND()</f>
        <v>0.259229318824545</v>
      </c>
      <c r="U173" s="40" t="n">
        <f aca="true">RAND()</f>
        <v>0.659132377350358</v>
      </c>
    </row>
    <row r="174" customFormat="false" ht="15" hidden="false" customHeight="false" outlineLevel="0" collapsed="false">
      <c r="A174" s="36" t="n">
        <v>94</v>
      </c>
      <c r="B174" s="37" t="n">
        <f aca="false">1+IF($G$6=$E$6,$F$6,IF(P174&lt;($F$6-$E$6)/($G$6-$E$6),$E$6+SQRT(P174*($G$6-$E$6)*($F$6-$E$6)),$G$6-SQRT((1-P174)*($G$6-$E$6)*($G$6-$F$6))))</f>
        <v>0.966407052607043</v>
      </c>
      <c r="C174" s="37" t="n">
        <f aca="false">1+IF($G$7=$E$7,$F$7,IF(Q174&lt;($F$7-$E$7)/($G$7-$E$7),$E$7+SQRT(Q174*($G$7-$E$7)*($F$7-$E$7)),$G$7-SQRT((1-Q174)*($G$7-$E$7)*($G$7-$F$7))))</f>
        <v>0.849113423979298</v>
      </c>
      <c r="D174" s="37" t="n">
        <f aca="false">1+IF($G$8=$E$8,$F$8,IF(R174&lt;($F$8-$E$8)/($G$8-$E$8),$E$8+SQRT(R174*($G$8-$E$8)*($F$8-$E$8)),$G$8-SQRT((1-R174)*($G$8-$E$8)*($G$8-$F$8))))</f>
        <v>1.01849566950131</v>
      </c>
      <c r="E174" s="37" t="n">
        <f aca="false">1+IF($G$9=$E$9,$F$9,IF(S174&lt;($F$9-$E$9)/($G$9-$E$9),$E$9+SQRT(S174*($G$9-$E$9)*($F$9-$E$9)),$G$9-SQRT((1-S174)*($G$9-$E$9)*($G$9-$F$9))))</f>
        <v>1.02526044960073</v>
      </c>
      <c r="F174" s="37" t="n">
        <f aca="false">1+IF($G$10=$E$10,$F$10,IF(T174&lt;($F$10-$E$10)/($G$10-$E$10),$E$10+SQRT(T174*($G$10-$E$10)*($F$10-$E$10)),$G$10-SQRT((1-T174)*($G$10-$E$10)*($G$10-$F$10))))</f>
        <v>1.12668877584533</v>
      </c>
      <c r="G174" s="38" t="n">
        <f aca="false">IF($G$11=$E$11,$F$11,IF(U174&lt;($F$11-$E$11)/($G$11-$E$11),$E$11+SQRT(U174*($G$11-$E$11)*($F$11-$E$11)),$G$11-SQRT((1-U174)*($G$11-$E$11)*($G$11-$F$11))))</f>
        <v>0.099922952719006</v>
      </c>
      <c r="H174" s="39" t="n">
        <f aca="false">(('Business Case'!B11*$C174*'Business Case'!B12*$B174)-'Business Case'!B11*$C174*'Business Case'!B13*$D174-'Business Case'!B14*$E174)-MAX(0,(('Business Case'!B11*$C174*'Business Case'!B12*$B174)-'Business Case'!B11*$C174*'Business Case'!B13*$D174-'Business Case'!B14*$E174))*'Business Case'!$B$7-'Business Case'!$B$8*('Business Case'!B11*$C174*'Business Case'!B12*$B174)-'Business Case'!B15*$F174</f>
        <v>-2253377551.69066</v>
      </c>
      <c r="I174" s="39" t="n">
        <f aca="false">(('Business Case'!C11*$C174*'Business Case'!C12*$B174)-'Business Case'!C11*$C174*'Business Case'!C13*$D174-'Business Case'!C14*$E174)-MAX(0,(('Business Case'!C11*$C174*'Business Case'!C12*$B174)-'Business Case'!C11*$C174*'Business Case'!C13*$D174-'Business Case'!C14*$E174))*'Business Case'!$B$7-'Business Case'!$B$8*(('Business Case'!C11*$C174*'Business Case'!C12*$B174)-('Business Case'!B11*$C174*'Business Case'!B12*$B174))-'Business Case'!C15*$F174</f>
        <v>-71596426.6460179</v>
      </c>
      <c r="J174" s="39" t="n">
        <f aca="false">(('Business Case'!D11*$C174*'Business Case'!D12*$B174)-'Business Case'!D11*$C174*'Business Case'!D13*$D174-'Business Case'!D14*$E174)-MAX(0,(('Business Case'!D11*$C174*'Business Case'!D12*$B174)-'Business Case'!D11*$C174*'Business Case'!D13*$D174-'Business Case'!D14*$E174))*'Business Case'!$B$7-'Business Case'!$B$8*(('Business Case'!D11*$C174*'Business Case'!D12*$B174)-('Business Case'!C11*$C174*'Business Case'!C12*$B174))-'Business Case'!D15*$F174</f>
        <v>157807404.426136</v>
      </c>
      <c r="K174" s="39" t="n">
        <f aca="false">(('Business Case'!E11*$C174*'Business Case'!E12*$B174)-'Business Case'!E11*$C174*'Business Case'!E13*$D174-'Business Case'!E14*$E174)-MAX(0,(('Business Case'!E11*$C174*'Business Case'!E12*$B174)-'Business Case'!E11*$C174*'Business Case'!E13*$D174-'Business Case'!E14*$E174))*'Business Case'!$B$7-'Business Case'!$B$8*(('Business Case'!E11*$C174*'Business Case'!E12*$B174)-('Business Case'!D11*$C174*'Business Case'!D12*$B174))-'Business Case'!E15*$F174</f>
        <v>443545674.290557</v>
      </c>
      <c r="L174" s="39" t="n">
        <f aca="false">(('Business Case'!F11*$C174*'Business Case'!F12*$B174)-'Business Case'!F11*$C174*'Business Case'!F13*$D174-'Business Case'!F14*$E174)-MAX(0,(('Business Case'!F11*$C174*'Business Case'!F12*$B174)-'Business Case'!F11*$C174*'Business Case'!F13*$D174-'Business Case'!F14*$E174))*'Business Case'!$B$7-'Business Case'!$B$8*(('Business Case'!F11*$C174*'Business Case'!F12*$B174)-('Business Case'!E11*$C174*'Business Case'!E12*$B174))-'Business Case'!F15*$F174</f>
        <v>548373180.781552</v>
      </c>
      <c r="M174" s="39" t="n">
        <f aca="false">(('Business Case'!G11*$C174*'Business Case'!G12*$B174)-'Business Case'!G11*$C174*'Business Case'!G13*$D174-'Business Case'!G14*$E174)-MAX(0,(('Business Case'!G11*$C174*'Business Case'!G12*$B174)-'Business Case'!G11*$C174*'Business Case'!G13*$D174-'Business Case'!G14*$E174))*'Business Case'!$B$7-'Business Case'!$B$8*(('Business Case'!G11*$C174*'Business Case'!G12*$B174)-('Business Case'!F11*$C174*'Business Case'!F12*$B174))-'Business Case'!G15*$F174+'Business Case'!$B$8*('Business Case'!G11*$C174*'Business Case'!G12*$B174)</f>
        <v>704350776.183076</v>
      </c>
      <c r="N174" s="39" t="n">
        <f aca="false">IF(COUNT('Business Case'!B11:G11)=0,"",H174+NPV(G174,I174:M174))</f>
        <v>-1042568863.49438</v>
      </c>
      <c r="P174" s="40" t="n">
        <f aca="true">RAND()</f>
        <v>0.224334847049253</v>
      </c>
      <c r="Q174" s="40" t="n">
        <f aca="true">RAND()</f>
        <v>0.0344589773567179</v>
      </c>
      <c r="R174" s="40" t="n">
        <f aca="true">RAND()</f>
        <v>0.63627089710654</v>
      </c>
      <c r="S174" s="40" t="n">
        <f aca="true">RAND()</f>
        <v>0.627599973740955</v>
      </c>
      <c r="T174" s="40" t="n">
        <f aca="true">RAND()</f>
        <v>0.892509288258874</v>
      </c>
      <c r="U174" s="40" t="n">
        <f aca="true">RAND()</f>
        <v>0.328216635545432</v>
      </c>
    </row>
    <row r="175" customFormat="false" ht="15" hidden="false" customHeight="false" outlineLevel="0" collapsed="false">
      <c r="A175" s="36" t="n">
        <v>95</v>
      </c>
      <c r="B175" s="37" t="n">
        <f aca="false">1+IF($G$6=$E$6,$F$6,IF(P175&lt;($F$6-$E$6)/($G$6-$E$6),$E$6+SQRT(P175*($G$6-$E$6)*($F$6-$E$6)),$G$6-SQRT((1-P175)*($G$6-$E$6)*($G$6-$F$6))))</f>
        <v>0.943113796132297</v>
      </c>
      <c r="C175" s="37" t="n">
        <f aca="false">1+IF($G$7=$E$7,$F$7,IF(Q175&lt;($F$7-$E$7)/($G$7-$E$7),$E$7+SQRT(Q175*($G$7-$E$7)*($F$7-$E$7)),$G$7-SQRT((1-Q175)*($G$7-$E$7)*($G$7-$F$7))))</f>
        <v>1.03489502764589</v>
      </c>
      <c r="D175" s="37" t="n">
        <f aca="false">1+IF($G$8=$E$8,$F$8,IF(R175&lt;($F$8-$E$8)/($G$8-$E$8),$E$8+SQRT(R175*($G$8-$E$8)*($F$8-$E$8)),$G$8-SQRT((1-R175)*($G$8-$E$8)*($G$8-$F$8))))</f>
        <v>1.01641072447293</v>
      </c>
      <c r="E175" s="37" t="n">
        <f aca="false">1+IF($G$9=$E$9,$F$9,IF(S175&lt;($F$9-$E$9)/($G$9-$E$9),$E$9+SQRT(S175*($G$9-$E$9)*($F$9-$E$9)),$G$9-SQRT((1-S175)*($G$9-$E$9)*($G$9-$F$9))))</f>
        <v>1.00145863732591</v>
      </c>
      <c r="F175" s="37" t="n">
        <f aca="false">1+IF($G$10=$E$10,$F$10,IF(T175&lt;($F$10-$E$10)/($G$10-$E$10),$E$10+SQRT(T175*($G$10-$E$10)*($F$10-$E$10)),$G$10-SQRT((1-T175)*($G$10-$E$10)*($G$10-$F$10))))</f>
        <v>1.0498164983967</v>
      </c>
      <c r="G175" s="38" t="n">
        <f aca="false">IF($G$11=$E$11,$F$11,IF(U175&lt;($F$11-$E$11)/($G$11-$E$11),$E$11+SQRT(U175*($G$11-$E$11)*($F$11-$E$11)),$G$11-SQRT((1-U175)*($G$11-$E$11)*($G$11-$F$11))))</f>
        <v>0.0917140649020641</v>
      </c>
      <c r="H175" s="39" t="n">
        <f aca="false">(('Business Case'!B11*$C175*'Business Case'!B12*$B175)-'Business Case'!B11*$C175*'Business Case'!B13*$D175-'Business Case'!B14*$E175)-MAX(0,(('Business Case'!B11*$C175*'Business Case'!B12*$B175)-'Business Case'!B11*$C175*'Business Case'!B13*$D175-'Business Case'!B14*$E175))*'Business Case'!$B$7-'Business Case'!$B$8*('Business Case'!B11*$C175*'Business Case'!B12*$B175)-'Business Case'!B15*$F175</f>
        <v>-2099632996.79341</v>
      </c>
      <c r="I175" s="39" t="n">
        <f aca="false">(('Business Case'!C11*$C175*'Business Case'!C12*$B175)-'Business Case'!C11*$C175*'Business Case'!C13*$D175-'Business Case'!C14*$E175)-MAX(0,(('Business Case'!C11*$C175*'Business Case'!C12*$B175)-'Business Case'!C11*$C175*'Business Case'!C13*$D175-'Business Case'!C14*$E175))*'Business Case'!$B$7-'Business Case'!$B$8*(('Business Case'!C11*$C175*'Business Case'!C12*$B175)-('Business Case'!B11*$C175*'Business Case'!B12*$B175))-'Business Case'!C15*$F175</f>
        <v>-37029985.718407</v>
      </c>
      <c r="J175" s="39" t="n">
        <f aca="false">(('Business Case'!D11*$C175*'Business Case'!D12*$B175)-'Business Case'!D11*$C175*'Business Case'!D13*$D175-'Business Case'!D14*$E175)-MAX(0,(('Business Case'!D11*$C175*'Business Case'!D12*$B175)-'Business Case'!D11*$C175*'Business Case'!D13*$D175-'Business Case'!D14*$E175))*'Business Case'!$B$7-'Business Case'!$B$8*(('Business Case'!D11*$C175*'Business Case'!D12*$B175)-('Business Case'!C11*$C175*'Business Case'!C12*$B175))-'Business Case'!D15*$F175</f>
        <v>223926169.288423</v>
      </c>
      <c r="K175" s="39" t="n">
        <f aca="false">(('Business Case'!E11*$C175*'Business Case'!E12*$B175)-'Business Case'!E11*$C175*'Business Case'!E13*$D175-'Business Case'!E14*$E175)-MAX(0,(('Business Case'!E11*$C175*'Business Case'!E12*$B175)-'Business Case'!E11*$C175*'Business Case'!E13*$D175-'Business Case'!E14*$E175))*'Business Case'!$B$7-'Business Case'!$B$8*(('Business Case'!E11*$C175*'Business Case'!E12*$B175)-('Business Case'!D11*$C175*'Business Case'!D12*$B175))-'Business Case'!E15*$F175</f>
        <v>537373149.215088</v>
      </c>
      <c r="L175" s="39" t="n">
        <f aca="false">(('Business Case'!F11*$C175*'Business Case'!F12*$B175)-'Business Case'!F11*$C175*'Business Case'!F13*$D175-'Business Case'!F14*$E175)-MAX(0,(('Business Case'!F11*$C175*'Business Case'!F12*$B175)-'Business Case'!F11*$C175*'Business Case'!F13*$D175-'Business Case'!F14*$E175))*'Business Case'!$B$7-'Business Case'!$B$8*(('Business Case'!F11*$C175*'Business Case'!F12*$B175)-('Business Case'!E11*$C175*'Business Case'!E12*$B175))-'Business Case'!F15*$F175</f>
        <v>658089915.989246</v>
      </c>
      <c r="M175" s="39" t="n">
        <f aca="false">(('Business Case'!G11*$C175*'Business Case'!G12*$B175)-'Business Case'!G11*$C175*'Business Case'!G13*$D175-'Business Case'!G14*$E175)-MAX(0,(('Business Case'!G11*$C175*'Business Case'!G12*$B175)-'Business Case'!G11*$C175*'Business Case'!G13*$D175-'Business Case'!G14*$E175))*'Business Case'!$B$7-'Business Case'!$B$8*(('Business Case'!G11*$C175*'Business Case'!G12*$B175)-('Business Case'!F11*$C175*'Business Case'!F12*$B175))-'Business Case'!G15*$F175+'Business Case'!$B$8*('Business Case'!G11*$C175*'Business Case'!G12*$B175)</f>
        <v>843612515.734591</v>
      </c>
      <c r="N175" s="39" t="n">
        <f aca="false">IF(COUNT('Business Case'!B11:G11)=0,"",H175+NPV(G175,I175:M175))</f>
        <v>-525384131.512082</v>
      </c>
      <c r="P175" s="40" t="n">
        <f aca="true">RAND()</f>
        <v>0.0556507887130616</v>
      </c>
      <c r="Q175" s="40" t="n">
        <f aca="true">RAND()</f>
        <v>0.74763514932115</v>
      </c>
      <c r="R175" s="40" t="n">
        <f aca="true">RAND()</f>
        <v>0.611192695956016</v>
      </c>
      <c r="S175" s="40" t="n">
        <f aca="true">RAND()</f>
        <v>0.35263998948895</v>
      </c>
      <c r="T175" s="40" t="n">
        <f aca="true">RAND()</f>
        <v>0.548898316923453</v>
      </c>
      <c r="U175" s="40" t="n">
        <f aca="true">RAND()</f>
        <v>0.00979339496162677</v>
      </c>
    </row>
    <row r="176" customFormat="false" ht="15" hidden="false" customHeight="false" outlineLevel="0" collapsed="false">
      <c r="A176" s="36" t="n">
        <v>96</v>
      </c>
      <c r="B176" s="37" t="n">
        <f aca="false">1+IF($G$6=$E$6,$F$6,IF(P176&lt;($F$6-$E$6)/($G$6-$E$6),$E$6+SQRT(P176*($G$6-$E$6)*($F$6-$E$6)),$G$6-SQRT((1-P176)*($G$6-$E$6)*($G$6-$F$6))))</f>
        <v>0.922272438542918</v>
      </c>
      <c r="C176" s="37" t="n">
        <f aca="false">1+IF($G$7=$E$7,$F$7,IF(Q176&lt;($F$7-$E$7)/($G$7-$E$7),$E$7+SQRT(Q176*($G$7-$E$7)*($F$7-$E$7)),$G$7-SQRT((1-Q176)*($G$7-$E$7)*($G$7-$F$7))))</f>
        <v>1.00264567455477</v>
      </c>
      <c r="D176" s="37" t="n">
        <f aca="false">1+IF($G$8=$E$8,$F$8,IF(R176&lt;($F$8-$E$8)/($G$8-$E$8),$E$8+SQRT(R176*($G$8-$E$8)*($F$8-$E$8)),$G$8-SQRT((1-R176)*($G$8-$E$8)*($G$8-$F$8))))</f>
        <v>0.986141543698113</v>
      </c>
      <c r="E176" s="37" t="n">
        <f aca="false">1+IF($G$9=$E$9,$F$9,IF(S176&lt;($F$9-$E$9)/($G$9-$E$9),$E$9+SQRT(S176*($G$9-$E$9)*($F$9-$E$9)),$G$9-SQRT((1-S176)*($G$9-$E$9)*($G$9-$F$9))))</f>
        <v>0.958699668184633</v>
      </c>
      <c r="F176" s="37" t="n">
        <f aca="false">1+IF($G$10=$E$10,$F$10,IF(T176&lt;($F$10-$E$10)/($G$10-$E$10),$E$10+SQRT(T176*($G$10-$E$10)*($F$10-$E$10)),$G$10-SQRT((1-T176)*($G$10-$E$10)*($G$10-$F$10))))</f>
        <v>1.05986554593515</v>
      </c>
      <c r="G176" s="38" t="n">
        <f aca="false">IF($G$11=$E$11,$F$11,IF(U176&lt;($F$11-$E$11)/($G$11-$E$11),$E$11+SQRT(U176*($G$11-$E$11)*($F$11-$E$11)),$G$11-SQRT((1-U176)*($G$11-$E$11)*($G$11-$F$11))))</f>
        <v>0.095732507913676</v>
      </c>
      <c r="H176" s="39" t="n">
        <f aca="false">(('Business Case'!B11*$C176*'Business Case'!B12*$B176)-'Business Case'!B11*$C176*'Business Case'!B13*$D176-'Business Case'!B14*$E176)-MAX(0,(('Business Case'!B11*$C176*'Business Case'!B12*$B176)-'Business Case'!B11*$C176*'Business Case'!B13*$D176-'Business Case'!B14*$E176))*'Business Case'!$B$7-'Business Case'!$B$8*('Business Case'!B11*$C176*'Business Case'!B12*$B176)-'Business Case'!B15*$F176</f>
        <v>-2119731091.8703</v>
      </c>
      <c r="I176" s="39" t="n">
        <f aca="false">(('Business Case'!C11*$C176*'Business Case'!C12*$B176)-'Business Case'!C11*$C176*'Business Case'!C13*$D176-'Business Case'!C14*$E176)-MAX(0,(('Business Case'!C11*$C176*'Business Case'!C12*$B176)-'Business Case'!C11*$C176*'Business Case'!C13*$D176-'Business Case'!C14*$E176))*'Business Case'!$B$7-'Business Case'!$B$8*(('Business Case'!C11*$C176*'Business Case'!C12*$B176)-('Business Case'!B11*$C176*'Business Case'!B12*$B176))-'Business Case'!C15*$F176</f>
        <v>-39005831.8939369</v>
      </c>
      <c r="J176" s="39" t="n">
        <f aca="false">(('Business Case'!D11*$C176*'Business Case'!D12*$B176)-'Business Case'!D11*$C176*'Business Case'!D13*$D176-'Business Case'!D14*$E176)-MAX(0,(('Business Case'!D11*$C176*'Business Case'!D12*$B176)-'Business Case'!D11*$C176*'Business Case'!D13*$D176-'Business Case'!D14*$E176))*'Business Case'!$B$7-'Business Case'!$B$8*(('Business Case'!D11*$C176*'Business Case'!D12*$B176)-('Business Case'!C11*$C176*'Business Case'!C12*$B176))-'Business Case'!D15*$F176</f>
        <v>212239078.131932</v>
      </c>
      <c r="K176" s="39" t="n">
        <f aca="false">(('Business Case'!E11*$C176*'Business Case'!E12*$B176)-'Business Case'!E11*$C176*'Business Case'!E13*$D176-'Business Case'!E14*$E176)-MAX(0,(('Business Case'!E11*$C176*'Business Case'!E12*$B176)-'Business Case'!E11*$C176*'Business Case'!E13*$D176-'Business Case'!E14*$E176))*'Business Case'!$B$7-'Business Case'!$B$8*(('Business Case'!E11*$C176*'Business Case'!E12*$B176)-('Business Case'!D11*$C176*'Business Case'!D12*$B176))-'Business Case'!E15*$F176</f>
        <v>516477265.45456</v>
      </c>
      <c r="L176" s="39" t="n">
        <f aca="false">(('Business Case'!F11*$C176*'Business Case'!F12*$B176)-'Business Case'!F11*$C176*'Business Case'!F13*$D176-'Business Case'!F14*$E176)-MAX(0,(('Business Case'!F11*$C176*'Business Case'!F12*$B176)-'Business Case'!F11*$C176*'Business Case'!F13*$D176-'Business Case'!F14*$E176))*'Business Case'!$B$7-'Business Case'!$B$8*(('Business Case'!F11*$C176*'Business Case'!F12*$B176)-('Business Case'!E11*$C176*'Business Case'!E12*$B176))-'Business Case'!F15*$F176</f>
        <v>632183631.803473</v>
      </c>
      <c r="M176" s="39" t="n">
        <f aca="false">(('Business Case'!G11*$C176*'Business Case'!G12*$B176)-'Business Case'!G11*$C176*'Business Case'!G13*$D176-'Business Case'!G14*$E176)-MAX(0,(('Business Case'!G11*$C176*'Business Case'!G12*$B176)-'Business Case'!G11*$C176*'Business Case'!G13*$D176-'Business Case'!G14*$E176))*'Business Case'!$B$7-'Business Case'!$B$8*(('Business Case'!G11*$C176*'Business Case'!G12*$B176)-('Business Case'!F11*$C176*'Business Case'!F12*$B176))-'Business Case'!G15*$F176+'Business Case'!$B$8*('Business Case'!G11*$C176*'Business Case'!G12*$B176)</f>
        <v>807952978.34174</v>
      </c>
      <c r="N176" s="39" t="n">
        <f aca="false">IF(COUNT('Business Case'!B11:G11)=0,"",H176+NPV(G176,I176:M176))</f>
        <v>-635890542.718483</v>
      </c>
      <c r="P176" s="40" t="n">
        <f aca="true">RAND()</f>
        <v>0.000537914263681237</v>
      </c>
      <c r="Q176" s="40" t="n">
        <f aca="true">RAND()</f>
        <v>0.586413386144398</v>
      </c>
      <c r="R176" s="40" t="n">
        <f aca="true">RAND()</f>
        <v>0.200955566289634</v>
      </c>
      <c r="S176" s="40" t="n">
        <f aca="true">RAND()</f>
        <v>0.0100912302030287</v>
      </c>
      <c r="T176" s="40" t="n">
        <f aca="true">RAND()</f>
        <v>0.607246695678927</v>
      </c>
      <c r="U176" s="40" t="n">
        <f aca="true">RAND()</f>
        <v>0.109538823267859</v>
      </c>
    </row>
    <row r="177" customFormat="false" ht="15" hidden="false" customHeight="false" outlineLevel="0" collapsed="false">
      <c r="A177" s="36" t="n">
        <v>97</v>
      </c>
      <c r="B177" s="37" t="n">
        <f aca="false">1+IF($G$6=$E$6,$F$6,IF(P177&lt;($F$6-$E$6)/($G$6-$E$6),$E$6+SQRT(P177*($G$6-$E$6)*($F$6-$E$6)),$G$6-SQRT((1-P177)*($G$6-$E$6)*($G$6-$F$6))))</f>
        <v>0.997758274422281</v>
      </c>
      <c r="C177" s="37" t="n">
        <f aca="false">1+IF($G$7=$E$7,$F$7,IF(Q177&lt;($F$7-$E$7)/($G$7-$E$7),$E$7+SQRT(Q177*($G$7-$E$7)*($F$7-$E$7)),$G$7-SQRT((1-Q177)*($G$7-$E$7)*($G$7-$F$7))))</f>
        <v>0.971235889509974</v>
      </c>
      <c r="D177" s="37" t="n">
        <f aca="false">1+IF($G$8=$E$8,$F$8,IF(R177&lt;($F$8-$E$8)/($G$8-$E$8),$E$8+SQRT(R177*($G$8-$E$8)*($F$8-$E$8)),$G$8-SQRT((1-R177)*($G$8-$E$8)*($G$8-$F$8))))</f>
        <v>1.01058293426169</v>
      </c>
      <c r="E177" s="37" t="n">
        <f aca="false">1+IF($G$9=$E$9,$F$9,IF(S177&lt;($F$9-$E$9)/($G$9-$E$9),$E$9+SQRT(S177*($G$9-$E$9)*($F$9-$E$9)),$G$9-SQRT((1-S177)*($G$9-$E$9)*($G$9-$F$9))))</f>
        <v>1.05540908355584</v>
      </c>
      <c r="F177" s="37" t="n">
        <f aca="false">1+IF($G$10=$E$10,$F$10,IF(T177&lt;($F$10-$E$10)/($G$10-$E$10),$E$10+SQRT(T177*($G$10-$E$10)*($F$10-$E$10)),$G$10-SQRT((1-T177)*($G$10-$E$10)*($G$10-$F$10))))</f>
        <v>1.05013314845589</v>
      </c>
      <c r="G177" s="38" t="n">
        <f aca="false">IF($G$11=$E$11,$F$11,IF(U177&lt;($F$11-$E$11)/($G$11-$E$11),$E$11+SQRT(U177*($G$11-$E$11)*($F$11-$E$11)),$G$11-SQRT((1-U177)*($G$11-$E$11)*($G$11-$F$11))))</f>
        <v>0.106543794457468</v>
      </c>
      <c r="H177" s="39" t="n">
        <f aca="false">(('Business Case'!B11*$C177*'Business Case'!B12*$B177)-'Business Case'!B11*$C177*'Business Case'!B13*$D177-'Business Case'!B14*$E177)-MAX(0,(('Business Case'!B11*$C177*'Business Case'!B12*$B177)-'Business Case'!B11*$C177*'Business Case'!B13*$D177-'Business Case'!B14*$E177))*'Business Case'!$B$7-'Business Case'!$B$8*('Business Case'!B11*$C177*'Business Case'!B12*$B177)-'Business Case'!B15*$F177</f>
        <v>-2100266296.91179</v>
      </c>
      <c r="I177" s="39" t="n">
        <f aca="false">(('Business Case'!C11*$C177*'Business Case'!C12*$B177)-'Business Case'!C11*$C177*'Business Case'!C13*$D177-'Business Case'!C14*$E177)-MAX(0,(('Business Case'!C11*$C177*'Business Case'!C12*$B177)-'Business Case'!C11*$C177*'Business Case'!C13*$D177-'Business Case'!C14*$E177))*'Business Case'!$B$7-'Business Case'!$B$8*(('Business Case'!C11*$C177*'Business Case'!C12*$B177)-('Business Case'!B11*$C177*'Business Case'!B12*$B177))-'Business Case'!C15*$F177</f>
        <v>-14056543.4411318</v>
      </c>
      <c r="J177" s="39" t="n">
        <f aca="false">(('Business Case'!D11*$C177*'Business Case'!D12*$B177)-'Business Case'!D11*$C177*'Business Case'!D13*$D177-'Business Case'!D14*$E177)-MAX(0,(('Business Case'!D11*$C177*'Business Case'!D12*$B177)-'Business Case'!D11*$C177*'Business Case'!D13*$D177-'Business Case'!D14*$E177))*'Business Case'!$B$7-'Business Case'!$B$8*(('Business Case'!D11*$C177*'Business Case'!D12*$B177)-('Business Case'!C11*$C177*'Business Case'!C12*$B177))-'Business Case'!D15*$F177</f>
        <v>277215399.81081</v>
      </c>
      <c r="K177" s="39" t="n">
        <f aca="false">(('Business Case'!E11*$C177*'Business Case'!E12*$B177)-'Business Case'!E11*$C177*'Business Case'!E13*$D177-'Business Case'!E14*$E177)-MAX(0,(('Business Case'!E11*$C177*'Business Case'!E12*$B177)-'Business Case'!E11*$C177*'Business Case'!E13*$D177-'Business Case'!E14*$E177))*'Business Case'!$B$7-'Business Case'!$B$8*(('Business Case'!E11*$C177*'Business Case'!E12*$B177)-('Business Case'!D11*$C177*'Business Case'!D12*$B177))-'Business Case'!E15*$F177</f>
        <v>620994000.485546</v>
      </c>
      <c r="L177" s="39" t="n">
        <f aca="false">(('Business Case'!F11*$C177*'Business Case'!F12*$B177)-'Business Case'!F11*$C177*'Business Case'!F13*$D177-'Business Case'!F14*$E177)-MAX(0,(('Business Case'!F11*$C177*'Business Case'!F12*$B177)-'Business Case'!F11*$C177*'Business Case'!F13*$D177-'Business Case'!F14*$E177))*'Business Case'!$B$7-'Business Case'!$B$8*(('Business Case'!F11*$C177*'Business Case'!F12*$B177)-('Business Case'!E11*$C177*'Business Case'!E12*$B177))-'Business Case'!F15*$F177</f>
        <v>751575315.013423</v>
      </c>
      <c r="M177" s="39" t="n">
        <f aca="false">(('Business Case'!G11*$C177*'Business Case'!G12*$B177)-'Business Case'!G11*$C177*'Business Case'!G13*$D177-'Business Case'!G14*$E177)-MAX(0,(('Business Case'!G11*$C177*'Business Case'!G12*$B177)-'Business Case'!G11*$C177*'Business Case'!G13*$D177-'Business Case'!G14*$E177))*'Business Case'!$B$7-'Business Case'!$B$8*(('Business Case'!G11*$C177*'Business Case'!G12*$B177)-('Business Case'!F11*$C177*'Business Case'!F12*$B177))-'Business Case'!G15*$F177+'Business Case'!$B$8*('Business Case'!G11*$C177*'Business Case'!G12*$B177)</f>
        <v>935773982.288184</v>
      </c>
      <c r="N177" s="39" t="n">
        <f aca="false">IF(COUNT('Business Case'!B11:G11)=0,"",H177+NPV(G177,I177:M177))</f>
        <v>-362870138.560269</v>
      </c>
      <c r="P177" s="40" t="n">
        <f aca="true">RAND()</f>
        <v>0.629828045951124</v>
      </c>
      <c r="Q177" s="40" t="n">
        <f aca="true">RAND()</f>
        <v>0.418881855089599</v>
      </c>
      <c r="R177" s="40" t="n">
        <f aca="true">RAND()</f>
        <v>0.536660671565682</v>
      </c>
      <c r="S177" s="40" t="n">
        <f aca="true">RAND()</f>
        <v>0.867443344711307</v>
      </c>
      <c r="T177" s="40" t="n">
        <f aca="true">RAND()</f>
        <v>0.550798536165141</v>
      </c>
      <c r="U177" s="40" t="n">
        <f aca="true">RAND()</f>
        <v>0.698217553995238</v>
      </c>
    </row>
    <row r="178" customFormat="false" ht="15" hidden="false" customHeight="false" outlineLevel="0" collapsed="false">
      <c r="A178" s="36" t="n">
        <v>98</v>
      </c>
      <c r="B178" s="37" t="n">
        <f aca="false">1+IF($G$6=$E$6,$F$6,IF(P178&lt;($F$6-$E$6)/($G$6-$E$6),$E$6+SQRT(P178*($G$6-$E$6)*($F$6-$E$6)),$G$6-SQRT((1-P178)*($G$6-$E$6)*($G$6-$F$6))))</f>
        <v>1.02259414574506</v>
      </c>
      <c r="C178" s="37" t="n">
        <f aca="false">1+IF($G$7=$E$7,$F$7,IF(Q178&lt;($F$7-$E$7)/($G$7-$E$7),$E$7+SQRT(Q178*($G$7-$E$7)*($F$7-$E$7)),$G$7-SQRT((1-Q178)*($G$7-$E$7)*($G$7-$F$7))))</f>
        <v>1.11365661997414</v>
      </c>
      <c r="D178" s="37" t="n">
        <f aca="false">1+IF($G$8=$E$8,$F$8,IF(R178&lt;($F$8-$E$8)/($G$8-$E$8),$E$8+SQRT(R178*($G$8-$E$8)*($F$8-$E$8)),$G$8-SQRT((1-R178)*($G$8-$E$8)*($G$8-$F$8))))</f>
        <v>1.02275932789747</v>
      </c>
      <c r="E178" s="37" t="n">
        <f aca="false">1+IF($G$9=$E$9,$F$9,IF(S178&lt;($F$9-$E$9)/($G$9-$E$9),$E$9+SQRT(S178*($G$9-$E$9)*($F$9-$E$9)),$G$9-SQRT((1-S178)*($G$9-$E$9)*($G$9-$F$9))))</f>
        <v>0.952489623502759</v>
      </c>
      <c r="F178" s="37" t="n">
        <f aca="false">1+IF($G$10=$E$10,$F$10,IF(T178&lt;($F$10-$E$10)/($G$10-$E$10),$E$10+SQRT(T178*($G$10-$E$10)*($F$10-$E$10)),$G$10-SQRT((1-T178)*($G$10-$E$10)*($G$10-$F$10))))</f>
        <v>1.09203132401252</v>
      </c>
      <c r="G178" s="38" t="n">
        <f aca="false">IF($G$11=$E$11,$F$11,IF(U178&lt;($F$11-$E$11)/($G$11-$E$11),$E$11+SQRT(U178*($G$11-$E$11)*($F$11-$E$11)),$G$11-SQRT((1-U178)*($G$11-$E$11)*($G$11-$F$11))))</f>
        <v>0.101737852824152</v>
      </c>
      <c r="H178" s="39" t="n">
        <f aca="false">(('Business Case'!B11*$C178*'Business Case'!B12*$B178)-'Business Case'!B11*$C178*'Business Case'!B13*$D178-'Business Case'!B14*$E178)-MAX(0,(('Business Case'!B11*$C178*'Business Case'!B12*$B178)-'Business Case'!B11*$C178*'Business Case'!B13*$D178-'Business Case'!B14*$E178))*'Business Case'!$B$7-'Business Case'!$B$8*('Business Case'!B11*$C178*'Business Case'!B12*$B178)-'Business Case'!B15*$F178</f>
        <v>-2184062648.02505</v>
      </c>
      <c r="I178" s="39" t="n">
        <f aca="false">(('Business Case'!C11*$C178*'Business Case'!C12*$B178)-'Business Case'!C11*$C178*'Business Case'!C13*$D178-'Business Case'!C14*$E178)-MAX(0,(('Business Case'!C11*$C178*'Business Case'!C12*$B178)-'Business Case'!C11*$C178*'Business Case'!C13*$D178-'Business Case'!C14*$E178))*'Business Case'!$B$7-'Business Case'!$B$8*(('Business Case'!C11*$C178*'Business Case'!C12*$B178)-('Business Case'!B11*$C178*'Business Case'!B12*$B178))-'Business Case'!C15*$F178</f>
        <v>46012762.4156054</v>
      </c>
      <c r="J178" s="39" t="n">
        <f aca="false">(('Business Case'!D11*$C178*'Business Case'!D12*$B178)-'Business Case'!D11*$C178*'Business Case'!D13*$D178-'Business Case'!D14*$E178)-MAX(0,(('Business Case'!D11*$C178*'Business Case'!D12*$B178)-'Business Case'!D11*$C178*'Business Case'!D13*$D178-'Business Case'!D14*$E178))*'Business Case'!$B$7-'Business Case'!$B$8*(('Business Case'!D11*$C178*'Business Case'!D12*$B178)-('Business Case'!C11*$C178*'Business Case'!C12*$B178))-'Business Case'!D15*$F178</f>
        <v>395709045.173864</v>
      </c>
      <c r="K178" s="39" t="n">
        <f aca="false">(('Business Case'!E11*$C178*'Business Case'!E12*$B178)-'Business Case'!E11*$C178*'Business Case'!E13*$D178-'Business Case'!E14*$E178)-MAX(0,(('Business Case'!E11*$C178*'Business Case'!E12*$B178)-'Business Case'!E11*$C178*'Business Case'!E13*$D178-'Business Case'!E14*$E178))*'Business Case'!$B$7-'Business Case'!$B$8*(('Business Case'!E11*$C178*'Business Case'!E12*$B178)-('Business Case'!D11*$C178*'Business Case'!D12*$B178))-'Business Case'!E15*$F178</f>
        <v>800006894.132748</v>
      </c>
      <c r="L178" s="39" t="n">
        <f aca="false">(('Business Case'!F11*$C178*'Business Case'!F12*$B178)-'Business Case'!F11*$C178*'Business Case'!F13*$D178-'Business Case'!F14*$E178)-MAX(0,(('Business Case'!F11*$C178*'Business Case'!F12*$B178)-'Business Case'!F11*$C178*'Business Case'!F13*$D178-'Business Case'!F14*$E178))*'Business Case'!$B$7-'Business Case'!$B$8*(('Business Case'!F11*$C178*'Business Case'!F12*$B178)-('Business Case'!E11*$C178*'Business Case'!E12*$B178))-'Business Case'!F15*$F178</f>
        <v>955929897.371706</v>
      </c>
      <c r="M178" s="39" t="n">
        <f aca="false">(('Business Case'!G11*$C178*'Business Case'!G12*$B178)-'Business Case'!G11*$C178*'Business Case'!G13*$D178-'Business Case'!G14*$E178)-MAX(0,(('Business Case'!G11*$C178*'Business Case'!G12*$B178)-'Business Case'!G11*$C178*'Business Case'!G13*$D178-'Business Case'!G14*$E178))*'Business Case'!$B$7-'Business Case'!$B$8*(('Business Case'!G11*$C178*'Business Case'!G12*$B178)-('Business Case'!F11*$C178*'Business Case'!F12*$B178))-'Business Case'!G15*$F178+'Business Case'!$B$8*('Business Case'!G11*$C178*'Business Case'!G12*$B178)</f>
        <v>1172396563.4625</v>
      </c>
      <c r="N178" s="39" t="n">
        <f aca="false">IF(COUNT('Business Case'!B11:G11)=0,"",H178+NPV(G178,I178:M178))</f>
        <v>152965664.020699</v>
      </c>
      <c r="P178" s="40" t="n">
        <f aca="true">RAND()</f>
        <v>0.936882549511618</v>
      </c>
      <c r="Q178" s="40" t="n">
        <f aca="true">RAND()</f>
        <v>0.974841118634212</v>
      </c>
      <c r="R178" s="40" t="n">
        <f aca="true">RAND()</f>
        <v>0.684952447812578</v>
      </c>
      <c r="S178" s="40" t="n">
        <f aca="true">RAND()</f>
        <v>0.000826430024732137</v>
      </c>
      <c r="T178" s="40" t="n">
        <f aca="true">RAND()</f>
        <v>0.766855300110229</v>
      </c>
      <c r="U178" s="40" t="n">
        <f aca="true">RAND()</f>
        <v>0.444156634212766</v>
      </c>
    </row>
    <row r="179" customFormat="false" ht="15" hidden="false" customHeight="false" outlineLevel="0" collapsed="false">
      <c r="A179" s="36" t="n">
        <v>99</v>
      </c>
      <c r="B179" s="37" t="n">
        <f aca="false">1+IF($G$6=$E$6,$F$6,IF(P179&lt;($F$6-$E$6)/($G$6-$E$6),$E$6+SQRT(P179*($G$6-$E$6)*($F$6-$E$6)),$G$6-SQRT((1-P179)*($G$6-$E$6)*($G$6-$F$6))))</f>
        <v>0.96857670467921</v>
      </c>
      <c r="C179" s="37" t="n">
        <f aca="false">1+IF($G$7=$E$7,$F$7,IF(Q179&lt;($F$7-$E$7)/($G$7-$E$7),$E$7+SQRT(Q179*($G$7-$E$7)*($F$7-$E$7)),$G$7-SQRT((1-Q179)*($G$7-$E$7)*($G$7-$F$7))))</f>
        <v>1.06120705762993</v>
      </c>
      <c r="D179" s="37" t="n">
        <f aca="false">1+IF($G$8=$E$8,$F$8,IF(R179&lt;($F$8-$E$8)/($G$8-$E$8),$E$8+SQRT(R179*($G$8-$E$8)*($F$8-$E$8)),$G$8-SQRT((1-R179)*($G$8-$E$8)*($G$8-$F$8))))</f>
        <v>0.986349167033614</v>
      </c>
      <c r="E179" s="37" t="n">
        <f aca="false">1+IF($G$9=$E$9,$F$9,IF(S179&lt;($F$9-$E$9)/($G$9-$E$9),$E$9+SQRT(S179*($G$9-$E$9)*($F$9-$E$9)),$G$9-SQRT((1-S179)*($G$9-$E$9)*($G$9-$F$9))))</f>
        <v>1.08017619025632</v>
      </c>
      <c r="F179" s="37" t="n">
        <f aca="false">1+IF($G$10=$E$10,$F$10,IF(T179&lt;($F$10-$E$10)/($G$10-$E$10),$E$10+SQRT(T179*($G$10-$E$10)*($F$10-$E$10)),$G$10-SQRT((1-T179)*($G$10-$E$10)*($G$10-$F$10))))</f>
        <v>1.11131721350509</v>
      </c>
      <c r="G179" s="38" t="n">
        <f aca="false">IF($G$11=$E$11,$F$11,IF(U179&lt;($F$11-$E$11)/($G$11-$E$11),$E$11+SQRT(U179*($G$11-$E$11)*($F$11-$E$11)),$G$11-SQRT((1-U179)*($G$11-$E$11)*($G$11-$F$11))))</f>
        <v>0.106271392639612</v>
      </c>
      <c r="H179" s="39" t="n">
        <f aca="false">(('Business Case'!B11*$C179*'Business Case'!B12*$B179)-'Business Case'!B11*$C179*'Business Case'!B13*$D179-'Business Case'!B14*$E179)-MAX(0,(('Business Case'!B11*$C179*'Business Case'!B12*$B179)-'Business Case'!B11*$C179*'Business Case'!B13*$D179-'Business Case'!B14*$E179))*'Business Case'!$B$7-'Business Case'!$B$8*('Business Case'!B11*$C179*'Business Case'!B12*$B179)-'Business Case'!B15*$F179</f>
        <v>-2222634427.01017</v>
      </c>
      <c r="I179" s="39" t="n">
        <f aca="false">(('Business Case'!C11*$C179*'Business Case'!C12*$B179)-'Business Case'!C11*$C179*'Business Case'!C13*$D179-'Business Case'!C14*$E179)-MAX(0,(('Business Case'!C11*$C179*'Business Case'!C12*$B179)-'Business Case'!C11*$C179*'Business Case'!C13*$D179-'Business Case'!C14*$E179))*'Business Case'!$B$7-'Business Case'!$B$8*(('Business Case'!C11*$C179*'Business Case'!C12*$B179)-('Business Case'!B11*$C179*'Business Case'!B12*$B179))-'Business Case'!C15*$F179</f>
        <v>-11962617.8293568</v>
      </c>
      <c r="J179" s="39" t="n">
        <f aca="false">(('Business Case'!D11*$C179*'Business Case'!D12*$B179)-'Business Case'!D11*$C179*'Business Case'!D13*$D179-'Business Case'!D14*$E179)-MAX(0,(('Business Case'!D11*$C179*'Business Case'!D12*$B179)-'Business Case'!D11*$C179*'Business Case'!D13*$D179-'Business Case'!D14*$E179))*'Business Case'!$B$7-'Business Case'!$B$8*(('Business Case'!D11*$C179*'Business Case'!D12*$B179)-('Business Case'!C11*$C179*'Business Case'!C12*$B179))-'Business Case'!D15*$F179</f>
        <v>294091824.889465</v>
      </c>
      <c r="K179" s="39" t="n">
        <f aca="false">(('Business Case'!E11*$C179*'Business Case'!E12*$B179)-'Business Case'!E11*$C179*'Business Case'!E13*$D179-'Business Case'!E14*$E179)-MAX(0,(('Business Case'!E11*$C179*'Business Case'!E12*$B179)-'Business Case'!E11*$C179*'Business Case'!E13*$D179-'Business Case'!E14*$E179))*'Business Case'!$B$7-'Business Case'!$B$8*(('Business Case'!E11*$C179*'Business Case'!E12*$B179)-('Business Case'!D11*$C179*'Business Case'!D12*$B179))-'Business Case'!E15*$F179</f>
        <v>655712128.283541</v>
      </c>
      <c r="L179" s="39" t="n">
        <f aca="false">(('Business Case'!F11*$C179*'Business Case'!F12*$B179)-'Business Case'!F11*$C179*'Business Case'!F13*$D179-'Business Case'!F14*$E179)-MAX(0,(('Business Case'!F11*$C179*'Business Case'!F12*$B179)-'Business Case'!F11*$C179*'Business Case'!F13*$D179-'Business Case'!F14*$E179))*'Business Case'!$B$7-'Business Case'!$B$8*(('Business Case'!F11*$C179*'Business Case'!F12*$B179)-('Business Case'!E11*$C179*'Business Case'!E12*$B179))-'Business Case'!F15*$F179</f>
        <v>793253132.485296</v>
      </c>
      <c r="M179" s="39" t="n">
        <f aca="false">(('Business Case'!G11*$C179*'Business Case'!G12*$B179)-'Business Case'!G11*$C179*'Business Case'!G13*$D179-'Business Case'!G14*$E179)-MAX(0,(('Business Case'!G11*$C179*'Business Case'!G12*$B179)-'Business Case'!G11*$C179*'Business Case'!G13*$D179-'Business Case'!G14*$E179))*'Business Case'!$B$7-'Business Case'!$B$8*(('Business Case'!G11*$C179*'Business Case'!G12*$B179)-('Business Case'!F11*$C179*'Business Case'!F12*$B179))-'Business Case'!G15*$F179+'Business Case'!$B$8*('Business Case'!G11*$C179*'Business Case'!G12*$B179)</f>
        <v>988628843.943773</v>
      </c>
      <c r="N179" s="39" t="n">
        <f aca="false">IF(COUNT('Business Case'!B11:G11)=0,"",H179+NPV(G179,I179:M179))</f>
        <v>-382551368.561955</v>
      </c>
      <c r="P179" s="40" t="n">
        <f aca="true">RAND()</f>
        <v>0.245801691405327</v>
      </c>
      <c r="Q179" s="40" t="n">
        <f aca="true">RAND()</f>
        <v>0.849825016862196</v>
      </c>
      <c r="R179" s="40" t="n">
        <f aca="true">RAND()</f>
        <v>0.20327106831347</v>
      </c>
      <c r="S179" s="40" t="n">
        <f aca="true">RAND()</f>
        <v>0.973801104483094</v>
      </c>
      <c r="T179" s="40" t="n">
        <f aca="true">RAND()</f>
        <v>0.842707267589951</v>
      </c>
      <c r="U179" s="40" t="n">
        <f aca="true">RAND()</f>
        <v>0.685875566573834</v>
      </c>
    </row>
    <row r="180" customFormat="false" ht="15" hidden="false" customHeight="false" outlineLevel="0" collapsed="false">
      <c r="A180" s="36" t="n">
        <v>100</v>
      </c>
      <c r="B180" s="37" t="n">
        <f aca="false">1+IF($G$6=$E$6,$F$6,IF(P180&lt;($F$6-$E$6)/($G$6-$E$6),$E$6+SQRT(P180*($G$6-$E$6)*($F$6-$E$6)),$G$6-SQRT((1-P180)*($G$6-$E$6)*($G$6-$F$6))))</f>
        <v>0.998983549057104</v>
      </c>
      <c r="C180" s="37" t="n">
        <f aca="false">1+IF($G$7=$E$7,$F$7,IF(Q180&lt;($F$7-$E$7)/($G$7-$E$7),$E$7+SQRT(Q180*($G$7-$E$7)*($F$7-$E$7)),$G$7-SQRT((1-Q180)*($G$7-$E$7)*($G$7-$F$7))))</f>
        <v>0.919741402728086</v>
      </c>
      <c r="D180" s="37" t="n">
        <f aca="false">1+IF($G$8=$E$8,$F$8,IF(R180&lt;($F$8-$E$8)/($G$8-$E$8),$E$8+SQRT(R180*($G$8-$E$8)*($F$8-$E$8)),$G$8-SQRT((1-R180)*($G$8-$E$8)*($G$8-$F$8))))</f>
        <v>0.995284696311948</v>
      </c>
      <c r="E180" s="37" t="n">
        <f aca="false">1+IF($G$9=$E$9,$F$9,IF(S180&lt;($F$9-$E$9)/($G$9-$E$9),$E$9+SQRT(S180*($G$9-$E$9)*($F$9-$E$9)),$G$9-SQRT((1-S180)*($G$9-$E$9)*($G$9-$F$9))))</f>
        <v>1.03624520453751</v>
      </c>
      <c r="F180" s="37" t="n">
        <f aca="false">1+IF($G$10=$E$10,$F$10,IF(T180&lt;($F$10-$E$10)/($G$10-$E$10),$E$10+SQRT(T180*($G$10-$E$10)*($F$10-$E$10)),$G$10-SQRT((1-T180)*($G$10-$E$10)*($G$10-$F$10))))</f>
        <v>1.12753532835784</v>
      </c>
      <c r="G180" s="38" t="n">
        <f aca="false">IF($G$11=$E$11,$F$11,IF(U180&lt;($F$11-$E$11)/($G$11-$E$11),$E$11+SQRT(U180*($G$11-$E$11)*($F$11-$E$11)),$G$11-SQRT((1-U180)*($G$11-$E$11)*($G$11-$F$11))))</f>
        <v>0.0944737268800798</v>
      </c>
      <c r="H180" s="39" t="n">
        <f aca="false">(('Business Case'!B11*$C180*'Business Case'!B12*$B180)-'Business Case'!B11*$C180*'Business Case'!B13*$D180-'Business Case'!B14*$E180)-MAX(0,(('Business Case'!B11*$C180*'Business Case'!B12*$B180)-'Business Case'!B11*$C180*'Business Case'!B13*$D180-'Business Case'!B14*$E180))*'Business Case'!$B$7-'Business Case'!$B$8*('Business Case'!B11*$C180*'Business Case'!B12*$B180)-'Business Case'!B15*$F180</f>
        <v>-2255070656.71568</v>
      </c>
      <c r="I180" s="39" t="n">
        <f aca="false">(('Business Case'!C11*$C180*'Business Case'!C12*$B180)-'Business Case'!C11*$C180*'Business Case'!C13*$D180-'Business Case'!C14*$E180)-MAX(0,(('Business Case'!C11*$C180*'Business Case'!C12*$B180)-'Business Case'!C11*$C180*'Business Case'!C13*$D180-'Business Case'!C14*$E180))*'Business Case'!$B$7-'Business Case'!$B$8*(('Business Case'!C11*$C180*'Business Case'!C12*$B180)-('Business Case'!B11*$C180*'Business Case'!B12*$B180))-'Business Case'!C15*$F180</f>
        <v>-23783722.2485951</v>
      </c>
      <c r="J180" s="39" t="n">
        <f aca="false">(('Business Case'!D11*$C180*'Business Case'!D12*$B180)-'Business Case'!D11*$C180*'Business Case'!D13*$D180-'Business Case'!D14*$E180)-MAX(0,(('Business Case'!D11*$C180*'Business Case'!D12*$B180)-'Business Case'!D11*$C180*'Business Case'!D13*$D180-'Business Case'!D14*$E180))*'Business Case'!$B$7-'Business Case'!$B$8*(('Business Case'!D11*$C180*'Business Case'!D12*$B180)-('Business Case'!C11*$C180*'Business Case'!C12*$B180))-'Business Case'!D15*$F180</f>
        <v>260171086.975941</v>
      </c>
      <c r="K180" s="39" t="n">
        <f aca="false">(('Business Case'!E11*$C180*'Business Case'!E12*$B180)-'Business Case'!E11*$C180*'Business Case'!E13*$D180-'Business Case'!E14*$E180)-MAX(0,(('Business Case'!E11*$C180*'Business Case'!E12*$B180)-'Business Case'!E11*$C180*'Business Case'!E13*$D180-'Business Case'!E14*$E180))*'Business Case'!$B$7-'Business Case'!$B$8*(('Business Case'!E11*$C180*'Business Case'!E12*$B180)-('Business Case'!D11*$C180*'Business Case'!D12*$B180))-'Business Case'!E15*$F180</f>
        <v>600502662.618368</v>
      </c>
      <c r="L180" s="39" t="n">
        <f aca="false">(('Business Case'!F11*$C180*'Business Case'!F12*$B180)-'Business Case'!F11*$C180*'Business Case'!F13*$D180-'Business Case'!F14*$E180)-MAX(0,(('Business Case'!F11*$C180*'Business Case'!F12*$B180)-'Business Case'!F11*$C180*'Business Case'!F13*$D180-'Business Case'!F14*$E180))*'Business Case'!$B$7-'Business Case'!$B$8*(('Business Case'!F11*$C180*'Business Case'!F12*$B180)-('Business Case'!E11*$C180*'Business Case'!E12*$B180))-'Business Case'!F15*$F180</f>
        <v>726908219.394622</v>
      </c>
      <c r="M180" s="39" t="n">
        <f aca="false">(('Business Case'!G11*$C180*'Business Case'!G12*$B180)-'Business Case'!G11*$C180*'Business Case'!G13*$D180-'Business Case'!G14*$E180)-MAX(0,(('Business Case'!G11*$C180*'Business Case'!G12*$B180)-'Business Case'!G11*$C180*'Business Case'!G13*$D180-'Business Case'!G14*$E180))*'Business Case'!$B$7-'Business Case'!$B$8*(('Business Case'!G11*$C180*'Business Case'!G12*$B180)-('Business Case'!F11*$C180*'Business Case'!F12*$B180))-'Business Case'!G15*$F180+'Business Case'!$B$8*('Business Case'!G11*$C180*'Business Case'!G12*$B180)</f>
        <v>901554964.752371</v>
      </c>
      <c r="N180" s="39" t="n">
        <f aca="false">IF(COUNT('Business Case'!B11:G11)=0,"",H180+NPV(G180,I180:M180))</f>
        <v>-520909132.206696</v>
      </c>
      <c r="P180" s="40" t="n">
        <f aca="true">RAND()</f>
        <v>0.649833439755832</v>
      </c>
      <c r="Q180" s="40" t="n">
        <f aca="true">RAND()</f>
        <v>0.204828621818424</v>
      </c>
      <c r="R180" s="40" t="n">
        <f aca="true">RAND()</f>
        <v>0.315492880010054</v>
      </c>
      <c r="S180" s="40" t="n">
        <f aca="true">RAND()</f>
        <v>0.729021737035715</v>
      </c>
      <c r="T180" s="40" t="n">
        <f aca="true">RAND()</f>
        <v>0.894977427275875</v>
      </c>
      <c r="U180" s="40" t="n">
        <f aca="true">RAND()</f>
        <v>0.0667141073251616</v>
      </c>
    </row>
    <row r="181" customFormat="false" ht="15" hidden="false" customHeight="false" outlineLevel="0" collapsed="false">
      <c r="A181" s="36" t="n">
        <v>101</v>
      </c>
      <c r="B181" s="37" t="n">
        <f aca="false">1+IF($G$6=$E$6,$F$6,IF(P181&lt;($F$6-$E$6)/($G$6-$E$6),$E$6+SQRT(P181*($G$6-$E$6)*($F$6-$E$6)),$G$6-SQRT((1-P181)*($G$6-$E$6)*($G$6-$F$6))))</f>
        <v>1.02889402708885</v>
      </c>
      <c r="C181" s="37" t="n">
        <f aca="false">1+IF($G$7=$E$7,$F$7,IF(Q181&lt;($F$7-$E$7)/($G$7-$E$7),$E$7+SQRT(Q181*($G$7-$E$7)*($F$7-$E$7)),$G$7-SQRT((1-Q181)*($G$7-$E$7)*($G$7-$F$7))))</f>
        <v>0.933372403307061</v>
      </c>
      <c r="D181" s="37" t="n">
        <f aca="false">1+IF($G$8=$E$8,$F$8,IF(R181&lt;($F$8-$E$8)/($G$8-$E$8),$E$8+SQRT(R181*($G$8-$E$8)*($F$8-$E$8)),$G$8-SQRT((1-R181)*($G$8-$E$8)*($G$8-$F$8))))</f>
        <v>0.995294775043068</v>
      </c>
      <c r="E181" s="37" t="n">
        <f aca="false">1+IF($G$9=$E$9,$F$9,IF(S181&lt;($F$9-$E$9)/($G$9-$E$9),$E$9+SQRT(S181*($G$9-$E$9)*($F$9-$E$9)),$G$9-SQRT((1-S181)*($G$9-$E$9)*($G$9-$F$9))))</f>
        <v>0.995068919319628</v>
      </c>
      <c r="F181" s="37" t="n">
        <f aca="false">1+IF($G$10=$E$10,$F$10,IF(T181&lt;($F$10-$E$10)/($G$10-$E$10),$E$10+SQRT(T181*($G$10-$E$10)*($F$10-$E$10)),$G$10-SQRT((1-T181)*($G$10-$E$10)*($G$10-$F$10))))</f>
        <v>1.09832248082637</v>
      </c>
      <c r="G181" s="38" t="n">
        <f aca="false">IF($G$11=$E$11,$F$11,IF(U181&lt;($F$11-$E$11)/($G$11-$E$11),$E$11+SQRT(U181*($G$11-$E$11)*($F$11-$E$11)),$G$11-SQRT((1-U181)*($G$11-$E$11)*($G$11-$F$11))))</f>
        <v>0.106445619690494</v>
      </c>
      <c r="H181" s="39" t="n">
        <f aca="false">(('Business Case'!B11*$C181*'Business Case'!B12*$B181)-'Business Case'!B11*$C181*'Business Case'!B13*$D181-'Business Case'!B14*$E181)-MAX(0,(('Business Case'!B11*$C181*'Business Case'!B12*$B181)-'Business Case'!B11*$C181*'Business Case'!B13*$D181-'Business Case'!B14*$E181))*'Business Case'!$B$7-'Business Case'!$B$8*('Business Case'!B11*$C181*'Business Case'!B12*$B181)-'Business Case'!B15*$F181</f>
        <v>-2196644961.65274</v>
      </c>
      <c r="I181" s="39" t="n">
        <f aca="false">(('Business Case'!C11*$C181*'Business Case'!C12*$B181)-'Business Case'!C11*$C181*'Business Case'!C13*$D181-'Business Case'!C14*$E181)-MAX(0,(('Business Case'!C11*$C181*'Business Case'!C12*$B181)-'Business Case'!C11*$C181*'Business Case'!C13*$D181-'Business Case'!C14*$E181))*'Business Case'!$B$7-'Business Case'!$B$8*(('Business Case'!C11*$C181*'Business Case'!C12*$B181)-('Business Case'!B11*$C181*'Business Case'!B12*$B181))-'Business Case'!C15*$F181</f>
        <v>9909733.0720094</v>
      </c>
      <c r="J181" s="39" t="n">
        <f aca="false">(('Business Case'!D11*$C181*'Business Case'!D12*$B181)-'Business Case'!D11*$C181*'Business Case'!D13*$D181-'Business Case'!D14*$E181)-MAX(0,(('Business Case'!D11*$C181*'Business Case'!D12*$B181)-'Business Case'!D11*$C181*'Business Case'!D13*$D181-'Business Case'!D14*$E181))*'Business Case'!$B$7-'Business Case'!$B$8*(('Business Case'!D11*$C181*'Business Case'!D12*$B181)-('Business Case'!C11*$C181*'Business Case'!C12*$B181))-'Business Case'!D15*$F181</f>
        <v>320934607.069611</v>
      </c>
      <c r="K181" s="39" t="n">
        <f aca="false">(('Business Case'!E11*$C181*'Business Case'!E12*$B181)-'Business Case'!E11*$C181*'Business Case'!E13*$D181-'Business Case'!E14*$E181)-MAX(0,(('Business Case'!E11*$C181*'Business Case'!E12*$B181)-'Business Case'!E11*$C181*'Business Case'!E13*$D181-'Business Case'!E14*$E181))*'Business Case'!$B$7-'Business Case'!$B$8*(('Business Case'!E11*$C181*'Business Case'!E12*$B181)-('Business Case'!D11*$C181*'Business Case'!D12*$B181))-'Business Case'!E15*$F181</f>
        <v>686875605.108532</v>
      </c>
      <c r="L181" s="39" t="n">
        <f aca="false">(('Business Case'!F11*$C181*'Business Case'!F12*$B181)-'Business Case'!F11*$C181*'Business Case'!F13*$D181-'Business Case'!F14*$E181)-MAX(0,(('Business Case'!F11*$C181*'Business Case'!F12*$B181)-'Business Case'!F11*$C181*'Business Case'!F13*$D181-'Business Case'!F14*$E181))*'Business Case'!$B$7-'Business Case'!$B$8*(('Business Case'!F11*$C181*'Business Case'!F12*$B181)-('Business Case'!E11*$C181*'Business Case'!E12*$B181))-'Business Case'!F15*$F181</f>
        <v>823739958.118203</v>
      </c>
      <c r="M181" s="39" t="n">
        <f aca="false">(('Business Case'!G11*$C181*'Business Case'!G12*$B181)-'Business Case'!G11*$C181*'Business Case'!G13*$D181-'Business Case'!G14*$E181)-MAX(0,(('Business Case'!G11*$C181*'Business Case'!G12*$B181)-'Business Case'!G11*$C181*'Business Case'!G13*$D181-'Business Case'!G14*$E181))*'Business Case'!$B$7-'Business Case'!$B$8*(('Business Case'!G11*$C181*'Business Case'!G12*$B181)-('Business Case'!F11*$C181*'Business Case'!F12*$B181))-'Business Case'!G15*$F181+'Business Case'!$B$8*('Business Case'!G11*$C181*'Business Case'!G12*$B181)</f>
        <v>1006281630.67579</v>
      </c>
      <c r="N181" s="39" t="n">
        <f aca="false">IF(COUNT('Business Case'!B11:G11)=0,"",H181+NPV(G181,I181:M181))</f>
        <v>-261979116.17685</v>
      </c>
      <c r="P181" s="40" t="n">
        <f aca="true">RAND()</f>
        <v>0.974303617853516</v>
      </c>
      <c r="Q181" s="40" t="n">
        <f aca="true">RAND()</f>
        <v>0.254117113770021</v>
      </c>
      <c r="R181" s="40" t="n">
        <f aca="true">RAND()</f>
        <v>0.31563333018495</v>
      </c>
      <c r="S181" s="40" t="n">
        <f aca="true">RAND()</f>
        <v>0.270827665151885</v>
      </c>
      <c r="T181" s="40" t="n">
        <f aca="true">RAND()</f>
        <v>0.793233641893917</v>
      </c>
      <c r="U181" s="40" t="n">
        <f aca="true">RAND()</f>
        <v>0.69379795737548</v>
      </c>
    </row>
    <row r="182" customFormat="false" ht="15" hidden="false" customHeight="false" outlineLevel="0" collapsed="false">
      <c r="A182" s="36" t="n">
        <v>102</v>
      </c>
      <c r="B182" s="37" t="n">
        <f aca="false">1+IF($G$6=$E$6,$F$6,IF(P182&lt;($F$6-$E$6)/($G$6-$E$6),$E$6+SQRT(P182*($G$6-$E$6)*($F$6-$E$6)),$G$6-SQRT((1-P182)*($G$6-$E$6)*($G$6-$F$6))))</f>
        <v>1.00158517088835</v>
      </c>
      <c r="C182" s="37" t="n">
        <f aca="false">1+IF($G$7=$E$7,$F$7,IF(Q182&lt;($F$7-$E$7)/($G$7-$E$7),$E$7+SQRT(Q182*($G$7-$E$7)*($F$7-$E$7)),$G$7-SQRT((1-Q182)*($G$7-$E$7)*($G$7-$F$7))))</f>
        <v>0.957457338646788</v>
      </c>
      <c r="D182" s="37" t="n">
        <f aca="false">1+IF($G$8=$E$8,$F$8,IF(R182&lt;($F$8-$E$8)/($G$8-$E$8),$E$8+SQRT(R182*($G$8-$E$8)*($F$8-$E$8)),$G$8-SQRT((1-R182)*($G$8-$E$8)*($G$8-$F$8))))</f>
        <v>1.01269275220712</v>
      </c>
      <c r="E182" s="37" t="n">
        <f aca="false">1+IF($G$9=$E$9,$F$9,IF(S182&lt;($F$9-$E$9)/($G$9-$E$9),$E$9+SQRT(S182*($G$9-$E$9)*($F$9-$E$9)),$G$9-SQRT((1-S182)*($G$9-$E$9)*($G$9-$F$9))))</f>
        <v>1.04397621114633</v>
      </c>
      <c r="F182" s="37" t="n">
        <f aca="false">1+IF($G$10=$E$10,$F$10,IF(T182&lt;($F$10-$E$10)/($G$10-$E$10),$E$10+SQRT(T182*($G$10-$E$10)*($F$10-$E$10)),$G$10-SQRT((1-T182)*($G$10-$E$10)*($G$10-$F$10))))</f>
        <v>1.03175684550665</v>
      </c>
      <c r="G182" s="38" t="n">
        <f aca="false">IF($G$11=$E$11,$F$11,IF(U182&lt;($F$11-$E$11)/($G$11-$E$11),$E$11+SQRT(U182*($G$11-$E$11)*($F$11-$E$11)),$G$11-SQRT((1-U182)*($G$11-$E$11)*($G$11-$F$11))))</f>
        <v>0.100011131065383</v>
      </c>
      <c r="H182" s="39" t="n">
        <f aca="false">(('Business Case'!B11*$C182*'Business Case'!B12*$B182)-'Business Case'!B11*$C182*'Business Case'!B13*$D182-'Business Case'!B14*$E182)-MAX(0,(('Business Case'!B11*$C182*'Business Case'!B12*$B182)-'Business Case'!B11*$C182*'Business Case'!B13*$D182-'Business Case'!B14*$E182))*'Business Case'!$B$7-'Business Case'!$B$8*('Business Case'!B11*$C182*'Business Case'!B12*$B182)-'Business Case'!B15*$F182</f>
        <v>-2063513691.01329</v>
      </c>
      <c r="I182" s="39" t="n">
        <f aca="false">(('Business Case'!C11*$C182*'Business Case'!C12*$B182)-'Business Case'!C11*$C182*'Business Case'!C13*$D182-'Business Case'!C14*$E182)-MAX(0,(('Business Case'!C11*$C182*'Business Case'!C12*$B182)-'Business Case'!C11*$C182*'Business Case'!C13*$D182-'Business Case'!C14*$E182))*'Business Case'!$B$7-'Business Case'!$B$8*(('Business Case'!C11*$C182*'Business Case'!C12*$B182)-('Business Case'!B11*$C182*'Business Case'!B12*$B182))-'Business Case'!C15*$F182</f>
        <v>-12235545.4000141</v>
      </c>
      <c r="J182" s="39" t="n">
        <f aca="false">(('Business Case'!D11*$C182*'Business Case'!D12*$B182)-'Business Case'!D11*$C182*'Business Case'!D13*$D182-'Business Case'!D14*$E182)-MAX(0,(('Business Case'!D11*$C182*'Business Case'!D12*$B182)-'Business Case'!D11*$C182*'Business Case'!D13*$D182-'Business Case'!D14*$E182))*'Business Case'!$B$7-'Business Case'!$B$8*(('Business Case'!D11*$C182*'Business Case'!D12*$B182)-('Business Case'!C11*$C182*'Business Case'!C12*$B182))-'Business Case'!D15*$F182</f>
        <v>276871278.715737</v>
      </c>
      <c r="K182" s="39" t="n">
        <f aca="false">(('Business Case'!E11*$C182*'Business Case'!E12*$B182)-'Business Case'!E11*$C182*'Business Case'!E13*$D182-'Business Case'!E14*$E182)-MAX(0,(('Business Case'!E11*$C182*'Business Case'!E12*$B182)-'Business Case'!E11*$C182*'Business Case'!E13*$D182-'Business Case'!E14*$E182))*'Business Case'!$B$7-'Business Case'!$B$8*(('Business Case'!E11*$C182*'Business Case'!E12*$B182)-('Business Case'!D11*$C182*'Business Case'!D12*$B182))-'Business Case'!E15*$F182</f>
        <v>617565945.106819</v>
      </c>
      <c r="L182" s="39" t="n">
        <f aca="false">(('Business Case'!F11*$C182*'Business Case'!F12*$B182)-'Business Case'!F11*$C182*'Business Case'!F13*$D182-'Business Case'!F14*$E182)-MAX(0,(('Business Case'!F11*$C182*'Business Case'!F12*$B182)-'Business Case'!F11*$C182*'Business Case'!F13*$D182-'Business Case'!F14*$E182))*'Business Case'!$B$7-'Business Case'!$B$8*(('Business Case'!F11*$C182*'Business Case'!F12*$B182)-('Business Case'!E11*$C182*'Business Case'!E12*$B182))-'Business Case'!F15*$F182</f>
        <v>747077064.972132</v>
      </c>
      <c r="M182" s="39" t="n">
        <f aca="false">(('Business Case'!G11*$C182*'Business Case'!G12*$B182)-'Business Case'!G11*$C182*'Business Case'!G13*$D182-'Business Case'!G14*$E182)-MAX(0,(('Business Case'!G11*$C182*'Business Case'!G12*$B182)-'Business Case'!G11*$C182*'Business Case'!G13*$D182-'Business Case'!G14*$E182))*'Business Case'!$B$7-'Business Case'!$B$8*(('Business Case'!G11*$C182*'Business Case'!G12*$B182)-('Business Case'!F11*$C182*'Business Case'!F12*$B182))-'Business Case'!G15*$F182+'Business Case'!$B$8*('Business Case'!G11*$C182*'Business Case'!G12*$B182)</f>
        <v>929359046.685804</v>
      </c>
      <c r="N182" s="39" t="n">
        <f aca="false">IF(COUNT('Business Case'!B11:G11)=0,"",H182+NPV(G182,I182:M182))</f>
        <v>-294577156.472495</v>
      </c>
      <c r="P182" s="40" t="n">
        <f aca="true">RAND()</f>
        <v>0.692562688400492</v>
      </c>
      <c r="Q182" s="40" t="n">
        <f aca="true">RAND()</f>
        <v>0.354183049910419</v>
      </c>
      <c r="R182" s="40" t="n">
        <f aca="true">RAND()</f>
        <v>0.564397537937257</v>
      </c>
      <c r="S182" s="40" t="n">
        <f aca="true">RAND()</f>
        <v>0.790755672165282</v>
      </c>
      <c r="T182" s="40" t="n">
        <f aca="true">RAND()</f>
        <v>0.433884819322504</v>
      </c>
      <c r="U182" s="40" t="n">
        <f aca="true">RAND()</f>
        <v>0.334075197857862</v>
      </c>
    </row>
    <row r="183" customFormat="false" ht="15" hidden="false" customHeight="false" outlineLevel="0" collapsed="false">
      <c r="A183" s="36" t="n">
        <v>103</v>
      </c>
      <c r="B183" s="37" t="n">
        <f aca="false">1+IF($G$6=$E$6,$F$6,IF(P183&lt;($F$6-$E$6)/($G$6-$E$6),$E$6+SQRT(P183*($G$6-$E$6)*($F$6-$E$6)),$G$6-SQRT((1-P183)*($G$6-$E$6)*($G$6-$F$6))))</f>
        <v>0.979013064235947</v>
      </c>
      <c r="C183" s="37" t="n">
        <f aca="false">1+IF($G$7=$E$7,$F$7,IF(Q183&lt;($F$7-$E$7)/($G$7-$E$7),$E$7+SQRT(Q183*($G$7-$E$7)*($F$7-$E$7)),$G$7-SQRT((1-Q183)*($G$7-$E$7)*($G$7-$F$7))))</f>
        <v>1.12244948173983</v>
      </c>
      <c r="D183" s="37" t="n">
        <f aca="false">1+IF($G$8=$E$8,$F$8,IF(R183&lt;($F$8-$E$8)/($G$8-$E$8),$E$8+SQRT(R183*($G$8-$E$8)*($F$8-$E$8)),$G$8-SQRT((1-R183)*($G$8-$E$8)*($G$8-$F$8))))</f>
        <v>0.972256741167929</v>
      </c>
      <c r="E183" s="37" t="n">
        <f aca="false">1+IF($G$9=$E$9,$F$9,IF(S183&lt;($F$9-$E$9)/($G$9-$E$9),$E$9+SQRT(S183*($G$9-$E$9)*($F$9-$E$9)),$G$9-SQRT((1-S183)*($G$9-$E$9)*($G$9-$F$9))))</f>
        <v>1.06017061654105</v>
      </c>
      <c r="F183" s="37" t="n">
        <f aca="false">1+IF($G$10=$E$10,$F$10,IF(T183&lt;($F$10-$E$10)/($G$10-$E$10),$E$10+SQRT(T183*($G$10-$E$10)*($F$10-$E$10)),$G$10-SQRT((1-T183)*($G$10-$E$10)*($G$10-$F$10))))</f>
        <v>1.16442212710812</v>
      </c>
      <c r="G183" s="38" t="n">
        <f aca="false">IF($G$11=$E$11,$F$11,IF(U183&lt;($F$11-$E$11)/($G$11-$E$11),$E$11+SQRT(U183*($G$11-$E$11)*($F$11-$E$11)),$G$11-SQRT((1-U183)*($G$11-$E$11)*($G$11-$F$11))))</f>
        <v>0.0996682709116123</v>
      </c>
      <c r="H183" s="39" t="n">
        <f aca="false">(('Business Case'!B11*$C183*'Business Case'!B12*$B183)-'Business Case'!B11*$C183*'Business Case'!B13*$D183-'Business Case'!B14*$E183)-MAX(0,(('Business Case'!B11*$C183*'Business Case'!B12*$B183)-'Business Case'!B11*$C183*'Business Case'!B13*$D183-'Business Case'!B14*$E183))*'Business Case'!$B$7-'Business Case'!$B$8*('Business Case'!B11*$C183*'Business Case'!B12*$B183)-'Business Case'!B15*$F183</f>
        <v>-2328844254.21623</v>
      </c>
      <c r="I183" s="39" t="n">
        <f aca="false">(('Business Case'!C11*$C183*'Business Case'!C12*$B183)-'Business Case'!C11*$C183*'Business Case'!C13*$D183-'Business Case'!C14*$E183)-MAX(0,(('Business Case'!C11*$C183*'Business Case'!C12*$B183)-'Business Case'!C11*$C183*'Business Case'!C13*$D183-'Business Case'!C14*$E183))*'Business Case'!$B$7-'Business Case'!$B$8*(('Business Case'!C11*$C183*'Business Case'!C12*$B183)-('Business Case'!B11*$C183*'Business Case'!B12*$B183))-'Business Case'!C15*$F183</f>
        <v>17244232.8648723</v>
      </c>
      <c r="J183" s="39" t="n">
        <f aca="false">(('Business Case'!D11*$C183*'Business Case'!D12*$B183)-'Business Case'!D11*$C183*'Business Case'!D13*$D183-'Business Case'!D14*$E183)-MAX(0,(('Business Case'!D11*$C183*'Business Case'!D12*$B183)-'Business Case'!D11*$C183*'Business Case'!D13*$D183-'Business Case'!D14*$E183))*'Business Case'!$B$7-'Business Case'!$B$8*(('Business Case'!D11*$C183*'Business Case'!D12*$B183)-('Business Case'!C11*$C183*'Business Case'!C12*$B183))-'Business Case'!D15*$F183</f>
        <v>358653538.021187</v>
      </c>
      <c r="K183" s="39" t="n">
        <f aca="false">(('Business Case'!E11*$C183*'Business Case'!E12*$B183)-'Business Case'!E11*$C183*'Business Case'!E13*$D183-'Business Case'!E14*$E183)-MAX(0,(('Business Case'!E11*$C183*'Business Case'!E12*$B183)-'Business Case'!E11*$C183*'Business Case'!E13*$D183-'Business Case'!E14*$E183))*'Business Case'!$B$7-'Business Case'!$B$8*(('Business Case'!E11*$C183*'Business Case'!E12*$B183)-('Business Case'!D11*$C183*'Business Case'!D12*$B183))-'Business Case'!E15*$F183</f>
        <v>758283949.532909</v>
      </c>
      <c r="L183" s="39" t="n">
        <f aca="false">(('Business Case'!F11*$C183*'Business Case'!F12*$B183)-'Business Case'!F11*$C183*'Business Case'!F13*$D183-'Business Case'!F14*$E183)-MAX(0,(('Business Case'!F11*$C183*'Business Case'!F12*$B183)-'Business Case'!F11*$C183*'Business Case'!F13*$D183-'Business Case'!F14*$E183))*'Business Case'!$B$7-'Business Case'!$B$8*(('Business Case'!F11*$C183*'Business Case'!F12*$B183)-('Business Case'!E11*$C183*'Business Case'!E12*$B183))-'Business Case'!F15*$F183</f>
        <v>910064783.190677</v>
      </c>
      <c r="M183" s="39" t="n">
        <f aca="false">(('Business Case'!G11*$C183*'Business Case'!G12*$B183)-'Business Case'!G11*$C183*'Business Case'!G13*$D183-'Business Case'!G14*$E183)-MAX(0,(('Business Case'!G11*$C183*'Business Case'!G12*$B183)-'Business Case'!G11*$C183*'Business Case'!G13*$D183-'Business Case'!G14*$E183))*'Business Case'!$B$7-'Business Case'!$B$8*(('Business Case'!G11*$C183*'Business Case'!G12*$B183)-('Business Case'!F11*$C183*'Business Case'!F12*$B183))-'Business Case'!G15*$F183+'Business Case'!$B$8*('Business Case'!G11*$C183*'Business Case'!G12*$B183)</f>
        <v>1118942308.85515</v>
      </c>
      <c r="N183" s="39" t="n">
        <f aca="false">IF(COUNT('Business Case'!B11:G11)=0,"",H183+NPV(G183,I183:M183))</f>
        <v>-128189938.070016</v>
      </c>
      <c r="P183" s="40" t="n">
        <f aca="true">RAND()</f>
        <v>0.362764765678753</v>
      </c>
      <c r="Q183" s="40" t="n">
        <f aca="true">RAND()</f>
        <v>0.985542265592311</v>
      </c>
      <c r="R183" s="40" t="n">
        <f aca="true">RAND()</f>
        <v>0.0762096196024907</v>
      </c>
      <c r="S183" s="40" t="n">
        <f aca="true">RAND()</f>
        <v>0.894241347551997</v>
      </c>
      <c r="T183" s="40" t="n">
        <f aca="true">RAND()</f>
        <v>0.97468429920978</v>
      </c>
      <c r="U183" s="40" t="n">
        <f aca="true">RAND()</f>
        <v>0.311584874734431</v>
      </c>
    </row>
    <row r="184" customFormat="false" ht="15" hidden="false" customHeight="false" outlineLevel="0" collapsed="false">
      <c r="A184" s="36" t="n">
        <v>104</v>
      </c>
      <c r="B184" s="37" t="n">
        <f aca="false">1+IF($G$6=$E$6,$F$6,IF(P184&lt;($F$6-$E$6)/($G$6-$E$6),$E$6+SQRT(P184*($G$6-$E$6)*($F$6-$E$6)),$G$6-SQRT((1-P184)*($G$6-$E$6)*($G$6-$F$6))))</f>
        <v>0.945534326833233</v>
      </c>
      <c r="C184" s="37" t="n">
        <f aca="false">1+IF($G$7=$E$7,$F$7,IF(Q184&lt;($F$7-$E$7)/($G$7-$E$7),$E$7+SQRT(Q184*($G$7-$E$7)*($F$7-$E$7)),$G$7-SQRT((1-Q184)*($G$7-$E$7)*($G$7-$F$7))))</f>
        <v>0.96334361821104</v>
      </c>
      <c r="D184" s="37" t="n">
        <f aca="false">1+IF($G$8=$E$8,$F$8,IF(R184&lt;($F$8-$E$8)/($G$8-$E$8),$E$8+SQRT(R184*($G$8-$E$8)*($F$8-$E$8)),$G$8-SQRT((1-R184)*($G$8-$E$8)*($G$8-$F$8))))</f>
        <v>1.03462099563346</v>
      </c>
      <c r="E184" s="37" t="n">
        <f aca="false">1+IF($G$9=$E$9,$F$9,IF(S184&lt;($F$9-$E$9)/($G$9-$E$9),$E$9+SQRT(S184*($G$9-$E$9)*($F$9-$E$9)),$G$9-SQRT((1-S184)*($G$9-$E$9)*($G$9-$F$9))))</f>
        <v>1.04192595614315</v>
      </c>
      <c r="F184" s="37" t="n">
        <f aca="false">1+IF($G$10=$E$10,$F$10,IF(T184&lt;($F$10-$E$10)/($G$10-$E$10),$E$10+SQRT(T184*($G$10-$E$10)*($F$10-$E$10)),$G$10-SQRT((1-T184)*($G$10-$E$10)*($G$10-$F$10))))</f>
        <v>1.14646203821696</v>
      </c>
      <c r="G184" s="38" t="n">
        <f aca="false">IF($G$11=$E$11,$F$11,IF(U184&lt;($F$11-$E$11)/($G$11-$E$11),$E$11+SQRT(U184*($G$11-$E$11)*($F$11-$E$11)),$G$11-SQRT((1-U184)*($G$11-$E$11)*($G$11-$F$11))))</f>
        <v>0.102840594677196</v>
      </c>
      <c r="H184" s="39" t="n">
        <f aca="false">(('Business Case'!B11*$C184*'Business Case'!B12*$B184)-'Business Case'!B11*$C184*'Business Case'!B13*$D184-'Business Case'!B14*$E184)-MAX(0,(('Business Case'!B11*$C184*'Business Case'!B12*$B184)-'Business Case'!B11*$C184*'Business Case'!B13*$D184-'Business Case'!B14*$E184))*'Business Case'!$B$7-'Business Case'!$B$8*('Business Case'!B11*$C184*'Business Case'!B12*$B184)-'Business Case'!B15*$F184</f>
        <v>-2292924076.43391</v>
      </c>
      <c r="I184" s="39" t="n">
        <f aca="false">(('Business Case'!C11*$C184*'Business Case'!C12*$B184)-'Business Case'!C11*$C184*'Business Case'!C13*$D184-'Business Case'!C14*$E184)-MAX(0,(('Business Case'!C11*$C184*'Business Case'!C12*$B184)-'Business Case'!C11*$C184*'Business Case'!C13*$D184-'Business Case'!C14*$E184))*'Business Case'!$B$7-'Business Case'!$B$8*(('Business Case'!C11*$C184*'Business Case'!C12*$B184)-('Business Case'!B11*$C184*'Business Case'!B12*$B184))-'Business Case'!C15*$F184</f>
        <v>-74184418.8960909</v>
      </c>
      <c r="J184" s="39" t="n">
        <f aca="false">(('Business Case'!D11*$C184*'Business Case'!D12*$B184)-'Business Case'!D11*$C184*'Business Case'!D13*$D184-'Business Case'!D14*$E184)-MAX(0,(('Business Case'!D11*$C184*'Business Case'!D12*$B184)-'Business Case'!D11*$C184*'Business Case'!D13*$D184-'Business Case'!D14*$E184))*'Business Case'!$B$7-'Business Case'!$B$8*(('Business Case'!D11*$C184*'Business Case'!D12*$B184)-('Business Case'!C11*$C184*'Business Case'!C12*$B184))-'Business Case'!D15*$F184</f>
        <v>161658968.976363</v>
      </c>
      <c r="K184" s="39" t="n">
        <f aca="false">(('Business Case'!E11*$C184*'Business Case'!E12*$B184)-'Business Case'!E11*$C184*'Business Case'!E13*$D184-'Business Case'!E14*$E184)-MAX(0,(('Business Case'!E11*$C184*'Business Case'!E12*$B184)-'Business Case'!E11*$C184*'Business Case'!E13*$D184-'Business Case'!E14*$E184))*'Business Case'!$B$7-'Business Case'!$B$8*(('Business Case'!E11*$C184*'Business Case'!E12*$B184)-('Business Case'!D11*$C184*'Business Case'!D12*$B184))-'Business Case'!E15*$F184</f>
        <v>454825458.759666</v>
      </c>
      <c r="L184" s="39" t="n">
        <f aca="false">(('Business Case'!F11*$C184*'Business Case'!F12*$B184)-'Business Case'!F11*$C184*'Business Case'!F13*$D184-'Business Case'!F14*$E184)-MAX(0,(('Business Case'!F11*$C184*'Business Case'!F12*$B184)-'Business Case'!F11*$C184*'Business Case'!F13*$D184-'Business Case'!F14*$E184))*'Business Case'!$B$7-'Business Case'!$B$8*(('Business Case'!F11*$C184*'Business Case'!F12*$B184)-('Business Case'!E11*$C184*'Business Case'!E12*$B184))-'Business Case'!F15*$F184</f>
        <v>564919742.706013</v>
      </c>
      <c r="M184" s="39" t="n">
        <f aca="false">(('Business Case'!G11*$C184*'Business Case'!G12*$B184)-'Business Case'!G11*$C184*'Business Case'!G13*$D184-'Business Case'!G14*$E184)-MAX(0,(('Business Case'!G11*$C184*'Business Case'!G12*$B184)-'Business Case'!G11*$C184*'Business Case'!G13*$D184-'Business Case'!G14*$E184))*'Business Case'!$B$7-'Business Case'!$B$8*(('Business Case'!G11*$C184*'Business Case'!G12*$B184)-('Business Case'!F11*$C184*'Business Case'!F12*$B184))-'Business Case'!G15*$F184+'Business Case'!$B$8*('Business Case'!G11*$C184*'Business Case'!G12*$B184)</f>
        <v>738058759.978088</v>
      </c>
      <c r="N184" s="39" t="n">
        <f aca="false">IF(COUNT('Business Case'!B11:G11)=0,"",H184+NPV(G184,I184:M184))</f>
        <v>-1053899636.64466</v>
      </c>
      <c r="P184" s="40" t="n">
        <f aca="true">RAND()</f>
        <v>0.0679168590444146</v>
      </c>
      <c r="Q184" s="40" t="n">
        <f aca="true">RAND()</f>
        <v>0.3811591087182</v>
      </c>
      <c r="R184" s="40" t="n">
        <f aca="true">RAND()</f>
        <v>0.801994804105924</v>
      </c>
      <c r="S184" s="40" t="n">
        <f aca="true">RAND()</f>
        <v>0.775160362007533</v>
      </c>
      <c r="T184" s="40" t="n">
        <f aca="true">RAND()</f>
        <v>0.942673732962348</v>
      </c>
      <c r="U184" s="40" t="n">
        <f aca="true">RAND()</f>
        <v>0.50925801494621</v>
      </c>
    </row>
    <row r="185" customFormat="false" ht="15" hidden="false" customHeight="false" outlineLevel="0" collapsed="false">
      <c r="A185" s="36" t="n">
        <v>105</v>
      </c>
      <c r="B185" s="37" t="n">
        <f aca="false">1+IF($G$6=$E$6,$F$6,IF(P185&lt;($F$6-$E$6)/($G$6-$E$6),$E$6+SQRT(P185*($G$6-$E$6)*($F$6-$E$6)),$G$6-SQRT((1-P185)*($G$6-$E$6)*($G$6-$F$6))))</f>
        <v>0.97675091093124</v>
      </c>
      <c r="C185" s="37" t="n">
        <f aca="false">1+IF($G$7=$E$7,$F$7,IF(Q185&lt;($F$7-$E$7)/($G$7-$E$7),$E$7+SQRT(Q185*($G$7-$E$7)*($F$7-$E$7)),$G$7-SQRT((1-Q185)*($G$7-$E$7)*($G$7-$F$7))))</f>
        <v>0.922437922608198</v>
      </c>
      <c r="D185" s="37" t="n">
        <f aca="false">1+IF($G$8=$E$8,$F$8,IF(R185&lt;($F$8-$E$8)/($G$8-$E$8),$E$8+SQRT(R185*($G$8-$E$8)*($F$8-$E$8)),$G$8-SQRT((1-R185)*($G$8-$E$8)*($G$8-$F$8))))</f>
        <v>1.0186116073205</v>
      </c>
      <c r="E185" s="37" t="n">
        <f aca="false">1+IF($G$9=$E$9,$F$9,IF(S185&lt;($F$9-$E$9)/($G$9-$E$9),$E$9+SQRT(S185*($G$9-$E$9)*($F$9-$E$9)),$G$9-SQRT((1-S185)*($G$9-$E$9)*($G$9-$F$9))))</f>
        <v>0.984666892614636</v>
      </c>
      <c r="F185" s="37" t="n">
        <f aca="false">1+IF($G$10=$E$10,$F$10,IF(T185&lt;($F$10-$E$10)/($G$10-$E$10),$E$10+SQRT(T185*($G$10-$E$10)*($F$10-$E$10)),$G$10-SQRT((1-T185)*($G$10-$E$10)*($G$10-$F$10))))</f>
        <v>1.11673892619338</v>
      </c>
      <c r="G185" s="38" t="n">
        <f aca="false">IF($G$11=$E$11,$F$11,IF(U185&lt;($F$11-$E$11)/($G$11-$E$11),$E$11+SQRT(U185*($G$11-$E$11)*($F$11-$E$11)),$G$11-SQRT((1-U185)*($G$11-$E$11)*($G$11-$F$11))))</f>
        <v>0.107310745273507</v>
      </c>
      <c r="H185" s="39" t="n">
        <f aca="false">(('Business Case'!B11*$C185*'Business Case'!B12*$B185)-'Business Case'!B11*$C185*'Business Case'!B13*$D185-'Business Case'!B14*$E185)-MAX(0,(('Business Case'!B11*$C185*'Business Case'!B12*$B185)-'Business Case'!B11*$C185*'Business Case'!B13*$D185-'Business Case'!B14*$E185))*'Business Case'!$B$7-'Business Case'!$B$8*('Business Case'!B11*$C185*'Business Case'!B12*$B185)-'Business Case'!B15*$F185</f>
        <v>-2233477852.38677</v>
      </c>
      <c r="I185" s="39" t="n">
        <f aca="false">(('Business Case'!C11*$C185*'Business Case'!C12*$B185)-'Business Case'!C11*$C185*'Business Case'!C13*$D185-'Business Case'!C14*$E185)-MAX(0,(('Business Case'!C11*$C185*'Business Case'!C12*$B185)-'Business Case'!C11*$C185*'Business Case'!C13*$D185-'Business Case'!C14*$E185))*'Business Case'!$B$7-'Business Case'!$B$8*(('Business Case'!C11*$C185*'Business Case'!C12*$B185)-('Business Case'!B11*$C185*'Business Case'!B12*$B185))-'Business Case'!C15*$F185</f>
        <v>-41426659.0400253</v>
      </c>
      <c r="J185" s="39" t="n">
        <f aca="false">(('Business Case'!D11*$C185*'Business Case'!D12*$B185)-'Business Case'!D11*$C185*'Business Case'!D13*$D185-'Business Case'!D14*$E185)-MAX(0,(('Business Case'!D11*$C185*'Business Case'!D12*$B185)-'Business Case'!D11*$C185*'Business Case'!D13*$D185-'Business Case'!D14*$E185))*'Business Case'!$B$7-'Business Case'!$B$8*(('Business Case'!D11*$C185*'Business Case'!D12*$B185)-('Business Case'!C11*$C185*'Business Case'!C12*$B185))-'Business Case'!D15*$F185</f>
        <v>215547636.157723</v>
      </c>
      <c r="K185" s="39" t="n">
        <f aca="false">(('Business Case'!E11*$C185*'Business Case'!E12*$B185)-'Business Case'!E11*$C185*'Business Case'!E13*$D185-'Business Case'!E14*$E185)-MAX(0,(('Business Case'!E11*$C185*'Business Case'!E12*$B185)-'Business Case'!E11*$C185*'Business Case'!E13*$D185-'Business Case'!E14*$E185))*'Business Case'!$B$7-'Business Case'!$B$8*(('Business Case'!E11*$C185*'Business Case'!E12*$B185)-('Business Case'!D11*$C185*'Business Case'!D12*$B185))-'Business Case'!E15*$F185</f>
        <v>528358877.665141</v>
      </c>
      <c r="L185" s="39" t="n">
        <f aca="false">(('Business Case'!F11*$C185*'Business Case'!F12*$B185)-'Business Case'!F11*$C185*'Business Case'!F13*$D185-'Business Case'!F14*$E185)-MAX(0,(('Business Case'!F11*$C185*'Business Case'!F12*$B185)-'Business Case'!F11*$C185*'Business Case'!F13*$D185-'Business Case'!F14*$E185))*'Business Case'!$B$7-'Business Case'!$B$8*(('Business Case'!F11*$C185*'Business Case'!F12*$B185)-('Business Case'!E11*$C185*'Business Case'!E12*$B185))-'Business Case'!F15*$F185</f>
        <v>645155262.390147</v>
      </c>
      <c r="M185" s="39" t="n">
        <f aca="false">(('Business Case'!G11*$C185*'Business Case'!G12*$B185)-'Business Case'!G11*$C185*'Business Case'!G13*$D185-'Business Case'!G14*$E185)-MAX(0,(('Business Case'!G11*$C185*'Business Case'!G12*$B185)-'Business Case'!G11*$C185*'Business Case'!G13*$D185-'Business Case'!G14*$E185))*'Business Case'!$B$7-'Business Case'!$B$8*(('Business Case'!G11*$C185*'Business Case'!G12*$B185)-('Business Case'!F11*$C185*'Business Case'!F12*$B185))-'Business Case'!G15*$F185+'Business Case'!$B$8*('Business Case'!G11*$C185*'Business Case'!G12*$B185)</f>
        <v>816415837.181806</v>
      </c>
      <c r="N185" s="39" t="n">
        <f aca="false">IF(COUNT('Business Case'!B11:G11)=0,"",H185+NPV(G185,I185:M185))</f>
        <v>-786400196.406457</v>
      </c>
      <c r="P185" s="40" t="n">
        <f aca="true">RAND()</f>
        <v>0.335486030367244</v>
      </c>
      <c r="Q185" s="40" t="n">
        <f aca="true">RAND()</f>
        <v>0.214157784180159</v>
      </c>
      <c r="R185" s="40" t="n">
        <f aca="true">RAND()</f>
        <v>0.637640888868033</v>
      </c>
      <c r="S185" s="40" t="n">
        <f aca="true">RAND()</f>
        <v>0.160239125807292</v>
      </c>
      <c r="T185" s="40" t="n">
        <f aca="true">RAND()</f>
        <v>0.861351871771381</v>
      </c>
      <c r="U185" s="40" t="n">
        <f aca="true">RAND()</f>
        <v>0.731638024143636</v>
      </c>
    </row>
    <row r="186" customFormat="false" ht="15" hidden="false" customHeight="false" outlineLevel="0" collapsed="false">
      <c r="A186" s="36" t="n">
        <v>106</v>
      </c>
      <c r="B186" s="37" t="n">
        <f aca="false">1+IF($G$6=$E$6,$F$6,IF(P186&lt;($F$6-$E$6)/($G$6-$E$6),$E$6+SQRT(P186*($G$6-$E$6)*($F$6-$E$6)),$G$6-SQRT((1-P186)*($G$6-$E$6)*($G$6-$F$6))))</f>
        <v>0.998582814634649</v>
      </c>
      <c r="C186" s="37" t="n">
        <f aca="false">1+IF($G$7=$E$7,$F$7,IF(Q186&lt;($F$7-$E$7)/($G$7-$E$7),$E$7+SQRT(Q186*($G$7-$E$7)*($F$7-$E$7)),$G$7-SQRT((1-Q186)*($G$7-$E$7)*($G$7-$F$7))))</f>
        <v>0.872868225880822</v>
      </c>
      <c r="D186" s="37" t="n">
        <f aca="false">1+IF($G$8=$E$8,$F$8,IF(R186&lt;($F$8-$E$8)/($G$8-$E$8),$E$8+SQRT(R186*($G$8-$E$8)*($F$8-$E$8)),$G$8-SQRT((1-R186)*($G$8-$E$8)*($G$8-$F$8))))</f>
        <v>1.00355757572027</v>
      </c>
      <c r="E186" s="37" t="n">
        <f aca="false">1+IF($G$9=$E$9,$F$9,IF(S186&lt;($F$9-$E$9)/($G$9-$E$9),$E$9+SQRT(S186*($G$9-$E$9)*($F$9-$E$9)),$G$9-SQRT((1-S186)*($G$9-$E$9)*($G$9-$F$9))))</f>
        <v>1.05044319653657</v>
      </c>
      <c r="F186" s="37" t="n">
        <f aca="false">1+IF($G$10=$E$10,$F$10,IF(T186&lt;($F$10-$E$10)/($G$10-$E$10),$E$10+SQRT(T186*($G$10-$E$10)*($F$10-$E$10)),$G$10-SQRT((1-T186)*($G$10-$E$10)*($G$10-$F$10))))</f>
        <v>0.997683033430094</v>
      </c>
      <c r="G186" s="38" t="n">
        <f aca="false">IF($G$11=$E$11,$F$11,IF(U186&lt;($F$11-$E$11)/($G$11-$E$11),$E$11+SQRT(U186*($G$11-$E$11)*($F$11-$E$11)),$G$11-SQRT((1-U186)*($G$11-$E$11)*($G$11-$F$11))))</f>
        <v>0.0962755660534779</v>
      </c>
      <c r="H186" s="39" t="n">
        <f aca="false">(('Business Case'!B11*$C186*'Business Case'!B12*$B186)-'Business Case'!B11*$C186*'Business Case'!B13*$D186-'Business Case'!B14*$E186)-MAX(0,(('Business Case'!B11*$C186*'Business Case'!B12*$B186)-'Business Case'!B11*$C186*'Business Case'!B13*$D186-'Business Case'!B14*$E186))*'Business Case'!$B$7-'Business Case'!$B$8*('Business Case'!B11*$C186*'Business Case'!B12*$B186)-'Business Case'!B15*$F186</f>
        <v>-1995366066.86019</v>
      </c>
      <c r="I186" s="39" t="n">
        <f aca="false">(('Business Case'!C11*$C186*'Business Case'!C12*$B186)-'Business Case'!C11*$C186*'Business Case'!C13*$D186-'Business Case'!C14*$E186)-MAX(0,(('Business Case'!C11*$C186*'Business Case'!C12*$B186)-'Business Case'!C11*$C186*'Business Case'!C13*$D186-'Business Case'!C14*$E186))*'Business Case'!$B$7-'Business Case'!$B$8*(('Business Case'!C11*$C186*'Business Case'!C12*$B186)-('Business Case'!B11*$C186*'Business Case'!B12*$B186))-'Business Case'!C15*$F186</f>
        <v>-28826334.2399376</v>
      </c>
      <c r="J186" s="39" t="n">
        <f aca="false">(('Business Case'!D11*$C186*'Business Case'!D12*$B186)-'Business Case'!D11*$C186*'Business Case'!D13*$D186-'Business Case'!D14*$E186)-MAX(0,(('Business Case'!D11*$C186*'Business Case'!D12*$B186)-'Business Case'!D11*$C186*'Business Case'!D13*$D186-'Business Case'!D14*$E186))*'Business Case'!$B$7-'Business Case'!$B$8*(('Business Case'!D11*$C186*'Business Case'!D12*$B186)-('Business Case'!C11*$C186*'Business Case'!C12*$B186))-'Business Case'!D15*$F186</f>
        <v>236674019.326937</v>
      </c>
      <c r="K186" s="39" t="n">
        <f aca="false">(('Business Case'!E11*$C186*'Business Case'!E12*$B186)-'Business Case'!E11*$C186*'Business Case'!E13*$D186-'Business Case'!E14*$E186)-MAX(0,(('Business Case'!E11*$C186*'Business Case'!E12*$B186)-'Business Case'!E11*$C186*'Business Case'!E13*$D186-'Business Case'!E14*$E186))*'Business Case'!$B$7-'Business Case'!$B$8*(('Business Case'!E11*$C186*'Business Case'!E12*$B186)-('Business Case'!D11*$C186*'Business Case'!D12*$B186))-'Business Case'!E15*$F186</f>
        <v>552058524.565317</v>
      </c>
      <c r="L186" s="39" t="n">
        <f aca="false">(('Business Case'!F11*$C186*'Business Case'!F12*$B186)-'Business Case'!F11*$C186*'Business Case'!F13*$D186-'Business Case'!F14*$E186)-MAX(0,(('Business Case'!F11*$C186*'Business Case'!F12*$B186)-'Business Case'!F11*$C186*'Business Case'!F13*$D186-'Business Case'!F14*$E186))*'Business Case'!$B$7-'Business Case'!$B$8*(('Business Case'!F11*$C186*'Business Case'!F12*$B186)-('Business Case'!E11*$C186*'Business Case'!E12*$B186))-'Business Case'!F15*$F186</f>
        <v>670682217.031811</v>
      </c>
      <c r="M186" s="39" t="n">
        <f aca="false">(('Business Case'!G11*$C186*'Business Case'!G12*$B186)-'Business Case'!G11*$C186*'Business Case'!G13*$D186-'Business Case'!G14*$E186)-MAX(0,(('Business Case'!G11*$C186*'Business Case'!G12*$B186)-'Business Case'!G11*$C186*'Business Case'!G13*$D186-'Business Case'!G14*$E186))*'Business Case'!$B$7-'Business Case'!$B$8*(('Business Case'!G11*$C186*'Business Case'!G12*$B186)-('Business Case'!F11*$C186*'Business Case'!F12*$B186))-'Business Case'!G15*$F186+'Business Case'!$B$8*('Business Case'!G11*$C186*'Business Case'!G12*$B186)</f>
        <v>836361877.391588</v>
      </c>
      <c r="N186" s="39" t="n">
        <f aca="false">IF(COUNT('Business Case'!B11:G11)=0,"",H186+NPV(G186,I186:M186))</f>
        <v>-413181304.899769</v>
      </c>
      <c r="P186" s="40" t="n">
        <f aca="true">RAND()</f>
        <v>0.643256120406625</v>
      </c>
      <c r="Q186" s="40" t="n">
        <f aca="true">RAND()</f>
        <v>0.0758539763288364</v>
      </c>
      <c r="R186" s="40" t="n">
        <f aca="true">RAND()</f>
        <v>0.438130362522875</v>
      </c>
      <c r="S186" s="40" t="n">
        <f aca="true">RAND()</f>
        <v>0.836274882032472</v>
      </c>
      <c r="T186" s="40" t="n">
        <f aca="true">RAND()</f>
        <v>0.181893734167633</v>
      </c>
      <c r="U186" s="40" t="n">
        <f aca="true">RAND()</f>
        <v>0.131275764305216</v>
      </c>
    </row>
    <row r="187" customFormat="false" ht="15" hidden="false" customHeight="false" outlineLevel="0" collapsed="false">
      <c r="A187" s="36" t="n">
        <v>107</v>
      </c>
      <c r="B187" s="37" t="n">
        <f aca="false">1+IF($G$6=$E$6,$F$6,IF(P187&lt;($F$6-$E$6)/($G$6-$E$6),$E$6+SQRT(P187*($G$6-$E$6)*($F$6-$E$6)),$G$6-SQRT((1-P187)*($G$6-$E$6)*($G$6-$F$6))))</f>
        <v>0.967288802563632</v>
      </c>
      <c r="C187" s="37" t="n">
        <f aca="false">1+IF($G$7=$E$7,$F$7,IF(Q187&lt;($F$7-$E$7)/($G$7-$E$7),$E$7+SQRT(Q187*($G$7-$E$7)*($F$7-$E$7)),$G$7-SQRT((1-Q187)*($G$7-$E$7)*($G$7-$F$7))))</f>
        <v>1.05653439359136</v>
      </c>
      <c r="D187" s="37" t="n">
        <f aca="false">1+IF($G$8=$E$8,$F$8,IF(R187&lt;($F$8-$E$8)/($G$8-$E$8),$E$8+SQRT(R187*($G$8-$E$8)*($F$8-$E$8)),$G$8-SQRT((1-R187)*($G$8-$E$8)*($G$8-$F$8))))</f>
        <v>0.978651006429712</v>
      </c>
      <c r="E187" s="37" t="n">
        <f aca="false">1+IF($G$9=$E$9,$F$9,IF(S187&lt;($F$9-$E$9)/($G$9-$E$9),$E$9+SQRT(S187*($G$9-$E$9)*($F$9-$E$9)),$G$9-SQRT((1-S187)*($G$9-$E$9)*($G$9-$F$9))))</f>
        <v>1.05058409041736</v>
      </c>
      <c r="F187" s="37" t="n">
        <f aca="false">1+IF($G$10=$E$10,$F$10,IF(T187&lt;($F$10-$E$10)/($G$10-$E$10),$E$10+SQRT(T187*($G$10-$E$10)*($F$10-$E$10)),$G$10-SQRT((1-T187)*($G$10-$E$10)*($G$10-$F$10))))</f>
        <v>1.05556560126593</v>
      </c>
      <c r="G187" s="38" t="n">
        <f aca="false">IF($G$11=$E$11,$F$11,IF(U187&lt;($F$11-$E$11)/($G$11-$E$11),$E$11+SQRT(U187*($G$11-$E$11)*($F$11-$E$11)),$G$11-SQRT((1-U187)*($G$11-$E$11)*($G$11-$F$11))))</f>
        <v>0.0997604068817115</v>
      </c>
      <c r="H187" s="39" t="n">
        <f aca="false">(('Business Case'!B11*$C187*'Business Case'!B12*$B187)-'Business Case'!B11*$C187*'Business Case'!B13*$D187-'Business Case'!B14*$E187)-MAX(0,(('Business Case'!B11*$C187*'Business Case'!B12*$B187)-'Business Case'!B11*$C187*'Business Case'!B13*$D187-'Business Case'!B14*$E187))*'Business Case'!$B$7-'Business Case'!$B$8*('Business Case'!B11*$C187*'Business Case'!B12*$B187)-'Business Case'!B15*$F187</f>
        <v>-2111131202.53186</v>
      </c>
      <c r="I187" s="39" t="n">
        <f aca="false">(('Business Case'!C11*$C187*'Business Case'!C12*$B187)-'Business Case'!C11*$C187*'Business Case'!C13*$D187-'Business Case'!C14*$E187)-MAX(0,(('Business Case'!C11*$C187*'Business Case'!C12*$B187)-'Business Case'!C11*$C187*'Business Case'!C13*$D187-'Business Case'!C14*$E187))*'Business Case'!$B$7-'Business Case'!$B$8*(('Business Case'!C11*$C187*'Business Case'!C12*$B187)-('Business Case'!B11*$C187*'Business Case'!B12*$B187))-'Business Case'!C15*$F187</f>
        <v>-172794.30853501</v>
      </c>
      <c r="J187" s="39" t="n">
        <f aca="false">(('Business Case'!D11*$C187*'Business Case'!D12*$B187)-'Business Case'!D11*$C187*'Business Case'!D13*$D187-'Business Case'!D14*$E187)-MAX(0,(('Business Case'!D11*$C187*'Business Case'!D12*$B187)-'Business Case'!D11*$C187*'Business Case'!D13*$D187-'Business Case'!D14*$E187))*'Business Case'!$B$7-'Business Case'!$B$8*(('Business Case'!D11*$C187*'Business Case'!D12*$B187)-('Business Case'!C11*$C187*'Business Case'!C12*$B187))-'Business Case'!D15*$F187</f>
        <v>307583155.543824</v>
      </c>
      <c r="K187" s="39" t="n">
        <f aca="false">(('Business Case'!E11*$C187*'Business Case'!E12*$B187)-'Business Case'!E11*$C187*'Business Case'!E13*$D187-'Business Case'!E14*$E187)-MAX(0,(('Business Case'!E11*$C187*'Business Case'!E12*$B187)-'Business Case'!E11*$C187*'Business Case'!E13*$D187-'Business Case'!E14*$E187))*'Business Case'!$B$7-'Business Case'!$B$8*(('Business Case'!E11*$C187*'Business Case'!E12*$B187)-('Business Case'!D11*$C187*'Business Case'!D12*$B187))-'Business Case'!E15*$F187</f>
        <v>668117385.459479</v>
      </c>
      <c r="L187" s="39" t="n">
        <f aca="false">(('Business Case'!F11*$C187*'Business Case'!F12*$B187)-'Business Case'!F11*$C187*'Business Case'!F13*$D187-'Business Case'!F14*$E187)-MAX(0,(('Business Case'!F11*$C187*'Business Case'!F12*$B187)-'Business Case'!F11*$C187*'Business Case'!F13*$D187-'Business Case'!F14*$E187))*'Business Case'!$B$7-'Business Case'!$B$8*(('Business Case'!F11*$C187*'Business Case'!F12*$B187)-('Business Case'!E11*$C187*'Business Case'!E12*$B187))-'Business Case'!F15*$F187</f>
        <v>806022119.661566</v>
      </c>
      <c r="M187" s="39" t="n">
        <f aca="false">(('Business Case'!G11*$C187*'Business Case'!G12*$B187)-'Business Case'!G11*$C187*'Business Case'!G13*$D187-'Business Case'!G14*$E187)-MAX(0,(('Business Case'!G11*$C187*'Business Case'!G12*$B187)-'Business Case'!G11*$C187*'Business Case'!G13*$D187-'Business Case'!G14*$E187))*'Business Case'!$B$7-'Business Case'!$B$8*(('Business Case'!G11*$C187*'Business Case'!G12*$B187)-('Business Case'!F11*$C187*'Business Case'!F12*$B187))-'Business Case'!G15*$F187+'Business Case'!$B$8*('Business Case'!G11*$C187*'Business Case'!G12*$B187)</f>
        <v>1000278916.37706</v>
      </c>
      <c r="N187" s="39" t="n">
        <f aca="false">IF(COUNT('Business Case'!B11:G11)=0,"",H187+NPV(G187,I187:M187))</f>
        <v>-181906752.647493</v>
      </c>
      <c r="P187" s="40" t="n">
        <f aca="true">RAND()</f>
        <v>0.232940713323145</v>
      </c>
      <c r="Q187" s="40" t="n">
        <f aca="true">RAND()</f>
        <v>0.833603436546013</v>
      </c>
      <c r="R187" s="40" t="n">
        <f aca="true">RAND()</f>
        <v>0.126289256836218</v>
      </c>
      <c r="S187" s="40" t="n">
        <f aca="true">RAND()</f>
        <v>0.837204525341376</v>
      </c>
      <c r="T187" s="40" t="n">
        <f aca="true">RAND()</f>
        <v>0.58277408924656</v>
      </c>
      <c r="U187" s="40" t="n">
        <f aca="true">RAND()</f>
        <v>0.317551808321873</v>
      </c>
    </row>
    <row r="188" customFormat="false" ht="15" hidden="false" customHeight="false" outlineLevel="0" collapsed="false">
      <c r="A188" s="36" t="n">
        <v>108</v>
      </c>
      <c r="B188" s="37" t="n">
        <f aca="false">1+IF($G$6=$E$6,$F$6,IF(P188&lt;($F$6-$E$6)/($G$6-$E$6),$E$6+SQRT(P188*($G$6-$E$6)*($F$6-$E$6)),$G$6-SQRT((1-P188)*($G$6-$E$6)*($G$6-$F$6))))</f>
        <v>0.992139884525134</v>
      </c>
      <c r="C188" s="37" t="n">
        <f aca="false">1+IF($G$7=$E$7,$F$7,IF(Q188&lt;($F$7-$E$7)/($G$7-$E$7),$E$7+SQRT(Q188*($G$7-$E$7)*($F$7-$E$7)),$G$7-SQRT((1-Q188)*($G$7-$E$7)*($G$7-$F$7))))</f>
        <v>0.993510293569663</v>
      </c>
      <c r="D188" s="37" t="n">
        <f aca="false">1+IF($G$8=$E$8,$F$8,IF(R188&lt;($F$8-$E$8)/($G$8-$E$8),$E$8+SQRT(R188*($G$8-$E$8)*($F$8-$E$8)),$G$8-SQRT((1-R188)*($G$8-$E$8)*($G$8-$F$8))))</f>
        <v>1.03551695054518</v>
      </c>
      <c r="E188" s="37" t="n">
        <f aca="false">1+IF($G$9=$E$9,$F$9,IF(S188&lt;($F$9-$E$9)/($G$9-$E$9),$E$9+SQRT(S188*($G$9-$E$9)*($F$9-$E$9)),$G$9-SQRT((1-S188)*($G$9-$E$9)*($G$9-$F$9))))</f>
        <v>0.967850070248129</v>
      </c>
      <c r="F188" s="37" t="n">
        <f aca="false">1+IF($G$10=$E$10,$F$10,IF(T188&lt;($F$10-$E$10)/($G$10-$E$10),$E$10+SQRT(T188*($G$10-$E$10)*($F$10-$E$10)),$G$10-SQRT((1-T188)*($G$10-$E$10)*($G$10-$F$10))))</f>
        <v>1.00625450730043</v>
      </c>
      <c r="G188" s="38" t="n">
        <f aca="false">IF($G$11=$E$11,$F$11,IF(U188&lt;($F$11-$E$11)/($G$11-$E$11),$E$11+SQRT(U188*($G$11-$E$11)*($F$11-$E$11)),$G$11-SQRT((1-U188)*($G$11-$E$11)*($G$11-$F$11))))</f>
        <v>0.0986467091252646</v>
      </c>
      <c r="H188" s="39" t="n">
        <f aca="false">(('Business Case'!B11*$C188*'Business Case'!B12*$B188)-'Business Case'!B11*$C188*'Business Case'!B13*$D188-'Business Case'!B14*$E188)-MAX(0,(('Business Case'!B11*$C188*'Business Case'!B12*$B188)-'Business Case'!B11*$C188*'Business Case'!B13*$D188-'Business Case'!B14*$E188))*'Business Case'!$B$7-'Business Case'!$B$8*('Business Case'!B11*$C188*'Business Case'!B12*$B188)-'Business Case'!B15*$F188</f>
        <v>-2012509014.60087</v>
      </c>
      <c r="I188" s="39" t="n">
        <f aca="false">(('Business Case'!C11*$C188*'Business Case'!C12*$B188)-'Business Case'!C11*$C188*'Business Case'!C13*$D188-'Business Case'!C14*$E188)-MAX(0,(('Business Case'!C11*$C188*'Business Case'!C12*$B188)-'Business Case'!C11*$C188*'Business Case'!C13*$D188-'Business Case'!C14*$E188))*'Business Case'!$B$7-'Business Case'!$B$8*(('Business Case'!C11*$C188*'Business Case'!C12*$B188)-('Business Case'!B11*$C188*'Business Case'!B12*$B188))-'Business Case'!C15*$F188</f>
        <v>-8653868.91692716</v>
      </c>
      <c r="J188" s="39" t="n">
        <f aca="false">(('Business Case'!D11*$C188*'Business Case'!D12*$B188)-'Business Case'!D11*$C188*'Business Case'!D13*$D188-'Business Case'!D14*$E188)-MAX(0,(('Business Case'!D11*$C188*'Business Case'!D12*$B188)-'Business Case'!D11*$C188*'Business Case'!D13*$D188-'Business Case'!D14*$E188))*'Business Case'!$B$7-'Business Case'!$B$8*(('Business Case'!D11*$C188*'Business Case'!D12*$B188)-('Business Case'!C11*$C188*'Business Case'!C12*$B188))-'Business Case'!D15*$F188</f>
        <v>272044742.468114</v>
      </c>
      <c r="K188" s="39" t="n">
        <f aca="false">(('Business Case'!E11*$C188*'Business Case'!E12*$B188)-'Business Case'!E11*$C188*'Business Case'!E13*$D188-'Business Case'!E14*$E188)-MAX(0,(('Business Case'!E11*$C188*'Business Case'!E12*$B188)-'Business Case'!E11*$C188*'Business Case'!E13*$D188-'Business Case'!E14*$E188))*'Business Case'!$B$7-'Business Case'!$B$8*(('Business Case'!E11*$C188*'Business Case'!E12*$B188)-('Business Case'!D11*$C188*'Business Case'!D12*$B188))-'Business Case'!E15*$F188</f>
        <v>603056079.218176</v>
      </c>
      <c r="L188" s="39" t="n">
        <f aca="false">(('Business Case'!F11*$C188*'Business Case'!F12*$B188)-'Business Case'!F11*$C188*'Business Case'!F13*$D188-'Business Case'!F14*$E188)-MAX(0,(('Business Case'!F11*$C188*'Business Case'!F12*$B188)-'Business Case'!F11*$C188*'Business Case'!F13*$D188-'Business Case'!F14*$E188))*'Business Case'!$B$7-'Business Case'!$B$8*(('Business Case'!F11*$C188*'Business Case'!F12*$B188)-('Business Case'!E11*$C188*'Business Case'!E12*$B188))-'Business Case'!F15*$F188</f>
        <v>730688116.068283</v>
      </c>
      <c r="M188" s="39" t="n">
        <f aca="false">(('Business Case'!G11*$C188*'Business Case'!G12*$B188)-'Business Case'!G11*$C188*'Business Case'!G13*$D188-'Business Case'!G14*$E188)-MAX(0,(('Business Case'!G11*$C188*'Business Case'!G12*$B188)-'Business Case'!G11*$C188*'Business Case'!G13*$D188-'Business Case'!G14*$E188))*'Business Case'!$B$7-'Business Case'!$B$8*(('Business Case'!G11*$C188*'Business Case'!G12*$B188)-('Business Case'!F11*$C188*'Business Case'!F12*$B188))-'Business Case'!G15*$F188+'Business Case'!$B$8*('Business Case'!G11*$C188*'Business Case'!G12*$B188)</f>
        <v>918050197.871298</v>
      </c>
      <c r="N188" s="39" t="n">
        <f aca="false">IF(COUNT('Business Case'!B11:G11)=0,"",H188+NPV(G188,I188:M188))</f>
        <v>-265150202.923598</v>
      </c>
      <c r="P188" s="40" t="n">
        <f aca="true">RAND()</f>
        <v>0.542100306177047</v>
      </c>
      <c r="Q188" s="40" t="n">
        <f aca="true">RAND()</f>
        <v>0.534946195963104</v>
      </c>
      <c r="R188" s="40" t="n">
        <f aca="true">RAND()</f>
        <v>0.809736376076913</v>
      </c>
      <c r="S188" s="40" t="n">
        <f aca="true">RAND()</f>
        <v>0.0424833343817529</v>
      </c>
      <c r="T188" s="40" t="n">
        <f aca="true">RAND()</f>
        <v>0.249253681172048</v>
      </c>
      <c r="U188" s="40" t="n">
        <f aca="true">RAND()</f>
        <v>0.249218595656447</v>
      </c>
    </row>
    <row r="189" customFormat="false" ht="15" hidden="false" customHeight="false" outlineLevel="0" collapsed="false">
      <c r="A189" s="36" t="n">
        <v>109</v>
      </c>
      <c r="B189" s="37" t="n">
        <f aca="false">1+IF($G$6=$E$6,$F$6,IF(P189&lt;($F$6-$E$6)/($G$6-$E$6),$E$6+SQRT(P189*($G$6-$E$6)*($F$6-$E$6)),$G$6-SQRT((1-P189)*($G$6-$E$6)*($G$6-$F$6))))</f>
        <v>0.984984638215868</v>
      </c>
      <c r="C189" s="37" t="n">
        <f aca="false">1+IF($G$7=$E$7,$F$7,IF(Q189&lt;($F$7-$E$7)/($G$7-$E$7),$E$7+SQRT(Q189*($G$7-$E$7)*($F$7-$E$7)),$G$7-SQRT((1-Q189)*($G$7-$E$7)*($G$7-$F$7))))</f>
        <v>0.991455413878454</v>
      </c>
      <c r="D189" s="37" t="n">
        <f aca="false">1+IF($G$8=$E$8,$F$8,IF(R189&lt;($F$8-$E$8)/($G$8-$E$8),$E$8+SQRT(R189*($G$8-$E$8)*($F$8-$E$8)),$G$8-SQRT((1-R189)*($G$8-$E$8)*($G$8-$F$8))))</f>
        <v>0.977576382268862</v>
      </c>
      <c r="E189" s="37" t="n">
        <f aca="false">1+IF($G$9=$E$9,$F$9,IF(S189&lt;($F$9-$E$9)/($G$9-$E$9),$E$9+SQRT(S189*($G$9-$E$9)*($F$9-$E$9)),$G$9-SQRT((1-S189)*($G$9-$E$9)*($G$9-$F$9))))</f>
        <v>1.03367710678375</v>
      </c>
      <c r="F189" s="37" t="n">
        <f aca="false">1+IF($G$10=$E$10,$F$10,IF(T189&lt;($F$10-$E$10)/($G$10-$E$10),$E$10+SQRT(T189*($G$10-$E$10)*($F$10-$E$10)),$G$10-SQRT((1-T189)*($G$10-$E$10)*($G$10-$F$10))))</f>
        <v>1.04900884704101</v>
      </c>
      <c r="G189" s="38" t="n">
        <f aca="false">IF($G$11=$E$11,$F$11,IF(U189&lt;($F$11-$E$11)/($G$11-$E$11),$E$11+SQRT(U189*($G$11-$E$11)*($F$11-$E$11)),$G$11-SQRT((1-U189)*($G$11-$E$11)*($G$11-$F$11))))</f>
        <v>0.100207931386198</v>
      </c>
      <c r="H189" s="39" t="n">
        <f aca="false">(('Business Case'!B11*$C189*'Business Case'!B12*$B189)-'Business Case'!B11*$C189*'Business Case'!B13*$D189-'Business Case'!B14*$E189)-MAX(0,(('Business Case'!B11*$C189*'Business Case'!B12*$B189)-'Business Case'!B11*$C189*'Business Case'!B13*$D189-'Business Case'!B14*$E189))*'Business Case'!$B$7-'Business Case'!$B$8*('Business Case'!B11*$C189*'Business Case'!B12*$B189)-'Business Case'!B15*$F189</f>
        <v>-2098017694.08201</v>
      </c>
      <c r="I189" s="39" t="n">
        <f aca="false">(('Business Case'!C11*$C189*'Business Case'!C12*$B189)-'Business Case'!C11*$C189*'Business Case'!C13*$D189-'Business Case'!C14*$E189)-MAX(0,(('Business Case'!C11*$C189*'Business Case'!C12*$B189)-'Business Case'!C11*$C189*'Business Case'!C13*$D189-'Business Case'!C14*$E189))*'Business Case'!$B$7-'Business Case'!$B$8*(('Business Case'!C11*$C189*'Business Case'!C12*$B189)-('Business Case'!B11*$C189*'Business Case'!B12*$B189))-'Business Case'!C15*$F189</f>
        <v>1199879.43659322</v>
      </c>
      <c r="J189" s="39" t="n">
        <f aca="false">(('Business Case'!D11*$C189*'Business Case'!D12*$B189)-'Business Case'!D11*$C189*'Business Case'!D13*$D189-'Business Case'!D14*$E189)-MAX(0,(('Business Case'!D11*$C189*'Business Case'!D12*$B189)-'Business Case'!D11*$C189*'Business Case'!D13*$D189-'Business Case'!D14*$E189))*'Business Case'!$B$7-'Business Case'!$B$8*(('Business Case'!D11*$C189*'Business Case'!D12*$B189)-('Business Case'!C11*$C189*'Business Case'!C12*$B189))-'Business Case'!D15*$F189</f>
        <v>304914831.537197</v>
      </c>
      <c r="K189" s="39" t="n">
        <f aca="false">(('Business Case'!E11*$C189*'Business Case'!E12*$B189)-'Business Case'!E11*$C189*'Business Case'!E13*$D189-'Business Case'!E14*$E189)-MAX(0,(('Business Case'!E11*$C189*'Business Case'!E12*$B189)-'Business Case'!E11*$C189*'Business Case'!E13*$D189-'Business Case'!E14*$E189))*'Business Case'!$B$7-'Business Case'!$B$8*(('Business Case'!E11*$C189*'Business Case'!E12*$B189)-('Business Case'!D11*$C189*'Business Case'!D12*$B189))-'Business Case'!E15*$F189</f>
        <v>661080225.989851</v>
      </c>
      <c r="L189" s="39" t="n">
        <f aca="false">(('Business Case'!F11*$C189*'Business Case'!F12*$B189)-'Business Case'!F11*$C189*'Business Case'!F13*$D189-'Business Case'!F14*$E189)-MAX(0,(('Business Case'!F11*$C189*'Business Case'!F12*$B189)-'Business Case'!F11*$C189*'Business Case'!F13*$D189-'Business Case'!F14*$E189))*'Business Case'!$B$7-'Business Case'!$B$8*(('Business Case'!F11*$C189*'Business Case'!F12*$B189)-('Business Case'!E11*$C189*'Business Case'!E12*$B189))-'Business Case'!F15*$F189</f>
        <v>796068745.606893</v>
      </c>
      <c r="M189" s="39" t="n">
        <f aca="false">(('Business Case'!G11*$C189*'Business Case'!G12*$B189)-'Business Case'!G11*$C189*'Business Case'!G13*$D189-'Business Case'!G14*$E189)-MAX(0,(('Business Case'!G11*$C189*'Business Case'!G12*$B189)-'Business Case'!G11*$C189*'Business Case'!G13*$D189-'Business Case'!G14*$E189))*'Business Case'!$B$7-'Business Case'!$B$8*(('Business Case'!G11*$C189*'Business Case'!G12*$B189)-('Business Case'!F11*$C189*'Business Case'!F12*$B189))-'Business Case'!G15*$F189+'Business Case'!$B$8*('Business Case'!G11*$C189*'Business Case'!G12*$B189)</f>
        <v>981694857.982848</v>
      </c>
      <c r="N189" s="39" t="n">
        <f aca="false">IF(COUNT('Business Case'!B11:G11)=0,"",H189+NPV(G189,I189:M189))</f>
        <v>-196334588.729765</v>
      </c>
      <c r="P189" s="40" t="n">
        <f aca="true">RAND()</f>
        <v>0.43989616708826</v>
      </c>
      <c r="Q189" s="40" t="n">
        <f aca="true">RAND()</f>
        <v>0.523645364333857</v>
      </c>
      <c r="R189" s="40" t="n">
        <f aca="true">RAND()</f>
        <v>0.116993362928981</v>
      </c>
      <c r="S189" s="40" t="n">
        <f aca="true">RAND()</f>
        <v>0.706751589028394</v>
      </c>
      <c r="T189" s="40" t="n">
        <f aca="true">RAND()</f>
        <v>0.544033434562268</v>
      </c>
      <c r="U189" s="40" t="n">
        <f aca="true">RAND()</f>
        <v>0.347123366644229</v>
      </c>
    </row>
    <row r="190" customFormat="false" ht="15" hidden="false" customHeight="false" outlineLevel="0" collapsed="false">
      <c r="A190" s="36" t="n">
        <v>110</v>
      </c>
      <c r="B190" s="37" t="n">
        <f aca="false">1+IF($G$6=$E$6,$F$6,IF(P190&lt;($F$6-$E$6)/($G$6-$E$6),$E$6+SQRT(P190*($G$6-$E$6)*($F$6-$E$6)),$G$6-SQRT((1-P190)*($G$6-$E$6)*($G$6-$F$6))))</f>
        <v>0.965911830431887</v>
      </c>
      <c r="C190" s="37" t="n">
        <f aca="false">1+IF($G$7=$E$7,$F$7,IF(Q190&lt;($F$7-$E$7)/($G$7-$E$7),$E$7+SQRT(Q190*($G$7-$E$7)*($F$7-$E$7)),$G$7-SQRT((1-Q190)*($G$7-$E$7)*($G$7-$F$7))))</f>
        <v>0.96645832196999</v>
      </c>
      <c r="D190" s="37" t="n">
        <f aca="false">1+IF($G$8=$E$8,$F$8,IF(R190&lt;($F$8-$E$8)/($G$8-$E$8),$E$8+SQRT(R190*($G$8-$E$8)*($F$8-$E$8)),$G$8-SQRT((1-R190)*($G$8-$E$8)*($G$8-$F$8))))</f>
        <v>0.997304652020656</v>
      </c>
      <c r="E190" s="37" t="n">
        <f aca="false">1+IF($G$9=$E$9,$F$9,IF(S190&lt;($F$9-$E$9)/($G$9-$E$9),$E$9+SQRT(S190*($G$9-$E$9)*($F$9-$E$9)),$G$9-SQRT((1-S190)*($G$9-$E$9)*($G$9-$F$9))))</f>
        <v>0.982182496283636</v>
      </c>
      <c r="F190" s="37" t="n">
        <f aca="false">1+IF($G$10=$E$10,$F$10,IF(T190&lt;($F$10-$E$10)/($G$10-$E$10),$E$10+SQRT(T190*($G$10-$E$10)*($F$10-$E$10)),$G$10-SQRT((1-T190)*($G$10-$E$10)*($G$10-$F$10))))</f>
        <v>1.00870288725791</v>
      </c>
      <c r="G190" s="38" t="n">
        <f aca="false">IF($G$11=$E$11,$F$11,IF(U190&lt;($F$11-$E$11)/($G$11-$E$11),$E$11+SQRT(U190*($G$11-$E$11)*($F$11-$E$11)),$G$11-SQRT((1-U190)*($G$11-$E$11)*($G$11-$F$11))))</f>
        <v>0.117706981817702</v>
      </c>
      <c r="H190" s="39" t="n">
        <f aca="false">(('Business Case'!B11*$C190*'Business Case'!B12*$B190)-'Business Case'!B11*$C190*'Business Case'!B13*$D190-'Business Case'!B14*$E190)-MAX(0,(('Business Case'!B11*$C190*'Business Case'!B12*$B190)-'Business Case'!B11*$C190*'Business Case'!B13*$D190-'Business Case'!B14*$E190))*'Business Case'!$B$7-'Business Case'!$B$8*('Business Case'!B11*$C190*'Business Case'!B12*$B190)-'Business Case'!B15*$F190</f>
        <v>-2017405774.51582</v>
      </c>
      <c r="I190" s="39" t="n">
        <f aca="false">(('Business Case'!C11*$C190*'Business Case'!C12*$B190)-'Business Case'!C11*$C190*'Business Case'!C13*$D190-'Business Case'!C14*$E190)-MAX(0,(('Business Case'!C11*$C190*'Business Case'!C12*$B190)-'Business Case'!C11*$C190*'Business Case'!C13*$D190-'Business Case'!C14*$E190))*'Business Case'!$B$7-'Business Case'!$B$8*(('Business Case'!C11*$C190*'Business Case'!C12*$B190)-('Business Case'!B11*$C190*'Business Case'!B12*$B190))-'Business Case'!C15*$F190</f>
        <v>-17731012.0334613</v>
      </c>
      <c r="J190" s="39" t="n">
        <f aca="false">(('Business Case'!D11*$C190*'Business Case'!D12*$B190)-'Business Case'!D11*$C190*'Business Case'!D13*$D190-'Business Case'!D14*$E190)-MAX(0,(('Business Case'!D11*$C190*'Business Case'!D12*$B190)-'Business Case'!D11*$C190*'Business Case'!D13*$D190-'Business Case'!D14*$E190))*'Business Case'!$B$7-'Business Case'!$B$8*(('Business Case'!D11*$C190*'Business Case'!D12*$B190)-('Business Case'!C11*$C190*'Business Case'!C12*$B190))-'Business Case'!D15*$F190</f>
        <v>253467956.86024</v>
      </c>
      <c r="K190" s="39" t="n">
        <f aca="false">(('Business Case'!E11*$C190*'Business Case'!E12*$B190)-'Business Case'!E11*$C190*'Business Case'!E13*$D190-'Business Case'!E14*$E190)-MAX(0,(('Business Case'!E11*$C190*'Business Case'!E12*$B190)-'Business Case'!E11*$C190*'Business Case'!E13*$D190-'Business Case'!E14*$E190))*'Business Case'!$B$7-'Business Case'!$B$8*(('Business Case'!E11*$C190*'Business Case'!E12*$B190)-('Business Case'!D11*$C190*'Business Case'!D12*$B190))-'Business Case'!E15*$F190</f>
        <v>575102070.116838</v>
      </c>
      <c r="L190" s="39" t="n">
        <f aca="false">(('Business Case'!F11*$C190*'Business Case'!F12*$B190)-'Business Case'!F11*$C190*'Business Case'!F13*$D190-'Business Case'!F14*$E190)-MAX(0,(('Business Case'!F11*$C190*'Business Case'!F12*$B190)-'Business Case'!F11*$C190*'Business Case'!F13*$D190-'Business Case'!F14*$E190))*'Business Case'!$B$7-'Business Case'!$B$8*(('Business Case'!F11*$C190*'Business Case'!F12*$B190)-('Business Case'!E11*$C190*'Business Case'!E12*$B190))-'Business Case'!F15*$F190</f>
        <v>697763953.901297</v>
      </c>
      <c r="M190" s="39" t="n">
        <f aca="false">(('Business Case'!G11*$C190*'Business Case'!G12*$B190)-'Business Case'!G11*$C190*'Business Case'!G13*$D190-'Business Case'!G14*$E190)-MAX(0,(('Business Case'!G11*$C190*'Business Case'!G12*$B190)-'Business Case'!G11*$C190*'Business Case'!G13*$D190-'Business Case'!G14*$E190))*'Business Case'!$B$7-'Business Case'!$B$8*(('Business Case'!G11*$C190*'Business Case'!G12*$B190)-('Business Case'!F11*$C190*'Business Case'!F12*$B190))-'Business Case'!G15*$F190+'Business Case'!$B$8*('Business Case'!G11*$C190*'Business Case'!G12*$B190)</f>
        <v>875206205.077373</v>
      </c>
      <c r="N190" s="39" t="n">
        <f aca="false">IF(COUNT('Business Case'!B11:G11)=0,"",H190+NPV(G190,I190:M190))</f>
        <v>-469683298.594442</v>
      </c>
      <c r="P190" s="40" t="n">
        <f aca="true">RAND()</f>
        <v>0.219572518083998</v>
      </c>
      <c r="Q190" s="40" t="n">
        <f aca="true">RAND()</f>
        <v>0.395833899329496</v>
      </c>
      <c r="R190" s="40" t="n">
        <f aca="true">RAND()</f>
        <v>0.344266169660828</v>
      </c>
      <c r="S190" s="40" t="n">
        <f aca="true">RAND()</f>
        <v>0.138095075606164</v>
      </c>
      <c r="T190" s="40" t="n">
        <f aca="true">RAND()</f>
        <v>0.268108293130803</v>
      </c>
      <c r="U190" s="40" t="n">
        <f aca="true">RAND()</f>
        <v>0.991236779359417</v>
      </c>
    </row>
    <row r="191" customFormat="false" ht="15" hidden="false" customHeight="false" outlineLevel="0" collapsed="false">
      <c r="A191" s="36" t="n">
        <v>111</v>
      </c>
      <c r="B191" s="37" t="n">
        <f aca="false">1+IF($G$6=$E$6,$F$6,IF(P191&lt;($F$6-$E$6)/($G$6-$E$6),$E$6+SQRT(P191*($G$6-$E$6)*($F$6-$E$6)),$G$6-SQRT((1-P191)*($G$6-$E$6)*($G$6-$F$6))))</f>
        <v>1.00506589470307</v>
      </c>
      <c r="C191" s="37" t="n">
        <f aca="false">1+IF($G$7=$E$7,$F$7,IF(Q191&lt;($F$7-$E$7)/($G$7-$E$7),$E$7+SQRT(Q191*($G$7-$E$7)*($F$7-$E$7)),$G$7-SQRT((1-Q191)*($G$7-$E$7)*($G$7-$F$7))))</f>
        <v>0.958558641396335</v>
      </c>
      <c r="D191" s="37" t="n">
        <f aca="false">1+IF($G$8=$E$8,$F$8,IF(R191&lt;($F$8-$E$8)/($G$8-$E$8),$E$8+SQRT(R191*($G$8-$E$8)*($F$8-$E$8)),$G$8-SQRT((1-R191)*($G$8-$E$8)*($G$8-$F$8))))</f>
        <v>1.04782184902411</v>
      </c>
      <c r="E191" s="37" t="n">
        <f aca="false">1+IF($G$9=$E$9,$F$9,IF(S191&lt;($F$9-$E$9)/($G$9-$E$9),$E$9+SQRT(S191*($G$9-$E$9)*($F$9-$E$9)),$G$9-SQRT((1-S191)*($G$9-$E$9)*($G$9-$F$9))))</f>
        <v>0.987812216008429</v>
      </c>
      <c r="F191" s="37" t="n">
        <f aca="false">1+IF($G$10=$E$10,$F$10,IF(T191&lt;($F$10-$E$10)/($G$10-$E$10),$E$10+SQRT(T191*($G$10-$E$10)*($F$10-$E$10)),$G$10-SQRT((1-T191)*($G$10-$E$10)*($G$10-$F$10))))</f>
        <v>1.16005080097844</v>
      </c>
      <c r="G191" s="38" t="n">
        <f aca="false">IF($G$11=$E$11,$F$11,IF(U191&lt;($F$11-$E$11)/($G$11-$E$11),$E$11+SQRT(U191*($G$11-$E$11)*($F$11-$E$11)),$G$11-SQRT((1-U191)*($G$11-$E$11)*($G$11-$F$11))))</f>
        <v>0.0950333110165658</v>
      </c>
      <c r="H191" s="39" t="n">
        <f aca="false">(('Business Case'!B11*$C191*'Business Case'!B12*$B191)-'Business Case'!B11*$C191*'Business Case'!B13*$D191-'Business Case'!B14*$E191)-MAX(0,(('Business Case'!B11*$C191*'Business Case'!B12*$B191)-'Business Case'!B11*$C191*'Business Case'!B13*$D191-'Business Case'!B14*$E191))*'Business Case'!$B$7-'Business Case'!$B$8*('Business Case'!B11*$C191*'Business Case'!B12*$B191)-'Business Case'!B15*$F191</f>
        <v>-2320101601.95688</v>
      </c>
      <c r="I191" s="39" t="n">
        <f aca="false">(('Business Case'!C11*$C191*'Business Case'!C12*$B191)-'Business Case'!C11*$C191*'Business Case'!C13*$D191-'Business Case'!C14*$E191)-MAX(0,(('Business Case'!C11*$C191*'Business Case'!C12*$B191)-'Business Case'!C11*$C191*'Business Case'!C13*$D191-'Business Case'!C14*$E191))*'Business Case'!$B$7-'Business Case'!$B$8*(('Business Case'!C11*$C191*'Business Case'!C12*$B191)-('Business Case'!B11*$C191*'Business Case'!B12*$B191))-'Business Case'!C15*$F191</f>
        <v>-31481244.3211653</v>
      </c>
      <c r="J191" s="39" t="n">
        <f aca="false">(('Business Case'!D11*$C191*'Business Case'!D12*$B191)-'Business Case'!D11*$C191*'Business Case'!D13*$D191-'Business Case'!D14*$E191)-MAX(0,(('Business Case'!D11*$C191*'Business Case'!D12*$B191)-'Business Case'!D11*$C191*'Business Case'!D13*$D191-'Business Case'!D14*$E191))*'Business Case'!$B$7-'Business Case'!$B$8*(('Business Case'!D11*$C191*'Business Case'!D12*$B191)-('Business Case'!C11*$C191*'Business Case'!C12*$B191))-'Business Case'!D15*$F191</f>
        <v>243452901.360244</v>
      </c>
      <c r="K191" s="39" t="n">
        <f aca="false">(('Business Case'!E11*$C191*'Business Case'!E12*$B191)-'Business Case'!E11*$C191*'Business Case'!E13*$D191-'Business Case'!E14*$E191)-MAX(0,(('Business Case'!E11*$C191*'Business Case'!E12*$B191)-'Business Case'!E11*$C191*'Business Case'!E13*$D191-'Business Case'!E14*$E191))*'Business Case'!$B$7-'Business Case'!$B$8*(('Business Case'!E11*$C191*'Business Case'!E12*$B191)-('Business Case'!D11*$C191*'Business Case'!D12*$B191))-'Business Case'!E15*$F191</f>
        <v>576389587.090576</v>
      </c>
      <c r="L191" s="39" t="n">
        <f aca="false">(('Business Case'!F11*$C191*'Business Case'!F12*$B191)-'Business Case'!F11*$C191*'Business Case'!F13*$D191-'Business Case'!F14*$E191)-MAX(0,(('Business Case'!F11*$C191*'Business Case'!F12*$B191)-'Business Case'!F11*$C191*'Business Case'!F13*$D191-'Business Case'!F14*$E191))*'Business Case'!$B$7-'Business Case'!$B$8*(('Business Case'!F11*$C191*'Business Case'!F12*$B191)-('Business Case'!E11*$C191*'Business Case'!E12*$B191))-'Business Case'!F15*$F191</f>
        <v>701329910.843267</v>
      </c>
      <c r="M191" s="39" t="n">
        <f aca="false">(('Business Case'!G11*$C191*'Business Case'!G12*$B191)-'Business Case'!G11*$C191*'Business Case'!G13*$D191-'Business Case'!G14*$E191)-MAX(0,(('Business Case'!G11*$C191*'Business Case'!G12*$B191)-'Business Case'!G11*$C191*'Business Case'!G13*$D191-'Business Case'!G14*$E191))*'Business Case'!$B$7-'Business Case'!$B$8*(('Business Case'!G11*$C191*'Business Case'!G12*$B191)-('Business Case'!F11*$C191*'Business Case'!F12*$B191))-'Business Case'!G15*$F191+'Business Case'!$B$8*('Business Case'!G11*$C191*'Business Case'!G12*$B191)</f>
        <v>884455757.733819</v>
      </c>
      <c r="N191" s="39" t="n">
        <f aca="false">IF(COUNT('Business Case'!B11:G11)=0,"",H191+NPV(G191,I191:M191))</f>
        <v>-657338381.938474</v>
      </c>
      <c r="P191" s="40" t="n">
        <f aca="true">RAND()</f>
        <v>0.745751726479733</v>
      </c>
      <c r="Q191" s="40" t="n">
        <f aca="true">RAND()</f>
        <v>0.359154896592163</v>
      </c>
      <c r="R191" s="40" t="n">
        <f aca="true">RAND()</f>
        <v>0.900439096132</v>
      </c>
      <c r="S191" s="40" t="n">
        <f aca="true">RAND()</f>
        <v>0.190635157262414</v>
      </c>
      <c r="T191" s="40" t="n">
        <f aca="true">RAND()</f>
        <v>0.968081229950715</v>
      </c>
      <c r="U191" s="40" t="n">
        <f aca="true">RAND()</f>
        <v>0.0844473992982741</v>
      </c>
    </row>
    <row r="192" customFormat="false" ht="15" hidden="false" customHeight="false" outlineLevel="0" collapsed="false">
      <c r="A192" s="36" t="n">
        <v>112</v>
      </c>
      <c r="B192" s="37" t="n">
        <f aca="false">1+IF($G$6=$E$6,$F$6,IF(P192&lt;($F$6-$E$6)/($G$6-$E$6),$E$6+SQRT(P192*($G$6-$E$6)*($F$6-$E$6)),$G$6-SQRT((1-P192)*($G$6-$E$6)*($G$6-$F$6))))</f>
        <v>0.999482215695945</v>
      </c>
      <c r="C192" s="37" t="n">
        <f aca="false">1+IF($G$7=$E$7,$F$7,IF(Q192&lt;($F$7-$E$7)/($G$7-$E$7),$E$7+SQRT(Q192*($G$7-$E$7)*($F$7-$E$7)),$G$7-SQRT((1-Q192)*($G$7-$E$7)*($G$7-$F$7))))</f>
        <v>0.817018554685905</v>
      </c>
      <c r="D192" s="37" t="n">
        <f aca="false">1+IF($G$8=$E$8,$F$8,IF(R192&lt;($F$8-$E$8)/($G$8-$E$8),$E$8+SQRT(R192*($G$8-$E$8)*($F$8-$E$8)),$G$8-SQRT((1-R192)*($G$8-$E$8)*($G$8-$F$8))))</f>
        <v>1.01719638063649</v>
      </c>
      <c r="E192" s="37" t="n">
        <f aca="false">1+IF($G$9=$E$9,$F$9,IF(S192&lt;($F$9-$E$9)/($G$9-$E$9),$E$9+SQRT(S192*($G$9-$E$9)*($F$9-$E$9)),$G$9-SQRT((1-S192)*($G$9-$E$9)*($G$9-$F$9))))</f>
        <v>1.02963770848096</v>
      </c>
      <c r="F192" s="37" t="n">
        <f aca="false">1+IF($G$10=$E$10,$F$10,IF(T192&lt;($F$10-$E$10)/($G$10-$E$10),$E$10+SQRT(T192*($G$10-$E$10)*($F$10-$E$10)),$G$10-SQRT((1-T192)*($G$10-$E$10)*($G$10-$F$10))))</f>
        <v>1.0639927367561</v>
      </c>
      <c r="G192" s="38" t="n">
        <f aca="false">IF($G$11=$E$11,$F$11,IF(U192&lt;($F$11-$E$11)/($G$11-$E$11),$E$11+SQRT(U192*($G$11-$E$11)*($F$11-$E$11)),$G$11-SQRT((1-U192)*($G$11-$E$11)*($G$11-$F$11))))</f>
        <v>0.0996871830122643</v>
      </c>
      <c r="H192" s="39" t="n">
        <f aca="false">(('Business Case'!B11*$C192*'Business Case'!B12*$B192)-'Business Case'!B11*$C192*'Business Case'!B13*$D192-'Business Case'!B14*$E192)-MAX(0,(('Business Case'!B11*$C192*'Business Case'!B12*$B192)-'Business Case'!B11*$C192*'Business Case'!B13*$D192-'Business Case'!B14*$E192))*'Business Case'!$B$7-'Business Case'!$B$8*('Business Case'!B11*$C192*'Business Case'!B12*$B192)-'Business Case'!B15*$F192</f>
        <v>-2127985473.5122</v>
      </c>
      <c r="I192" s="39" t="n">
        <f aca="false">(('Business Case'!C11*$C192*'Business Case'!C12*$B192)-'Business Case'!C11*$C192*'Business Case'!C13*$D192-'Business Case'!C14*$E192)-MAX(0,(('Business Case'!C11*$C192*'Business Case'!C12*$B192)-'Business Case'!C11*$C192*'Business Case'!C13*$D192-'Business Case'!C14*$E192))*'Business Case'!$B$7-'Business Case'!$B$8*(('Business Case'!C11*$C192*'Business Case'!C12*$B192)-('Business Case'!B11*$C192*'Business Case'!B12*$B192))-'Business Case'!C15*$F192</f>
        <v>-51736038.1305017</v>
      </c>
      <c r="J192" s="39" t="n">
        <f aca="false">(('Business Case'!D11*$C192*'Business Case'!D12*$B192)-'Business Case'!D11*$C192*'Business Case'!D13*$D192-'Business Case'!D14*$E192)-MAX(0,(('Business Case'!D11*$C192*'Business Case'!D12*$B192)-'Business Case'!D11*$C192*'Business Case'!D13*$D192-'Business Case'!D14*$E192))*'Business Case'!$B$7-'Business Case'!$B$8*(('Business Case'!D11*$C192*'Business Case'!D12*$B192)-('Business Case'!C11*$C192*'Business Case'!C12*$B192))-'Business Case'!D15*$F192</f>
        <v>191673991.073863</v>
      </c>
      <c r="K192" s="39" t="n">
        <f aca="false">(('Business Case'!E11*$C192*'Business Case'!E12*$B192)-'Business Case'!E11*$C192*'Business Case'!E13*$D192-'Business Case'!E14*$E192)-MAX(0,(('Business Case'!E11*$C192*'Business Case'!E12*$B192)-'Business Case'!E11*$C192*'Business Case'!E13*$D192-'Business Case'!E14*$E192))*'Business Case'!$B$7-'Business Case'!$B$8*(('Business Case'!E11*$C192*'Business Case'!E12*$B192)-('Business Case'!D11*$C192*'Business Case'!D12*$B192))-'Business Case'!E15*$F192</f>
        <v>488283657.116032</v>
      </c>
      <c r="L192" s="39" t="n">
        <f aca="false">(('Business Case'!F11*$C192*'Business Case'!F12*$B192)-'Business Case'!F11*$C192*'Business Case'!F13*$D192-'Business Case'!F14*$E192)-MAX(0,(('Business Case'!F11*$C192*'Business Case'!F12*$B192)-'Business Case'!F11*$C192*'Business Case'!F13*$D192-'Business Case'!F14*$E192))*'Business Case'!$B$7-'Business Case'!$B$8*(('Business Case'!F11*$C192*'Business Case'!F12*$B192)-('Business Case'!E11*$C192*'Business Case'!E12*$B192))-'Business Case'!F15*$F192</f>
        <v>597641874.52633</v>
      </c>
      <c r="M192" s="39" t="n">
        <f aca="false">(('Business Case'!G11*$C192*'Business Case'!G12*$B192)-'Business Case'!G11*$C192*'Business Case'!G13*$D192-'Business Case'!G14*$E192)-MAX(0,(('Business Case'!G11*$C192*'Business Case'!G12*$B192)-'Business Case'!G11*$C192*'Business Case'!G13*$D192-'Business Case'!G14*$E192))*'Business Case'!$B$7-'Business Case'!$B$8*(('Business Case'!G11*$C192*'Business Case'!G12*$B192)-('Business Case'!F11*$C192*'Business Case'!F12*$B192))-'Business Case'!G15*$F192+'Business Case'!$B$8*('Business Case'!G11*$C192*'Business Case'!G12*$B192)</f>
        <v>752860350.074966</v>
      </c>
      <c r="N192" s="39" t="n">
        <f aca="false">IF(COUNT('Business Case'!B11:G11)=0,"",H192+NPV(G192,I192:M192))</f>
        <v>-772570924.024105</v>
      </c>
      <c r="P192" s="40" t="n">
        <f aca="true">RAND()</f>
        <v>0.658064855410068</v>
      </c>
      <c r="Q192" s="40" t="n">
        <f aca="true">RAND()</f>
        <v>0.004137588622816</v>
      </c>
      <c r="R192" s="40" t="n">
        <f aca="true">RAND()</f>
        <v>0.620740903350296</v>
      </c>
      <c r="S192" s="40" t="n">
        <f aca="true">RAND()</f>
        <v>0.669943195479271</v>
      </c>
      <c r="T192" s="40" t="n">
        <f aca="true">RAND()</f>
        <v>0.63004048689808</v>
      </c>
      <c r="U192" s="40" t="n">
        <f aca="true">RAND()</f>
        <v>0.312805049043677</v>
      </c>
    </row>
    <row r="193" customFormat="false" ht="15" hidden="false" customHeight="false" outlineLevel="0" collapsed="false">
      <c r="A193" s="36" t="n">
        <v>113</v>
      </c>
      <c r="B193" s="37" t="n">
        <f aca="false">1+IF($G$6=$E$6,$F$6,IF(P193&lt;($F$6-$E$6)/($G$6-$E$6),$E$6+SQRT(P193*($G$6-$E$6)*($F$6-$E$6)),$G$6-SQRT((1-P193)*($G$6-$E$6)*($G$6-$F$6))))</f>
        <v>1.01904958259541</v>
      </c>
      <c r="C193" s="37" t="n">
        <f aca="false">1+IF($G$7=$E$7,$F$7,IF(Q193&lt;($F$7-$E$7)/($G$7-$E$7),$E$7+SQRT(Q193*($G$7-$E$7)*($F$7-$E$7)),$G$7-SQRT((1-Q193)*($G$7-$E$7)*($G$7-$F$7))))</f>
        <v>1.03157326454874</v>
      </c>
      <c r="D193" s="37" t="n">
        <f aca="false">1+IF($G$8=$E$8,$F$8,IF(R193&lt;($F$8-$E$8)/($G$8-$E$8),$E$8+SQRT(R193*($G$8-$E$8)*($F$8-$E$8)),$G$8-SQRT((1-R193)*($G$8-$E$8)*($G$8-$F$8))))</f>
        <v>0.955124376433</v>
      </c>
      <c r="E193" s="37" t="n">
        <f aca="false">1+IF($G$9=$E$9,$F$9,IF(S193&lt;($F$9-$E$9)/($G$9-$E$9),$E$9+SQRT(S193*($G$9-$E$9)*($F$9-$E$9)),$G$9-SQRT((1-S193)*($G$9-$E$9)*($G$9-$F$9))))</f>
        <v>0.987864157822298</v>
      </c>
      <c r="F193" s="37" t="n">
        <f aca="false">1+IF($G$10=$E$10,$F$10,IF(T193&lt;($F$10-$E$10)/($G$10-$E$10),$E$10+SQRT(T193*($G$10-$E$10)*($F$10-$E$10)),$G$10-SQRT((1-T193)*($G$10-$E$10)*($G$10-$F$10))))</f>
        <v>1.01868054511395</v>
      </c>
      <c r="G193" s="38" t="n">
        <f aca="false">IF($G$11=$E$11,$F$11,IF(U193&lt;($F$11-$E$11)/($G$11-$E$11),$E$11+SQRT(U193*($G$11-$E$11)*($F$11-$E$11)),$G$11-SQRT((1-U193)*($G$11-$E$11)*($G$11-$F$11))))</f>
        <v>0.102162482770003</v>
      </c>
      <c r="H193" s="39" t="n">
        <f aca="false">(('Business Case'!B11*$C193*'Business Case'!B12*$B193)-'Business Case'!B11*$C193*'Business Case'!B13*$D193-'Business Case'!B14*$E193)-MAX(0,(('Business Case'!B11*$C193*'Business Case'!B12*$B193)-'Business Case'!B11*$C193*'Business Case'!B13*$D193-'Business Case'!B14*$E193))*'Business Case'!$B$7-'Business Case'!$B$8*('Business Case'!B11*$C193*'Business Case'!B12*$B193)-'Business Case'!B15*$F193</f>
        <v>-2037361090.2279</v>
      </c>
      <c r="I193" s="39" t="n">
        <f aca="false">(('Business Case'!C11*$C193*'Business Case'!C12*$B193)-'Business Case'!C11*$C193*'Business Case'!C13*$D193-'Business Case'!C14*$E193)-MAX(0,(('Business Case'!C11*$C193*'Business Case'!C12*$B193)-'Business Case'!C11*$C193*'Business Case'!C13*$D193-'Business Case'!C14*$E193))*'Business Case'!$B$7-'Business Case'!$B$8*(('Business Case'!C11*$C193*'Business Case'!C12*$B193)-('Business Case'!B11*$C193*'Business Case'!B12*$B193))-'Business Case'!C15*$F193</f>
        <v>59805655.6409086</v>
      </c>
      <c r="J193" s="39" t="n">
        <f aca="false">(('Business Case'!D11*$C193*'Business Case'!D12*$B193)-'Business Case'!D11*$C193*'Business Case'!D13*$D193-'Business Case'!D14*$E193)-MAX(0,(('Business Case'!D11*$C193*'Business Case'!D12*$B193)-'Business Case'!D11*$C193*'Business Case'!D13*$D193-'Business Case'!D14*$E193))*'Business Case'!$B$7-'Business Case'!$B$8*(('Business Case'!D11*$C193*'Business Case'!D12*$B193)-('Business Case'!C11*$C193*'Business Case'!C12*$B193))-'Business Case'!D15*$F193</f>
        <v>416449116.988857</v>
      </c>
      <c r="K193" s="39" t="n">
        <f aca="false">(('Business Case'!E11*$C193*'Business Case'!E12*$B193)-'Business Case'!E11*$C193*'Business Case'!E13*$D193-'Business Case'!E14*$E193)-MAX(0,(('Business Case'!E11*$C193*'Business Case'!E12*$B193)-'Business Case'!E11*$C193*'Business Case'!E13*$D193-'Business Case'!E14*$E193))*'Business Case'!$B$7-'Business Case'!$B$8*(('Business Case'!E11*$C193*'Business Case'!E12*$B193)-('Business Case'!D11*$C193*'Business Case'!D12*$B193))-'Business Case'!E15*$F193</f>
        <v>824026605.592503</v>
      </c>
      <c r="L193" s="39" t="n">
        <f aca="false">(('Business Case'!F11*$C193*'Business Case'!F12*$B193)-'Business Case'!F11*$C193*'Business Case'!F13*$D193-'Business Case'!F14*$E193)-MAX(0,(('Business Case'!F11*$C193*'Business Case'!F12*$B193)-'Business Case'!F11*$C193*'Business Case'!F13*$D193-'Business Case'!F14*$E193))*'Business Case'!$B$7-'Business Case'!$B$8*(('Business Case'!F11*$C193*'Business Case'!F12*$B193)-('Business Case'!E11*$C193*'Business Case'!E12*$B193))-'Business Case'!F15*$F193</f>
        <v>979238071.34403</v>
      </c>
      <c r="M193" s="39" t="n">
        <f aca="false">(('Business Case'!G11*$C193*'Business Case'!G12*$B193)-'Business Case'!G11*$C193*'Business Case'!G13*$D193-'Business Case'!G14*$E193)-MAX(0,(('Business Case'!G11*$C193*'Business Case'!G12*$B193)-'Business Case'!G11*$C193*'Business Case'!G13*$D193-'Business Case'!G14*$E193))*'Business Case'!$B$7-'Business Case'!$B$8*(('Business Case'!G11*$C193*'Business Case'!G12*$B193)-('Business Case'!F11*$C193*'Business Case'!F12*$B193))-'Business Case'!G15*$F193+'Business Case'!$B$8*('Business Case'!G11*$C193*'Business Case'!G12*$B193)</f>
        <v>1179054787.17285</v>
      </c>
      <c r="N193" s="39" t="n">
        <f aca="false">IF(COUNT('Business Case'!B11:G11)=0,"",H193+NPV(G193,I193:M193))</f>
        <v>363736484.199193</v>
      </c>
      <c r="P193" s="40" t="n">
        <f aca="true">RAND()</f>
        <v>0.908558335536157</v>
      </c>
      <c r="Q193" s="40" t="n">
        <f aca="true">RAND()</f>
        <v>0.732859206292526</v>
      </c>
      <c r="R193" s="40" t="n">
        <f aca="true">RAND()</f>
        <v>0.0040398821272446</v>
      </c>
      <c r="S193" s="40" t="n">
        <f aca="true">RAND()</f>
        <v>0.191159259678915</v>
      </c>
      <c r="T193" s="40" t="n">
        <f aca="true">RAND()</f>
        <v>0.342465105596516</v>
      </c>
      <c r="U193" s="40" t="n">
        <f aca="true">RAND()</f>
        <v>0.469704965115936</v>
      </c>
    </row>
    <row r="194" customFormat="false" ht="15" hidden="false" customHeight="false" outlineLevel="0" collapsed="false">
      <c r="A194" s="36" t="n">
        <v>114</v>
      </c>
      <c r="B194" s="37" t="n">
        <f aca="false">1+IF($G$6=$E$6,$F$6,IF(P194&lt;($F$6-$E$6)/($G$6-$E$6),$E$6+SQRT(P194*($G$6-$E$6)*($F$6-$E$6)),$G$6-SQRT((1-P194)*($G$6-$E$6)*($G$6-$F$6))))</f>
        <v>0.963076088457079</v>
      </c>
      <c r="C194" s="37" t="n">
        <f aca="false">1+IF($G$7=$E$7,$F$7,IF(Q194&lt;($F$7-$E$7)/($G$7-$E$7),$E$7+SQRT(Q194*($G$7-$E$7)*($F$7-$E$7)),$G$7-SQRT((1-Q194)*($G$7-$E$7)*($G$7-$F$7))))</f>
        <v>1.08100780999279</v>
      </c>
      <c r="D194" s="37" t="n">
        <f aca="false">1+IF($G$8=$E$8,$F$8,IF(R194&lt;($F$8-$E$8)/($G$8-$E$8),$E$8+SQRT(R194*($G$8-$E$8)*($F$8-$E$8)),$G$8-SQRT((1-R194)*($G$8-$E$8)*($G$8-$F$8))))</f>
        <v>1.05498947200901</v>
      </c>
      <c r="E194" s="37" t="n">
        <f aca="false">1+IF($G$9=$E$9,$F$9,IF(S194&lt;($F$9-$E$9)/($G$9-$E$9),$E$9+SQRT(S194*($G$9-$E$9)*($F$9-$E$9)),$G$9-SQRT((1-S194)*($G$9-$E$9)*($G$9-$F$9))))</f>
        <v>1.06070620470073</v>
      </c>
      <c r="F194" s="37" t="n">
        <f aca="false">1+IF($G$10=$E$10,$F$10,IF(T194&lt;($F$10-$E$10)/($G$10-$E$10),$E$10+SQRT(T194*($G$10-$E$10)*($F$10-$E$10)),$G$10-SQRT((1-T194)*($G$10-$E$10)*($G$10-$F$10))))</f>
        <v>0.991401179522069</v>
      </c>
      <c r="G194" s="38" t="n">
        <f aca="false">IF($G$11=$E$11,$F$11,IF(U194&lt;($F$11-$E$11)/($G$11-$E$11),$E$11+SQRT(U194*($G$11-$E$11)*($F$11-$E$11)),$G$11-SQRT((1-U194)*($G$11-$E$11)*($G$11-$F$11))))</f>
        <v>0.0977530938690354</v>
      </c>
      <c r="H194" s="39" t="n">
        <f aca="false">(('Business Case'!B11*$C194*'Business Case'!B12*$B194)-'Business Case'!B11*$C194*'Business Case'!B13*$D194-'Business Case'!B14*$E194)-MAX(0,(('Business Case'!B11*$C194*'Business Case'!B12*$B194)-'Business Case'!B11*$C194*'Business Case'!B13*$D194-'Business Case'!B14*$E194))*'Business Case'!$B$7-'Business Case'!$B$8*('Business Case'!B11*$C194*'Business Case'!B12*$B194)-'Business Case'!B15*$F194</f>
        <v>-1982802359.04414</v>
      </c>
      <c r="I194" s="39" t="n">
        <f aca="false">(('Business Case'!C11*$C194*'Business Case'!C12*$B194)-'Business Case'!C11*$C194*'Business Case'!C13*$D194-'Business Case'!C14*$E194)-MAX(0,(('Business Case'!C11*$C194*'Business Case'!C12*$B194)-'Business Case'!C11*$C194*'Business Case'!C13*$D194-'Business Case'!C14*$E194))*'Business Case'!$B$7-'Business Case'!$B$8*(('Business Case'!C11*$C194*'Business Case'!C12*$B194)-('Business Case'!B11*$C194*'Business Case'!B12*$B194))-'Business Case'!C15*$F194</f>
        <v>-35032965.1693152</v>
      </c>
      <c r="J194" s="39" t="n">
        <f aca="false">(('Business Case'!D11*$C194*'Business Case'!D12*$B194)-'Business Case'!D11*$C194*'Business Case'!D13*$D194-'Business Case'!D14*$E194)-MAX(0,(('Business Case'!D11*$C194*'Business Case'!D12*$B194)-'Business Case'!D11*$C194*'Business Case'!D13*$D194-'Business Case'!D14*$E194))*'Business Case'!$B$7-'Business Case'!$B$8*(('Business Case'!D11*$C194*'Business Case'!D12*$B194)-('Business Case'!C11*$C194*'Business Case'!C12*$B194))-'Business Case'!D15*$F194</f>
        <v>233876859.286751</v>
      </c>
      <c r="K194" s="39" t="n">
        <f aca="false">(('Business Case'!E11*$C194*'Business Case'!E12*$B194)-'Business Case'!E11*$C194*'Business Case'!E13*$D194-'Business Case'!E14*$E194)-MAX(0,(('Business Case'!E11*$C194*'Business Case'!E12*$B194)-'Business Case'!E11*$C194*'Business Case'!E13*$D194-'Business Case'!E14*$E194))*'Business Case'!$B$7-'Business Case'!$B$8*(('Business Case'!E11*$C194*'Business Case'!E12*$B194)-('Business Case'!D11*$C194*'Business Case'!D12*$B194))-'Business Case'!E15*$F194</f>
        <v>552356742.718921</v>
      </c>
      <c r="L194" s="39" t="n">
        <f aca="false">(('Business Case'!F11*$C194*'Business Case'!F12*$B194)-'Business Case'!F11*$C194*'Business Case'!F13*$D194-'Business Case'!F14*$E194)-MAX(0,(('Business Case'!F11*$C194*'Business Case'!F12*$B194)-'Business Case'!F11*$C194*'Business Case'!F13*$D194-'Business Case'!F14*$E194))*'Business Case'!$B$7-'Business Case'!$B$8*(('Business Case'!F11*$C194*'Business Case'!F12*$B194)-('Business Case'!E11*$C194*'Business Case'!E12*$B194))-'Business Case'!F15*$F194</f>
        <v>677973517.114097</v>
      </c>
      <c r="M194" s="39" t="n">
        <f aca="false">(('Business Case'!G11*$C194*'Business Case'!G12*$B194)-'Business Case'!G11*$C194*'Business Case'!G13*$D194-'Business Case'!G14*$E194)-MAX(0,(('Business Case'!G11*$C194*'Business Case'!G12*$B194)-'Business Case'!G11*$C194*'Business Case'!G13*$D194-'Business Case'!G14*$E194))*'Business Case'!$B$7-'Business Case'!$B$8*(('Business Case'!G11*$C194*'Business Case'!G12*$B194)-('Business Case'!F11*$C194*'Business Case'!F12*$B194))-'Business Case'!G15*$F194+'Business Case'!$B$8*('Business Case'!G11*$C194*'Business Case'!G12*$B194)</f>
        <v>875864431.451444</v>
      </c>
      <c r="N194" s="39" t="n">
        <f aca="false">IF(COUNT('Business Case'!B11:G11)=0,"",H194+NPV(G194,I194:M194))</f>
        <v>-386790285.528856</v>
      </c>
      <c r="P194" s="40" t="n">
        <f aca="true">RAND()</f>
        <v>0.19328639549605</v>
      </c>
      <c r="Q194" s="40" t="n">
        <f aca="true">RAND()</f>
        <v>0.909334813676365</v>
      </c>
      <c r="R194" s="40" t="n">
        <f aca="true">RAND()</f>
        <v>0.939853220155008</v>
      </c>
      <c r="S194" s="40" t="n">
        <f aca="true">RAND()</f>
        <v>0.897066510065246</v>
      </c>
      <c r="T194" s="40" t="n">
        <f aca="true">RAND()</f>
        <v>0.13712461326549</v>
      </c>
      <c r="U194" s="40" t="n">
        <f aca="true">RAND()</f>
        <v>0.20036821514025</v>
      </c>
    </row>
    <row r="195" customFormat="false" ht="15" hidden="false" customHeight="false" outlineLevel="0" collapsed="false">
      <c r="A195" s="36" t="n">
        <v>115</v>
      </c>
      <c r="B195" s="37" t="n">
        <f aca="false">1+IF($G$6=$E$6,$F$6,IF(P195&lt;($F$6-$E$6)/($G$6-$E$6),$E$6+SQRT(P195*($G$6-$E$6)*($F$6-$E$6)),$G$6-SQRT((1-P195)*($G$6-$E$6)*($G$6-$F$6))))</f>
        <v>0.985368820220656</v>
      </c>
      <c r="C195" s="37" t="n">
        <f aca="false">1+IF($G$7=$E$7,$F$7,IF(Q195&lt;($F$7-$E$7)/($G$7-$E$7),$E$7+SQRT(Q195*($G$7-$E$7)*($F$7-$E$7)),$G$7-SQRT((1-Q195)*($G$7-$E$7)*($G$7-$F$7))))</f>
        <v>0.970512290811682</v>
      </c>
      <c r="D195" s="37" t="n">
        <f aca="false">1+IF($G$8=$E$8,$F$8,IF(R195&lt;($F$8-$E$8)/($G$8-$E$8),$E$8+SQRT(R195*($G$8-$E$8)*($F$8-$E$8)),$G$8-SQRT((1-R195)*($G$8-$E$8)*($G$8-$F$8))))</f>
        <v>1.03326356003358</v>
      </c>
      <c r="E195" s="37" t="n">
        <f aca="false">1+IF($G$9=$E$9,$F$9,IF(S195&lt;($F$9-$E$9)/($G$9-$E$9),$E$9+SQRT(S195*($G$9-$E$9)*($F$9-$E$9)),$G$9-SQRT((1-S195)*($G$9-$E$9)*($G$9-$F$9))))</f>
        <v>0.998172876885406</v>
      </c>
      <c r="F195" s="37" t="n">
        <f aca="false">1+IF($G$10=$E$10,$F$10,IF(T195&lt;($F$10-$E$10)/($G$10-$E$10),$E$10+SQRT(T195*($G$10-$E$10)*($F$10-$E$10)),$G$10-SQRT((1-T195)*($G$10-$E$10)*($G$10-$F$10))))</f>
        <v>0.978909292488098</v>
      </c>
      <c r="G195" s="38" t="n">
        <f aca="false">IF($G$11=$E$11,$F$11,IF(U195&lt;($F$11-$E$11)/($G$11-$E$11),$E$11+SQRT(U195*($G$11-$E$11)*($F$11-$E$11)),$G$11-SQRT((1-U195)*($G$11-$E$11)*($G$11-$F$11))))</f>
        <v>0.0975944313497009</v>
      </c>
      <c r="H195" s="39" t="n">
        <f aca="false">(('Business Case'!B11*$C195*'Business Case'!B12*$B195)-'Business Case'!B11*$C195*'Business Case'!B13*$D195-'Business Case'!B14*$E195)-MAX(0,(('Business Case'!B11*$C195*'Business Case'!B12*$B195)-'Business Case'!B11*$C195*'Business Case'!B13*$D195-'Business Case'!B14*$E195))*'Business Case'!$B$7-'Business Case'!$B$8*('Business Case'!B11*$C195*'Business Case'!B12*$B195)-'Business Case'!B15*$F195</f>
        <v>-1957818584.9762</v>
      </c>
      <c r="I195" s="39" t="n">
        <f aca="false">(('Business Case'!C11*$C195*'Business Case'!C12*$B195)-'Business Case'!C11*$C195*'Business Case'!C13*$D195-'Business Case'!C14*$E195)-MAX(0,(('Business Case'!C11*$C195*'Business Case'!C12*$B195)-'Business Case'!C11*$C195*'Business Case'!C13*$D195-'Business Case'!C14*$E195))*'Business Case'!$B$7-'Business Case'!$B$8*(('Business Case'!C11*$C195*'Business Case'!C12*$B195)-('Business Case'!B11*$C195*'Business Case'!B12*$B195))-'Business Case'!C15*$F195</f>
        <v>-19468329.7552665</v>
      </c>
      <c r="J195" s="39" t="n">
        <f aca="false">(('Business Case'!D11*$C195*'Business Case'!D12*$B195)-'Business Case'!D11*$C195*'Business Case'!D13*$D195-'Business Case'!D14*$E195)-MAX(0,(('Business Case'!D11*$C195*'Business Case'!D12*$B195)-'Business Case'!D11*$C195*'Business Case'!D13*$D195-'Business Case'!D14*$E195))*'Business Case'!$B$7-'Business Case'!$B$8*(('Business Case'!D11*$C195*'Business Case'!D12*$B195)-('Business Case'!C11*$C195*'Business Case'!C12*$B195))-'Business Case'!D15*$F195</f>
        <v>250469695.475572</v>
      </c>
      <c r="K195" s="39" t="n">
        <f aca="false">(('Business Case'!E11*$C195*'Business Case'!E12*$B195)-'Business Case'!E11*$C195*'Business Case'!E13*$D195-'Business Case'!E14*$E195)-MAX(0,(('Business Case'!E11*$C195*'Business Case'!E12*$B195)-'Business Case'!E11*$C195*'Business Case'!E13*$D195-'Business Case'!E14*$E195))*'Business Case'!$B$7-'Business Case'!$B$8*(('Business Case'!E11*$C195*'Business Case'!E12*$B195)-('Business Case'!D11*$C195*'Business Case'!D12*$B195))-'Business Case'!E15*$F195</f>
        <v>569353185.330815</v>
      </c>
      <c r="L195" s="39" t="n">
        <f aca="false">(('Business Case'!F11*$C195*'Business Case'!F12*$B195)-'Business Case'!F11*$C195*'Business Case'!F13*$D195-'Business Case'!F14*$E195)-MAX(0,(('Business Case'!F11*$C195*'Business Case'!F12*$B195)-'Business Case'!F11*$C195*'Business Case'!F13*$D195-'Business Case'!F14*$E195))*'Business Case'!$B$7-'Business Case'!$B$8*(('Business Case'!F11*$C195*'Business Case'!F12*$B195)-('Business Case'!E11*$C195*'Business Case'!E12*$B195))-'Business Case'!F15*$F195</f>
        <v>692382688.837221</v>
      </c>
      <c r="M195" s="39" t="n">
        <f aca="false">(('Business Case'!G11*$C195*'Business Case'!G12*$B195)-'Business Case'!G11*$C195*'Business Case'!G13*$D195-'Business Case'!G14*$E195)-MAX(0,(('Business Case'!G11*$C195*'Business Case'!G12*$B195)-'Business Case'!G11*$C195*'Business Case'!G13*$D195-'Business Case'!G14*$E195))*'Business Case'!$B$7-'Business Case'!$B$8*(('Business Case'!G11*$C195*'Business Case'!G12*$B195)-('Business Case'!F11*$C195*'Business Case'!F12*$B195))-'Business Case'!G15*$F195+'Business Case'!$B$8*('Business Case'!G11*$C195*'Business Case'!G12*$B195)</f>
        <v>874158578.532585</v>
      </c>
      <c r="N195" s="39" t="n">
        <f aca="false">IF(COUNT('Business Case'!B11:G11)=0,"",H195+NPV(G195,I195:M195))</f>
        <v>-311241539.727804</v>
      </c>
      <c r="P195" s="40" t="n">
        <f aca="true">RAND()</f>
        <v>0.445112776775043</v>
      </c>
      <c r="Q195" s="40" t="n">
        <f aca="true">RAND()</f>
        <v>0.415349161683539</v>
      </c>
      <c r="R195" s="40" t="n">
        <f aca="true">RAND()</f>
        <v>0.789971651852444</v>
      </c>
      <c r="S195" s="40" t="n">
        <f aca="true">RAND()</f>
        <v>0.30941680898886</v>
      </c>
      <c r="T195" s="40" t="n">
        <f aca="true">RAND()</f>
        <v>0.066859775372993</v>
      </c>
      <c r="U195" s="40" t="n">
        <f aca="true">RAND()</f>
        <v>0.192251291751064</v>
      </c>
    </row>
    <row r="196" customFormat="false" ht="15" hidden="false" customHeight="false" outlineLevel="0" collapsed="false">
      <c r="A196" s="36" t="n">
        <v>116</v>
      </c>
      <c r="B196" s="37" t="n">
        <f aca="false">1+IF($G$6=$E$6,$F$6,IF(P196&lt;($F$6-$E$6)/($G$6-$E$6),$E$6+SQRT(P196*($G$6-$E$6)*($F$6-$E$6)),$G$6-SQRT((1-P196)*($G$6-$E$6)*($G$6-$F$6))))</f>
        <v>0.943278876306284</v>
      </c>
      <c r="C196" s="37" t="n">
        <f aca="false">1+IF($G$7=$E$7,$F$7,IF(Q196&lt;($F$7-$E$7)/($G$7-$E$7),$E$7+SQRT(Q196*($G$7-$E$7)*($F$7-$E$7)),$G$7-SQRT((1-Q196)*($G$7-$E$7)*($G$7-$F$7))))</f>
        <v>0.975745937662786</v>
      </c>
      <c r="D196" s="37" t="n">
        <f aca="false">1+IF($G$8=$E$8,$F$8,IF(R196&lt;($F$8-$E$8)/($G$8-$E$8),$E$8+SQRT(R196*($G$8-$E$8)*($F$8-$E$8)),$G$8-SQRT((1-R196)*($G$8-$E$8)*($G$8-$F$8))))</f>
        <v>1.07077876410969</v>
      </c>
      <c r="E196" s="37" t="n">
        <f aca="false">1+IF($G$9=$E$9,$F$9,IF(S196&lt;($F$9-$E$9)/($G$9-$E$9),$E$9+SQRT(S196*($G$9-$E$9)*($F$9-$E$9)),$G$9-SQRT((1-S196)*($G$9-$E$9)*($G$9-$F$9))))</f>
        <v>0.976423409008114</v>
      </c>
      <c r="F196" s="37" t="n">
        <f aca="false">1+IF($G$10=$E$10,$F$10,IF(T196&lt;($F$10-$E$10)/($G$10-$E$10),$E$10+SQRT(T196*($G$10-$E$10)*($F$10-$E$10)),$G$10-SQRT((1-T196)*($G$10-$E$10)*($G$10-$F$10))))</f>
        <v>1.02279274723713</v>
      </c>
      <c r="G196" s="38" t="n">
        <f aca="false">IF($G$11=$E$11,$F$11,IF(U196&lt;($F$11-$E$11)/($G$11-$E$11),$E$11+SQRT(U196*($G$11-$E$11)*($F$11-$E$11)),$G$11-SQRT((1-U196)*($G$11-$E$11)*($G$11-$F$11))))</f>
        <v>0.101796711462719</v>
      </c>
      <c r="H196" s="39" t="n">
        <f aca="false">(('Business Case'!B11*$C196*'Business Case'!B12*$B196)-'Business Case'!B11*$C196*'Business Case'!B13*$D196-'Business Case'!B14*$E196)-MAX(0,(('Business Case'!B11*$C196*'Business Case'!B12*$B196)-'Business Case'!B11*$C196*'Business Case'!B13*$D196-'Business Case'!B14*$E196))*'Business Case'!$B$7-'Business Case'!$B$8*('Business Case'!B11*$C196*'Business Case'!B12*$B196)-'Business Case'!B15*$F196</f>
        <v>-2045585494.47426</v>
      </c>
      <c r="I196" s="39" t="n">
        <f aca="false">(('Business Case'!C11*$C196*'Business Case'!C12*$B196)-'Business Case'!C11*$C196*'Business Case'!C13*$D196-'Business Case'!C14*$E196)-MAX(0,(('Business Case'!C11*$C196*'Business Case'!C12*$B196)-'Business Case'!C11*$C196*'Business Case'!C13*$D196-'Business Case'!C14*$E196))*'Business Case'!$B$7-'Business Case'!$B$8*(('Business Case'!C11*$C196*'Business Case'!C12*$B196)-('Business Case'!B11*$C196*'Business Case'!B12*$B196))-'Business Case'!C15*$F196</f>
        <v>-69824069.1102867</v>
      </c>
      <c r="J196" s="39" t="n">
        <f aca="false">(('Business Case'!D11*$C196*'Business Case'!D12*$B196)-'Business Case'!D11*$C196*'Business Case'!D13*$D196-'Business Case'!D14*$E196)-MAX(0,(('Business Case'!D11*$C196*'Business Case'!D12*$B196)-'Business Case'!D11*$C196*'Business Case'!D13*$D196-'Business Case'!D14*$E196))*'Business Case'!$B$7-'Business Case'!$B$8*(('Business Case'!D11*$C196*'Business Case'!D12*$B196)-('Business Case'!C11*$C196*'Business Case'!C12*$B196))-'Business Case'!D15*$F196</f>
        <v>149192108.824258</v>
      </c>
      <c r="K196" s="39" t="n">
        <f aca="false">(('Business Case'!E11*$C196*'Business Case'!E12*$B196)-'Business Case'!E11*$C196*'Business Case'!E13*$D196-'Business Case'!E14*$E196)-MAX(0,(('Business Case'!E11*$C196*'Business Case'!E12*$B196)-'Business Case'!E11*$C196*'Business Case'!E13*$D196-'Business Case'!E14*$E196))*'Business Case'!$B$7-'Business Case'!$B$8*(('Business Case'!E11*$C196*'Business Case'!E12*$B196)-('Business Case'!D11*$C196*'Business Case'!D12*$B196))-'Business Case'!E15*$F196</f>
        <v>419347924.120659</v>
      </c>
      <c r="L196" s="39" t="n">
        <f aca="false">(('Business Case'!F11*$C196*'Business Case'!F12*$B196)-'Business Case'!F11*$C196*'Business Case'!F13*$D196-'Business Case'!F14*$E196)-MAX(0,(('Business Case'!F11*$C196*'Business Case'!F12*$B196)-'Business Case'!F11*$C196*'Business Case'!F13*$D196-'Business Case'!F14*$E196))*'Business Case'!$B$7-'Business Case'!$B$8*(('Business Case'!F11*$C196*'Business Case'!F12*$B196)-('Business Case'!E11*$C196*'Business Case'!E12*$B196))-'Business Case'!F15*$F196</f>
        <v>524162359.13895</v>
      </c>
      <c r="M196" s="39" t="n">
        <f aca="false">(('Business Case'!G11*$C196*'Business Case'!G12*$B196)-'Business Case'!G11*$C196*'Business Case'!G13*$D196-'Business Case'!G14*$E196)-MAX(0,(('Business Case'!G11*$C196*'Business Case'!G12*$B196)-'Business Case'!G11*$C196*'Business Case'!G13*$D196-'Business Case'!G14*$E196))*'Business Case'!$B$7-'Business Case'!$B$8*(('Business Case'!G11*$C196*'Business Case'!G12*$B196)-('Business Case'!F11*$C196*'Business Case'!F12*$B196))-'Business Case'!G15*$F196+'Business Case'!$B$8*('Business Case'!G11*$C196*'Business Case'!G12*$B196)</f>
        <v>699112092.192886</v>
      </c>
      <c r="N196" s="39" t="n">
        <f aca="false">IF(COUNT('Business Case'!B11:G11)=0,"",H196+NPV(G196,I196:M196))</f>
        <v>-886291328.018759</v>
      </c>
      <c r="P196" s="40" t="n">
        <f aca="true">RAND()</f>
        <v>0.0564485502170071</v>
      </c>
      <c r="Q196" s="40" t="n">
        <f aca="true">RAND()</f>
        <v>0.441237637213886</v>
      </c>
      <c r="R196" s="40" t="n">
        <f aca="true">RAND()</f>
        <v>0.991823923909156</v>
      </c>
      <c r="S196" s="40" t="n">
        <f aca="true">RAND()</f>
        <v>0.093092872481342</v>
      </c>
      <c r="T196" s="40" t="n">
        <f aca="true">RAND()</f>
        <v>0.371951791364723</v>
      </c>
      <c r="U196" s="40" t="n">
        <f aca="true">RAND()</f>
        <v>0.447733810714148</v>
      </c>
    </row>
    <row r="197" customFormat="false" ht="15" hidden="false" customHeight="false" outlineLevel="0" collapsed="false">
      <c r="A197" s="36" t="n">
        <v>117</v>
      </c>
      <c r="B197" s="37" t="n">
        <f aca="false">1+IF($G$6=$E$6,$F$6,IF(P197&lt;($F$6-$E$6)/($G$6-$E$6),$E$6+SQRT(P197*($G$6-$E$6)*($F$6-$E$6)),$G$6-SQRT((1-P197)*($G$6-$E$6)*($G$6-$F$6))))</f>
        <v>1.00692761569422</v>
      </c>
      <c r="C197" s="37" t="n">
        <f aca="false">1+IF($G$7=$E$7,$F$7,IF(Q197&lt;($F$7-$E$7)/($G$7-$E$7),$E$7+SQRT(Q197*($G$7-$E$7)*($F$7-$E$7)),$G$7-SQRT((1-Q197)*($G$7-$E$7)*($G$7-$F$7))))</f>
        <v>1.04368566980635</v>
      </c>
      <c r="D197" s="37" t="n">
        <f aca="false">1+IF($G$8=$E$8,$F$8,IF(R197&lt;($F$8-$E$8)/($G$8-$E$8),$E$8+SQRT(R197*($G$8-$E$8)*($F$8-$E$8)),$G$8-SQRT((1-R197)*($G$8-$E$8)*($G$8-$F$8))))</f>
        <v>1.01256657547694</v>
      </c>
      <c r="E197" s="37" t="n">
        <f aca="false">1+IF($G$9=$E$9,$F$9,IF(S197&lt;($F$9-$E$9)/($G$9-$E$9),$E$9+SQRT(S197*($G$9-$E$9)*($F$9-$E$9)),$G$9-SQRT((1-S197)*($G$9-$E$9)*($G$9-$F$9))))</f>
        <v>1.07462848990256</v>
      </c>
      <c r="F197" s="37" t="n">
        <f aca="false">1+IF($G$10=$E$10,$F$10,IF(T197&lt;($F$10-$E$10)/($G$10-$E$10),$E$10+SQRT(T197*($G$10-$E$10)*($F$10-$E$10)),$G$10-SQRT((1-T197)*($G$10-$E$10)*($G$10-$F$10))))</f>
        <v>1.01177366023194</v>
      </c>
      <c r="G197" s="38" t="n">
        <f aca="false">IF($G$11=$E$11,$F$11,IF(U197&lt;($F$11-$E$11)/($G$11-$E$11),$E$11+SQRT(U197*($G$11-$E$11)*($F$11-$E$11)),$G$11-SQRT((1-U197)*($G$11-$E$11)*($G$11-$F$11))))</f>
        <v>0.114549413896294</v>
      </c>
      <c r="H197" s="39" t="n">
        <f aca="false">(('Business Case'!B11*$C197*'Business Case'!B12*$B197)-'Business Case'!B11*$C197*'Business Case'!B13*$D197-'Business Case'!B14*$E197)-MAX(0,(('Business Case'!B11*$C197*'Business Case'!B12*$B197)-'Business Case'!B11*$C197*'Business Case'!B13*$D197-'Business Case'!B14*$E197))*'Business Case'!$B$7-'Business Case'!$B$8*('Business Case'!B11*$C197*'Business Case'!B12*$B197)-'Business Case'!B15*$F197</f>
        <v>-2023547320.46389</v>
      </c>
      <c r="I197" s="39" t="n">
        <f aca="false">(('Business Case'!C11*$C197*'Business Case'!C12*$B197)-'Business Case'!C11*$C197*'Business Case'!C13*$D197-'Business Case'!C14*$E197)-MAX(0,(('Business Case'!C11*$C197*'Business Case'!C12*$B197)-'Business Case'!C11*$C197*'Business Case'!C13*$D197-'Business Case'!C14*$E197))*'Business Case'!$B$7-'Business Case'!$B$8*(('Business Case'!C11*$C197*'Business Case'!C12*$B197)-('Business Case'!B11*$C197*'Business Case'!B12*$B197))-'Business Case'!C15*$F197</f>
        <v>11309105.3008742</v>
      </c>
      <c r="J197" s="39" t="n">
        <f aca="false">(('Business Case'!D11*$C197*'Business Case'!D12*$B197)-'Business Case'!D11*$C197*'Business Case'!D13*$D197-'Business Case'!D14*$E197)-MAX(0,(('Business Case'!D11*$C197*'Business Case'!D12*$B197)-'Business Case'!D11*$C197*'Business Case'!D13*$D197-'Business Case'!D14*$E197))*'Business Case'!$B$7-'Business Case'!$B$8*(('Business Case'!D11*$C197*'Business Case'!D12*$B197)-('Business Case'!C11*$C197*'Business Case'!C12*$B197))-'Business Case'!D15*$F197</f>
        <v>331087229.339082</v>
      </c>
      <c r="K197" s="39" t="n">
        <f aca="false">(('Business Case'!E11*$C197*'Business Case'!E12*$B197)-'Business Case'!E11*$C197*'Business Case'!E13*$D197-'Business Case'!E14*$E197)-MAX(0,(('Business Case'!E11*$C197*'Business Case'!E12*$B197)-'Business Case'!E11*$C197*'Business Case'!E13*$D197-'Business Case'!E14*$E197))*'Business Case'!$B$7-'Business Case'!$B$8*(('Business Case'!E11*$C197*'Business Case'!E12*$B197)-('Business Case'!D11*$C197*'Business Case'!D12*$B197))-'Business Case'!E15*$F197</f>
        <v>701454036.388888</v>
      </c>
      <c r="L197" s="39" t="n">
        <f aca="false">(('Business Case'!F11*$C197*'Business Case'!F12*$B197)-'Business Case'!F11*$C197*'Business Case'!F13*$D197-'Business Case'!F14*$E197)-MAX(0,(('Business Case'!F11*$C197*'Business Case'!F12*$B197)-'Business Case'!F11*$C197*'Business Case'!F13*$D197-'Business Case'!F14*$E197))*'Business Case'!$B$7-'Business Case'!$B$8*(('Business Case'!F11*$C197*'Business Case'!F12*$B197)-('Business Case'!E11*$C197*'Business Case'!E12*$B197))-'Business Case'!F15*$F197</f>
        <v>844366398.701621</v>
      </c>
      <c r="M197" s="39" t="n">
        <f aca="false">(('Business Case'!G11*$C197*'Business Case'!G12*$B197)-'Business Case'!G11*$C197*'Business Case'!G13*$D197-'Business Case'!G14*$E197)-MAX(0,(('Business Case'!G11*$C197*'Business Case'!G12*$B197)-'Business Case'!G11*$C197*'Business Case'!G13*$D197-'Business Case'!G14*$E197))*'Business Case'!$B$7-'Business Case'!$B$8*(('Business Case'!G11*$C197*'Business Case'!G12*$B197)-('Business Case'!F11*$C197*'Business Case'!F12*$B197))-'Business Case'!G15*$F197+'Business Case'!$B$8*('Business Case'!G11*$C197*'Business Case'!G12*$B197)</f>
        <v>1044124497.35161</v>
      </c>
      <c r="N197" s="39" t="n">
        <f aca="false">IF(COUNT('Business Case'!B11:G11)=0,"",H197+NPV(G197,I197:M197))</f>
        <v>-85952006.1901805</v>
      </c>
      <c r="P197" s="40" t="n">
        <f aca="true">RAND()</f>
        <v>0.772128624235522</v>
      </c>
      <c r="Q197" s="40" t="n">
        <f aca="true">RAND()</f>
        <v>0.784709775151897</v>
      </c>
      <c r="R197" s="40" t="n">
        <f aca="true">RAND()</f>
        <v>0.562762813182032</v>
      </c>
      <c r="S197" s="40" t="n">
        <f aca="true">RAND()</f>
        <v>0.957085765025032</v>
      </c>
      <c r="T197" s="40" t="n">
        <f aca="true">RAND()</f>
        <v>0.291416900350413</v>
      </c>
      <c r="U197" s="40" t="n">
        <f aca="true">RAND()</f>
        <v>0.950485185210154</v>
      </c>
    </row>
    <row r="198" customFormat="false" ht="15" hidden="false" customHeight="false" outlineLevel="0" collapsed="false">
      <c r="A198" s="36" t="n">
        <v>118</v>
      </c>
      <c r="B198" s="37" t="n">
        <f aca="false">1+IF($G$6=$E$6,$F$6,IF(P198&lt;($F$6-$E$6)/($G$6-$E$6),$E$6+SQRT(P198*($G$6-$E$6)*($F$6-$E$6)),$G$6-SQRT((1-P198)*($G$6-$E$6)*($G$6-$F$6))))</f>
        <v>0.981999860352107</v>
      </c>
      <c r="C198" s="37" t="n">
        <f aca="false">1+IF($G$7=$E$7,$F$7,IF(Q198&lt;($F$7-$E$7)/($G$7-$E$7),$E$7+SQRT(Q198*($G$7-$E$7)*($F$7-$E$7)),$G$7-SQRT((1-Q198)*($G$7-$E$7)*($G$7-$F$7))))</f>
        <v>1.01903069415696</v>
      </c>
      <c r="D198" s="37" t="n">
        <f aca="false">1+IF($G$8=$E$8,$F$8,IF(R198&lt;($F$8-$E$8)/($G$8-$E$8),$E$8+SQRT(R198*($G$8-$E$8)*($F$8-$E$8)),$G$8-SQRT((1-R198)*($G$8-$E$8)*($G$8-$F$8))))</f>
        <v>1.04790409805221</v>
      </c>
      <c r="E198" s="37" t="n">
        <f aca="false">1+IF($G$9=$E$9,$F$9,IF(S198&lt;($F$9-$E$9)/($G$9-$E$9),$E$9+SQRT(S198*($G$9-$E$9)*($F$9-$E$9)),$G$9-SQRT((1-S198)*($G$9-$E$9)*($G$9-$F$9))))</f>
        <v>0.997143485602425</v>
      </c>
      <c r="F198" s="37" t="n">
        <f aca="false">1+IF($G$10=$E$10,$F$10,IF(T198&lt;($F$10-$E$10)/($G$10-$E$10),$E$10+SQRT(T198*($G$10-$E$10)*($F$10-$E$10)),$G$10-SQRT((1-T198)*($G$10-$E$10)*($G$10-$F$10))))</f>
        <v>1.11696555200239</v>
      </c>
      <c r="G198" s="38" t="n">
        <f aca="false">IF($G$11=$E$11,$F$11,IF(U198&lt;($F$11-$E$11)/($G$11-$E$11),$E$11+SQRT(U198*($G$11-$E$11)*($F$11-$E$11)),$G$11-SQRT((1-U198)*($G$11-$E$11)*($G$11-$F$11))))</f>
        <v>0.108645867696295</v>
      </c>
      <c r="H198" s="39" t="n">
        <f aca="false">(('Business Case'!B11*$C198*'Business Case'!B12*$B198)-'Business Case'!B11*$C198*'Business Case'!B13*$D198-'Business Case'!B14*$E198)-MAX(0,(('Business Case'!B11*$C198*'Business Case'!B12*$B198)-'Business Case'!B11*$C198*'Business Case'!B13*$D198-'Business Case'!B14*$E198))*'Business Case'!$B$7-'Business Case'!$B$8*('Business Case'!B11*$C198*'Business Case'!B12*$B198)-'Business Case'!B15*$F198</f>
        <v>-2233931104.00478</v>
      </c>
      <c r="I198" s="39" t="n">
        <f aca="false">(('Business Case'!C11*$C198*'Business Case'!C12*$B198)-'Business Case'!C11*$C198*'Business Case'!C13*$D198-'Business Case'!C14*$E198)-MAX(0,(('Business Case'!C11*$C198*'Business Case'!C12*$B198)-'Business Case'!C11*$C198*'Business Case'!C13*$D198-'Business Case'!C14*$E198))*'Business Case'!$B$7-'Business Case'!$B$8*(('Business Case'!C11*$C198*'Business Case'!C12*$B198)-('Business Case'!B11*$C198*'Business Case'!B12*$B198))-'Business Case'!C15*$F198</f>
        <v>-32382453.5246827</v>
      </c>
      <c r="J198" s="39" t="n">
        <f aca="false">(('Business Case'!D11*$C198*'Business Case'!D12*$B198)-'Business Case'!D11*$C198*'Business Case'!D13*$D198-'Business Case'!D14*$E198)-MAX(0,(('Business Case'!D11*$C198*'Business Case'!D12*$B198)-'Business Case'!D11*$C198*'Business Case'!D13*$D198-'Business Case'!D14*$E198))*'Business Case'!$B$7-'Business Case'!$B$8*(('Business Case'!D11*$C198*'Business Case'!D12*$B198)-('Business Case'!C11*$C198*'Business Case'!C12*$B198))-'Business Case'!D15*$F198</f>
        <v>240601117.690187</v>
      </c>
      <c r="K198" s="39" t="n">
        <f aca="false">(('Business Case'!E11*$C198*'Business Case'!E12*$B198)-'Business Case'!E11*$C198*'Business Case'!E13*$D198-'Business Case'!E14*$E198)-MAX(0,(('Business Case'!E11*$C198*'Business Case'!E12*$B198)-'Business Case'!E11*$C198*'Business Case'!E13*$D198-'Business Case'!E14*$E198))*'Business Case'!$B$7-'Business Case'!$B$8*(('Business Case'!E11*$C198*'Business Case'!E12*$B198)-('Business Case'!D11*$C198*'Business Case'!D12*$B198))-'Business Case'!E15*$F198</f>
        <v>569432966.505176</v>
      </c>
      <c r="L198" s="39" t="n">
        <f aca="false">(('Business Case'!F11*$C198*'Business Case'!F12*$B198)-'Business Case'!F11*$C198*'Business Case'!F13*$D198-'Business Case'!F14*$E198)-MAX(0,(('Business Case'!F11*$C198*'Business Case'!F12*$B198)-'Business Case'!F11*$C198*'Business Case'!F13*$D198-'Business Case'!F14*$E198))*'Business Case'!$B$7-'Business Case'!$B$8*(('Business Case'!F11*$C198*'Business Case'!F12*$B198)-('Business Case'!E11*$C198*'Business Case'!E12*$B198))-'Business Case'!F15*$F198</f>
        <v>695011267.501232</v>
      </c>
      <c r="M198" s="39" t="n">
        <f aca="false">(('Business Case'!G11*$C198*'Business Case'!G12*$B198)-'Business Case'!G11*$C198*'Business Case'!G13*$D198-'Business Case'!G14*$E198)-MAX(0,(('Business Case'!G11*$C198*'Business Case'!G12*$B198)-'Business Case'!G11*$C198*'Business Case'!G13*$D198-'Business Case'!G14*$E198))*'Business Case'!$B$7-'Business Case'!$B$8*(('Business Case'!G11*$C198*'Business Case'!G12*$B198)-('Business Case'!F11*$C198*'Business Case'!F12*$B198))-'Business Case'!G15*$F198+'Business Case'!$B$8*('Business Case'!G11*$C198*'Business Case'!G12*$B198)</f>
        <v>885222042.418943</v>
      </c>
      <c r="N198" s="39" t="n">
        <f aca="false">IF(COUNT('Business Case'!B11:G11)=0,"",H198+NPV(G198,I198:M198))</f>
        <v>-660874803.260945</v>
      </c>
      <c r="P198" s="40" t="n">
        <f aca="true">RAND()</f>
        <v>0.400414862883413</v>
      </c>
      <c r="Q198" s="40" t="n">
        <f aca="true">RAND()</f>
        <v>0.673276970037951</v>
      </c>
      <c r="R198" s="40" t="n">
        <f aca="true">RAND()</f>
        <v>0.900947411361361</v>
      </c>
      <c r="S198" s="40" t="n">
        <f aca="true">RAND()</f>
        <v>0.296334431299479</v>
      </c>
      <c r="T198" s="40" t="n">
        <f aca="true">RAND()</f>
        <v>0.862105608914644</v>
      </c>
      <c r="U198" s="40" t="n">
        <f aca="true">RAND()</f>
        <v>0.785139466049924</v>
      </c>
    </row>
    <row r="199" customFormat="false" ht="15" hidden="false" customHeight="false" outlineLevel="0" collapsed="false">
      <c r="A199" s="36" t="n">
        <v>119</v>
      </c>
      <c r="B199" s="37" t="n">
        <f aca="false">1+IF($G$6=$E$6,$F$6,IF(P199&lt;($F$6-$E$6)/($G$6-$E$6),$E$6+SQRT(P199*($G$6-$E$6)*($F$6-$E$6)),$G$6-SQRT((1-P199)*($G$6-$E$6)*($G$6-$F$6))))</f>
        <v>0.99993125985859</v>
      </c>
      <c r="C199" s="37" t="n">
        <f aca="false">1+IF($G$7=$E$7,$F$7,IF(Q199&lt;($F$7-$E$7)/($G$7-$E$7),$E$7+SQRT(Q199*($G$7-$E$7)*($F$7-$E$7)),$G$7-SQRT((1-Q199)*($G$7-$E$7)*($G$7-$F$7))))</f>
        <v>1.07320324018542</v>
      </c>
      <c r="D199" s="37" t="n">
        <f aca="false">1+IF($G$8=$E$8,$F$8,IF(R199&lt;($F$8-$E$8)/($G$8-$E$8),$E$8+SQRT(R199*($G$8-$E$8)*($F$8-$E$8)),$G$8-SQRT((1-R199)*($G$8-$E$8)*($G$8-$F$8))))</f>
        <v>1.00498685134016</v>
      </c>
      <c r="E199" s="37" t="n">
        <f aca="false">1+IF($G$9=$E$9,$F$9,IF(S199&lt;($F$9-$E$9)/($G$9-$E$9),$E$9+SQRT(S199*($G$9-$E$9)*($F$9-$E$9)),$G$9-SQRT((1-S199)*($G$9-$E$9)*($G$9-$F$9))))</f>
        <v>0.979046355455655</v>
      </c>
      <c r="F199" s="37" t="n">
        <f aca="false">1+IF($G$10=$E$10,$F$10,IF(T199&lt;($F$10-$E$10)/($G$10-$E$10),$E$10+SQRT(T199*($G$10-$E$10)*($F$10-$E$10)),$G$10-SQRT((1-T199)*($G$10-$E$10)*($G$10-$F$10))))</f>
        <v>1.10680381578109</v>
      </c>
      <c r="G199" s="38" t="n">
        <f aca="false">IF($G$11=$E$11,$F$11,IF(U199&lt;($F$11-$E$11)/($G$11-$E$11),$E$11+SQRT(U199*($G$11-$E$11)*($F$11-$E$11)),$G$11-SQRT((1-U199)*($G$11-$E$11)*($G$11-$F$11))))</f>
        <v>0.105080775116215</v>
      </c>
      <c r="H199" s="39" t="n">
        <f aca="false">(('Business Case'!B11*$C199*'Business Case'!B12*$B199)-'Business Case'!B11*$C199*'Business Case'!B13*$D199-'Business Case'!B14*$E199)-MAX(0,(('Business Case'!B11*$C199*'Business Case'!B12*$B199)-'Business Case'!B11*$C199*'Business Case'!B13*$D199-'Business Case'!B14*$E199))*'Business Case'!$B$7-'Business Case'!$B$8*('Business Case'!B11*$C199*'Business Case'!B12*$B199)-'Business Case'!B15*$F199</f>
        <v>-2213607631.56218</v>
      </c>
      <c r="I199" s="39" t="n">
        <f aca="false">(('Business Case'!C11*$C199*'Business Case'!C12*$B199)-'Business Case'!C11*$C199*'Business Case'!C13*$D199-'Business Case'!C14*$E199)-MAX(0,(('Business Case'!C11*$C199*'Business Case'!C12*$B199)-'Business Case'!C11*$C199*'Business Case'!C13*$D199-'Business Case'!C14*$E199))*'Business Case'!$B$7-'Business Case'!$B$8*(('Business Case'!C11*$C199*'Business Case'!C12*$B199)-('Business Case'!B11*$C199*'Business Case'!B12*$B199))-'Business Case'!C15*$F199</f>
        <v>21304544.7698011</v>
      </c>
      <c r="J199" s="39" t="n">
        <f aca="false">(('Business Case'!D11*$C199*'Business Case'!D12*$B199)-'Business Case'!D11*$C199*'Business Case'!D13*$D199-'Business Case'!D14*$E199)-MAX(0,(('Business Case'!D11*$C199*'Business Case'!D12*$B199)-'Business Case'!D11*$C199*'Business Case'!D13*$D199-'Business Case'!D14*$E199))*'Business Case'!$B$7-'Business Case'!$B$8*(('Business Case'!D11*$C199*'Business Case'!D12*$B199)-('Business Case'!C11*$C199*'Business Case'!C12*$B199))-'Business Case'!D15*$F199</f>
        <v>348140894.486851</v>
      </c>
      <c r="K199" s="39" t="n">
        <f aca="false">(('Business Case'!E11*$C199*'Business Case'!E12*$B199)-'Business Case'!E11*$C199*'Business Case'!E13*$D199-'Business Case'!E14*$E199)-MAX(0,(('Business Case'!E11*$C199*'Business Case'!E12*$B199)-'Business Case'!E11*$C199*'Business Case'!E13*$D199-'Business Case'!E14*$E199))*'Business Case'!$B$7-'Business Case'!$B$8*(('Business Case'!E11*$C199*'Business Case'!E12*$B199)-('Business Case'!D11*$C199*'Business Case'!D12*$B199))-'Business Case'!E15*$F199</f>
        <v>730317434.992956</v>
      </c>
      <c r="L199" s="39" t="n">
        <f aca="false">(('Business Case'!F11*$C199*'Business Case'!F12*$B199)-'Business Case'!F11*$C199*'Business Case'!F13*$D199-'Business Case'!F14*$E199)-MAX(0,(('Business Case'!F11*$C199*'Business Case'!F12*$B199)-'Business Case'!F11*$C199*'Business Case'!F13*$D199-'Business Case'!F14*$E199))*'Business Case'!$B$7-'Business Case'!$B$8*(('Business Case'!F11*$C199*'Business Case'!F12*$B199)-('Business Case'!E11*$C199*'Business Case'!E12*$B199))-'Business Case'!F15*$F199</f>
        <v>876350239.314202</v>
      </c>
      <c r="M199" s="39" t="n">
        <f aca="false">(('Business Case'!G11*$C199*'Business Case'!G12*$B199)-'Business Case'!G11*$C199*'Business Case'!G13*$D199-'Business Case'!G14*$E199)-MAX(0,(('Business Case'!G11*$C199*'Business Case'!G12*$B199)-'Business Case'!G11*$C199*'Business Case'!G13*$D199-'Business Case'!G14*$E199))*'Business Case'!$B$7-'Business Case'!$B$8*(('Business Case'!G11*$C199*'Business Case'!G12*$B199)-('Business Case'!F11*$C199*'Business Case'!F12*$B199))-'Business Case'!G15*$F199+'Business Case'!$B$8*('Business Case'!G11*$C199*'Business Case'!G12*$B199)</f>
        <v>1080330688.5998</v>
      </c>
      <c r="N199" s="39" t="n">
        <f aca="false">IF(COUNT('Business Case'!B11:G11)=0,"",H199+NPV(G199,I199:M199))</f>
        <v>-124936071.838693</v>
      </c>
      <c r="P199" s="40" t="n">
        <f aca="true">RAND()</f>
        <v>0.665521489852231</v>
      </c>
      <c r="Q199" s="40" t="n">
        <f aca="true">RAND()</f>
        <v>0.887662051085375</v>
      </c>
      <c r="R199" s="40" t="n">
        <f aca="true">RAND()</f>
        <v>0.458944954628506</v>
      </c>
      <c r="S199" s="40" t="n">
        <f aca="true">RAND()</f>
        <v>0.112492102034164</v>
      </c>
      <c r="T199" s="40" t="n">
        <f aca="true">RAND()</f>
        <v>0.826289424940701</v>
      </c>
      <c r="U199" s="40" t="n">
        <f aca="true">RAND()</f>
        <v>0.629027881445099</v>
      </c>
    </row>
    <row r="200" customFormat="false" ht="15" hidden="false" customHeight="false" outlineLevel="0" collapsed="false">
      <c r="A200" s="36" t="n">
        <v>120</v>
      </c>
      <c r="B200" s="37" t="n">
        <f aca="false">1+IF($G$6=$E$6,$F$6,IF(P200&lt;($F$6-$E$6)/($G$6-$E$6),$E$6+SQRT(P200*($G$6-$E$6)*($F$6-$E$6)),$G$6-SQRT((1-P200)*($G$6-$E$6)*($G$6-$F$6))))</f>
        <v>0.979849609361121</v>
      </c>
      <c r="C200" s="37" t="n">
        <f aca="false">1+IF($G$7=$E$7,$F$7,IF(Q200&lt;($F$7-$E$7)/($G$7-$E$7),$E$7+SQRT(Q200*($G$7-$E$7)*($F$7-$E$7)),$G$7-SQRT((1-Q200)*($G$7-$E$7)*($G$7-$F$7))))</f>
        <v>1.0102023489297</v>
      </c>
      <c r="D200" s="37" t="n">
        <f aca="false">1+IF($G$8=$E$8,$F$8,IF(R200&lt;($F$8-$E$8)/($G$8-$E$8),$E$8+SQRT(R200*($G$8-$E$8)*($F$8-$E$8)),$G$8-SQRT((1-R200)*($G$8-$E$8)*($G$8-$F$8))))</f>
        <v>0.99668920405695</v>
      </c>
      <c r="E200" s="37" t="n">
        <f aca="false">1+IF($G$9=$E$9,$F$9,IF(S200&lt;($F$9-$E$9)/($G$9-$E$9),$E$9+SQRT(S200*($G$9-$E$9)*($F$9-$E$9)),$G$9-SQRT((1-S200)*($G$9-$E$9)*($G$9-$F$9))))</f>
        <v>0.98493111967234</v>
      </c>
      <c r="F200" s="37" t="n">
        <f aca="false">1+IF($G$10=$E$10,$F$10,IF(T200&lt;($F$10-$E$10)/($G$10-$E$10),$E$10+SQRT(T200*($G$10-$E$10)*($F$10-$E$10)),$G$10-SQRT((1-T200)*($G$10-$E$10)*($G$10-$F$10))))</f>
        <v>1.16135181079304</v>
      </c>
      <c r="G200" s="38" t="n">
        <f aca="false">IF($G$11=$E$11,$F$11,IF(U200&lt;($F$11-$E$11)/($G$11-$E$11),$E$11+SQRT(U200*($G$11-$E$11)*($F$11-$E$11)),$G$11-SQRT((1-U200)*($G$11-$E$11)*($G$11-$F$11))))</f>
        <v>0.107624652949275</v>
      </c>
      <c r="H200" s="39" t="n">
        <f aca="false">(('Business Case'!B11*$C200*'Business Case'!B12*$B200)-'Business Case'!B11*$C200*'Business Case'!B13*$D200-'Business Case'!B14*$E200)-MAX(0,(('Business Case'!B11*$C200*'Business Case'!B12*$B200)-'Business Case'!B11*$C200*'Business Case'!B13*$D200-'Business Case'!B14*$E200))*'Business Case'!$B$7-'Business Case'!$B$8*('Business Case'!B11*$C200*'Business Case'!B12*$B200)-'Business Case'!B15*$F200</f>
        <v>-2322703621.58609</v>
      </c>
      <c r="I200" s="39" t="n">
        <f aca="false">(('Business Case'!C11*$C200*'Business Case'!C12*$B200)-'Business Case'!C11*$C200*'Business Case'!C13*$D200-'Business Case'!C14*$E200)-MAX(0,(('Business Case'!C11*$C200*'Business Case'!C12*$B200)-'Business Case'!C11*$C200*'Business Case'!C13*$D200-'Business Case'!C14*$E200))*'Business Case'!$B$7-'Business Case'!$B$8*(('Business Case'!C11*$C200*'Business Case'!C12*$B200)-('Business Case'!B11*$C200*'Business Case'!B12*$B200))-'Business Case'!C15*$F200</f>
        <v>-12181203.0225358</v>
      </c>
      <c r="J200" s="39" t="n">
        <f aca="false">(('Business Case'!D11*$C200*'Business Case'!D12*$B200)-'Business Case'!D11*$C200*'Business Case'!D13*$D200-'Business Case'!D14*$E200)-MAX(0,(('Business Case'!D11*$C200*'Business Case'!D12*$B200)-'Business Case'!D11*$C200*'Business Case'!D13*$D200-'Business Case'!D14*$E200))*'Business Case'!$B$7-'Business Case'!$B$8*(('Business Case'!D11*$C200*'Business Case'!D12*$B200)-('Business Case'!C11*$C200*'Business Case'!C12*$B200))-'Business Case'!D15*$F200</f>
        <v>283143616.433995</v>
      </c>
      <c r="K200" s="39" t="n">
        <f aca="false">(('Business Case'!E11*$C200*'Business Case'!E12*$B200)-'Business Case'!E11*$C200*'Business Case'!E13*$D200-'Business Case'!E14*$E200)-MAX(0,(('Business Case'!E11*$C200*'Business Case'!E12*$B200)-'Business Case'!E11*$C200*'Business Case'!E13*$D200-'Business Case'!E14*$E200))*'Business Case'!$B$7-'Business Case'!$B$8*(('Business Case'!E11*$C200*'Business Case'!E12*$B200)-('Business Case'!D11*$C200*'Business Case'!D12*$B200))-'Business Case'!E15*$F200</f>
        <v>636536026.430178</v>
      </c>
      <c r="L200" s="39" t="n">
        <f aca="false">(('Business Case'!F11*$C200*'Business Case'!F12*$B200)-'Business Case'!F11*$C200*'Business Case'!F13*$D200-'Business Case'!F14*$E200)-MAX(0,(('Business Case'!F11*$C200*'Business Case'!F12*$B200)-'Business Case'!F11*$C200*'Business Case'!F13*$D200-'Business Case'!F14*$E200))*'Business Case'!$B$7-'Business Case'!$B$8*(('Business Case'!F11*$C200*'Business Case'!F12*$B200)-('Business Case'!E11*$C200*'Business Case'!E12*$B200))-'Business Case'!F15*$F200</f>
        <v>769186723.703926</v>
      </c>
      <c r="M200" s="39" t="n">
        <f aca="false">(('Business Case'!G11*$C200*'Business Case'!G12*$B200)-'Business Case'!G11*$C200*'Business Case'!G13*$D200-'Business Case'!G14*$E200)-MAX(0,(('Business Case'!G11*$C200*'Business Case'!G12*$B200)-'Business Case'!G11*$C200*'Business Case'!G13*$D200-'Business Case'!G14*$E200))*'Business Case'!$B$7-'Business Case'!$B$8*(('Business Case'!G11*$C200*'Business Case'!G12*$B200)-('Business Case'!F11*$C200*'Business Case'!F12*$B200))-'Business Case'!G15*$F200+'Business Case'!$B$8*('Business Case'!G11*$C200*'Business Case'!G12*$B200)</f>
        <v>957336723.03923</v>
      </c>
      <c r="N200" s="39" t="n">
        <f aca="false">IF(COUNT('Business Case'!B11:G11)=0,"",H200+NPV(G200,I200:M200))</f>
        <v>-549179883.177561</v>
      </c>
      <c r="P200" s="40" t="n">
        <f aca="true">RAND()</f>
        <v>0.373122472987374</v>
      </c>
      <c r="Q200" s="40" t="n">
        <f aca="true">RAND()</f>
        <v>0.62774508105194</v>
      </c>
      <c r="R200" s="40" t="n">
        <f aca="true">RAND()</f>
        <v>0.335366426995611</v>
      </c>
      <c r="S200" s="40" t="n">
        <f aca="true">RAND()</f>
        <v>0.162691082875107</v>
      </c>
      <c r="T200" s="40" t="n">
        <f aca="true">RAND()</f>
        <v>0.970126349420465</v>
      </c>
      <c r="U200" s="40" t="n">
        <f aca="true">RAND()</f>
        <v>0.744751308956848</v>
      </c>
    </row>
    <row r="201" customFormat="false" ht="15" hidden="false" customHeight="false" outlineLevel="0" collapsed="false">
      <c r="A201" s="36" t="n">
        <v>121</v>
      </c>
      <c r="B201" s="37" t="n">
        <f aca="false">1+IF($G$6=$E$6,$F$6,IF(P201&lt;($F$6-$E$6)/($G$6-$E$6),$E$6+SQRT(P201*($G$6-$E$6)*($F$6-$E$6)),$G$6-SQRT((1-P201)*($G$6-$E$6)*($G$6-$F$6))))</f>
        <v>0.993743637203683</v>
      </c>
      <c r="C201" s="37" t="n">
        <f aca="false">1+IF($G$7=$E$7,$F$7,IF(Q201&lt;($F$7-$E$7)/($G$7-$E$7),$E$7+SQRT(Q201*($G$7-$E$7)*($F$7-$E$7)),$G$7-SQRT((1-Q201)*($G$7-$E$7)*($G$7-$F$7))))</f>
        <v>1.03499364022675</v>
      </c>
      <c r="D201" s="37" t="n">
        <f aca="false">1+IF($G$8=$E$8,$F$8,IF(R201&lt;($F$8-$E$8)/($G$8-$E$8),$E$8+SQRT(R201*($G$8-$E$8)*($F$8-$E$8)),$G$8-SQRT((1-R201)*($G$8-$E$8)*($G$8-$F$8))))</f>
        <v>0.99979192333349</v>
      </c>
      <c r="E201" s="37" t="n">
        <f aca="false">1+IF($G$9=$E$9,$F$9,IF(S201&lt;($F$9-$E$9)/($G$9-$E$9),$E$9+SQRT(S201*($G$9-$E$9)*($F$9-$E$9)),$G$9-SQRT((1-S201)*($G$9-$E$9)*($G$9-$F$9))))</f>
        <v>0.976753873330551</v>
      </c>
      <c r="F201" s="37" t="n">
        <f aca="false">1+IF($G$10=$E$10,$F$10,IF(T201&lt;($F$10-$E$10)/($G$10-$E$10),$E$10+SQRT(T201*($G$10-$E$10)*($F$10-$E$10)),$G$10-SQRT((1-T201)*($G$10-$E$10)*($G$10-$F$10))))</f>
        <v>1.00121538013682</v>
      </c>
      <c r="G201" s="38" t="n">
        <f aca="false">IF($G$11=$E$11,$F$11,IF(U201&lt;($F$11-$E$11)/($G$11-$E$11),$E$11+SQRT(U201*($G$11-$E$11)*($F$11-$E$11)),$G$11-SQRT((1-U201)*($G$11-$E$11)*($G$11-$F$11))))</f>
        <v>0.105240102187686</v>
      </c>
      <c r="H201" s="39" t="n">
        <f aca="false">(('Business Case'!B11*$C201*'Business Case'!B12*$B201)-'Business Case'!B11*$C201*'Business Case'!B13*$D201-'Business Case'!B14*$E201)-MAX(0,(('Business Case'!B11*$C201*'Business Case'!B12*$B201)-'Business Case'!B11*$C201*'Business Case'!B13*$D201-'Business Case'!B14*$E201))*'Business Case'!$B$7-'Business Case'!$B$8*('Business Case'!B11*$C201*'Business Case'!B12*$B201)-'Business Case'!B15*$F201</f>
        <v>-2002430760.27365</v>
      </c>
      <c r="I201" s="39" t="n">
        <f aca="false">(('Business Case'!C11*$C201*'Business Case'!C12*$B201)-'Business Case'!C11*$C201*'Business Case'!C13*$D201-'Business Case'!C14*$E201)-MAX(0,(('Business Case'!C11*$C201*'Business Case'!C12*$B201)-'Business Case'!C11*$C201*'Business Case'!C13*$D201-'Business Case'!C14*$E201))*'Business Case'!$B$7-'Business Case'!$B$8*(('Business Case'!C11*$C201*'Business Case'!C12*$B201)-('Business Case'!B11*$C201*'Business Case'!B12*$B201))-'Business Case'!C15*$F201</f>
        <v>20372549.4787758</v>
      </c>
      <c r="J201" s="39" t="n">
        <f aca="false">(('Business Case'!D11*$C201*'Business Case'!D12*$B201)-'Business Case'!D11*$C201*'Business Case'!D13*$D201-'Business Case'!D14*$E201)-MAX(0,(('Business Case'!D11*$C201*'Business Case'!D12*$B201)-'Business Case'!D11*$C201*'Business Case'!D13*$D201-'Business Case'!D14*$E201))*'Business Case'!$B$7-'Business Case'!$B$8*(('Business Case'!D11*$C201*'Business Case'!D12*$B201)-('Business Case'!C11*$C201*'Business Case'!C12*$B201))-'Business Case'!D15*$F201</f>
        <v>333079428.738839</v>
      </c>
      <c r="K201" s="39" t="n">
        <f aca="false">(('Business Case'!E11*$C201*'Business Case'!E12*$B201)-'Business Case'!E11*$C201*'Business Case'!E13*$D201-'Business Case'!E14*$E201)-MAX(0,(('Business Case'!E11*$C201*'Business Case'!E12*$B201)-'Business Case'!E11*$C201*'Business Case'!E13*$D201-'Business Case'!E14*$E201))*'Business Case'!$B$7-'Business Case'!$B$8*(('Business Case'!E11*$C201*'Business Case'!E12*$B201)-('Business Case'!D11*$C201*'Business Case'!D12*$B201))-'Business Case'!E15*$F201</f>
        <v>695847077.005743</v>
      </c>
      <c r="L201" s="39" t="n">
        <f aca="false">(('Business Case'!F11*$C201*'Business Case'!F12*$B201)-'Business Case'!F11*$C201*'Business Case'!F13*$D201-'Business Case'!F14*$E201)-MAX(0,(('Business Case'!F11*$C201*'Business Case'!F12*$B201)-'Business Case'!F11*$C201*'Business Case'!F13*$D201-'Business Case'!F14*$E201))*'Business Case'!$B$7-'Business Case'!$B$8*(('Business Case'!F11*$C201*'Business Case'!F12*$B201)-('Business Case'!E11*$C201*'Business Case'!E12*$B201))-'Business Case'!F15*$F201</f>
        <v>835628297.412432</v>
      </c>
      <c r="M201" s="39" t="n">
        <f aca="false">(('Business Case'!G11*$C201*'Business Case'!G12*$B201)-'Business Case'!G11*$C201*'Business Case'!G13*$D201-'Business Case'!G14*$E201)-MAX(0,(('Business Case'!G11*$C201*'Business Case'!G12*$B201)-'Business Case'!G11*$C201*'Business Case'!G13*$D201-'Business Case'!G14*$E201))*'Business Case'!$B$7-'Business Case'!$B$8*(('Business Case'!G11*$C201*'Business Case'!G12*$B201)-('Business Case'!F11*$C201*'Business Case'!F12*$B201))-'Business Case'!G15*$F201+'Business Case'!$B$8*('Business Case'!G11*$C201*'Business Case'!G12*$B201)</f>
        <v>1031129064.3391</v>
      </c>
      <c r="N201" s="39" t="n">
        <f aca="false">IF(COUNT('Business Case'!B11:G11)=0,"",H201+NPV(G201,I201:M201))</f>
        <v>-10716607.3815508</v>
      </c>
      <c r="P201" s="40" t="n">
        <f aca="true">RAND()</f>
        <v>0.566471252919633</v>
      </c>
      <c r="Q201" s="40" t="n">
        <f aca="true">RAND()</f>
        <v>0.748067375461079</v>
      </c>
      <c r="R201" s="40" t="n">
        <f aca="true">RAND()</f>
        <v>0.381420866038175</v>
      </c>
      <c r="S201" s="40" t="n">
        <f aca="true">RAND()</f>
        <v>0.0954359650916232</v>
      </c>
      <c r="T201" s="40" t="n">
        <f aca="true">RAND()</f>
        <v>0.209693498117053</v>
      </c>
      <c r="U201" s="40" t="n">
        <f aca="true">RAND()</f>
        <v>0.636909027616727</v>
      </c>
    </row>
    <row r="202" customFormat="false" ht="15" hidden="false" customHeight="false" outlineLevel="0" collapsed="false">
      <c r="A202" s="36" t="n">
        <v>122</v>
      </c>
      <c r="B202" s="37" t="n">
        <f aca="false">1+IF($G$6=$E$6,$F$6,IF(P202&lt;($F$6-$E$6)/($G$6-$E$6),$E$6+SQRT(P202*($G$6-$E$6)*($F$6-$E$6)),$G$6-SQRT((1-P202)*($G$6-$E$6)*($G$6-$F$6))))</f>
        <v>0.99160668600275</v>
      </c>
      <c r="C202" s="37" t="n">
        <f aca="false">1+IF($G$7=$E$7,$F$7,IF(Q202&lt;($F$7-$E$7)/($G$7-$E$7),$E$7+SQRT(Q202*($G$7-$E$7)*($F$7-$E$7)),$G$7-SQRT((1-Q202)*($G$7-$E$7)*($G$7-$F$7))))</f>
        <v>1.01669284167445</v>
      </c>
      <c r="D202" s="37" t="n">
        <f aca="false">1+IF($G$8=$E$8,$F$8,IF(R202&lt;($F$8-$E$8)/($G$8-$E$8),$E$8+SQRT(R202*($G$8-$E$8)*($F$8-$E$8)),$G$8-SQRT((1-R202)*($G$8-$E$8)*($G$8-$F$8))))</f>
        <v>1.01077756283636</v>
      </c>
      <c r="E202" s="37" t="n">
        <f aca="false">1+IF($G$9=$E$9,$F$9,IF(S202&lt;($F$9-$E$9)/($G$9-$E$9),$E$9+SQRT(S202*($G$9-$E$9)*($F$9-$E$9)),$G$9-SQRT((1-S202)*($G$9-$E$9)*($G$9-$F$9))))</f>
        <v>0.968751943924108</v>
      </c>
      <c r="F202" s="37" t="n">
        <f aca="false">1+IF($G$10=$E$10,$F$10,IF(T202&lt;($F$10-$E$10)/($G$10-$E$10),$E$10+SQRT(T202*($G$10-$E$10)*($F$10-$E$10)),$G$10-SQRT((1-T202)*($G$10-$E$10)*($G$10-$F$10))))</f>
        <v>1.09031811774706</v>
      </c>
      <c r="G202" s="38" t="n">
        <f aca="false">IF($G$11=$E$11,$F$11,IF(U202&lt;($F$11-$E$11)/($G$11-$E$11),$E$11+SQRT(U202*($G$11-$E$11)*($F$11-$E$11)),$G$11-SQRT((1-U202)*($G$11-$E$11)*($G$11-$F$11))))</f>
        <v>0.108076877381838</v>
      </c>
      <c r="H202" s="39" t="n">
        <f aca="false">(('Business Case'!B11*$C202*'Business Case'!B12*$B202)-'Business Case'!B11*$C202*'Business Case'!B13*$D202-'Business Case'!B14*$E202)-MAX(0,(('Business Case'!B11*$C202*'Business Case'!B12*$B202)-'Business Case'!B11*$C202*'Business Case'!B13*$D202-'Business Case'!B14*$E202))*'Business Case'!$B$7-'Business Case'!$B$8*('Business Case'!B11*$C202*'Business Case'!B12*$B202)-'Business Case'!B15*$F202</f>
        <v>-2180636235.49412</v>
      </c>
      <c r="I202" s="39" t="n">
        <f aca="false">(('Business Case'!C11*$C202*'Business Case'!C12*$B202)-'Business Case'!C11*$C202*'Business Case'!C13*$D202-'Business Case'!C14*$E202)-MAX(0,(('Business Case'!C11*$C202*'Business Case'!C12*$B202)-'Business Case'!C11*$C202*'Business Case'!C13*$D202-'Business Case'!C14*$E202))*'Business Case'!$B$7-'Business Case'!$B$8*(('Business Case'!C11*$C202*'Business Case'!C12*$B202)-('Business Case'!B11*$C202*'Business Case'!B12*$B202))-'Business Case'!C15*$F202</f>
        <v>629081.41893895</v>
      </c>
      <c r="J202" s="39" t="n">
        <f aca="false">(('Business Case'!D11*$C202*'Business Case'!D12*$B202)-'Business Case'!D11*$C202*'Business Case'!D13*$D202-'Business Case'!D14*$E202)-MAX(0,(('Business Case'!D11*$C202*'Business Case'!D12*$B202)-'Business Case'!D11*$C202*'Business Case'!D13*$D202-'Business Case'!D14*$E202))*'Business Case'!$B$7-'Business Case'!$B$8*(('Business Case'!D11*$C202*'Business Case'!D12*$B202)-('Business Case'!C11*$C202*'Business Case'!C12*$B202))-'Business Case'!D15*$F202</f>
        <v>300309485.341092</v>
      </c>
      <c r="K202" s="39" t="n">
        <f aca="false">(('Business Case'!E11*$C202*'Business Case'!E12*$B202)-'Business Case'!E11*$C202*'Business Case'!E13*$D202-'Business Case'!E14*$E202)-MAX(0,(('Business Case'!E11*$C202*'Business Case'!E12*$B202)-'Business Case'!E11*$C202*'Business Case'!E13*$D202-'Business Case'!E14*$E202))*'Business Case'!$B$7-'Business Case'!$B$8*(('Business Case'!E11*$C202*'Business Case'!E12*$B202)-('Business Case'!D11*$C202*'Business Case'!D12*$B202))-'Business Case'!E15*$F202</f>
        <v>654505795.150599</v>
      </c>
      <c r="L202" s="39" t="n">
        <f aca="false">(('Business Case'!F11*$C202*'Business Case'!F12*$B202)-'Business Case'!F11*$C202*'Business Case'!F13*$D202-'Business Case'!F14*$E202)-MAX(0,(('Business Case'!F11*$C202*'Business Case'!F12*$B202)-'Business Case'!F11*$C202*'Business Case'!F13*$D202-'Business Case'!F14*$E202))*'Business Case'!$B$7-'Business Case'!$B$8*(('Business Case'!F11*$C202*'Business Case'!F12*$B202)-('Business Case'!E11*$C202*'Business Case'!E12*$B202))-'Business Case'!F15*$F202</f>
        <v>789241252.65965</v>
      </c>
      <c r="M202" s="39" t="n">
        <f aca="false">(('Business Case'!G11*$C202*'Business Case'!G12*$B202)-'Business Case'!G11*$C202*'Business Case'!G13*$D202-'Business Case'!G14*$E202)-MAX(0,(('Business Case'!G11*$C202*'Business Case'!G12*$B202)-'Business Case'!G11*$C202*'Business Case'!G13*$D202-'Business Case'!G14*$E202))*'Business Case'!$B$7-'Business Case'!$B$8*(('Business Case'!G11*$C202*'Business Case'!G12*$B202)-('Business Case'!F11*$C202*'Business Case'!F12*$B202))-'Business Case'!G15*$F202+'Business Case'!$B$8*('Business Case'!G11*$C202*'Business Case'!G12*$B202)</f>
        <v>980872195.102151</v>
      </c>
      <c r="N202" s="39" t="n">
        <f aca="false">IF(COUNT('Business Case'!B11:G11)=0,"",H202+NPV(G202,I202:M202))</f>
        <v>-343733672.35988</v>
      </c>
      <c r="P202" s="40" t="n">
        <f aca="true">RAND()</f>
        <v>0.534116404197543</v>
      </c>
      <c r="Q202" s="40" t="n">
        <f aca="true">RAND()</f>
        <v>0.661508600746018</v>
      </c>
      <c r="R202" s="40" t="n">
        <f aca="true">RAND()</f>
        <v>0.539255210877488</v>
      </c>
      <c r="S202" s="40" t="n">
        <f aca="true">RAND()</f>
        <v>0.0468847201243847</v>
      </c>
      <c r="T202" s="40" t="n">
        <f aca="true">RAND()</f>
        <v>0.759397694109038</v>
      </c>
      <c r="U202" s="40" t="n">
        <f aca="true">RAND()</f>
        <v>0.763065245053777</v>
      </c>
    </row>
    <row r="203" customFormat="false" ht="15" hidden="false" customHeight="false" outlineLevel="0" collapsed="false">
      <c r="A203" s="36" t="n">
        <v>123</v>
      </c>
      <c r="B203" s="37" t="n">
        <f aca="false">1+IF($G$6=$E$6,$F$6,IF(P203&lt;($F$6-$E$6)/($G$6-$E$6),$E$6+SQRT(P203*($G$6-$E$6)*($F$6-$E$6)),$G$6-SQRT((1-P203)*($G$6-$E$6)*($G$6-$F$6))))</f>
        <v>0.996507550812752</v>
      </c>
      <c r="C203" s="37" t="n">
        <f aca="false">1+IF($G$7=$E$7,$F$7,IF(Q203&lt;($F$7-$E$7)/($G$7-$E$7),$E$7+SQRT(Q203*($G$7-$E$7)*($F$7-$E$7)),$G$7-SQRT((1-Q203)*($G$7-$E$7)*($G$7-$F$7))))</f>
        <v>1.00911760735538</v>
      </c>
      <c r="D203" s="37" t="n">
        <f aca="false">1+IF($G$8=$E$8,$F$8,IF(R203&lt;($F$8-$E$8)/($G$8-$E$8),$E$8+SQRT(R203*($G$8-$E$8)*($F$8-$E$8)),$G$8-SQRT((1-R203)*($G$8-$E$8)*($G$8-$F$8))))</f>
        <v>0.984526004863341</v>
      </c>
      <c r="E203" s="37" t="n">
        <f aca="false">1+IF($G$9=$E$9,$F$9,IF(S203&lt;($F$9-$E$9)/($G$9-$E$9),$E$9+SQRT(S203*($G$9-$E$9)*($F$9-$E$9)),$G$9-SQRT((1-S203)*($G$9-$E$9)*($G$9-$F$9))))</f>
        <v>1.03100805650951</v>
      </c>
      <c r="F203" s="37" t="n">
        <f aca="false">1+IF($G$10=$E$10,$F$10,IF(T203&lt;($F$10-$E$10)/($G$10-$E$10),$E$10+SQRT(T203*($G$10-$E$10)*($F$10-$E$10)),$G$10-SQRT((1-T203)*($G$10-$E$10)*($G$10-$F$10))))</f>
        <v>0.981709410907616</v>
      </c>
      <c r="G203" s="38" t="n">
        <f aca="false">IF($G$11=$E$11,$F$11,IF(U203&lt;($F$11-$E$11)/($G$11-$E$11),$E$11+SQRT(U203*($G$11-$E$11)*($F$11-$E$11)),$G$11-SQRT((1-U203)*($G$11-$E$11)*($G$11-$F$11))))</f>
        <v>0.102029754388672</v>
      </c>
      <c r="H203" s="39" t="n">
        <f aca="false">(('Business Case'!B11*$C203*'Business Case'!B12*$B203)-'Business Case'!B11*$C203*'Business Case'!B13*$D203-'Business Case'!B14*$E203)-MAX(0,(('Business Case'!B11*$C203*'Business Case'!B12*$B203)-'Business Case'!B11*$C203*'Business Case'!B13*$D203-'Business Case'!B14*$E203))*'Business Case'!$B$7-'Business Case'!$B$8*('Business Case'!B11*$C203*'Business Case'!B12*$B203)-'Business Case'!B15*$F203</f>
        <v>-1963418821.81523</v>
      </c>
      <c r="I203" s="39" t="n">
        <f aca="false">(('Business Case'!C11*$C203*'Business Case'!C12*$B203)-'Business Case'!C11*$C203*'Business Case'!C13*$D203-'Business Case'!C14*$E203)-MAX(0,(('Business Case'!C11*$C203*'Business Case'!C12*$B203)-'Business Case'!C11*$C203*'Business Case'!C13*$D203-'Business Case'!C14*$E203))*'Business Case'!$B$7-'Business Case'!$B$8*(('Business Case'!C11*$C203*'Business Case'!C12*$B203)-('Business Case'!B11*$C203*'Business Case'!B12*$B203))-'Business Case'!C15*$F203</f>
        <v>18149270.5069543</v>
      </c>
      <c r="J203" s="39" t="n">
        <f aca="false">(('Business Case'!D11*$C203*'Business Case'!D12*$B203)-'Business Case'!D11*$C203*'Business Case'!D13*$D203-'Business Case'!D14*$E203)-MAX(0,(('Business Case'!D11*$C203*'Business Case'!D12*$B203)-'Business Case'!D11*$C203*'Business Case'!D13*$D203-'Business Case'!D14*$E203))*'Business Case'!$B$7-'Business Case'!$B$8*(('Business Case'!D11*$C203*'Business Case'!D12*$B203)-('Business Case'!C11*$C203*'Business Case'!C12*$B203))-'Business Case'!D15*$F203</f>
        <v>333208785.210023</v>
      </c>
      <c r="K203" s="39" t="n">
        <f aca="false">(('Business Case'!E11*$C203*'Business Case'!E12*$B203)-'Business Case'!E11*$C203*'Business Case'!E13*$D203-'Business Case'!E14*$E203)-MAX(0,(('Business Case'!E11*$C203*'Business Case'!E12*$B203)-'Business Case'!E11*$C203*'Business Case'!E13*$D203-'Business Case'!E14*$E203))*'Business Case'!$B$7-'Business Case'!$B$8*(('Business Case'!E11*$C203*'Business Case'!E12*$B203)-('Business Case'!D11*$C203*'Business Case'!D12*$B203))-'Business Case'!E15*$F203</f>
        <v>697353770.458473</v>
      </c>
      <c r="L203" s="39" t="n">
        <f aca="false">(('Business Case'!F11*$C203*'Business Case'!F12*$B203)-'Business Case'!F11*$C203*'Business Case'!F13*$D203-'Business Case'!F14*$E203)-MAX(0,(('Business Case'!F11*$C203*'Business Case'!F12*$B203)-'Business Case'!F11*$C203*'Business Case'!F13*$D203-'Business Case'!F14*$E203))*'Business Case'!$B$7-'Business Case'!$B$8*(('Business Case'!F11*$C203*'Business Case'!F12*$B203)-('Business Case'!E11*$C203*'Business Case'!E12*$B203))-'Business Case'!F15*$F203</f>
        <v>837126913.672628</v>
      </c>
      <c r="M203" s="39" t="n">
        <f aca="false">(('Business Case'!G11*$C203*'Business Case'!G12*$B203)-'Business Case'!G11*$C203*'Business Case'!G13*$D203-'Business Case'!G14*$E203)-MAX(0,(('Business Case'!G11*$C203*'Business Case'!G12*$B203)-'Business Case'!G11*$C203*'Business Case'!G13*$D203-'Business Case'!G14*$E203))*'Business Case'!$B$7-'Business Case'!$B$8*(('Business Case'!G11*$C203*'Business Case'!G12*$B203)-('Business Case'!F11*$C203*'Business Case'!F12*$B203))-'Business Case'!G15*$F203+'Business Case'!$B$8*('Business Case'!G11*$C203*'Business Case'!G12*$B203)</f>
        <v>1028270091.06153</v>
      </c>
      <c r="N203" s="39" t="n">
        <f aca="false">IF(COUNT('Business Case'!B11:G11)=0,"",H203+NPV(G203,I203:M203))</f>
        <v>48643152.9932249</v>
      </c>
      <c r="P203" s="40" t="n">
        <f aca="true">RAND()</f>
        <v>0.609729722017277</v>
      </c>
      <c r="Q203" s="40" t="n">
        <f aca="true">RAND()</f>
        <v>0.621945741766211</v>
      </c>
      <c r="R203" s="40" t="n">
        <f aca="true">RAND()</f>
        <v>0.183391540280526</v>
      </c>
      <c r="S203" s="40" t="n">
        <f aca="true">RAND()</f>
        <v>0.682674115560367</v>
      </c>
      <c r="T203" s="40" t="n">
        <f aca="true">RAND()</f>
        <v>0.0804389392086428</v>
      </c>
      <c r="U203" s="40" t="n">
        <f aca="true">RAND()</f>
        <v>0.461783787780888</v>
      </c>
    </row>
    <row r="204" customFormat="false" ht="15" hidden="false" customHeight="false" outlineLevel="0" collapsed="false">
      <c r="A204" s="36" t="n">
        <v>124</v>
      </c>
      <c r="B204" s="37" t="n">
        <f aca="false">1+IF($G$6=$E$6,$F$6,IF(P204&lt;($F$6-$E$6)/($G$6-$E$6),$E$6+SQRT(P204*($G$6-$E$6)*($F$6-$E$6)),$G$6-SQRT((1-P204)*($G$6-$E$6)*($G$6-$F$6))))</f>
        <v>0.961201946985785</v>
      </c>
      <c r="C204" s="37" t="n">
        <f aca="false">1+IF($G$7=$E$7,$F$7,IF(Q204&lt;($F$7-$E$7)/($G$7-$E$7),$E$7+SQRT(Q204*($G$7-$E$7)*($F$7-$E$7)),$G$7-SQRT((1-Q204)*($G$7-$E$7)*($G$7-$F$7))))</f>
        <v>0.856347920858194</v>
      </c>
      <c r="D204" s="37" t="n">
        <f aca="false">1+IF($G$8=$E$8,$F$8,IF(R204&lt;($F$8-$E$8)/($G$8-$E$8),$E$8+SQRT(R204*($G$8-$E$8)*($F$8-$E$8)),$G$8-SQRT((1-R204)*($G$8-$E$8)*($G$8-$F$8))))</f>
        <v>1.06030538483158</v>
      </c>
      <c r="E204" s="37" t="n">
        <f aca="false">1+IF($G$9=$E$9,$F$9,IF(S204&lt;($F$9-$E$9)/($G$9-$E$9),$E$9+SQRT(S204*($G$9-$E$9)*($F$9-$E$9)),$G$9-SQRT((1-S204)*($G$9-$E$9)*($G$9-$F$9))))</f>
        <v>1.00052260034154</v>
      </c>
      <c r="F204" s="37" t="n">
        <f aca="false">1+IF($G$10=$E$10,$F$10,IF(T204&lt;($F$10-$E$10)/($G$10-$E$10),$E$10+SQRT(T204*($G$10-$E$10)*($F$10-$E$10)),$G$10-SQRT((1-T204)*($G$10-$E$10)*($G$10-$F$10))))</f>
        <v>1.0701908615052</v>
      </c>
      <c r="G204" s="38" t="n">
        <f aca="false">IF($G$11=$E$11,$F$11,IF(U204&lt;($F$11-$E$11)/($G$11-$E$11),$E$11+SQRT(U204*($G$11-$E$11)*($F$11-$E$11)),$G$11-SQRT((1-U204)*($G$11-$E$11)*($G$11-$F$11))))</f>
        <v>0.0992960815106355</v>
      </c>
      <c r="H204" s="39" t="n">
        <f aca="false">(('Business Case'!B11*$C204*'Business Case'!B12*$B204)-'Business Case'!B11*$C204*'Business Case'!B13*$D204-'Business Case'!B14*$E204)-MAX(0,(('Business Case'!B11*$C204*'Business Case'!B12*$B204)-'Business Case'!B11*$C204*'Business Case'!B13*$D204-'Business Case'!B14*$E204))*'Business Case'!$B$7-'Business Case'!$B$8*('Business Case'!B11*$C204*'Business Case'!B12*$B204)-'Business Case'!B15*$F204</f>
        <v>-2140381723.01039</v>
      </c>
      <c r="I204" s="39" t="n">
        <f aca="false">(('Business Case'!C11*$C204*'Business Case'!C12*$B204)-'Business Case'!C11*$C204*'Business Case'!C13*$D204-'Business Case'!C14*$E204)-MAX(0,(('Business Case'!C11*$C204*'Business Case'!C12*$B204)-'Business Case'!C11*$C204*'Business Case'!C13*$D204-'Business Case'!C14*$E204))*'Business Case'!$B$7-'Business Case'!$B$8*(('Business Case'!C11*$C204*'Business Case'!C12*$B204)-('Business Case'!B11*$C204*'Business Case'!B12*$B204))-'Business Case'!C15*$F204</f>
        <v>-82585273.1904372</v>
      </c>
      <c r="J204" s="39" t="n">
        <f aca="false">(('Business Case'!D11*$C204*'Business Case'!D12*$B204)-'Business Case'!D11*$C204*'Business Case'!D13*$D204-'Business Case'!D14*$E204)-MAX(0,(('Business Case'!D11*$C204*'Business Case'!D12*$B204)-'Business Case'!D11*$C204*'Business Case'!D13*$D204-'Business Case'!D14*$E204))*'Business Case'!$B$7-'Business Case'!$B$8*(('Business Case'!D11*$C204*'Business Case'!D12*$B204)-('Business Case'!C11*$C204*'Business Case'!C12*$B204))-'Business Case'!D15*$F204</f>
        <v>126793564.830958</v>
      </c>
      <c r="K204" s="39" t="n">
        <f aca="false">(('Business Case'!E11*$C204*'Business Case'!E12*$B204)-'Business Case'!E11*$C204*'Business Case'!E13*$D204-'Business Case'!E14*$E204)-MAX(0,(('Business Case'!E11*$C204*'Business Case'!E12*$B204)-'Business Case'!E11*$C204*'Business Case'!E13*$D204-'Business Case'!E14*$E204))*'Business Case'!$B$7-'Business Case'!$B$8*(('Business Case'!E11*$C204*'Business Case'!E12*$B204)-('Business Case'!D11*$C204*'Business Case'!D12*$B204))-'Business Case'!E15*$F204</f>
        <v>389681945.927613</v>
      </c>
      <c r="L204" s="39" t="n">
        <f aca="false">(('Business Case'!F11*$C204*'Business Case'!F12*$B204)-'Business Case'!F11*$C204*'Business Case'!F13*$D204-'Business Case'!F14*$E204)-MAX(0,(('Business Case'!F11*$C204*'Business Case'!F12*$B204)-'Business Case'!F11*$C204*'Business Case'!F13*$D204-'Business Case'!F14*$E204))*'Business Case'!$B$7-'Business Case'!$B$8*(('Business Case'!F11*$C204*'Business Case'!F12*$B204)-('Business Case'!E11*$C204*'Business Case'!E12*$B204))-'Business Case'!F15*$F204</f>
        <v>487922032.796575</v>
      </c>
      <c r="M204" s="39" t="n">
        <f aca="false">(('Business Case'!G11*$C204*'Business Case'!G12*$B204)-'Business Case'!G11*$C204*'Business Case'!G13*$D204-'Business Case'!G14*$E204)-MAX(0,(('Business Case'!G11*$C204*'Business Case'!G12*$B204)-'Business Case'!G11*$C204*'Business Case'!G13*$D204-'Business Case'!G14*$E204))*'Business Case'!$B$7-'Business Case'!$B$8*(('Business Case'!G11*$C204*'Business Case'!G12*$B204)-('Business Case'!F11*$C204*'Business Case'!F12*$B204))-'Business Case'!G15*$F204+'Business Case'!$B$8*('Business Case'!G11*$C204*'Business Case'!G12*$B204)</f>
        <v>644381307.536645</v>
      </c>
      <c r="N204" s="39" t="n">
        <f aca="false">IF(COUNT('Business Case'!B11:G11)=0,"",H204+NPV(G204,I204:M204))</f>
        <v>-1081743932.93639</v>
      </c>
      <c r="P204" s="40" t="n">
        <f aca="true">RAND()</f>
        <v>0.176833378689528</v>
      </c>
      <c r="Q204" s="40" t="n">
        <f aca="true">RAND()</f>
        <v>0.0453584026434463</v>
      </c>
      <c r="R204" s="40" t="n">
        <f aca="true">RAND()</f>
        <v>0.962704051285373</v>
      </c>
      <c r="S204" s="40" t="n">
        <f aca="true">RAND()</f>
        <v>0.340283130479349</v>
      </c>
      <c r="T204" s="40" t="n">
        <f aca="true">RAND()</f>
        <v>0.66299175126473</v>
      </c>
      <c r="U204" s="40" t="n">
        <f aca="true">RAND()</f>
        <v>0.288057104841266</v>
      </c>
    </row>
    <row r="205" customFormat="false" ht="15" hidden="false" customHeight="false" outlineLevel="0" collapsed="false">
      <c r="A205" s="36" t="n">
        <v>125</v>
      </c>
      <c r="B205" s="37" t="n">
        <f aca="false">1+IF($G$6=$E$6,$F$6,IF(P205&lt;($F$6-$E$6)/($G$6-$E$6),$E$6+SQRT(P205*($G$6-$E$6)*($F$6-$E$6)),$G$6-SQRT((1-P205)*($G$6-$E$6)*($G$6-$F$6))))</f>
        <v>0.987568073423325</v>
      </c>
      <c r="C205" s="37" t="n">
        <f aca="false">1+IF($G$7=$E$7,$F$7,IF(Q205&lt;($F$7-$E$7)/($G$7-$E$7),$E$7+SQRT(Q205*($G$7-$E$7)*($F$7-$E$7)),$G$7-SQRT((1-Q205)*($G$7-$E$7)*($G$7-$F$7))))</f>
        <v>1.08205201620164</v>
      </c>
      <c r="D205" s="37" t="n">
        <f aca="false">1+IF($G$8=$E$8,$F$8,IF(R205&lt;($F$8-$E$8)/($G$8-$E$8),$E$8+SQRT(R205*($G$8-$E$8)*($F$8-$E$8)),$G$8-SQRT((1-R205)*($G$8-$E$8)*($G$8-$F$8))))</f>
        <v>1.03313572462386</v>
      </c>
      <c r="E205" s="37" t="n">
        <f aca="false">1+IF($G$9=$E$9,$F$9,IF(S205&lt;($F$9-$E$9)/($G$9-$E$9),$E$9+SQRT(S205*($G$9-$E$9)*($F$9-$E$9)),$G$9-SQRT((1-S205)*($G$9-$E$9)*($G$9-$F$9))))</f>
        <v>0.999816427506045</v>
      </c>
      <c r="F205" s="37" t="n">
        <f aca="false">1+IF($G$10=$E$10,$F$10,IF(T205&lt;($F$10-$E$10)/($G$10-$E$10),$E$10+SQRT(T205*($G$10-$E$10)*($F$10-$E$10)),$G$10-SQRT((1-T205)*($G$10-$E$10)*($G$10-$F$10))))</f>
        <v>1.12204000068088</v>
      </c>
      <c r="G205" s="38" t="n">
        <f aca="false">IF($G$11=$E$11,$F$11,IF(U205&lt;($F$11-$E$11)/($G$11-$E$11),$E$11+SQRT(U205*($G$11-$E$11)*($F$11-$E$11)),$G$11-SQRT((1-U205)*($G$11-$E$11)*($G$11-$F$11))))</f>
        <v>0.0992223900808272</v>
      </c>
      <c r="H205" s="39" t="n">
        <f aca="false">(('Business Case'!B11*$C205*'Business Case'!B12*$B205)-'Business Case'!B11*$C205*'Business Case'!B13*$D205-'Business Case'!B14*$E205)-MAX(0,(('Business Case'!B11*$C205*'Business Case'!B12*$B205)-'Business Case'!B11*$C205*'Business Case'!B13*$D205-'Business Case'!B14*$E205))*'Business Case'!$B$7-'Business Case'!$B$8*('Business Case'!B11*$C205*'Business Case'!B12*$B205)-'Business Case'!B15*$F205</f>
        <v>-2244080001.36176</v>
      </c>
      <c r="I205" s="39" t="n">
        <f aca="false">(('Business Case'!C11*$C205*'Business Case'!C12*$B205)-'Business Case'!C11*$C205*'Business Case'!C13*$D205-'Business Case'!C14*$E205)-MAX(0,(('Business Case'!C11*$C205*'Business Case'!C12*$B205)-'Business Case'!C11*$C205*'Business Case'!C13*$D205-'Business Case'!C14*$E205))*'Business Case'!$B$7-'Business Case'!$B$8*(('Business Case'!C11*$C205*'Business Case'!C12*$B205)-('Business Case'!B11*$C205*'Business Case'!B12*$B205))-'Business Case'!C15*$F205</f>
        <v>-6792505.20902391</v>
      </c>
      <c r="J205" s="39" t="n">
        <f aca="false">(('Business Case'!D11*$C205*'Business Case'!D12*$B205)-'Business Case'!D11*$C205*'Business Case'!D13*$D205-'Business Case'!D14*$E205)-MAX(0,(('Business Case'!D11*$C205*'Business Case'!D12*$B205)-'Business Case'!D11*$C205*'Business Case'!D13*$D205-'Business Case'!D14*$E205))*'Business Case'!$B$7-'Business Case'!$B$8*(('Business Case'!D11*$C205*'Business Case'!D12*$B205)-('Business Case'!C11*$C205*'Business Case'!C12*$B205))-'Business Case'!D15*$F205</f>
        <v>296189110.936574</v>
      </c>
      <c r="K205" s="39" t="n">
        <f aca="false">(('Business Case'!E11*$C205*'Business Case'!E12*$B205)-'Business Case'!E11*$C205*'Business Case'!E13*$D205-'Business Case'!E14*$E205)-MAX(0,(('Business Case'!E11*$C205*'Business Case'!E12*$B205)-'Business Case'!E11*$C205*'Business Case'!E13*$D205-'Business Case'!E14*$E205))*'Business Case'!$B$7-'Business Case'!$B$8*(('Business Case'!E11*$C205*'Business Case'!E12*$B205)-('Business Case'!D11*$C205*'Business Case'!D12*$B205))-'Business Case'!E15*$F205</f>
        <v>655272727.116216</v>
      </c>
      <c r="L205" s="39" t="n">
        <f aca="false">(('Business Case'!F11*$C205*'Business Case'!F12*$B205)-'Business Case'!F11*$C205*'Business Case'!F13*$D205-'Business Case'!F14*$E205)-MAX(0,(('Business Case'!F11*$C205*'Business Case'!F12*$B205)-'Business Case'!F11*$C205*'Business Case'!F13*$D205-'Business Case'!F14*$E205))*'Business Case'!$B$7-'Business Case'!$B$8*(('Business Case'!F11*$C205*'Business Case'!F12*$B205)-('Business Case'!E11*$C205*'Business Case'!E12*$B205))-'Business Case'!F15*$F205</f>
        <v>793197416.028199</v>
      </c>
      <c r="M205" s="39" t="n">
        <f aca="false">(('Business Case'!G11*$C205*'Business Case'!G12*$B205)-'Business Case'!G11*$C205*'Business Case'!G13*$D205-'Business Case'!G14*$E205)-MAX(0,(('Business Case'!G11*$C205*'Business Case'!G12*$B205)-'Business Case'!G11*$C205*'Business Case'!G13*$D205-'Business Case'!G14*$E205))*'Business Case'!$B$7-'Business Case'!$B$8*(('Business Case'!G11*$C205*'Business Case'!G12*$B205)-('Business Case'!F11*$C205*'Business Case'!F12*$B205))-'Business Case'!G15*$F205+'Business Case'!$B$8*('Business Case'!G11*$C205*'Business Case'!G12*$B205)</f>
        <v>996316908.777172</v>
      </c>
      <c r="N205" s="39" t="n">
        <f aca="false">IF(COUNT('Business Case'!B11:G11)=0,"",H205+NPV(G205,I205:M205))</f>
        <v>-347642045.782288</v>
      </c>
      <c r="P205" s="40" t="n">
        <f aca="true">RAND()</f>
        <v>0.475567140222904</v>
      </c>
      <c r="Q205" s="40" t="n">
        <f aca="true">RAND()</f>
        <v>0.912058504718811</v>
      </c>
      <c r="R205" s="40" t="n">
        <f aca="true">RAND()</f>
        <v>0.788821124372085</v>
      </c>
      <c r="S205" s="40" t="n">
        <f aca="true">RAND()</f>
        <v>0.330890193262007</v>
      </c>
      <c r="T205" s="40" t="n">
        <f aca="true">RAND()</f>
        <v>0.878444770123255</v>
      </c>
      <c r="U205" s="40" t="n">
        <f aca="true">RAND()</f>
        <v>0.283508262676464</v>
      </c>
    </row>
    <row r="206" customFormat="false" ht="15" hidden="false" customHeight="false" outlineLevel="0" collapsed="false">
      <c r="A206" s="36" t="n">
        <v>126</v>
      </c>
      <c r="B206" s="37" t="n">
        <f aca="false">1+IF($G$6=$E$6,$F$6,IF(P206&lt;($F$6-$E$6)/($G$6-$E$6),$E$6+SQRT(P206*($G$6-$E$6)*($F$6-$E$6)),$G$6-SQRT((1-P206)*($G$6-$E$6)*($G$6-$F$6))))</f>
        <v>1.01131036244543</v>
      </c>
      <c r="C206" s="37" t="n">
        <f aca="false">1+IF($G$7=$E$7,$F$7,IF(Q206&lt;($F$7-$E$7)/($G$7-$E$7),$E$7+SQRT(Q206*($G$7-$E$7)*($F$7-$E$7)),$G$7-SQRT((1-Q206)*($G$7-$E$7)*($G$7-$F$7))))</f>
        <v>1.03817009590309</v>
      </c>
      <c r="D206" s="37" t="n">
        <f aca="false">1+IF($G$8=$E$8,$F$8,IF(R206&lt;($F$8-$E$8)/($G$8-$E$8),$E$8+SQRT(R206*($G$8-$E$8)*($F$8-$E$8)),$G$8-SQRT((1-R206)*($G$8-$E$8)*($G$8-$F$8))))</f>
        <v>1.01246028841604</v>
      </c>
      <c r="E206" s="37" t="n">
        <f aca="false">1+IF($G$9=$E$9,$F$9,IF(S206&lt;($F$9-$E$9)/($G$9-$E$9),$E$9+SQRT(S206*($G$9-$E$9)*($F$9-$E$9)),$G$9-SQRT((1-S206)*($G$9-$E$9)*($G$9-$F$9))))</f>
        <v>1.00734528948875</v>
      </c>
      <c r="F206" s="37" t="n">
        <f aca="false">1+IF($G$10=$E$10,$F$10,IF(T206&lt;($F$10-$E$10)/($G$10-$E$10),$E$10+SQRT(T206*($G$10-$E$10)*($F$10-$E$10)),$G$10-SQRT((1-T206)*($G$10-$E$10)*($G$10-$F$10))))</f>
        <v>0.991616535241498</v>
      </c>
      <c r="G206" s="38" t="n">
        <f aca="false">IF($G$11=$E$11,$F$11,IF(U206&lt;($F$11-$E$11)/($G$11-$E$11),$E$11+SQRT(U206*($G$11-$E$11)*($F$11-$E$11)),$G$11-SQRT((1-U206)*($G$11-$E$11)*($G$11-$F$11))))</f>
        <v>0.0924504376137503</v>
      </c>
      <c r="H206" s="39" t="n">
        <f aca="false">(('Business Case'!B11*$C206*'Business Case'!B12*$B206)-'Business Case'!B11*$C206*'Business Case'!B13*$D206-'Business Case'!B14*$E206)-MAX(0,(('Business Case'!B11*$C206*'Business Case'!B12*$B206)-'Business Case'!B11*$C206*'Business Case'!B13*$D206-'Business Case'!B14*$E206))*'Business Case'!$B$7-'Business Case'!$B$8*('Business Case'!B11*$C206*'Business Case'!B12*$B206)-'Business Case'!B15*$F206</f>
        <v>-1983233070.483</v>
      </c>
      <c r="I206" s="39" t="n">
        <f aca="false">(('Business Case'!C11*$C206*'Business Case'!C12*$B206)-'Business Case'!C11*$C206*'Business Case'!C13*$D206-'Business Case'!C14*$E206)-MAX(0,(('Business Case'!C11*$C206*'Business Case'!C12*$B206)-'Business Case'!C11*$C206*'Business Case'!C13*$D206-'Business Case'!C14*$E206))*'Business Case'!$B$7-'Business Case'!$B$8*(('Business Case'!C11*$C206*'Business Case'!C12*$B206)-('Business Case'!B11*$C206*'Business Case'!B12*$B206))-'Business Case'!C15*$F206</f>
        <v>25037884.084075</v>
      </c>
      <c r="J206" s="39" t="n">
        <f aca="false">(('Business Case'!D11*$C206*'Business Case'!D12*$B206)-'Business Case'!D11*$C206*'Business Case'!D13*$D206-'Business Case'!D14*$E206)-MAX(0,(('Business Case'!D11*$C206*'Business Case'!D12*$B206)-'Business Case'!D11*$C206*'Business Case'!D13*$D206-'Business Case'!D14*$E206))*'Business Case'!$B$7-'Business Case'!$B$8*(('Business Case'!D11*$C206*'Business Case'!D12*$B206)-('Business Case'!C11*$C206*'Business Case'!C12*$B206))-'Business Case'!D15*$F206</f>
        <v>346909369.059768</v>
      </c>
      <c r="K206" s="39" t="n">
        <f aca="false">(('Business Case'!E11*$C206*'Business Case'!E12*$B206)-'Business Case'!E11*$C206*'Business Case'!E13*$D206-'Business Case'!E14*$E206)-MAX(0,(('Business Case'!E11*$C206*'Business Case'!E12*$B206)-'Business Case'!E11*$C206*'Business Case'!E13*$D206-'Business Case'!E14*$E206))*'Business Case'!$B$7-'Business Case'!$B$8*(('Business Case'!E11*$C206*'Business Case'!E12*$B206)-('Business Case'!D11*$C206*'Business Case'!D12*$B206))-'Business Case'!E15*$F206</f>
        <v>718361680.797537</v>
      </c>
      <c r="L206" s="39" t="n">
        <f aca="false">(('Business Case'!F11*$C206*'Business Case'!F12*$B206)-'Business Case'!F11*$C206*'Business Case'!F13*$D206-'Business Case'!F14*$E206)-MAX(0,(('Business Case'!F11*$C206*'Business Case'!F12*$B206)-'Business Case'!F11*$C206*'Business Case'!F13*$D206-'Business Case'!F14*$E206))*'Business Case'!$B$7-'Business Case'!$B$8*(('Business Case'!F11*$C206*'Business Case'!F12*$B206)-('Business Case'!E11*$C206*'Business Case'!E12*$B206))-'Business Case'!F15*$F206</f>
        <v>861937140.59088</v>
      </c>
      <c r="M206" s="39" t="n">
        <f aca="false">(('Business Case'!G11*$C206*'Business Case'!G12*$B206)-'Business Case'!G11*$C206*'Business Case'!G13*$D206-'Business Case'!G14*$E206)-MAX(0,(('Business Case'!G11*$C206*'Business Case'!G12*$B206)-'Business Case'!G11*$C206*'Business Case'!G13*$D206-'Business Case'!G14*$E206))*'Business Case'!$B$7-'Business Case'!$B$8*(('Business Case'!G11*$C206*'Business Case'!G12*$B206)-('Business Case'!F11*$C206*'Business Case'!F12*$B206))-'Business Case'!G15*$F206+'Business Case'!$B$8*('Business Case'!G11*$C206*'Business Case'!G12*$B206)</f>
        <v>1061504446.99883</v>
      </c>
      <c r="N206" s="39" t="n">
        <f aca="false">IF(COUNT('Business Case'!B11:G11)=0,"",H206+NPV(G206,I206:M206))</f>
        <v>168706814.822748</v>
      </c>
      <c r="P206" s="40" t="n">
        <f aca="true">RAND()</f>
        <v>0.828521811872405</v>
      </c>
      <c r="Q206" s="40" t="n">
        <f aca="true">RAND()</f>
        <v>0.761791858089045</v>
      </c>
      <c r="R206" s="40" t="n">
        <f aca="true">RAND()</f>
        <v>0.561383399918805</v>
      </c>
      <c r="S206" s="40" t="n">
        <f aca="true">RAND()</f>
        <v>0.427673641338407</v>
      </c>
      <c r="T206" s="40" t="n">
        <f aca="true">RAND()</f>
        <v>0.13855488044055</v>
      </c>
      <c r="U206" s="40" t="n">
        <f aca="true">RAND()</f>
        <v>0.0200154816629409</v>
      </c>
    </row>
    <row r="207" customFormat="false" ht="15" hidden="false" customHeight="false" outlineLevel="0" collapsed="false">
      <c r="A207" s="36" t="n">
        <v>127</v>
      </c>
      <c r="B207" s="37" t="n">
        <f aca="false">1+IF($G$6=$E$6,$F$6,IF(P207&lt;($F$6-$E$6)/($G$6-$E$6),$E$6+SQRT(P207*($G$6-$E$6)*($F$6-$E$6)),$G$6-SQRT((1-P207)*($G$6-$E$6)*($G$6-$F$6))))</f>
        <v>1.00039915015624</v>
      </c>
      <c r="C207" s="37" t="n">
        <f aca="false">1+IF($G$7=$E$7,$F$7,IF(Q207&lt;($F$7-$E$7)/($G$7-$E$7),$E$7+SQRT(Q207*($G$7-$E$7)*($F$7-$E$7)),$G$7-SQRT((1-Q207)*($G$7-$E$7)*($G$7-$F$7))))</f>
        <v>1.02316370500132</v>
      </c>
      <c r="D207" s="37" t="n">
        <f aca="false">1+IF($G$8=$E$8,$F$8,IF(R207&lt;($F$8-$E$8)/($G$8-$E$8),$E$8+SQRT(R207*($G$8-$E$8)*($F$8-$E$8)),$G$8-SQRT((1-R207)*($G$8-$E$8)*($G$8-$F$8))))</f>
        <v>0.955655855196379</v>
      </c>
      <c r="E207" s="37" t="n">
        <f aca="false">1+IF($G$9=$E$9,$F$9,IF(S207&lt;($F$9-$E$9)/($G$9-$E$9),$E$9+SQRT(S207*($G$9-$E$9)*($F$9-$E$9)),$G$9-SQRT((1-S207)*($G$9-$E$9)*($G$9-$F$9))))</f>
        <v>1.0215769295287</v>
      </c>
      <c r="F207" s="37" t="n">
        <f aca="false">1+IF($G$10=$E$10,$F$10,IF(T207&lt;($F$10-$E$10)/($G$10-$E$10),$E$10+SQRT(T207*($G$10-$E$10)*($F$10-$E$10)),$G$10-SQRT((1-T207)*($G$10-$E$10)*($G$10-$F$10))))</f>
        <v>1.05956094371648</v>
      </c>
      <c r="G207" s="38" t="n">
        <f aca="false">IF($G$11=$E$11,$F$11,IF(U207&lt;($F$11-$E$11)/($G$11-$E$11),$E$11+SQRT(U207*($G$11-$E$11)*($F$11-$E$11)),$G$11-SQRT((1-U207)*($G$11-$E$11)*($G$11-$F$11))))</f>
        <v>0.105562169332308</v>
      </c>
      <c r="H207" s="39" t="n">
        <f aca="false">(('Business Case'!B11*$C207*'Business Case'!B12*$B207)-'Business Case'!B11*$C207*'Business Case'!B13*$D207-'Business Case'!B14*$E207)-MAX(0,(('Business Case'!B11*$C207*'Business Case'!B12*$B207)-'Business Case'!B11*$C207*'Business Case'!B13*$D207-'Business Case'!B14*$E207))*'Business Case'!$B$7-'Business Case'!$B$8*('Business Case'!B11*$C207*'Business Case'!B12*$B207)-'Business Case'!B15*$F207</f>
        <v>-2119121887.43296</v>
      </c>
      <c r="I207" s="39" t="n">
        <f aca="false">(('Business Case'!C11*$C207*'Business Case'!C12*$B207)-'Business Case'!C11*$C207*'Business Case'!C13*$D207-'Business Case'!C14*$E207)-MAX(0,(('Business Case'!C11*$C207*'Business Case'!C12*$B207)-'Business Case'!C11*$C207*'Business Case'!C13*$D207-'Business Case'!C14*$E207))*'Business Case'!$B$7-'Business Case'!$B$8*(('Business Case'!C11*$C207*'Business Case'!C12*$B207)-('Business Case'!B11*$C207*'Business Case'!B12*$B207))-'Business Case'!C15*$F207</f>
        <v>33541458.4188027</v>
      </c>
      <c r="J207" s="39" t="n">
        <f aca="false">(('Business Case'!D11*$C207*'Business Case'!D12*$B207)-'Business Case'!D11*$C207*'Business Case'!D13*$D207-'Business Case'!D14*$E207)-MAX(0,(('Business Case'!D11*$C207*'Business Case'!D12*$B207)-'Business Case'!D11*$C207*'Business Case'!D13*$D207-'Business Case'!D14*$E207))*'Business Case'!$B$7-'Business Case'!$B$8*(('Business Case'!D11*$C207*'Business Case'!D12*$B207)-('Business Case'!C11*$C207*'Business Case'!C12*$B207))-'Business Case'!D15*$F207</f>
        <v>371369228.301693</v>
      </c>
      <c r="K207" s="39" t="n">
        <f aca="false">(('Business Case'!E11*$C207*'Business Case'!E12*$B207)-'Business Case'!E11*$C207*'Business Case'!E13*$D207-'Business Case'!E14*$E207)-MAX(0,(('Business Case'!E11*$C207*'Business Case'!E12*$B207)-'Business Case'!E11*$C207*'Business Case'!E13*$D207-'Business Case'!E14*$E207))*'Business Case'!$B$7-'Business Case'!$B$8*(('Business Case'!E11*$C207*'Business Case'!E12*$B207)-('Business Case'!D11*$C207*'Business Case'!D12*$B207))-'Business Case'!E15*$F207</f>
        <v>762175045.370406</v>
      </c>
      <c r="L207" s="39" t="n">
        <f aca="false">(('Business Case'!F11*$C207*'Business Case'!F12*$B207)-'Business Case'!F11*$C207*'Business Case'!F13*$D207-'Business Case'!F14*$E207)-MAX(0,(('Business Case'!F11*$C207*'Business Case'!F12*$B207)-'Business Case'!F11*$C207*'Business Case'!F13*$D207-'Business Case'!F14*$E207))*'Business Case'!$B$7-'Business Case'!$B$8*(('Business Case'!F11*$C207*'Business Case'!F12*$B207)-('Business Case'!E11*$C207*'Business Case'!E12*$B207))-'Business Case'!F15*$F207</f>
        <v>910158953.807008</v>
      </c>
      <c r="M207" s="39" t="n">
        <f aca="false">(('Business Case'!G11*$C207*'Business Case'!G12*$B207)-'Business Case'!G11*$C207*'Business Case'!G13*$D207-'Business Case'!G14*$E207)-MAX(0,(('Business Case'!G11*$C207*'Business Case'!G12*$B207)-'Business Case'!G11*$C207*'Business Case'!G13*$D207-'Business Case'!G14*$E207))*'Business Case'!$B$7-'Business Case'!$B$8*(('Business Case'!G11*$C207*'Business Case'!G12*$B207)-('Business Case'!F11*$C207*'Business Case'!F12*$B207))-'Business Case'!G15*$F207+'Business Case'!$B$8*('Business Case'!G11*$C207*'Business Case'!G12*$B207)</f>
        <v>1104719538.75635</v>
      </c>
      <c r="N207" s="39" t="n">
        <f aca="false">IF(COUNT('Business Case'!B11:G11)=0,"",H207+NPV(G207,I207:M207))</f>
        <v>57183190.219811</v>
      </c>
      <c r="P207" s="40" t="n">
        <f aca="true">RAND()</f>
        <v>0.673285977427523</v>
      </c>
      <c r="Q207" s="40" t="n">
        <f aca="true">RAND()</f>
        <v>0.693572462304927</v>
      </c>
      <c r="R207" s="40" t="n">
        <f aca="true">RAND()</f>
        <v>0.00492133815421598</v>
      </c>
      <c r="S207" s="40" t="n">
        <f aca="true">RAND()</f>
        <v>0.58998813452361</v>
      </c>
      <c r="T207" s="40" t="n">
        <f aca="true">RAND()</f>
        <v>0.605537429403896</v>
      </c>
      <c r="U207" s="40" t="n">
        <f aca="true">RAND()</f>
        <v>0.65258174268509</v>
      </c>
    </row>
    <row r="208" customFormat="false" ht="15" hidden="false" customHeight="false" outlineLevel="0" collapsed="false">
      <c r="A208" s="36" t="n">
        <v>128</v>
      </c>
      <c r="B208" s="37" t="n">
        <f aca="false">1+IF($G$6=$E$6,$F$6,IF(P208&lt;($F$6-$E$6)/($G$6-$E$6),$E$6+SQRT(P208*($G$6-$E$6)*($F$6-$E$6)),$G$6-SQRT((1-P208)*($G$6-$E$6)*($G$6-$F$6))))</f>
        <v>0.985962337694064</v>
      </c>
      <c r="C208" s="37" t="n">
        <f aca="false">1+IF($G$7=$E$7,$F$7,IF(Q208&lt;($F$7-$E$7)/($G$7-$E$7),$E$7+SQRT(Q208*($G$7-$E$7)*($F$7-$E$7)),$G$7-SQRT((1-Q208)*($G$7-$E$7)*($G$7-$F$7))))</f>
        <v>1.00930068524878</v>
      </c>
      <c r="D208" s="37" t="n">
        <f aca="false">1+IF($G$8=$E$8,$F$8,IF(R208&lt;($F$8-$E$8)/($G$8-$E$8),$E$8+SQRT(R208*($G$8-$E$8)*($F$8-$E$8)),$G$8-SQRT((1-R208)*($G$8-$E$8)*($G$8-$F$8))))</f>
        <v>1.02500776859734</v>
      </c>
      <c r="E208" s="37" t="n">
        <f aca="false">1+IF($G$9=$E$9,$F$9,IF(S208&lt;($F$9-$E$9)/($G$9-$E$9),$E$9+SQRT(S208*($G$9-$E$9)*($F$9-$E$9)),$G$9-SQRT((1-S208)*($G$9-$E$9)*($G$9-$F$9))))</f>
        <v>0.979715996364582</v>
      </c>
      <c r="F208" s="37" t="n">
        <f aca="false">1+IF($G$10=$E$10,$F$10,IF(T208&lt;($F$10-$E$10)/($G$10-$E$10),$E$10+SQRT(T208*($G$10-$E$10)*($F$10-$E$10)),$G$10-SQRT((1-T208)*($G$10-$E$10)*($G$10-$F$10))))</f>
        <v>1.04776573787362</v>
      </c>
      <c r="G208" s="38" t="n">
        <f aca="false">IF($G$11=$E$11,$F$11,IF(U208&lt;($F$11-$E$11)/($G$11-$E$11),$E$11+SQRT(U208*($G$11-$E$11)*($F$11-$E$11)),$G$11-SQRT((1-U208)*($G$11-$E$11)*($G$11-$F$11))))</f>
        <v>0.0994840246286022</v>
      </c>
      <c r="H208" s="39" t="n">
        <f aca="false">(('Business Case'!B11*$C208*'Business Case'!B12*$B208)-'Business Case'!B11*$C208*'Business Case'!B13*$D208-'Business Case'!B14*$E208)-MAX(0,(('Business Case'!B11*$C208*'Business Case'!B12*$B208)-'Business Case'!B11*$C208*'Business Case'!B13*$D208-'Business Case'!B14*$E208))*'Business Case'!$B$7-'Business Case'!$B$8*('Business Case'!B11*$C208*'Business Case'!B12*$B208)-'Business Case'!B15*$F208</f>
        <v>-2095531475.74724</v>
      </c>
      <c r="I208" s="39" t="n">
        <f aca="false">(('Business Case'!C11*$C208*'Business Case'!C12*$B208)-'Business Case'!C11*$C208*'Business Case'!C13*$D208-'Business Case'!C14*$E208)-MAX(0,(('Business Case'!C11*$C208*'Business Case'!C12*$B208)-'Business Case'!C11*$C208*'Business Case'!C13*$D208-'Business Case'!C14*$E208))*'Business Case'!$B$7-'Business Case'!$B$8*(('Business Case'!C11*$C208*'Business Case'!C12*$B208)-('Business Case'!B11*$C208*'Business Case'!B12*$B208))-'Business Case'!C15*$F208</f>
        <v>-10196969.4194219</v>
      </c>
      <c r="J208" s="39" t="n">
        <f aca="false">(('Business Case'!D11*$C208*'Business Case'!D12*$B208)-'Business Case'!D11*$C208*'Business Case'!D13*$D208-'Business Case'!D14*$E208)-MAX(0,(('Business Case'!D11*$C208*'Business Case'!D12*$B208)-'Business Case'!D11*$C208*'Business Case'!D13*$D208-'Business Case'!D14*$E208))*'Business Case'!$B$7-'Business Case'!$B$8*(('Business Case'!D11*$C208*'Business Case'!D12*$B208)-('Business Case'!C11*$C208*'Business Case'!C12*$B208))-'Business Case'!D15*$F208</f>
        <v>275285916.516805</v>
      </c>
      <c r="K208" s="39" t="n">
        <f aca="false">(('Business Case'!E11*$C208*'Business Case'!E12*$B208)-'Business Case'!E11*$C208*'Business Case'!E13*$D208-'Business Case'!E14*$E208)-MAX(0,(('Business Case'!E11*$C208*'Business Case'!E12*$B208)-'Business Case'!E11*$C208*'Business Case'!E13*$D208-'Business Case'!E14*$E208))*'Business Case'!$B$7-'Business Case'!$B$8*(('Business Case'!E11*$C208*'Business Case'!E12*$B208)-('Business Case'!D11*$C208*'Business Case'!D12*$B208))-'Business Case'!E15*$F208</f>
        <v>613157089.346713</v>
      </c>
      <c r="L208" s="39" t="n">
        <f aca="false">(('Business Case'!F11*$C208*'Business Case'!F12*$B208)-'Business Case'!F11*$C208*'Business Case'!F13*$D208-'Business Case'!F14*$E208)-MAX(0,(('Business Case'!F11*$C208*'Business Case'!F12*$B208)-'Business Case'!F11*$C208*'Business Case'!F13*$D208-'Business Case'!F14*$E208))*'Business Case'!$B$7-'Business Case'!$B$8*(('Business Case'!F11*$C208*'Business Case'!F12*$B208)-('Business Case'!E11*$C208*'Business Case'!E12*$B208))-'Business Case'!F15*$F208</f>
        <v>742709829.248951</v>
      </c>
      <c r="M208" s="39" t="n">
        <f aca="false">(('Business Case'!G11*$C208*'Business Case'!G12*$B208)-'Business Case'!G11*$C208*'Business Case'!G13*$D208-'Business Case'!G14*$E208)-MAX(0,(('Business Case'!G11*$C208*'Business Case'!G12*$B208)-'Business Case'!G11*$C208*'Business Case'!G13*$D208-'Business Case'!G14*$E208))*'Business Case'!$B$7-'Business Case'!$B$8*(('Business Case'!G11*$C208*'Business Case'!G12*$B208)-('Business Case'!F11*$C208*'Business Case'!F12*$B208))-'Business Case'!G15*$F208+'Business Case'!$B$8*('Business Case'!G11*$C208*'Business Case'!G12*$B208)</f>
        <v>931864607.828175</v>
      </c>
      <c r="N208" s="39" t="n">
        <f aca="false">IF(COUNT('Business Case'!B11:G11)=0,"",H208+NPV(G208,I208:M208))</f>
        <v>-327553035.013532</v>
      </c>
      <c r="P208" s="40" t="n">
        <f aca="true">RAND()</f>
        <v>0.453232291048515</v>
      </c>
      <c r="Q208" s="40" t="n">
        <f aca="true">RAND()</f>
        <v>0.622927672924496</v>
      </c>
      <c r="R208" s="40" t="n">
        <f aca="true">RAND()</f>
        <v>0.709216777438082</v>
      </c>
      <c r="S208" s="40" t="n">
        <f aca="true">RAND()</f>
        <v>0.117738725325312</v>
      </c>
      <c r="T208" s="40" t="n">
        <f aca="true">RAND()</f>
        <v>0.536494588696738</v>
      </c>
      <c r="U208" s="40" t="n">
        <f aca="true">RAND()</f>
        <v>0.299822410519774</v>
      </c>
    </row>
    <row r="209" customFormat="false" ht="15" hidden="false" customHeight="false" outlineLevel="0" collapsed="false">
      <c r="A209" s="36" t="n">
        <v>129</v>
      </c>
      <c r="B209" s="37" t="n">
        <f aca="false">1+IF($G$6=$E$6,$F$6,IF(P209&lt;($F$6-$E$6)/($G$6-$E$6),$E$6+SQRT(P209*($G$6-$E$6)*($F$6-$E$6)),$G$6-SQRT((1-P209)*($G$6-$E$6)*($G$6-$F$6))))</f>
        <v>1.0084872286265</v>
      </c>
      <c r="C209" s="37" t="n">
        <f aca="false">1+IF($G$7=$E$7,$F$7,IF(Q209&lt;($F$7-$E$7)/($G$7-$E$7),$E$7+SQRT(Q209*($G$7-$E$7)*($F$7-$E$7)),$G$7-SQRT((1-Q209)*($G$7-$E$7)*($G$7-$F$7))))</f>
        <v>1.00386375346452</v>
      </c>
      <c r="D209" s="37" t="n">
        <f aca="false">1+IF($G$8=$E$8,$F$8,IF(R209&lt;($F$8-$E$8)/($G$8-$E$8),$E$8+SQRT(R209*($G$8-$E$8)*($F$8-$E$8)),$G$8-SQRT((1-R209)*($G$8-$E$8)*($G$8-$F$8))))</f>
        <v>1.03801992589818</v>
      </c>
      <c r="E209" s="37" t="n">
        <f aca="false">1+IF($G$9=$E$9,$F$9,IF(S209&lt;($F$9-$E$9)/($G$9-$E$9),$E$9+SQRT(S209*($G$9-$E$9)*($F$9-$E$9)),$G$9-SQRT((1-S209)*($G$9-$E$9)*($G$9-$F$9))))</f>
        <v>1.01556398867304</v>
      </c>
      <c r="F209" s="37" t="n">
        <f aca="false">1+IF($G$10=$E$10,$F$10,IF(T209&lt;($F$10-$E$10)/($G$10-$E$10),$E$10+SQRT(T209*($G$10-$E$10)*($F$10-$E$10)),$G$10-SQRT((1-T209)*($G$10-$E$10)*($G$10-$F$10))))</f>
        <v>1.10497675110391</v>
      </c>
      <c r="G209" s="38" t="n">
        <f aca="false">IF($G$11=$E$11,$F$11,IF(U209&lt;($F$11-$E$11)/($G$11-$E$11),$E$11+SQRT(U209*($G$11-$E$11)*($F$11-$E$11)),$G$11-SQRT((1-U209)*($G$11-$E$11)*($G$11-$F$11))))</f>
        <v>0.0937515430169758</v>
      </c>
      <c r="H209" s="39" t="n">
        <f aca="false">(('Business Case'!B11*$C209*'Business Case'!B12*$B209)-'Business Case'!B11*$C209*'Business Case'!B13*$D209-'Business Case'!B14*$E209)-MAX(0,(('Business Case'!B11*$C209*'Business Case'!B12*$B209)-'Business Case'!B11*$C209*'Business Case'!B13*$D209-'Business Case'!B14*$E209))*'Business Case'!$B$7-'Business Case'!$B$8*('Business Case'!B11*$C209*'Business Case'!B12*$B209)-'Business Case'!B15*$F209</f>
        <v>-2209953502.20782</v>
      </c>
      <c r="I209" s="39" t="n">
        <f aca="false">(('Business Case'!C11*$C209*'Business Case'!C12*$B209)-'Business Case'!C11*$C209*'Business Case'!C13*$D209-'Business Case'!C14*$E209)-MAX(0,(('Business Case'!C11*$C209*'Business Case'!C12*$B209)-'Business Case'!C11*$C209*'Business Case'!C13*$D209-'Business Case'!C14*$E209))*'Business Case'!$B$7-'Business Case'!$B$8*(('Business Case'!C11*$C209*'Business Case'!C12*$B209)-('Business Case'!B11*$C209*'Business Case'!B12*$B209))-'Business Case'!C15*$F209</f>
        <v>-11613940.1004379</v>
      </c>
      <c r="J209" s="39" t="n">
        <f aca="false">(('Business Case'!D11*$C209*'Business Case'!D12*$B209)-'Business Case'!D11*$C209*'Business Case'!D13*$D209-'Business Case'!D14*$E209)-MAX(0,(('Business Case'!D11*$C209*'Business Case'!D12*$B209)-'Business Case'!D11*$C209*'Business Case'!D13*$D209-'Business Case'!D14*$E209))*'Business Case'!$B$7-'Business Case'!$B$8*(('Business Case'!D11*$C209*'Business Case'!D12*$B209)-('Business Case'!C11*$C209*'Business Case'!C12*$B209))-'Business Case'!D15*$F209</f>
        <v>284164968.97668</v>
      </c>
      <c r="K209" s="39" t="n">
        <f aca="false">(('Business Case'!E11*$C209*'Business Case'!E12*$B209)-'Business Case'!E11*$C209*'Business Case'!E13*$D209-'Business Case'!E14*$E209)-MAX(0,(('Business Case'!E11*$C209*'Business Case'!E12*$B209)-'Business Case'!E11*$C209*'Business Case'!E13*$D209-'Business Case'!E14*$E209))*'Business Case'!$B$7-'Business Case'!$B$8*(('Business Case'!E11*$C209*'Business Case'!E12*$B209)-('Business Case'!D11*$C209*'Business Case'!D12*$B209))-'Business Case'!E15*$F209</f>
        <v>635192715.608993</v>
      </c>
      <c r="L209" s="39" t="n">
        <f aca="false">(('Business Case'!F11*$C209*'Business Case'!F12*$B209)-'Business Case'!F11*$C209*'Business Case'!F13*$D209-'Business Case'!F14*$E209)-MAX(0,(('Business Case'!F11*$C209*'Business Case'!F12*$B209)-'Business Case'!F11*$C209*'Business Case'!F13*$D209-'Business Case'!F14*$E209))*'Business Case'!$B$7-'Business Case'!$B$8*(('Business Case'!F11*$C209*'Business Case'!F12*$B209)-('Business Case'!E11*$C209*'Business Case'!E12*$B209))-'Business Case'!F15*$F209</f>
        <v>768773668.55327</v>
      </c>
      <c r="M209" s="39" t="n">
        <f aca="false">(('Business Case'!G11*$C209*'Business Case'!G12*$B209)-'Business Case'!G11*$C209*'Business Case'!G13*$D209-'Business Case'!G14*$E209)-MAX(0,(('Business Case'!G11*$C209*'Business Case'!G12*$B209)-'Business Case'!G11*$C209*'Business Case'!G13*$D209-'Business Case'!G14*$E209))*'Business Case'!$B$7-'Business Case'!$B$8*(('Business Case'!G11*$C209*'Business Case'!G12*$B209)-('Business Case'!F11*$C209*'Business Case'!F12*$B209))-'Business Case'!G15*$F209+'Business Case'!$B$8*('Business Case'!G11*$C209*'Business Case'!G12*$B209)</f>
        <v>961207576.438749</v>
      </c>
      <c r="N209" s="39" t="n">
        <f aca="false">IF(COUNT('Business Case'!B11:G11)=0,"",H209+NPV(G209,I209:M209))</f>
        <v>-346315103.669158</v>
      </c>
      <c r="P209" s="40" t="n">
        <f aca="true">RAND()</f>
        <v>0.793113591742026</v>
      </c>
      <c r="Q209" s="40" t="n">
        <f aca="true">RAND()</f>
        <v>0.593222808543268</v>
      </c>
      <c r="R209" s="40" t="n">
        <f aca="true">RAND()</f>
        <v>0.830545517154406</v>
      </c>
      <c r="S209" s="40" t="n">
        <f aca="true">RAND()</f>
        <v>0.524703999412952</v>
      </c>
      <c r="T209" s="40" t="n">
        <f aca="true">RAND()</f>
        <v>0.819411643384628</v>
      </c>
      <c r="U209" s="40" t="n">
        <f aca="true">RAND()</f>
        <v>0.0469135833607333</v>
      </c>
    </row>
    <row r="210" customFormat="false" ht="15" hidden="false" customHeight="false" outlineLevel="0" collapsed="false">
      <c r="A210" s="36" t="n">
        <v>130</v>
      </c>
      <c r="B210" s="37" t="n">
        <f aca="false">1+IF($G$6=$E$6,$F$6,IF(P210&lt;($F$6-$E$6)/($G$6-$E$6),$E$6+SQRT(P210*($G$6-$E$6)*($F$6-$E$6)),$G$6-SQRT((1-P210)*($G$6-$E$6)*($G$6-$F$6))))</f>
        <v>0.981185065456248</v>
      </c>
      <c r="C210" s="37" t="n">
        <f aca="false">1+IF($G$7=$E$7,$F$7,IF(Q210&lt;($F$7-$E$7)/($G$7-$E$7),$E$7+SQRT(Q210*($G$7-$E$7)*($F$7-$E$7)),$G$7-SQRT((1-Q210)*($G$7-$E$7)*($G$7-$F$7))))</f>
        <v>1.01318631479274</v>
      </c>
      <c r="D210" s="37" t="n">
        <f aca="false">1+IF($G$8=$E$8,$F$8,IF(R210&lt;($F$8-$E$8)/($G$8-$E$8),$E$8+SQRT(R210*($G$8-$E$8)*($F$8-$E$8)),$G$8-SQRT((1-R210)*($G$8-$E$8)*($G$8-$F$8))))</f>
        <v>0.966353294947096</v>
      </c>
      <c r="E210" s="37" t="n">
        <f aca="false">1+IF($G$9=$E$9,$F$9,IF(S210&lt;($F$9-$E$9)/($G$9-$E$9),$E$9+SQRT(S210*($G$9-$E$9)*($F$9-$E$9)),$G$9-SQRT((1-S210)*($G$9-$E$9)*($G$9-$F$9))))</f>
        <v>0.984547981997306</v>
      </c>
      <c r="F210" s="37" t="n">
        <f aca="false">1+IF($G$10=$E$10,$F$10,IF(T210&lt;($F$10-$E$10)/($G$10-$E$10),$E$10+SQRT(T210*($G$10-$E$10)*($F$10-$E$10)),$G$10-SQRT((1-T210)*($G$10-$E$10)*($G$10-$F$10))))</f>
        <v>1.19502394198033</v>
      </c>
      <c r="G210" s="38" t="n">
        <f aca="false">IF($G$11=$E$11,$F$11,IF(U210&lt;($F$11-$E$11)/($G$11-$E$11),$E$11+SQRT(U210*($G$11-$E$11)*($F$11-$E$11)),$G$11-SQRT((1-U210)*($G$11-$E$11)*($G$11-$F$11))))</f>
        <v>0.113007874821512</v>
      </c>
      <c r="H210" s="39" t="n">
        <f aca="false">(('Business Case'!B11*$C210*'Business Case'!B12*$B210)-'Business Case'!B11*$C210*'Business Case'!B13*$D210-'Business Case'!B14*$E210)-MAX(0,(('Business Case'!B11*$C210*'Business Case'!B12*$B210)-'Business Case'!B11*$C210*'Business Case'!B13*$D210-'Business Case'!B14*$E210))*'Business Case'!$B$7-'Business Case'!$B$8*('Business Case'!B11*$C210*'Business Case'!B12*$B210)-'Business Case'!B15*$F210</f>
        <v>-2390047883.96067</v>
      </c>
      <c r="I210" s="39" t="n">
        <f aca="false">(('Business Case'!C11*$C210*'Business Case'!C12*$B210)-'Business Case'!C11*$C210*'Business Case'!C13*$D210-'Business Case'!C14*$E210)-MAX(0,(('Business Case'!C11*$C210*'Business Case'!C12*$B210)-'Business Case'!C11*$C210*'Business Case'!C13*$D210-'Business Case'!C14*$E210))*'Business Case'!$B$7-'Business Case'!$B$8*(('Business Case'!C11*$C210*'Business Case'!C12*$B210)-('Business Case'!B11*$C210*'Business Case'!B12*$B210))-'Business Case'!C15*$F210</f>
        <v>1999285.20542061</v>
      </c>
      <c r="J210" s="39" t="n">
        <f aca="false">(('Business Case'!D11*$C210*'Business Case'!D12*$B210)-'Business Case'!D11*$C210*'Business Case'!D13*$D210-'Business Case'!D14*$E210)-MAX(0,(('Business Case'!D11*$C210*'Business Case'!D12*$B210)-'Business Case'!D11*$C210*'Business Case'!D13*$D210-'Business Case'!D14*$E210))*'Business Case'!$B$7-'Business Case'!$B$8*(('Business Case'!D11*$C210*'Business Case'!D12*$B210)-('Business Case'!C11*$C210*'Business Case'!C12*$B210))-'Business Case'!D15*$F210</f>
        <v>315039038.515159</v>
      </c>
      <c r="K210" s="39" t="n">
        <f aca="false">(('Business Case'!E11*$C210*'Business Case'!E12*$B210)-'Business Case'!E11*$C210*'Business Case'!E13*$D210-'Business Case'!E14*$E210)-MAX(0,(('Business Case'!E11*$C210*'Business Case'!E12*$B210)-'Business Case'!E11*$C210*'Business Case'!E13*$D210-'Business Case'!E14*$E210))*'Business Case'!$B$7-'Business Case'!$B$8*(('Business Case'!E11*$C210*'Business Case'!E12*$B210)-('Business Case'!D11*$C210*'Business Case'!D12*$B210))-'Business Case'!E15*$F210</f>
        <v>687829988.923913</v>
      </c>
      <c r="L210" s="39" t="n">
        <f aca="false">(('Business Case'!F11*$C210*'Business Case'!F12*$B210)-'Business Case'!F11*$C210*'Business Case'!F13*$D210-'Business Case'!F14*$E210)-MAX(0,(('Business Case'!F11*$C210*'Business Case'!F12*$B210)-'Business Case'!F11*$C210*'Business Case'!F13*$D210-'Business Case'!F14*$E210))*'Business Case'!$B$7-'Business Case'!$B$8*(('Business Case'!F11*$C210*'Business Case'!F12*$B210)-('Business Case'!E11*$C210*'Business Case'!E12*$B210))-'Business Case'!F15*$F210</f>
        <v>826533473.938004</v>
      </c>
      <c r="M210" s="39" t="n">
        <f aca="false">(('Business Case'!G11*$C210*'Business Case'!G12*$B210)-'Business Case'!G11*$C210*'Business Case'!G13*$D210-'Business Case'!G14*$E210)-MAX(0,(('Business Case'!G11*$C210*'Business Case'!G12*$B210)-'Business Case'!G11*$C210*'Business Case'!G13*$D210-'Business Case'!G14*$E210))*'Business Case'!$B$7-'Business Case'!$B$8*(('Business Case'!G11*$C210*'Business Case'!G12*$B210)-('Business Case'!F11*$C210*'Business Case'!F12*$B210))-'Business Case'!G15*$F210+'Business Case'!$B$8*('Business Case'!G11*$C210*'Business Case'!G12*$B210)</f>
        <v>1015496427.11432</v>
      </c>
      <c r="N210" s="39" t="n">
        <f aca="false">IF(COUNT('Business Case'!B11:G11)=0,"",H210+NPV(G210,I210:M210))</f>
        <v>-501920296.47062</v>
      </c>
      <c r="P210" s="40" t="n">
        <f aca="true">RAND()</f>
        <v>0.389959607800555</v>
      </c>
      <c r="Q210" s="40" t="n">
        <f aca="true">RAND()</f>
        <v>0.643466962666828</v>
      </c>
      <c r="R210" s="40" t="n">
        <f aca="true">RAND()</f>
        <v>0.0411431162502645</v>
      </c>
      <c r="S210" s="40" t="n">
        <f aca="true">RAND()</f>
        <v>0.159141741344821</v>
      </c>
      <c r="T210" s="40" t="n">
        <f aca="true">RAND()</f>
        <v>0.999504776931699</v>
      </c>
      <c r="U210" s="40" t="n">
        <f aca="true">RAND()</f>
        <v>0.918516975813921</v>
      </c>
    </row>
    <row r="211" customFormat="false" ht="15" hidden="false" customHeight="false" outlineLevel="0" collapsed="false">
      <c r="A211" s="36" t="n">
        <v>131</v>
      </c>
      <c r="B211" s="37" t="n">
        <f aca="false">1+IF($G$6=$E$6,$F$6,IF(P211&lt;($F$6-$E$6)/($G$6-$E$6),$E$6+SQRT(P211*($G$6-$E$6)*($F$6-$E$6)),$G$6-SQRT((1-P211)*($G$6-$E$6)*($G$6-$F$6))))</f>
        <v>1.02771136371037</v>
      </c>
      <c r="C211" s="37" t="n">
        <f aca="false">1+IF($G$7=$E$7,$F$7,IF(Q211&lt;($F$7-$E$7)/($G$7-$E$7),$E$7+SQRT(Q211*($G$7-$E$7)*($F$7-$E$7)),$G$7-SQRT((1-Q211)*($G$7-$E$7)*($G$7-$F$7))))</f>
        <v>1.01082030883509</v>
      </c>
      <c r="D211" s="37" t="n">
        <f aca="false">1+IF($G$8=$E$8,$F$8,IF(R211&lt;($F$8-$E$8)/($G$8-$E$8),$E$8+SQRT(R211*($G$8-$E$8)*($F$8-$E$8)),$G$8-SQRT((1-R211)*($G$8-$E$8)*($G$8-$F$8))))</f>
        <v>1.01670533797438</v>
      </c>
      <c r="E211" s="37" t="n">
        <f aca="false">1+IF($G$9=$E$9,$F$9,IF(S211&lt;($F$9-$E$9)/($G$9-$E$9),$E$9+SQRT(S211*($G$9-$E$9)*($F$9-$E$9)),$G$9-SQRT((1-S211)*($G$9-$E$9)*($G$9-$F$9))))</f>
        <v>1.02549242798991</v>
      </c>
      <c r="F211" s="37" t="n">
        <f aca="false">1+IF($G$10=$E$10,$F$10,IF(T211&lt;($F$10-$E$10)/($G$10-$E$10),$E$10+SQRT(T211*($G$10-$E$10)*($F$10-$E$10)),$G$10-SQRT((1-T211)*($G$10-$E$10)*($G$10-$F$10))))</f>
        <v>1.11923441715533</v>
      </c>
      <c r="G211" s="38" t="n">
        <f aca="false">IF($G$11=$E$11,$F$11,IF(U211&lt;($F$11-$E$11)/($G$11-$E$11),$E$11+SQRT(U211*($G$11-$E$11)*($F$11-$E$11)),$G$11-SQRT((1-U211)*($G$11-$E$11)*($G$11-$F$11))))</f>
        <v>0.111290331143988</v>
      </c>
      <c r="H211" s="39" t="n">
        <f aca="false">(('Business Case'!B11*$C211*'Business Case'!B12*$B211)-'Business Case'!B11*$C211*'Business Case'!B13*$D211-'Business Case'!B14*$E211)-MAX(0,(('Business Case'!B11*$C211*'Business Case'!B12*$B211)-'Business Case'!B11*$C211*'Business Case'!B13*$D211-'Business Case'!B14*$E211))*'Business Case'!$B$7-'Business Case'!$B$8*('Business Case'!B11*$C211*'Business Case'!B12*$B211)-'Business Case'!B15*$F211</f>
        <v>-2238468834.31066</v>
      </c>
      <c r="I211" s="39" t="n">
        <f aca="false">(('Business Case'!C11*$C211*'Business Case'!C12*$B211)-'Business Case'!C11*$C211*'Business Case'!C13*$D211-'Business Case'!C14*$E211)-MAX(0,(('Business Case'!C11*$C211*'Business Case'!C12*$B211)-'Business Case'!C11*$C211*'Business Case'!C13*$D211-'Business Case'!C14*$E211))*'Business Case'!$B$7-'Business Case'!$B$8*(('Business Case'!C11*$C211*'Business Case'!C12*$B211)-('Business Case'!B11*$C211*'Business Case'!B12*$B211))-'Business Case'!C15*$F211</f>
        <v>13172856.0925995</v>
      </c>
      <c r="J211" s="39" t="n">
        <f aca="false">(('Business Case'!D11*$C211*'Business Case'!D12*$B211)-'Business Case'!D11*$C211*'Business Case'!D13*$D211-'Business Case'!D14*$E211)-MAX(0,(('Business Case'!D11*$C211*'Business Case'!D12*$B211)-'Business Case'!D11*$C211*'Business Case'!D13*$D211-'Business Case'!D14*$E211))*'Business Case'!$B$7-'Business Case'!$B$8*(('Business Case'!D11*$C211*'Business Case'!D12*$B211)-('Business Case'!C11*$C211*'Business Case'!C12*$B211))-'Business Case'!D15*$F211</f>
        <v>337947203.057078</v>
      </c>
      <c r="K211" s="39" t="n">
        <f aca="false">(('Business Case'!E11*$C211*'Business Case'!E12*$B211)-'Business Case'!E11*$C211*'Business Case'!E13*$D211-'Business Case'!E14*$E211)-MAX(0,(('Business Case'!E11*$C211*'Business Case'!E12*$B211)-'Business Case'!E11*$C211*'Business Case'!E13*$D211-'Business Case'!E14*$E211))*'Business Case'!$B$7-'Business Case'!$B$8*(('Business Case'!E11*$C211*'Business Case'!E12*$B211)-('Business Case'!D11*$C211*'Business Case'!D12*$B211))-'Business Case'!E15*$F211</f>
        <v>718683270.879323</v>
      </c>
      <c r="L211" s="39" t="n">
        <f aca="false">(('Business Case'!F11*$C211*'Business Case'!F12*$B211)-'Business Case'!F11*$C211*'Business Case'!F13*$D211-'Business Case'!F14*$E211)-MAX(0,(('Business Case'!F11*$C211*'Business Case'!F12*$B211)-'Business Case'!F11*$C211*'Business Case'!F13*$D211-'Business Case'!F14*$E211))*'Business Case'!$B$7-'Business Case'!$B$8*(('Business Case'!F11*$C211*'Business Case'!F12*$B211)-('Business Case'!E11*$C211*'Business Case'!E12*$B211))-'Business Case'!F15*$F211</f>
        <v>862843403.79827</v>
      </c>
      <c r="M211" s="39" t="n">
        <f aca="false">(('Business Case'!G11*$C211*'Business Case'!G12*$B211)-'Business Case'!G11*$C211*'Business Case'!G13*$D211-'Business Case'!G14*$E211)-MAX(0,(('Business Case'!G11*$C211*'Business Case'!G12*$B211)-'Business Case'!G11*$C211*'Business Case'!G13*$D211-'Business Case'!G14*$E211))*'Business Case'!$B$7-'Business Case'!$B$8*(('Business Case'!G11*$C211*'Business Case'!G12*$B211)-('Business Case'!F11*$C211*'Business Case'!F12*$B211))-'Business Case'!G15*$F211+'Business Case'!$B$8*('Business Case'!G11*$C211*'Business Case'!G12*$B211)</f>
        <v>1060304498.75093</v>
      </c>
      <c r="N211" s="39" t="n">
        <f aca="false">IF(COUNT('Business Case'!B11:G11)=0,"",H211+NPV(G211,I211:M211))</f>
        <v>-237958603.491987</v>
      </c>
      <c r="P211" s="40" t="n">
        <f aca="true">RAND()</f>
        <v>0.968539462112731</v>
      </c>
      <c r="Q211" s="40" t="n">
        <f aca="true">RAND()</f>
        <v>0.631028829852205</v>
      </c>
      <c r="R211" s="40" t="n">
        <f aca="true">RAND()</f>
        <v>0.614787092217492</v>
      </c>
      <c r="S211" s="40" t="n">
        <f aca="true">RAND()</f>
        <v>0.629908114210719</v>
      </c>
      <c r="T211" s="40" t="n">
        <f aca="true">RAND()</f>
        <v>0.869538412555222</v>
      </c>
      <c r="U211" s="40" t="n">
        <f aca="true">RAND()</f>
        <v>0.873569447364356</v>
      </c>
    </row>
    <row r="212" customFormat="false" ht="15" hidden="false" customHeight="false" outlineLevel="0" collapsed="false">
      <c r="A212" s="36" t="n">
        <v>132</v>
      </c>
      <c r="B212" s="37" t="n">
        <f aca="false">1+IF($G$6=$E$6,$F$6,IF(P212&lt;($F$6-$E$6)/($G$6-$E$6),$E$6+SQRT(P212*($G$6-$E$6)*($F$6-$E$6)),$G$6-SQRT((1-P212)*($G$6-$E$6)*($G$6-$F$6))))</f>
        <v>1.01199376883222</v>
      </c>
      <c r="C212" s="37" t="n">
        <f aca="false">1+IF($G$7=$E$7,$F$7,IF(Q212&lt;($F$7-$E$7)/($G$7-$E$7),$E$7+SQRT(Q212*($G$7-$E$7)*($F$7-$E$7)),$G$7-SQRT((1-Q212)*($G$7-$E$7)*($G$7-$F$7))))</f>
        <v>0.952756459361195</v>
      </c>
      <c r="D212" s="37" t="n">
        <f aca="false">1+IF($G$8=$E$8,$F$8,IF(R212&lt;($F$8-$E$8)/($G$8-$E$8),$E$8+SQRT(R212*($G$8-$E$8)*($F$8-$E$8)),$G$8-SQRT((1-R212)*($G$8-$E$8)*($G$8-$F$8))))</f>
        <v>0.960781742147202</v>
      </c>
      <c r="E212" s="37" t="n">
        <f aca="false">1+IF($G$9=$E$9,$F$9,IF(S212&lt;($F$9-$E$9)/($G$9-$E$9),$E$9+SQRT(S212*($G$9-$E$9)*($F$9-$E$9)),$G$9-SQRT((1-S212)*($G$9-$E$9)*($G$9-$F$9))))</f>
        <v>1.03969037739059</v>
      </c>
      <c r="F212" s="37" t="n">
        <f aca="false">1+IF($G$10=$E$10,$F$10,IF(T212&lt;($F$10-$E$10)/($G$10-$E$10),$E$10+SQRT(T212*($G$10-$E$10)*($F$10-$E$10)),$G$10-SQRT((1-T212)*($G$10-$E$10)*($G$10-$F$10))))</f>
        <v>0.992925313341498</v>
      </c>
      <c r="G212" s="38" t="n">
        <f aca="false">IF($G$11=$E$11,$F$11,IF(U212&lt;($F$11-$E$11)/($G$11-$E$11),$E$11+SQRT(U212*($G$11-$E$11)*($F$11-$E$11)),$G$11-SQRT((1-U212)*($G$11-$E$11)*($G$11-$F$11))))</f>
        <v>0.110651357713577</v>
      </c>
      <c r="H212" s="39" t="n">
        <f aca="false">(('Business Case'!B11*$C212*'Business Case'!B12*$B212)-'Business Case'!B11*$C212*'Business Case'!B13*$D212-'Business Case'!B14*$E212)-MAX(0,(('Business Case'!B11*$C212*'Business Case'!B12*$B212)-'Business Case'!B11*$C212*'Business Case'!B13*$D212-'Business Case'!B14*$E212))*'Business Case'!$B$7-'Business Case'!$B$8*('Business Case'!B11*$C212*'Business Case'!B12*$B212)-'Business Case'!B15*$F212</f>
        <v>-1985850626.683</v>
      </c>
      <c r="I212" s="39" t="n">
        <f aca="false">(('Business Case'!C11*$C212*'Business Case'!C12*$B212)-'Business Case'!C11*$C212*'Business Case'!C13*$D212-'Business Case'!C14*$E212)-MAX(0,(('Business Case'!C11*$C212*'Business Case'!C12*$B212)-'Business Case'!C11*$C212*'Business Case'!C13*$D212-'Business Case'!C14*$E212))*'Business Case'!$B$7-'Business Case'!$B$8*(('Business Case'!C11*$C212*'Business Case'!C12*$B212)-('Business Case'!B11*$C212*'Business Case'!B12*$B212))-'Business Case'!C15*$F212</f>
        <v>24009042.5807039</v>
      </c>
      <c r="J212" s="39" t="n">
        <f aca="false">(('Business Case'!D11*$C212*'Business Case'!D12*$B212)-'Business Case'!D11*$C212*'Business Case'!D13*$D212-'Business Case'!D14*$E212)-MAX(0,(('Business Case'!D11*$C212*'Business Case'!D12*$B212)-'Business Case'!D11*$C212*'Business Case'!D13*$D212-'Business Case'!D14*$E212))*'Business Case'!$B$7-'Business Case'!$B$8*(('Business Case'!D11*$C212*'Business Case'!D12*$B212)-('Business Case'!C11*$C212*'Business Case'!C12*$B212))-'Business Case'!D15*$F212</f>
        <v>345137865.98907</v>
      </c>
      <c r="K212" s="39" t="n">
        <f aca="false">(('Business Case'!E11*$C212*'Business Case'!E12*$B212)-'Business Case'!E11*$C212*'Business Case'!E13*$D212-'Business Case'!E14*$E212)-MAX(0,(('Business Case'!E11*$C212*'Business Case'!E12*$B212)-'Business Case'!E11*$C212*'Business Case'!E13*$D212-'Business Case'!E14*$E212))*'Business Case'!$B$7-'Business Case'!$B$8*(('Business Case'!E11*$C212*'Business Case'!E12*$B212)-('Business Case'!D11*$C212*'Business Case'!D12*$B212))-'Business Case'!E15*$F212</f>
        <v>715912955.064511</v>
      </c>
      <c r="L212" s="39" t="n">
        <f aca="false">(('Business Case'!F11*$C212*'Business Case'!F12*$B212)-'Business Case'!F11*$C212*'Business Case'!F13*$D212-'Business Case'!F14*$E212)-MAX(0,(('Business Case'!F11*$C212*'Business Case'!F12*$B212)-'Business Case'!F11*$C212*'Business Case'!F13*$D212-'Business Case'!F14*$E212))*'Business Case'!$B$7-'Business Case'!$B$8*(('Business Case'!F11*$C212*'Business Case'!F12*$B212)-('Business Case'!E11*$C212*'Business Case'!E12*$B212))-'Business Case'!F15*$F212</f>
        <v>856278081.419681</v>
      </c>
      <c r="M212" s="39" t="n">
        <f aca="false">(('Business Case'!G11*$C212*'Business Case'!G12*$B212)-'Business Case'!G11*$C212*'Business Case'!G13*$D212-'Business Case'!G14*$E212)-MAX(0,(('Business Case'!G11*$C212*'Business Case'!G12*$B212)-'Business Case'!G11*$C212*'Business Case'!G13*$D212-'Business Case'!G14*$E212))*'Business Case'!$B$7-'Business Case'!$B$8*(('Business Case'!G11*$C212*'Business Case'!G12*$B212)-('Business Case'!F11*$C212*'Business Case'!F12*$B212))-'Business Case'!G15*$F212+'Business Case'!$B$8*('Business Case'!G11*$C212*'Business Case'!G12*$B212)</f>
        <v>1039550100.12444</v>
      </c>
      <c r="N212" s="39" t="n">
        <f aca="false">IF(COUNT('Business Case'!B11:G11)=0,"",H212+NPV(G212,I212:M212))</f>
        <v>15958911.1566143</v>
      </c>
      <c r="P212" s="40" t="n">
        <f aca="true">RAND()</f>
        <v>0.836593961620212</v>
      </c>
      <c r="Q212" s="40" t="n">
        <f aca="true">RAND()</f>
        <v>0.333350512522404</v>
      </c>
      <c r="R212" s="40" t="n">
        <f aca="true">RAND()</f>
        <v>0.0178839944198076</v>
      </c>
      <c r="S212" s="40" t="n">
        <f aca="true">RAND()</f>
        <v>0.757516628047331</v>
      </c>
      <c r="T212" s="40" t="n">
        <f aca="true">RAND()</f>
        <v>0.147406602037261</v>
      </c>
      <c r="U212" s="40" t="n">
        <f aca="true">RAND()</f>
        <v>0.854338145667504</v>
      </c>
    </row>
    <row r="213" customFormat="false" ht="15" hidden="false" customHeight="false" outlineLevel="0" collapsed="false">
      <c r="A213" s="36" t="n">
        <v>133</v>
      </c>
      <c r="B213" s="37" t="n">
        <f aca="false">1+IF($G$6=$E$6,$F$6,IF(P213&lt;($F$6-$E$6)/($G$6-$E$6),$E$6+SQRT(P213*($G$6-$E$6)*($F$6-$E$6)),$G$6-SQRT((1-P213)*($G$6-$E$6)*($G$6-$F$6))))</f>
        <v>0.978071478323694</v>
      </c>
      <c r="C213" s="37" t="n">
        <f aca="false">1+IF($G$7=$E$7,$F$7,IF(Q213&lt;($F$7-$E$7)/($G$7-$E$7),$E$7+SQRT(Q213*($G$7-$E$7)*($F$7-$E$7)),$G$7-SQRT((1-Q213)*($G$7-$E$7)*($G$7-$F$7))))</f>
        <v>0.973440240735786</v>
      </c>
      <c r="D213" s="37" t="n">
        <f aca="false">1+IF($G$8=$E$8,$F$8,IF(R213&lt;($F$8-$E$8)/($G$8-$E$8),$E$8+SQRT(R213*($G$8-$E$8)*($F$8-$E$8)),$G$8-SQRT((1-R213)*($G$8-$E$8)*($G$8-$F$8))))</f>
        <v>0.986029116270076</v>
      </c>
      <c r="E213" s="37" t="n">
        <f aca="false">1+IF($G$9=$E$9,$F$9,IF(S213&lt;($F$9-$E$9)/($G$9-$E$9),$E$9+SQRT(S213*($G$9-$E$9)*($F$9-$E$9)),$G$9-SQRT((1-S213)*($G$9-$E$9)*($G$9-$F$9))))</f>
        <v>1.0588519993899</v>
      </c>
      <c r="F213" s="37" t="n">
        <f aca="false">1+IF($G$10=$E$10,$F$10,IF(T213&lt;($F$10-$E$10)/($G$10-$E$10),$E$10+SQRT(T213*($G$10-$E$10)*($F$10-$E$10)),$G$10-SQRT((1-T213)*($G$10-$E$10)*($G$10-$F$10))))</f>
        <v>0.984247322221043</v>
      </c>
      <c r="G213" s="38" t="n">
        <f aca="false">IF($G$11=$E$11,$F$11,IF(U213&lt;($F$11-$E$11)/($G$11-$E$11),$E$11+SQRT(U213*($G$11-$E$11)*($F$11-$E$11)),$G$11-SQRT((1-U213)*($G$11-$E$11)*($G$11-$F$11))))</f>
        <v>0.109733973186601</v>
      </c>
      <c r="H213" s="39" t="n">
        <f aca="false">(('Business Case'!B11*$C213*'Business Case'!B12*$B213)-'Business Case'!B11*$C213*'Business Case'!B13*$D213-'Business Case'!B14*$E213)-MAX(0,(('Business Case'!B11*$C213*'Business Case'!B12*$B213)-'Business Case'!B11*$C213*'Business Case'!B13*$D213-'Business Case'!B14*$E213))*'Business Case'!$B$7-'Business Case'!$B$8*('Business Case'!B11*$C213*'Business Case'!B12*$B213)-'Business Case'!B15*$F213</f>
        <v>-1968494644.44209</v>
      </c>
      <c r="I213" s="39" t="n">
        <f aca="false">(('Business Case'!C11*$C213*'Business Case'!C12*$B213)-'Business Case'!C11*$C213*'Business Case'!C13*$D213-'Business Case'!C14*$E213)-MAX(0,(('Business Case'!C11*$C213*'Business Case'!C12*$B213)-'Business Case'!C11*$C213*'Business Case'!C13*$D213-'Business Case'!C14*$E213))*'Business Case'!$B$7-'Business Case'!$B$8*(('Business Case'!C11*$C213*'Business Case'!C12*$B213)-('Business Case'!B11*$C213*'Business Case'!B12*$B213))-'Business Case'!C15*$F213</f>
        <v>-9877906.87577811</v>
      </c>
      <c r="J213" s="39" t="n">
        <f aca="false">(('Business Case'!D11*$C213*'Business Case'!D12*$B213)-'Business Case'!D11*$C213*'Business Case'!D13*$D213-'Business Case'!D14*$E213)-MAX(0,(('Business Case'!D11*$C213*'Business Case'!D12*$B213)-'Business Case'!D11*$C213*'Business Case'!D13*$D213-'Business Case'!D14*$E213))*'Business Case'!$B$7-'Business Case'!$B$8*(('Business Case'!D11*$C213*'Business Case'!D12*$B213)-('Business Case'!C11*$C213*'Business Case'!C12*$B213))-'Business Case'!D15*$F213</f>
        <v>278594232.758585</v>
      </c>
      <c r="K213" s="39" t="n">
        <f aca="false">(('Business Case'!E11*$C213*'Business Case'!E12*$B213)-'Business Case'!E11*$C213*'Business Case'!E13*$D213-'Business Case'!E14*$E213)-MAX(0,(('Business Case'!E11*$C213*'Business Case'!E12*$B213)-'Business Case'!E11*$C213*'Business Case'!E13*$D213-'Business Case'!E14*$E213))*'Business Case'!$B$7-'Business Case'!$B$8*(('Business Case'!E11*$C213*'Business Case'!E12*$B213)-('Business Case'!D11*$C213*'Business Case'!D12*$B213))-'Business Case'!E15*$F213</f>
        <v>616278738.504</v>
      </c>
      <c r="L213" s="39" t="n">
        <f aca="false">(('Business Case'!F11*$C213*'Business Case'!F12*$B213)-'Business Case'!F11*$C213*'Business Case'!F13*$D213-'Business Case'!F14*$E213)-MAX(0,(('Business Case'!F11*$C213*'Business Case'!F12*$B213)-'Business Case'!F11*$C213*'Business Case'!F13*$D213-'Business Case'!F14*$E213))*'Business Case'!$B$7-'Business Case'!$B$8*(('Business Case'!F11*$C213*'Business Case'!F12*$B213)-('Business Case'!E11*$C213*'Business Case'!E12*$B213))-'Business Case'!F15*$F213</f>
        <v>745340491.698649</v>
      </c>
      <c r="M213" s="39" t="n">
        <f aca="false">(('Business Case'!G11*$C213*'Business Case'!G12*$B213)-'Business Case'!G11*$C213*'Business Case'!G13*$D213-'Business Case'!G14*$E213)-MAX(0,(('Business Case'!G11*$C213*'Business Case'!G12*$B213)-'Business Case'!G11*$C213*'Business Case'!G13*$D213-'Business Case'!G14*$E213))*'Business Case'!$B$7-'Business Case'!$B$8*(('Business Case'!G11*$C213*'Business Case'!G12*$B213)-('Business Case'!F11*$C213*'Business Case'!F12*$B213))-'Business Case'!G15*$F213+'Business Case'!$B$8*('Business Case'!G11*$C213*'Business Case'!G12*$B213)</f>
        <v>926314544.939557</v>
      </c>
      <c r="N213" s="39" t="n">
        <f aca="false">IF(COUNT('Business Case'!B11:G11)=0,"",H213+NPV(G213,I213:M213))</f>
        <v>-258400551.275128</v>
      </c>
      <c r="P213" s="40" t="n">
        <f aca="true">RAND()</f>
        <v>0.351280895281178</v>
      </c>
      <c r="Q213" s="40" t="n">
        <f aca="true">RAND()</f>
        <v>0.429735958664104</v>
      </c>
      <c r="R213" s="40" t="n">
        <f aca="true">RAND()</f>
        <v>0.199707264492716</v>
      </c>
      <c r="S213" s="40" t="n">
        <f aca="true">RAND()</f>
        <v>0.887122803052734</v>
      </c>
      <c r="T213" s="40" t="n">
        <f aca="true">RAND()</f>
        <v>0.093830326344956</v>
      </c>
      <c r="U213" s="40" t="n">
        <f aca="true">RAND()</f>
        <v>0.8243478224443</v>
      </c>
    </row>
    <row r="214" customFormat="false" ht="15" hidden="false" customHeight="false" outlineLevel="0" collapsed="false">
      <c r="A214" s="36" t="n">
        <v>134</v>
      </c>
      <c r="B214" s="37" t="n">
        <f aca="false">1+IF($G$6=$E$6,$F$6,IF(P214&lt;($F$6-$E$6)/($G$6-$E$6),$E$6+SQRT(P214*($G$6-$E$6)*($F$6-$E$6)),$G$6-SQRT((1-P214)*($G$6-$E$6)*($G$6-$F$6))))</f>
        <v>0.988842158824833</v>
      </c>
      <c r="C214" s="37" t="n">
        <f aca="false">1+IF($G$7=$E$7,$F$7,IF(Q214&lt;($F$7-$E$7)/($G$7-$E$7),$E$7+SQRT(Q214*($G$7-$E$7)*($F$7-$E$7)),$G$7-SQRT((1-Q214)*($G$7-$E$7)*($G$7-$F$7))))</f>
        <v>0.948811399091176</v>
      </c>
      <c r="D214" s="37" t="n">
        <f aca="false">1+IF($G$8=$E$8,$F$8,IF(R214&lt;($F$8-$E$8)/($G$8-$E$8),$E$8+SQRT(R214*($G$8-$E$8)*($F$8-$E$8)),$G$8-SQRT((1-R214)*($G$8-$E$8)*($G$8-$F$8))))</f>
        <v>1.01406641265084</v>
      </c>
      <c r="E214" s="37" t="n">
        <f aca="false">1+IF($G$9=$E$9,$F$9,IF(S214&lt;($F$9-$E$9)/($G$9-$E$9),$E$9+SQRT(S214*($G$9-$E$9)*($F$9-$E$9)),$G$9-SQRT((1-S214)*($G$9-$E$9)*($G$9-$F$9))))</f>
        <v>0.963699410480684</v>
      </c>
      <c r="F214" s="37" t="n">
        <f aca="false">1+IF($G$10=$E$10,$F$10,IF(T214&lt;($F$10-$E$10)/($G$10-$E$10),$E$10+SQRT(T214*($G$10-$E$10)*($F$10-$E$10)),$G$10-SQRT((1-T214)*($G$10-$E$10)*($G$10-$F$10))))</f>
        <v>1.00268443377113</v>
      </c>
      <c r="G214" s="38" t="n">
        <f aca="false">IF($G$11=$E$11,$F$11,IF(U214&lt;($F$11-$E$11)/($G$11-$E$11),$E$11+SQRT(U214*($G$11-$E$11)*($F$11-$E$11)),$G$11-SQRT((1-U214)*($G$11-$E$11)*($G$11-$F$11))))</f>
        <v>0.0987136341349185</v>
      </c>
      <c r="H214" s="39" t="n">
        <f aca="false">(('Business Case'!B11*$C214*'Business Case'!B12*$B214)-'Business Case'!B11*$C214*'Business Case'!B13*$D214-'Business Case'!B14*$E214)-MAX(0,(('Business Case'!B11*$C214*'Business Case'!B12*$B214)-'Business Case'!B11*$C214*'Business Case'!B13*$D214-'Business Case'!B14*$E214))*'Business Case'!$B$7-'Business Case'!$B$8*('Business Case'!B11*$C214*'Business Case'!B12*$B214)-'Business Case'!B15*$F214</f>
        <v>-2005368867.54226</v>
      </c>
      <c r="I214" s="39" t="n">
        <f aca="false">(('Business Case'!C11*$C214*'Business Case'!C12*$B214)-'Business Case'!C11*$C214*'Business Case'!C13*$D214-'Business Case'!C14*$E214)-MAX(0,(('Business Case'!C11*$C214*'Business Case'!C12*$B214)-'Business Case'!C11*$C214*'Business Case'!C13*$D214-'Business Case'!C14*$E214))*'Business Case'!$B$7-'Business Case'!$B$8*(('Business Case'!C11*$C214*'Business Case'!C12*$B214)-('Business Case'!B11*$C214*'Business Case'!B12*$B214))-'Business Case'!C15*$F214</f>
        <v>-10018283.679397</v>
      </c>
      <c r="J214" s="39" t="n">
        <f aca="false">(('Business Case'!D11*$C214*'Business Case'!D12*$B214)-'Business Case'!D11*$C214*'Business Case'!D13*$D214-'Business Case'!D14*$E214)-MAX(0,(('Business Case'!D11*$C214*'Business Case'!D12*$B214)-'Business Case'!D11*$C214*'Business Case'!D13*$D214-'Business Case'!D14*$E214))*'Business Case'!$B$7-'Business Case'!$B$8*(('Business Case'!D11*$C214*'Business Case'!D12*$B214)-('Business Case'!C11*$C214*'Business Case'!C12*$B214))-'Business Case'!D15*$F214</f>
        <v>265907501.268857</v>
      </c>
      <c r="K214" s="39" t="n">
        <f aca="false">(('Business Case'!E11*$C214*'Business Case'!E12*$B214)-'Business Case'!E11*$C214*'Business Case'!E13*$D214-'Business Case'!E14*$E214)-MAX(0,(('Business Case'!E11*$C214*'Business Case'!E12*$B214)-'Business Case'!E11*$C214*'Business Case'!E13*$D214-'Business Case'!E14*$E214))*'Business Case'!$B$7-'Business Case'!$B$8*(('Business Case'!E11*$C214*'Business Case'!E12*$B214)-('Business Case'!D11*$C214*'Business Case'!D12*$B214))-'Business Case'!E15*$F214</f>
        <v>591967507.905668</v>
      </c>
      <c r="L214" s="39" t="n">
        <f aca="false">(('Business Case'!F11*$C214*'Business Case'!F12*$B214)-'Business Case'!F11*$C214*'Business Case'!F13*$D214-'Business Case'!F14*$E214)-MAX(0,(('Business Case'!F11*$C214*'Business Case'!F12*$B214)-'Business Case'!F11*$C214*'Business Case'!F13*$D214-'Business Case'!F14*$E214))*'Business Case'!$B$7-'Business Case'!$B$8*(('Business Case'!F11*$C214*'Business Case'!F12*$B214)-('Business Case'!E11*$C214*'Business Case'!E12*$B214))-'Business Case'!F15*$F214</f>
        <v>716367815.608542</v>
      </c>
      <c r="M214" s="39" t="n">
        <f aca="false">(('Business Case'!G11*$C214*'Business Case'!G12*$B214)-'Business Case'!G11*$C214*'Business Case'!G13*$D214-'Business Case'!G14*$E214)-MAX(0,(('Business Case'!G11*$C214*'Business Case'!G12*$B214)-'Business Case'!G11*$C214*'Business Case'!G13*$D214-'Business Case'!G14*$E214))*'Business Case'!$B$7-'Business Case'!$B$8*(('Business Case'!G11*$C214*'Business Case'!G12*$B214)-('Business Case'!F11*$C214*'Business Case'!F12*$B214))-'Business Case'!G15*$F214+'Business Case'!$B$8*('Business Case'!G11*$C214*'Business Case'!G12*$B214)</f>
        <v>894705568.902554</v>
      </c>
      <c r="N214" s="39" t="n">
        <f aca="false">IF(COUNT('Business Case'!B11:G11)=0,"",H214+NPV(G214,I214:M214))</f>
        <v>-297510169.376456</v>
      </c>
      <c r="P214" s="40" t="n">
        <f aca="true">RAND()</f>
        <v>0.493671128298284</v>
      </c>
      <c r="Q214" s="40" t="n">
        <f aca="true">RAND()</f>
        <v>0.316354749992477</v>
      </c>
      <c r="R214" s="40" t="n">
        <f aca="true">RAND()</f>
        <v>0.581996351852982</v>
      </c>
      <c r="S214" s="40" t="n">
        <f aca="true">RAND()</f>
        <v>0.0250231796691034</v>
      </c>
      <c r="T214" s="40" t="n">
        <f aca="true">RAND()</f>
        <v>0.22133134647559</v>
      </c>
      <c r="U214" s="40" t="n">
        <f aca="true">RAND()</f>
        <v>0.253091399457389</v>
      </c>
    </row>
    <row r="215" customFormat="false" ht="15" hidden="false" customHeight="false" outlineLevel="0" collapsed="false">
      <c r="A215" s="36" t="n">
        <v>135</v>
      </c>
      <c r="B215" s="37" t="n">
        <f aca="false">1+IF($G$6=$E$6,$F$6,IF(P215&lt;($F$6-$E$6)/($G$6-$E$6),$E$6+SQRT(P215*($G$6-$E$6)*($F$6-$E$6)),$G$6-SQRT((1-P215)*($G$6-$E$6)*($G$6-$F$6))))</f>
        <v>1.00723380598243</v>
      </c>
      <c r="C215" s="37" t="n">
        <f aca="false">1+IF($G$7=$E$7,$F$7,IF(Q215&lt;($F$7-$E$7)/($G$7-$E$7),$E$7+SQRT(Q215*($G$7-$E$7)*($F$7-$E$7)),$G$7-SQRT((1-Q215)*($G$7-$E$7)*($G$7-$F$7))))</f>
        <v>0.862712728410725</v>
      </c>
      <c r="D215" s="37" t="n">
        <f aca="false">1+IF($G$8=$E$8,$F$8,IF(R215&lt;($F$8-$E$8)/($G$8-$E$8),$E$8+SQRT(R215*($G$8-$E$8)*($F$8-$E$8)),$G$8-SQRT((1-R215)*($G$8-$E$8)*($G$8-$F$8))))</f>
        <v>1.05265266790744</v>
      </c>
      <c r="E215" s="37" t="n">
        <f aca="false">1+IF($G$9=$E$9,$F$9,IF(S215&lt;($F$9-$E$9)/($G$9-$E$9),$E$9+SQRT(S215*($G$9-$E$9)*($F$9-$E$9)),$G$9-SQRT((1-S215)*($G$9-$E$9)*($G$9-$F$9))))</f>
        <v>1.01202533060984</v>
      </c>
      <c r="F215" s="37" t="n">
        <f aca="false">1+IF($G$10=$E$10,$F$10,IF(T215&lt;($F$10-$E$10)/($G$10-$E$10),$E$10+SQRT(T215*($G$10-$E$10)*($F$10-$E$10)),$G$10-SQRT((1-T215)*($G$10-$E$10)*($G$10-$F$10))))</f>
        <v>1.09129503639746</v>
      </c>
      <c r="G215" s="38" t="n">
        <f aca="false">IF($G$11=$E$11,$F$11,IF(U215&lt;($F$11-$E$11)/($G$11-$E$11),$E$11+SQRT(U215*($G$11-$E$11)*($F$11-$E$11)),$G$11-SQRT((1-U215)*($G$11-$E$11)*($G$11-$F$11))))</f>
        <v>0.110105503989417</v>
      </c>
      <c r="H215" s="39" t="n">
        <f aca="false">(('Business Case'!B11*$C215*'Business Case'!B12*$B215)-'Business Case'!B11*$C215*'Business Case'!B13*$D215-'Business Case'!B14*$E215)-MAX(0,(('Business Case'!B11*$C215*'Business Case'!B12*$B215)-'Business Case'!B11*$C215*'Business Case'!B13*$D215-'Business Case'!B14*$E215))*'Business Case'!$B$7-'Business Case'!$B$8*('Business Case'!B11*$C215*'Business Case'!B12*$B215)-'Business Case'!B15*$F215</f>
        <v>-2182590072.79492</v>
      </c>
      <c r="I215" s="39" t="n">
        <f aca="false">(('Business Case'!C11*$C215*'Business Case'!C12*$B215)-'Business Case'!C11*$C215*'Business Case'!C13*$D215-'Business Case'!C14*$E215)-MAX(0,(('Business Case'!C11*$C215*'Business Case'!C12*$B215)-'Business Case'!C11*$C215*'Business Case'!C13*$D215-'Business Case'!C14*$E215))*'Business Case'!$B$7-'Business Case'!$B$8*(('Business Case'!C11*$C215*'Business Case'!C12*$B215)-('Business Case'!B11*$C215*'Business Case'!B12*$B215))-'Business Case'!C15*$F215</f>
        <v>-51244050.4681106</v>
      </c>
      <c r="J215" s="39" t="n">
        <f aca="false">(('Business Case'!D11*$C215*'Business Case'!D12*$B215)-'Business Case'!D11*$C215*'Business Case'!D13*$D215-'Business Case'!D14*$E215)-MAX(0,(('Business Case'!D11*$C215*'Business Case'!D12*$B215)-'Business Case'!D11*$C215*'Business Case'!D13*$D215-'Business Case'!D14*$E215))*'Business Case'!$B$7-'Business Case'!$B$8*(('Business Case'!D11*$C215*'Business Case'!D12*$B215)-('Business Case'!C11*$C215*'Business Case'!C12*$B215))-'Business Case'!D15*$F215</f>
        <v>195597950.263404</v>
      </c>
      <c r="K215" s="39" t="n">
        <f aca="false">(('Business Case'!E11*$C215*'Business Case'!E12*$B215)-'Business Case'!E11*$C215*'Business Case'!E13*$D215-'Business Case'!E14*$E215)-MAX(0,(('Business Case'!E11*$C215*'Business Case'!E12*$B215)-'Business Case'!E11*$C215*'Business Case'!E13*$D215-'Business Case'!E14*$E215))*'Business Case'!$B$7-'Business Case'!$B$8*(('Business Case'!E11*$C215*'Business Case'!E12*$B215)-('Business Case'!D11*$C215*'Business Case'!D12*$B215))-'Business Case'!E15*$F215</f>
        <v>497004702.814792</v>
      </c>
      <c r="L215" s="39" t="n">
        <f aca="false">(('Business Case'!F11*$C215*'Business Case'!F12*$B215)-'Business Case'!F11*$C215*'Business Case'!F13*$D215-'Business Case'!F14*$E215)-MAX(0,(('Business Case'!F11*$C215*'Business Case'!F12*$B215)-'Business Case'!F11*$C215*'Business Case'!F13*$D215-'Business Case'!F14*$E215))*'Business Case'!$B$7-'Business Case'!$B$8*(('Business Case'!F11*$C215*'Business Case'!F12*$B215)-('Business Case'!E11*$C215*'Business Case'!E12*$B215))-'Business Case'!F15*$F215</f>
        <v>609316400.090069</v>
      </c>
      <c r="M215" s="39" t="n">
        <f aca="false">(('Business Case'!G11*$C215*'Business Case'!G12*$B215)-'Business Case'!G11*$C215*'Business Case'!G13*$D215-'Business Case'!G14*$E215)-MAX(0,(('Business Case'!G11*$C215*'Business Case'!G12*$B215)-'Business Case'!G11*$C215*'Business Case'!G13*$D215-'Business Case'!G14*$E215))*'Business Case'!$B$7-'Business Case'!$B$8*(('Business Case'!G11*$C215*'Business Case'!G12*$B215)-('Business Case'!F11*$C215*'Business Case'!F12*$B215))-'Business Case'!G15*$F215+'Business Case'!$B$8*('Business Case'!G11*$C215*'Business Case'!G12*$B215)</f>
        <v>774487067.09632</v>
      </c>
      <c r="N215" s="39" t="n">
        <f aca="false">IF(COUNT('Business Case'!B11:G11)=0,"",H215+NPV(G215,I215:M215))</f>
        <v>-846103004.246931</v>
      </c>
      <c r="P215" s="40" t="n">
        <f aca="true">RAND()</f>
        <v>0.776328443667319</v>
      </c>
      <c r="Q215" s="40" t="n">
        <f aca="true">RAND()</f>
        <v>0.0561840900673907</v>
      </c>
      <c r="R215" s="40" t="n">
        <f aca="true">RAND()</f>
        <v>0.928088791098002</v>
      </c>
      <c r="S215" s="40" t="n">
        <f aca="true">RAND()</f>
        <v>0.484030503046163</v>
      </c>
      <c r="T215" s="40" t="n">
        <f aca="true">RAND()</f>
        <v>0.763664617763413</v>
      </c>
      <c r="U215" s="40" t="n">
        <f aca="true">RAND()</f>
        <v>0.836831581160932</v>
      </c>
    </row>
    <row r="216" customFormat="false" ht="15" hidden="false" customHeight="false" outlineLevel="0" collapsed="false">
      <c r="A216" s="36" t="n">
        <v>136</v>
      </c>
      <c r="B216" s="37" t="n">
        <f aca="false">1+IF($G$6=$E$6,$F$6,IF(P216&lt;($F$6-$E$6)/($G$6-$E$6),$E$6+SQRT(P216*($G$6-$E$6)*($F$6-$E$6)),$G$6-SQRT((1-P216)*($G$6-$E$6)*($G$6-$F$6))))</f>
        <v>0.996719729088252</v>
      </c>
      <c r="C216" s="37" t="n">
        <f aca="false">1+IF($G$7=$E$7,$F$7,IF(Q216&lt;($F$7-$E$7)/($G$7-$E$7),$E$7+SQRT(Q216*($G$7-$E$7)*($F$7-$E$7)),$G$7-SQRT((1-Q216)*($G$7-$E$7)*($G$7-$F$7))))</f>
        <v>1.05497611765756</v>
      </c>
      <c r="D216" s="37" t="n">
        <f aca="false">1+IF($G$8=$E$8,$F$8,IF(R216&lt;($F$8-$E$8)/($G$8-$E$8),$E$8+SQRT(R216*($G$8-$E$8)*($F$8-$E$8)),$G$8-SQRT((1-R216)*($G$8-$E$8)*($G$8-$F$8))))</f>
        <v>1.01682574846456</v>
      </c>
      <c r="E216" s="37" t="n">
        <f aca="false">1+IF($G$9=$E$9,$F$9,IF(S216&lt;($F$9-$E$9)/($G$9-$E$9),$E$9+SQRT(S216*($G$9-$E$9)*($F$9-$E$9)),$G$9-SQRT((1-S216)*($G$9-$E$9)*($G$9-$F$9))))</f>
        <v>0.98601906611076</v>
      </c>
      <c r="F216" s="37" t="n">
        <f aca="false">1+IF($G$10=$E$10,$F$10,IF(T216&lt;($F$10-$E$10)/($G$10-$E$10),$E$10+SQRT(T216*($G$10-$E$10)*($F$10-$E$10)),$G$10-SQRT((1-T216)*($G$10-$E$10)*($G$10-$F$10))))</f>
        <v>0.996953411259606</v>
      </c>
      <c r="G216" s="38" t="n">
        <f aca="false">IF($G$11=$E$11,$F$11,IF(U216&lt;($F$11-$E$11)/($G$11-$E$11),$E$11+SQRT(U216*($G$11-$E$11)*($F$11-$E$11)),$G$11-SQRT((1-U216)*($G$11-$E$11)*($G$11-$F$11))))</f>
        <v>0.104860628232678</v>
      </c>
      <c r="H216" s="39" t="n">
        <f aca="false">(('Business Case'!B11*$C216*'Business Case'!B12*$B216)-'Business Case'!B11*$C216*'Business Case'!B13*$D216-'Business Case'!B14*$E216)-MAX(0,(('Business Case'!B11*$C216*'Business Case'!B12*$B216)-'Business Case'!B11*$C216*'Business Case'!B13*$D216-'Business Case'!B14*$E216))*'Business Case'!$B$7-'Business Case'!$B$8*('Business Case'!B11*$C216*'Business Case'!B12*$B216)-'Business Case'!B15*$F216</f>
        <v>-1993906822.51921</v>
      </c>
      <c r="I216" s="39" t="n">
        <f aca="false">(('Business Case'!C11*$C216*'Business Case'!C12*$B216)-'Business Case'!C11*$C216*'Business Case'!C13*$D216-'Business Case'!C14*$E216)-MAX(0,(('Business Case'!C11*$C216*'Business Case'!C12*$B216)-'Business Case'!C11*$C216*'Business Case'!C13*$D216-'Business Case'!C14*$E216))*'Business Case'!$B$7-'Business Case'!$B$8*(('Business Case'!C11*$C216*'Business Case'!C12*$B216)-('Business Case'!B11*$C216*'Business Case'!B12*$B216))-'Business Case'!C15*$F216</f>
        <v>17698750.9446344</v>
      </c>
      <c r="J216" s="39" t="n">
        <f aca="false">(('Business Case'!D11*$C216*'Business Case'!D12*$B216)-'Business Case'!D11*$C216*'Business Case'!D13*$D216-'Business Case'!D14*$E216)-MAX(0,(('Business Case'!D11*$C216*'Business Case'!D12*$B216)-'Business Case'!D11*$C216*'Business Case'!D13*$D216-'Business Case'!D14*$E216))*'Business Case'!$B$7-'Business Case'!$B$8*(('Business Case'!D11*$C216*'Business Case'!D12*$B216)-('Business Case'!C11*$C216*'Business Case'!C12*$B216))-'Business Case'!D15*$F216</f>
        <v>329815318.264233</v>
      </c>
      <c r="K216" s="39" t="n">
        <f aca="false">(('Business Case'!E11*$C216*'Business Case'!E12*$B216)-'Business Case'!E11*$C216*'Business Case'!E13*$D216-'Business Case'!E14*$E216)-MAX(0,(('Business Case'!E11*$C216*'Business Case'!E12*$B216)-'Business Case'!E11*$C216*'Business Case'!E13*$D216-'Business Case'!E14*$E216))*'Business Case'!$B$7-'Business Case'!$B$8*(('Business Case'!E11*$C216*'Business Case'!E12*$B216)-('Business Case'!D11*$C216*'Business Case'!D12*$B216))-'Business Case'!E15*$F216</f>
        <v>691779556.146812</v>
      </c>
      <c r="L216" s="39" t="n">
        <f aca="false">(('Business Case'!F11*$C216*'Business Case'!F12*$B216)-'Business Case'!F11*$C216*'Business Case'!F13*$D216-'Business Case'!F14*$E216)-MAX(0,(('Business Case'!F11*$C216*'Business Case'!F12*$B216)-'Business Case'!F11*$C216*'Business Case'!F13*$D216-'Business Case'!F14*$E216))*'Business Case'!$B$7-'Business Case'!$B$8*(('Business Case'!F11*$C216*'Business Case'!F12*$B216)-('Business Case'!E11*$C216*'Business Case'!E12*$B216))-'Business Case'!F15*$F216</f>
        <v>832158787.952047</v>
      </c>
      <c r="M216" s="39" t="n">
        <f aca="false">(('Business Case'!G11*$C216*'Business Case'!G12*$B216)-'Business Case'!G11*$C216*'Business Case'!G13*$D216-'Business Case'!G14*$E216)-MAX(0,(('Business Case'!G11*$C216*'Business Case'!G12*$B216)-'Business Case'!G11*$C216*'Business Case'!G13*$D216-'Business Case'!G14*$E216))*'Business Case'!$B$7-'Business Case'!$B$8*(('Business Case'!G11*$C216*'Business Case'!G12*$B216)-('Business Case'!F11*$C216*'Business Case'!F12*$B216))-'Business Case'!G15*$F216+'Business Case'!$B$8*('Business Case'!G11*$C216*'Business Case'!G12*$B216)</f>
        <v>1032030856.12824</v>
      </c>
      <c r="N216" s="39" t="n">
        <f aca="false">IF(COUNT('Business Case'!B11:G11)=0,"",H216+NPV(G216,I216:M216))</f>
        <v>-9513967.60039806</v>
      </c>
      <c r="P216" s="40" t="n">
        <f aca="true">RAND()</f>
        <v>0.613116336601536</v>
      </c>
      <c r="Q216" s="40" t="n">
        <f aca="true">RAND()</f>
        <v>0.828008795896574</v>
      </c>
      <c r="R216" s="40" t="n">
        <f aca="true">RAND()</f>
        <v>0.616251340666998</v>
      </c>
      <c r="S216" s="40" t="n">
        <f aca="true">RAND()</f>
        <v>0.17298308313217</v>
      </c>
      <c r="T216" s="40" t="n">
        <f aca="true">RAND()</f>
        <v>0.176369826313095</v>
      </c>
      <c r="U216" s="40" t="n">
        <f aca="true">RAND()</f>
        <v>0.617999037484675</v>
      </c>
    </row>
    <row r="217" customFormat="false" ht="15" hidden="false" customHeight="false" outlineLevel="0" collapsed="false">
      <c r="A217" s="36" t="n">
        <v>137</v>
      </c>
      <c r="B217" s="37" t="n">
        <f aca="false">1+IF($G$6=$E$6,$F$6,IF(P217&lt;($F$6-$E$6)/($G$6-$E$6),$E$6+SQRT(P217*($G$6-$E$6)*($F$6-$E$6)),$G$6-SQRT((1-P217)*($G$6-$E$6)*($G$6-$F$6))))</f>
        <v>1.03443101095447</v>
      </c>
      <c r="C217" s="37" t="n">
        <f aca="false">1+IF($G$7=$E$7,$F$7,IF(Q217&lt;($F$7-$E$7)/($G$7-$E$7),$E$7+SQRT(Q217*($G$7-$E$7)*($F$7-$E$7)),$G$7-SQRT((1-Q217)*($G$7-$E$7)*($G$7-$F$7))))</f>
        <v>0.940566458583758</v>
      </c>
      <c r="D217" s="37" t="n">
        <f aca="false">1+IF($G$8=$E$8,$F$8,IF(R217&lt;($F$8-$E$8)/($G$8-$E$8),$E$8+SQRT(R217*($G$8-$E$8)*($F$8-$E$8)),$G$8-SQRT((1-R217)*($G$8-$E$8)*($G$8-$F$8))))</f>
        <v>0.994251544515476</v>
      </c>
      <c r="E217" s="37" t="n">
        <f aca="false">1+IF($G$9=$E$9,$F$9,IF(S217&lt;($F$9-$E$9)/($G$9-$E$9),$E$9+SQRT(S217*($G$9-$E$9)*($F$9-$E$9)),$G$9-SQRT((1-S217)*($G$9-$E$9)*($G$9-$F$9))))</f>
        <v>0.992342327195746</v>
      </c>
      <c r="F217" s="37" t="n">
        <f aca="false">1+IF($G$10=$E$10,$F$10,IF(T217&lt;($F$10-$E$10)/($G$10-$E$10),$E$10+SQRT(T217*($G$10-$E$10)*($F$10-$E$10)),$G$10-SQRT((1-T217)*($G$10-$E$10)*($G$10-$F$10))))</f>
        <v>1.0335812477637</v>
      </c>
      <c r="G217" s="38" t="n">
        <f aca="false">IF($G$11=$E$11,$F$11,IF(U217&lt;($F$11-$E$11)/($G$11-$E$11),$E$11+SQRT(U217*($G$11-$E$11)*($F$11-$E$11)),$G$11-SQRT((1-U217)*($G$11-$E$11)*($G$11-$F$11))))</f>
        <v>0.100133562782115</v>
      </c>
      <c r="H217" s="39" t="n">
        <f aca="false">(('Business Case'!B11*$C217*'Business Case'!B12*$B217)-'Business Case'!B11*$C217*'Business Case'!B13*$D217-'Business Case'!B14*$E217)-MAX(0,(('Business Case'!B11*$C217*'Business Case'!B12*$B217)-'Business Case'!B11*$C217*'Business Case'!B13*$D217-'Business Case'!B14*$E217))*'Business Case'!$B$7-'Business Case'!$B$8*('Business Case'!B11*$C217*'Business Case'!B12*$B217)-'Business Case'!B15*$F217</f>
        <v>-2067162495.52741</v>
      </c>
      <c r="I217" s="39" t="n">
        <f aca="false">(('Business Case'!C11*$C217*'Business Case'!C12*$B217)-'Business Case'!C11*$C217*'Business Case'!C13*$D217-'Business Case'!C14*$E217)-MAX(0,(('Business Case'!C11*$C217*'Business Case'!C12*$B217)-'Business Case'!C11*$C217*'Business Case'!C13*$D217-'Business Case'!C14*$E217))*'Business Case'!$B$7-'Business Case'!$B$8*(('Business Case'!C11*$C217*'Business Case'!C12*$B217)-('Business Case'!B11*$C217*'Business Case'!B12*$B217))-'Business Case'!C15*$F217</f>
        <v>23283094.1752672</v>
      </c>
      <c r="J217" s="39" t="n">
        <f aca="false">(('Business Case'!D11*$C217*'Business Case'!D12*$B217)-'Business Case'!D11*$C217*'Business Case'!D13*$D217-'Business Case'!D14*$E217)-MAX(0,(('Business Case'!D11*$C217*'Business Case'!D12*$B217)-'Business Case'!D11*$C217*'Business Case'!D13*$D217-'Business Case'!D14*$E217))*'Business Case'!$B$7-'Business Case'!$B$8*(('Business Case'!D11*$C217*'Business Case'!D12*$B217)-('Business Case'!C11*$C217*'Business Case'!C12*$B217))-'Business Case'!D15*$F217</f>
        <v>341473177.732499</v>
      </c>
      <c r="K217" s="39" t="n">
        <f aca="false">(('Business Case'!E11*$C217*'Business Case'!E12*$B217)-'Business Case'!E11*$C217*'Business Case'!E13*$D217-'Business Case'!E14*$E217)-MAX(0,(('Business Case'!E11*$C217*'Business Case'!E12*$B217)-'Business Case'!E11*$C217*'Business Case'!E13*$D217-'Business Case'!E14*$E217))*'Business Case'!$B$7-'Business Case'!$B$8*(('Business Case'!E11*$C217*'Business Case'!E12*$B217)-('Business Case'!D11*$C217*'Business Case'!D12*$B217))-'Business Case'!E15*$F217</f>
        <v>711342323.677915</v>
      </c>
      <c r="L217" s="39" t="n">
        <f aca="false">(('Business Case'!F11*$C217*'Business Case'!F12*$B217)-'Business Case'!F11*$C217*'Business Case'!F13*$D217-'Business Case'!F14*$E217)-MAX(0,(('Business Case'!F11*$C217*'Business Case'!F12*$B217)-'Business Case'!F11*$C217*'Business Case'!F13*$D217-'Business Case'!F14*$E217))*'Business Case'!$B$7-'Business Case'!$B$8*(('Business Case'!F11*$C217*'Business Case'!F12*$B217)-('Business Case'!E11*$C217*'Business Case'!E12*$B217))-'Business Case'!F15*$F217</f>
        <v>851030875.315898</v>
      </c>
      <c r="M217" s="39" t="n">
        <f aca="false">(('Business Case'!G11*$C217*'Business Case'!G12*$B217)-'Business Case'!G11*$C217*'Business Case'!G13*$D217-'Business Case'!G14*$E217)-MAX(0,(('Business Case'!G11*$C217*'Business Case'!G12*$B217)-'Business Case'!G11*$C217*'Business Case'!G13*$D217-'Business Case'!G14*$E217))*'Business Case'!$B$7-'Business Case'!$B$8*(('Business Case'!G11*$C217*'Business Case'!G12*$B217)-('Business Case'!F11*$C217*'Business Case'!F12*$B217))-'Business Case'!G15*$F217+'Business Case'!$B$8*('Business Case'!G11*$C217*'Business Case'!G12*$B217)</f>
        <v>1035969422.80321</v>
      </c>
      <c r="N217" s="39" t="n">
        <f aca="false">IF(COUNT('Business Case'!B11:G11)=0,"",H217+NPV(G217,I217:M217))</f>
        <v>-5762073.35224009</v>
      </c>
      <c r="P217" s="40" t="n">
        <f aca="true">RAND()</f>
        <v>0.993538825210582</v>
      </c>
      <c r="Q217" s="40" t="n">
        <f aca="true">RAND()</f>
        <v>0.282270418268277</v>
      </c>
      <c r="R217" s="40" t="n">
        <f aca="true">RAND()</f>
        <v>0.301261414154645</v>
      </c>
      <c r="S217" s="40" t="n">
        <f aca="true">RAND()</f>
        <v>0.239049689646883</v>
      </c>
      <c r="T217" s="40" t="n">
        <f aca="true">RAND()</f>
        <v>0.446095978082277</v>
      </c>
      <c r="U217" s="40" t="n">
        <f aca="true">RAND()</f>
        <v>0.342207787113044</v>
      </c>
    </row>
    <row r="218" customFormat="false" ht="15" hidden="false" customHeight="false" outlineLevel="0" collapsed="false">
      <c r="A218" s="36" t="n">
        <v>138</v>
      </c>
      <c r="B218" s="37" t="n">
        <f aca="false">1+IF($G$6=$E$6,$F$6,IF(P218&lt;($F$6-$E$6)/($G$6-$E$6),$E$6+SQRT(P218*($G$6-$E$6)*($F$6-$E$6)),$G$6-SQRT((1-P218)*($G$6-$E$6)*($G$6-$F$6))))</f>
        <v>1.00196300342814</v>
      </c>
      <c r="C218" s="37" t="n">
        <f aca="false">1+IF($G$7=$E$7,$F$7,IF(Q218&lt;($F$7-$E$7)/($G$7-$E$7),$E$7+SQRT(Q218*($G$7-$E$7)*($F$7-$E$7)),$G$7-SQRT((1-Q218)*($G$7-$E$7)*($G$7-$F$7))))</f>
        <v>0.999725342179156</v>
      </c>
      <c r="D218" s="37" t="n">
        <f aca="false">1+IF($G$8=$E$8,$F$8,IF(R218&lt;($F$8-$E$8)/($G$8-$E$8),$E$8+SQRT(R218*($G$8-$E$8)*($F$8-$E$8)),$G$8-SQRT((1-R218)*($G$8-$E$8)*($G$8-$F$8))))</f>
        <v>1.03457711394275</v>
      </c>
      <c r="E218" s="37" t="n">
        <f aca="false">1+IF($G$9=$E$9,$F$9,IF(S218&lt;($F$9-$E$9)/($G$9-$E$9),$E$9+SQRT(S218*($G$9-$E$9)*($F$9-$E$9)),$G$9-SQRT((1-S218)*($G$9-$E$9)*($G$9-$F$9))))</f>
        <v>1.05844176035611</v>
      </c>
      <c r="F218" s="37" t="n">
        <f aca="false">1+IF($G$10=$E$10,$F$10,IF(T218&lt;($F$10-$E$10)/($G$10-$E$10),$E$10+SQRT(T218*($G$10-$E$10)*($F$10-$E$10)),$G$10-SQRT((1-T218)*($G$10-$E$10)*($G$10-$F$10))))</f>
        <v>0.97725349356271</v>
      </c>
      <c r="G218" s="38" t="n">
        <f aca="false">IF($G$11=$E$11,$F$11,IF(U218&lt;($F$11-$E$11)/($G$11-$E$11),$E$11+SQRT(U218*($G$11-$E$11)*($F$11-$E$11)),$G$11-SQRT((1-U218)*($G$11-$E$11)*($G$11-$F$11))))</f>
        <v>0.0934194885699814</v>
      </c>
      <c r="H218" s="39" t="n">
        <f aca="false">(('Business Case'!B11*$C218*'Business Case'!B12*$B218)-'Business Case'!B11*$C218*'Business Case'!B13*$D218-'Business Case'!B14*$E218)-MAX(0,(('Business Case'!B11*$C218*'Business Case'!B12*$B218)-'Business Case'!B11*$C218*'Business Case'!B13*$D218-'Business Case'!B14*$E218))*'Business Case'!$B$7-'Business Case'!$B$8*('Business Case'!B11*$C218*'Business Case'!B12*$B218)-'Business Case'!B15*$F218</f>
        <v>-1954506987.12542</v>
      </c>
      <c r="I218" s="39" t="n">
        <f aca="false">(('Business Case'!C11*$C218*'Business Case'!C12*$B218)-'Business Case'!C11*$C218*'Business Case'!C13*$D218-'Business Case'!C14*$E218)-MAX(0,(('Business Case'!C11*$C218*'Business Case'!C12*$B218)-'Business Case'!C11*$C218*'Business Case'!C13*$D218-'Business Case'!C14*$E218))*'Business Case'!$B$7-'Business Case'!$B$8*(('Business Case'!C11*$C218*'Business Case'!C12*$B218)-('Business Case'!B11*$C218*'Business Case'!B12*$B218))-'Business Case'!C15*$F218</f>
        <v>-9184080.2561176</v>
      </c>
      <c r="J218" s="39" t="n">
        <f aca="false">(('Business Case'!D11*$C218*'Business Case'!D12*$B218)-'Business Case'!D11*$C218*'Business Case'!D13*$D218-'Business Case'!D14*$E218)-MAX(0,(('Business Case'!D11*$C218*'Business Case'!D12*$B218)-'Business Case'!D11*$C218*'Business Case'!D13*$D218-'Business Case'!D14*$E218))*'Business Case'!$B$7-'Business Case'!$B$8*(('Business Case'!D11*$C218*'Business Case'!D12*$B218)-('Business Case'!C11*$C218*'Business Case'!C12*$B218))-'Business Case'!D15*$F218</f>
        <v>281795103.0532</v>
      </c>
      <c r="K218" s="39" t="n">
        <f aca="false">(('Business Case'!E11*$C218*'Business Case'!E12*$B218)-'Business Case'!E11*$C218*'Business Case'!E13*$D218-'Business Case'!E14*$E218)-MAX(0,(('Business Case'!E11*$C218*'Business Case'!E12*$B218)-'Business Case'!E11*$C218*'Business Case'!E13*$D218-'Business Case'!E14*$E218))*'Business Case'!$B$7-'Business Case'!$B$8*(('Business Case'!E11*$C218*'Business Case'!E12*$B218)-('Business Case'!D11*$C218*'Business Case'!D12*$B218))-'Business Case'!E15*$F218</f>
        <v>621636961.040654</v>
      </c>
      <c r="L218" s="39" t="n">
        <f aca="false">(('Business Case'!F11*$C218*'Business Case'!F12*$B218)-'Business Case'!F11*$C218*'Business Case'!F13*$D218-'Business Case'!F14*$E218)-MAX(0,(('Business Case'!F11*$C218*'Business Case'!F12*$B218)-'Business Case'!F11*$C218*'Business Case'!F13*$D218-'Business Case'!F14*$E218))*'Business Case'!$B$7-'Business Case'!$B$8*(('Business Case'!F11*$C218*'Business Case'!F12*$B218)-('Business Case'!E11*$C218*'Business Case'!E12*$B218))-'Business Case'!F15*$F218</f>
        <v>753248352.734777</v>
      </c>
      <c r="M218" s="39" t="n">
        <f aca="false">(('Business Case'!G11*$C218*'Business Case'!G12*$B218)-'Business Case'!G11*$C218*'Business Case'!G13*$D218-'Business Case'!G14*$E218)-MAX(0,(('Business Case'!G11*$C218*'Business Case'!G12*$B218)-'Business Case'!G11*$C218*'Business Case'!G13*$D218-'Business Case'!G14*$E218))*'Business Case'!$B$7-'Business Case'!$B$8*(('Business Case'!G11*$C218*'Business Case'!G12*$B218)-('Business Case'!F11*$C218*'Business Case'!F12*$B218))-'Business Case'!G15*$F218+'Business Case'!$B$8*('Business Case'!G11*$C218*'Business Case'!G12*$B218)</f>
        <v>943649170.985373</v>
      </c>
      <c r="N218" s="39" t="n">
        <f aca="false">IF(COUNT('Business Case'!B11:G11)=0,"",H218+NPV(G218,I218:M218))</f>
        <v>-120924874.477949</v>
      </c>
      <c r="P218" s="40" t="n">
        <f aca="true">RAND()</f>
        <v>0.698580602456725</v>
      </c>
      <c r="Q218" s="40" t="n">
        <f aca="true">RAND()</f>
        <v>0.569860175836869</v>
      </c>
      <c r="R218" s="40" t="n">
        <f aca="true">RAND()</f>
        <v>0.80161167521444</v>
      </c>
      <c r="S218" s="40" t="n">
        <f aca="true">RAND()</f>
        <v>0.88486084784671</v>
      </c>
      <c r="T218" s="40" t="n">
        <f aca="true">RAND()</f>
        <v>0.0594202329098132</v>
      </c>
      <c r="U218" s="40" t="n">
        <f aca="true">RAND()</f>
        <v>0.0389763402674448</v>
      </c>
    </row>
    <row r="219" customFormat="false" ht="15" hidden="false" customHeight="false" outlineLevel="0" collapsed="false">
      <c r="A219" s="36" t="n">
        <v>139</v>
      </c>
      <c r="B219" s="37" t="n">
        <f aca="false">1+IF($G$6=$E$6,$F$6,IF(P219&lt;($F$6-$E$6)/($G$6-$E$6),$E$6+SQRT(P219*($G$6-$E$6)*($F$6-$E$6)),$G$6-SQRT((1-P219)*($G$6-$E$6)*($G$6-$F$6))))</f>
        <v>0.941196746308696</v>
      </c>
      <c r="C219" s="37" t="n">
        <f aca="false">1+IF($G$7=$E$7,$F$7,IF(Q219&lt;($F$7-$E$7)/($G$7-$E$7),$E$7+SQRT(Q219*($G$7-$E$7)*($F$7-$E$7)),$G$7-SQRT((1-Q219)*($G$7-$E$7)*($G$7-$F$7))))</f>
        <v>1.04776386380547</v>
      </c>
      <c r="D219" s="37" t="n">
        <f aca="false">1+IF($G$8=$E$8,$F$8,IF(R219&lt;($F$8-$E$8)/($G$8-$E$8),$E$8+SQRT(R219*($G$8-$E$8)*($F$8-$E$8)),$G$8-SQRT((1-R219)*($G$8-$E$8)*($G$8-$F$8))))</f>
        <v>1.00683105518304</v>
      </c>
      <c r="E219" s="37" t="n">
        <f aca="false">1+IF($G$9=$E$9,$F$9,IF(S219&lt;($F$9-$E$9)/($G$9-$E$9),$E$9+SQRT(S219*($G$9-$E$9)*($F$9-$E$9)),$G$9-SQRT((1-S219)*($G$9-$E$9)*($G$9-$F$9))))</f>
        <v>0.970084554238355</v>
      </c>
      <c r="F219" s="37" t="n">
        <f aca="false">1+IF($G$10=$E$10,$F$10,IF(T219&lt;($F$10-$E$10)/($G$10-$E$10),$E$10+SQRT(T219*($G$10-$E$10)*($F$10-$E$10)),$G$10-SQRT((1-T219)*($G$10-$E$10)*($G$10-$F$10))))</f>
        <v>1.12271402707628</v>
      </c>
      <c r="G219" s="38" t="n">
        <f aca="false">IF($G$11=$E$11,$F$11,IF(U219&lt;($F$11-$E$11)/($G$11-$E$11),$E$11+SQRT(U219*($G$11-$E$11)*($F$11-$E$11)),$G$11-SQRT((1-U219)*($G$11-$E$11)*($G$11-$F$11))))</f>
        <v>0.10263947611684</v>
      </c>
      <c r="H219" s="39" t="n">
        <f aca="false">(('Business Case'!B11*$C219*'Business Case'!B12*$B219)-'Business Case'!B11*$C219*'Business Case'!B13*$D219-'Business Case'!B14*$E219)-MAX(0,(('Business Case'!B11*$C219*'Business Case'!B12*$B219)-'Business Case'!B11*$C219*'Business Case'!B13*$D219-'Business Case'!B14*$E219))*'Business Case'!$B$7-'Business Case'!$B$8*('Business Case'!B11*$C219*'Business Case'!B12*$B219)-'Business Case'!B15*$F219</f>
        <v>-2245428054.15256</v>
      </c>
      <c r="I219" s="39" t="n">
        <f aca="false">(('Business Case'!C11*$C219*'Business Case'!C12*$B219)-'Business Case'!C11*$C219*'Business Case'!C13*$D219-'Business Case'!C14*$E219)-MAX(0,(('Business Case'!C11*$C219*'Business Case'!C12*$B219)-'Business Case'!C11*$C219*'Business Case'!C13*$D219-'Business Case'!C14*$E219))*'Business Case'!$B$7-'Business Case'!$B$8*(('Business Case'!C11*$C219*'Business Case'!C12*$B219)-('Business Case'!B11*$C219*'Business Case'!B12*$B219))-'Business Case'!C15*$F219</f>
        <v>-33645360.4156389</v>
      </c>
      <c r="J219" s="39" t="n">
        <f aca="false">(('Business Case'!D11*$C219*'Business Case'!D12*$B219)-'Business Case'!D11*$C219*'Business Case'!D13*$D219-'Business Case'!D14*$E219)-MAX(0,(('Business Case'!D11*$C219*'Business Case'!D12*$B219)-'Business Case'!D11*$C219*'Business Case'!D13*$D219-'Business Case'!D14*$E219))*'Business Case'!$B$7-'Business Case'!$B$8*(('Business Case'!D11*$C219*'Business Case'!D12*$B219)-('Business Case'!C11*$C219*'Business Case'!C12*$B219))-'Business Case'!D15*$F219</f>
        <v>234048822.033426</v>
      </c>
      <c r="K219" s="39" t="n">
        <f aca="false">(('Business Case'!E11*$C219*'Business Case'!E12*$B219)-'Business Case'!E11*$C219*'Business Case'!E13*$D219-'Business Case'!E14*$E219)-MAX(0,(('Business Case'!E11*$C219*'Business Case'!E12*$B219)-'Business Case'!E11*$C219*'Business Case'!E13*$D219-'Business Case'!E14*$E219))*'Business Case'!$B$7-'Business Case'!$B$8*(('Business Case'!E11*$C219*'Business Case'!E12*$B219)-('Business Case'!D11*$C219*'Business Case'!D12*$B219))-'Business Case'!E15*$F219</f>
        <v>557878705.836306</v>
      </c>
      <c r="L219" s="39" t="n">
        <f aca="false">(('Business Case'!F11*$C219*'Business Case'!F12*$B219)-'Business Case'!F11*$C219*'Business Case'!F13*$D219-'Business Case'!F14*$E219)-MAX(0,(('Business Case'!F11*$C219*'Business Case'!F12*$B219)-'Business Case'!F11*$C219*'Business Case'!F13*$D219-'Business Case'!F14*$E219))*'Business Case'!$B$7-'Business Case'!$B$8*(('Business Case'!F11*$C219*'Business Case'!F12*$B219)-('Business Case'!E11*$C219*'Business Case'!E12*$B219))-'Business Case'!F15*$F219</f>
        <v>681191511.015582</v>
      </c>
      <c r="M219" s="39" t="n">
        <f aca="false">(('Business Case'!G11*$C219*'Business Case'!G12*$B219)-'Business Case'!G11*$C219*'Business Case'!G13*$D219-'Business Case'!G14*$E219)-MAX(0,(('Business Case'!G11*$C219*'Business Case'!G12*$B219)-'Business Case'!G11*$C219*'Business Case'!G13*$D219-'Business Case'!G14*$E219))*'Business Case'!$B$7-'Business Case'!$B$8*(('Business Case'!G11*$C219*'Business Case'!G12*$B219)-('Business Case'!F11*$C219*'Business Case'!F12*$B219))-'Business Case'!G15*$F219+'Business Case'!$B$8*('Business Case'!G11*$C219*'Business Case'!G12*$B219)</f>
        <v>868639271.678316</v>
      </c>
      <c r="N219" s="39" t="n">
        <f aca="false">IF(COUNT('Business Case'!B11:G11)=0,"",H219+NPV(G219,I219:M219))</f>
        <v>-673542006.1021</v>
      </c>
      <c r="P219" s="40" t="n">
        <f aca="true">RAND()</f>
        <v>0.0468022972995027</v>
      </c>
      <c r="Q219" s="40" t="n">
        <f aca="true">RAND()</f>
        <v>0.800909951543129</v>
      </c>
      <c r="R219" s="40" t="n">
        <f aca="true">RAND()</f>
        <v>0.485221684074241</v>
      </c>
      <c r="S219" s="40" t="n">
        <f aca="true">RAND()</f>
        <v>0.0537852425271205</v>
      </c>
      <c r="T219" s="40" t="n">
        <f aca="true">RAND()</f>
        <v>0.880537567784683</v>
      </c>
      <c r="U219" s="40" t="n">
        <f aca="true">RAND()</f>
        <v>0.497687017503705</v>
      </c>
    </row>
    <row r="220" customFormat="false" ht="15" hidden="false" customHeight="false" outlineLevel="0" collapsed="false">
      <c r="A220" s="36" t="n">
        <v>140</v>
      </c>
      <c r="B220" s="37" t="n">
        <f aca="false">1+IF($G$6=$E$6,$F$6,IF(P220&lt;($F$6-$E$6)/($G$6-$E$6),$E$6+SQRT(P220*($G$6-$E$6)*($F$6-$E$6)),$G$6-SQRT((1-P220)*($G$6-$E$6)*($G$6-$F$6))))</f>
        <v>0.988896622303167</v>
      </c>
      <c r="C220" s="37" t="n">
        <f aca="false">1+IF($G$7=$E$7,$F$7,IF(Q220&lt;($F$7-$E$7)/($G$7-$E$7),$E$7+SQRT(Q220*($G$7-$E$7)*($F$7-$E$7)),$G$7-SQRT((1-Q220)*($G$7-$E$7)*($G$7-$F$7))))</f>
        <v>0.908461821064426</v>
      </c>
      <c r="D220" s="37" t="n">
        <f aca="false">1+IF($G$8=$E$8,$F$8,IF(R220&lt;($F$8-$E$8)/($G$8-$E$8),$E$8+SQRT(R220*($G$8-$E$8)*($F$8-$E$8)),$G$8-SQRT((1-R220)*($G$8-$E$8)*($G$8-$F$8))))</f>
        <v>0.972720077832032</v>
      </c>
      <c r="E220" s="37" t="n">
        <f aca="false">1+IF($G$9=$E$9,$F$9,IF(S220&lt;($F$9-$E$9)/($G$9-$E$9),$E$9+SQRT(S220*($G$9-$E$9)*($F$9-$E$9)),$G$9-SQRT((1-S220)*($G$9-$E$9)*($G$9-$F$9))))</f>
        <v>1.01319322815945</v>
      </c>
      <c r="F220" s="37" t="n">
        <f aca="false">1+IF($G$10=$E$10,$F$10,IF(T220&lt;($F$10-$E$10)/($G$10-$E$10),$E$10+SQRT(T220*($G$10-$E$10)*($F$10-$E$10)),$G$10-SQRT((1-T220)*($G$10-$E$10)*($G$10-$F$10))))</f>
        <v>1.17738634767754</v>
      </c>
      <c r="G220" s="38" t="n">
        <f aca="false">IF($G$11=$E$11,$F$11,IF(U220&lt;($F$11-$E$11)/($G$11-$E$11),$E$11+SQRT(U220*($G$11-$E$11)*($F$11-$E$11)),$G$11-SQRT((1-U220)*($G$11-$E$11)*($G$11-$F$11))))</f>
        <v>0.115262683500628</v>
      </c>
      <c r="H220" s="39" t="n">
        <f aca="false">(('Business Case'!B11*$C220*'Business Case'!B12*$B220)-'Business Case'!B11*$C220*'Business Case'!B13*$D220-'Business Case'!B14*$E220)-MAX(0,(('Business Case'!B11*$C220*'Business Case'!B12*$B220)-'Business Case'!B11*$C220*'Business Case'!B13*$D220-'Business Case'!B14*$E220))*'Business Case'!$B$7-'Business Case'!$B$8*('Business Case'!B11*$C220*'Business Case'!B12*$B220)-'Business Case'!B15*$F220</f>
        <v>-2354772695.35508</v>
      </c>
      <c r="I220" s="39" t="n">
        <f aca="false">(('Business Case'!C11*$C220*'Business Case'!C12*$B220)-'Business Case'!C11*$C220*'Business Case'!C13*$D220-'Business Case'!C14*$E220)-MAX(0,(('Business Case'!C11*$C220*'Business Case'!C12*$B220)-'Business Case'!C11*$C220*'Business Case'!C13*$D220-'Business Case'!C14*$E220))*'Business Case'!$B$7-'Business Case'!$B$8*(('Business Case'!C11*$C220*'Business Case'!C12*$B220)-('Business Case'!B11*$C220*'Business Case'!B12*$B220))-'Business Case'!C15*$F220</f>
        <v>-24925778.0098707</v>
      </c>
      <c r="J220" s="39" t="n">
        <f aca="false">(('Business Case'!D11*$C220*'Business Case'!D12*$B220)-'Business Case'!D11*$C220*'Business Case'!D13*$D220-'Business Case'!D14*$E220)-MAX(0,(('Business Case'!D11*$C220*'Business Case'!D12*$B220)-'Business Case'!D11*$C220*'Business Case'!D13*$D220-'Business Case'!D14*$E220))*'Business Case'!$B$7-'Business Case'!$B$8*(('Business Case'!D11*$C220*'Business Case'!D12*$B220)-('Business Case'!C11*$C220*'Business Case'!C12*$B220))-'Business Case'!D15*$F220</f>
        <v>258534906.789856</v>
      </c>
      <c r="K220" s="39" t="n">
        <f aca="false">(('Business Case'!E11*$C220*'Business Case'!E12*$B220)-'Business Case'!E11*$C220*'Business Case'!E13*$D220-'Business Case'!E14*$E220)-MAX(0,(('Business Case'!E11*$C220*'Business Case'!E12*$B220)-'Business Case'!E11*$C220*'Business Case'!E13*$D220-'Business Case'!E14*$E220))*'Business Case'!$B$7-'Business Case'!$B$8*(('Business Case'!E11*$C220*'Business Case'!E12*$B220)-('Business Case'!D11*$C220*'Business Case'!D12*$B220))-'Business Case'!E15*$F220</f>
        <v>600864908.973459</v>
      </c>
      <c r="L220" s="39" t="n">
        <f aca="false">(('Business Case'!F11*$C220*'Business Case'!F12*$B220)-'Business Case'!F11*$C220*'Business Case'!F13*$D220-'Business Case'!F14*$E220)-MAX(0,(('Business Case'!F11*$C220*'Business Case'!F12*$B220)-'Business Case'!F11*$C220*'Business Case'!F13*$D220-'Business Case'!F14*$E220))*'Business Case'!$B$7-'Business Case'!$B$8*(('Business Case'!F11*$C220*'Business Case'!F12*$B220)-('Business Case'!E11*$C220*'Business Case'!E12*$B220))-'Business Case'!F15*$F220</f>
        <v>726399637.90508</v>
      </c>
      <c r="M220" s="39" t="n">
        <f aca="false">(('Business Case'!G11*$C220*'Business Case'!G12*$B220)-'Business Case'!G11*$C220*'Business Case'!G13*$D220-'Business Case'!G14*$E220)-MAX(0,(('Business Case'!G11*$C220*'Business Case'!G12*$B220)-'Business Case'!G11*$C220*'Business Case'!G13*$D220-'Business Case'!G14*$E220))*'Business Case'!$B$7-'Business Case'!$B$8*(('Business Case'!G11*$C220*'Business Case'!G12*$B220)-('Business Case'!F11*$C220*'Business Case'!F12*$B220))-'Business Case'!G15*$F220+'Business Case'!$B$8*('Business Case'!G11*$C220*'Business Case'!G12*$B220)</f>
        <v>897162724.896167</v>
      </c>
      <c r="N220" s="39" t="n">
        <f aca="false">IF(COUNT('Business Case'!B11:G11)=0,"",H220+NPV(G220,I220:M220))</f>
        <v>-746595949.381333</v>
      </c>
      <c r="P220" s="40" t="n">
        <f aca="true">RAND()</f>
        <v>0.494452558831797</v>
      </c>
      <c r="Q220" s="40" t="n">
        <f aca="true">RAND()</f>
        <v>0.168056666123023</v>
      </c>
      <c r="R220" s="40" t="n">
        <f aca="true">RAND()</f>
        <v>0.0794156825682477</v>
      </c>
      <c r="S220" s="40" t="n">
        <f aca="true">RAND()</f>
        <v>0.49763895750817</v>
      </c>
      <c r="T220" s="40" t="n">
        <f aca="true">RAND()</f>
        <v>0.98977245457278</v>
      </c>
      <c r="U220" s="40" t="n">
        <f aca="true">RAND()</f>
        <v>0.962596387307964</v>
      </c>
    </row>
    <row r="221" customFormat="false" ht="15" hidden="false" customHeight="false" outlineLevel="0" collapsed="false">
      <c r="A221" s="36" t="n">
        <v>141</v>
      </c>
      <c r="B221" s="37" t="n">
        <f aca="false">1+IF($G$6=$E$6,$F$6,IF(P221&lt;($F$6-$E$6)/($G$6-$E$6),$E$6+SQRT(P221*($G$6-$E$6)*($F$6-$E$6)),$G$6-SQRT((1-P221)*($G$6-$E$6)*($G$6-$F$6))))</f>
        <v>0.984872786849743</v>
      </c>
      <c r="C221" s="37" t="n">
        <f aca="false">1+IF($G$7=$E$7,$F$7,IF(Q221&lt;($F$7-$E$7)/($G$7-$E$7),$E$7+SQRT(Q221*($G$7-$E$7)*($F$7-$E$7)),$G$7-SQRT((1-Q221)*($G$7-$E$7)*($G$7-$F$7))))</f>
        <v>0.952255139622723</v>
      </c>
      <c r="D221" s="37" t="n">
        <f aca="false">1+IF($G$8=$E$8,$F$8,IF(R221&lt;($F$8-$E$8)/($G$8-$E$8),$E$8+SQRT(R221*($G$8-$E$8)*($F$8-$E$8)),$G$8-SQRT((1-R221)*($G$8-$E$8)*($G$8-$F$8))))</f>
        <v>1.03574152230559</v>
      </c>
      <c r="E221" s="37" t="n">
        <f aca="false">1+IF($G$9=$E$9,$F$9,IF(S221&lt;($F$9-$E$9)/($G$9-$E$9),$E$9+SQRT(S221*($G$9-$E$9)*($F$9-$E$9)),$G$9-SQRT((1-S221)*($G$9-$E$9)*($G$9-$F$9))))</f>
        <v>0.969726404515229</v>
      </c>
      <c r="F221" s="37" t="n">
        <f aca="false">1+IF($G$10=$E$10,$F$10,IF(T221&lt;($F$10-$E$10)/($G$10-$E$10),$E$10+SQRT(T221*($G$10-$E$10)*($F$10-$E$10)),$G$10-SQRT((1-T221)*($G$10-$E$10)*($G$10-$F$10))))</f>
        <v>1.03460875168397</v>
      </c>
      <c r="G221" s="38" t="n">
        <f aca="false">IF($G$11=$E$11,$F$11,IF(U221&lt;($F$11-$E$11)/($G$11-$E$11),$E$11+SQRT(U221*($G$11-$E$11)*($F$11-$E$11)),$G$11-SQRT((1-U221)*($G$11-$E$11)*($G$11-$F$11))))</f>
        <v>0.105804657192156</v>
      </c>
      <c r="H221" s="39" t="n">
        <f aca="false">(('Business Case'!B11*$C221*'Business Case'!B12*$B221)-'Business Case'!B11*$C221*'Business Case'!B13*$D221-'Business Case'!B14*$E221)-MAX(0,(('Business Case'!B11*$C221*'Business Case'!B12*$B221)-'Business Case'!B11*$C221*'Business Case'!B13*$D221-'Business Case'!B14*$E221))*'Business Case'!$B$7-'Business Case'!$B$8*('Business Case'!B11*$C221*'Business Case'!B12*$B221)-'Business Case'!B15*$F221</f>
        <v>-2069217503.36794</v>
      </c>
      <c r="I221" s="39" t="n">
        <f aca="false">(('Business Case'!C11*$C221*'Business Case'!C12*$B221)-'Business Case'!C11*$C221*'Business Case'!C13*$D221-'Business Case'!C14*$E221)-MAX(0,(('Business Case'!C11*$C221*'Business Case'!C12*$B221)-'Business Case'!C11*$C221*'Business Case'!C13*$D221-'Business Case'!C14*$E221))*'Business Case'!$B$7-'Business Case'!$B$8*(('Business Case'!C11*$C221*'Business Case'!C12*$B221)-('Business Case'!B11*$C221*'Business Case'!B12*$B221))-'Business Case'!C15*$F221</f>
        <v>-26708978.8508164</v>
      </c>
      <c r="J221" s="39" t="n">
        <f aca="false">(('Business Case'!D11*$C221*'Business Case'!D12*$B221)-'Business Case'!D11*$C221*'Business Case'!D13*$D221-'Business Case'!D14*$E221)-MAX(0,(('Business Case'!D11*$C221*'Business Case'!D12*$B221)-'Business Case'!D11*$C221*'Business Case'!D13*$D221-'Business Case'!D14*$E221))*'Business Case'!$B$7-'Business Case'!$B$8*(('Business Case'!D11*$C221*'Business Case'!D12*$B221)-('Business Case'!C11*$C221*'Business Case'!C12*$B221))-'Business Case'!D15*$F221</f>
        <v>236556165.165041</v>
      </c>
      <c r="K221" s="39" t="n">
        <f aca="false">(('Business Case'!E11*$C221*'Business Case'!E12*$B221)-'Business Case'!E11*$C221*'Business Case'!E13*$D221-'Business Case'!E14*$E221)-MAX(0,(('Business Case'!E11*$C221*'Business Case'!E12*$B221)-'Business Case'!E11*$C221*'Business Case'!E13*$D221-'Business Case'!E14*$E221))*'Business Case'!$B$7-'Business Case'!$B$8*(('Business Case'!E11*$C221*'Business Case'!E12*$B221)-('Business Case'!D11*$C221*'Business Case'!D12*$B221))-'Business Case'!E15*$F221</f>
        <v>551551746.765097</v>
      </c>
      <c r="L221" s="39" t="n">
        <f aca="false">(('Business Case'!F11*$C221*'Business Case'!F12*$B221)-'Business Case'!F11*$C221*'Business Case'!F13*$D221-'Business Case'!F14*$E221)-MAX(0,(('Business Case'!F11*$C221*'Business Case'!F12*$B221)-'Business Case'!F11*$C221*'Business Case'!F13*$D221-'Business Case'!F14*$E221))*'Business Case'!$B$7-'Business Case'!$B$8*(('Business Case'!F11*$C221*'Business Case'!F12*$B221)-('Business Case'!E11*$C221*'Business Case'!E12*$B221))-'Business Case'!F15*$F221</f>
        <v>671718896.754524</v>
      </c>
      <c r="M221" s="39" t="n">
        <f aca="false">(('Business Case'!G11*$C221*'Business Case'!G12*$B221)-'Business Case'!G11*$C221*'Business Case'!G13*$D221-'Business Case'!G14*$E221)-MAX(0,(('Business Case'!G11*$C221*'Business Case'!G12*$B221)-'Business Case'!G11*$C221*'Business Case'!G13*$D221-'Business Case'!G14*$E221))*'Business Case'!$B$7-'Business Case'!$B$8*(('Business Case'!G11*$C221*'Business Case'!G12*$B221)-('Business Case'!F11*$C221*'Business Case'!F12*$B221))-'Business Case'!G15*$F221+'Business Case'!$B$8*('Business Case'!G11*$C221*'Business Case'!G12*$B221)</f>
        <v>849985457.667298</v>
      </c>
      <c r="N221" s="39" t="n">
        <f aca="false">IF(COUNT('Business Case'!B11:G11)=0,"",H221+NPV(G221,I221:M221))</f>
        <v>-528717605.362189</v>
      </c>
      <c r="P221" s="40" t="n">
        <f aca="true">RAND()</f>
        <v>0.438383174338772</v>
      </c>
      <c r="Q221" s="40" t="n">
        <f aca="true">RAND()</f>
        <v>0.331166107736212</v>
      </c>
      <c r="R221" s="40" t="n">
        <f aca="true">RAND()</f>
        <v>0.811652610785904</v>
      </c>
      <c r="S221" s="40" t="n">
        <f aca="true">RAND()</f>
        <v>0.0518841380131243</v>
      </c>
      <c r="T221" s="40" t="n">
        <f aca="true">RAND()</f>
        <v>0.452914699609314</v>
      </c>
      <c r="U221" s="40" t="n">
        <f aca="true">RAND()</f>
        <v>0.664153737612966</v>
      </c>
    </row>
    <row r="222" customFormat="false" ht="15" hidden="false" customHeight="false" outlineLevel="0" collapsed="false">
      <c r="A222" s="36" t="n">
        <v>142</v>
      </c>
      <c r="B222" s="37" t="n">
        <f aca="false">1+IF($G$6=$E$6,$F$6,IF(P222&lt;($F$6-$E$6)/($G$6-$E$6),$E$6+SQRT(P222*($G$6-$E$6)*($F$6-$E$6)),$G$6-SQRT((1-P222)*($G$6-$E$6)*($G$6-$F$6))))</f>
        <v>0.978629303777349</v>
      </c>
      <c r="C222" s="37" t="n">
        <f aca="false">1+IF($G$7=$E$7,$F$7,IF(Q222&lt;($F$7-$E$7)/($G$7-$E$7),$E$7+SQRT(Q222*($G$7-$E$7)*($F$7-$E$7)),$G$7-SQRT((1-Q222)*($G$7-$E$7)*($G$7-$F$7))))</f>
        <v>0.930655102331415</v>
      </c>
      <c r="D222" s="37" t="n">
        <f aca="false">1+IF($G$8=$E$8,$F$8,IF(R222&lt;($F$8-$E$8)/($G$8-$E$8),$E$8+SQRT(R222*($G$8-$E$8)*($F$8-$E$8)),$G$8-SQRT((1-R222)*($G$8-$E$8)*($G$8-$F$8))))</f>
        <v>1.00055656268736</v>
      </c>
      <c r="E222" s="37" t="n">
        <f aca="false">1+IF($G$9=$E$9,$F$9,IF(S222&lt;($F$9-$E$9)/($G$9-$E$9),$E$9+SQRT(S222*($G$9-$E$9)*($F$9-$E$9)),$G$9-SQRT((1-S222)*($G$9-$E$9)*($G$9-$F$9))))</f>
        <v>1.05457568052455</v>
      </c>
      <c r="F222" s="37" t="n">
        <f aca="false">1+IF($G$10=$E$10,$F$10,IF(T222&lt;($F$10-$E$10)/($G$10-$E$10),$E$10+SQRT(T222*($G$10-$E$10)*($F$10-$E$10)),$G$10-SQRT((1-T222)*($G$10-$E$10)*($G$10-$F$10))))</f>
        <v>1.03281882114167</v>
      </c>
      <c r="G222" s="38" t="n">
        <f aca="false">IF($G$11=$E$11,$F$11,IF(U222&lt;($F$11-$E$11)/($G$11-$E$11),$E$11+SQRT(U222*($G$11-$E$11)*($F$11-$E$11)),$G$11-SQRT((1-U222)*($G$11-$E$11)*($G$11-$F$11))))</f>
        <v>0.110961210636314</v>
      </c>
      <c r="H222" s="39" t="n">
        <f aca="false">(('Business Case'!B11*$C222*'Business Case'!B12*$B222)-'Business Case'!B11*$C222*'Business Case'!B13*$D222-'Business Case'!B14*$E222)-MAX(0,(('Business Case'!B11*$C222*'Business Case'!B12*$B222)-'Business Case'!B11*$C222*'Business Case'!B13*$D222-'Business Case'!B14*$E222))*'Business Case'!$B$7-'Business Case'!$B$8*('Business Case'!B11*$C222*'Business Case'!B12*$B222)-'Business Case'!B15*$F222</f>
        <v>-2065637642.28334</v>
      </c>
      <c r="I222" s="39" t="n">
        <f aca="false">(('Business Case'!C11*$C222*'Business Case'!C12*$B222)-'Business Case'!C11*$C222*'Business Case'!C13*$D222-'Business Case'!C14*$E222)-MAX(0,(('Business Case'!C11*$C222*'Business Case'!C12*$B222)-'Business Case'!C11*$C222*'Business Case'!C13*$D222-'Business Case'!C14*$E222))*'Business Case'!$B$7-'Business Case'!$B$8*(('Business Case'!C11*$C222*'Business Case'!C12*$B222)-('Business Case'!B11*$C222*'Business Case'!B12*$B222))-'Business Case'!C15*$F222</f>
        <v>-31159570.0346882</v>
      </c>
      <c r="J222" s="39" t="n">
        <f aca="false">(('Business Case'!D11*$C222*'Business Case'!D12*$B222)-'Business Case'!D11*$C222*'Business Case'!D13*$D222-'Business Case'!D14*$E222)-MAX(0,(('Business Case'!D11*$C222*'Business Case'!D12*$B222)-'Business Case'!D11*$C222*'Business Case'!D13*$D222-'Business Case'!D14*$E222))*'Business Case'!$B$7-'Business Case'!$B$8*(('Business Case'!D11*$C222*'Business Case'!D12*$B222)-('Business Case'!C11*$C222*'Business Case'!C12*$B222))-'Business Case'!D15*$F222</f>
        <v>238137531.65088</v>
      </c>
      <c r="K222" s="39" t="n">
        <f aca="false">(('Business Case'!E11*$C222*'Business Case'!E12*$B222)-'Business Case'!E11*$C222*'Business Case'!E13*$D222-'Business Case'!E14*$E222)-MAX(0,(('Business Case'!E11*$C222*'Business Case'!E12*$B222)-'Business Case'!E11*$C222*'Business Case'!E13*$D222-'Business Case'!E14*$E222))*'Business Case'!$B$7-'Business Case'!$B$8*(('Business Case'!E11*$C222*'Business Case'!E12*$B222)-('Business Case'!D11*$C222*'Business Case'!D12*$B222))-'Business Case'!E15*$F222</f>
        <v>559075574.393531</v>
      </c>
      <c r="L222" s="39" t="n">
        <f aca="false">(('Business Case'!F11*$C222*'Business Case'!F12*$B222)-'Business Case'!F11*$C222*'Business Case'!F13*$D222-'Business Case'!F14*$E222)-MAX(0,(('Business Case'!F11*$C222*'Business Case'!F12*$B222)-'Business Case'!F11*$C222*'Business Case'!F13*$D222-'Business Case'!F14*$E222))*'Business Case'!$B$7-'Business Case'!$B$8*(('Business Case'!F11*$C222*'Business Case'!F12*$B222)-('Business Case'!E11*$C222*'Business Case'!E12*$B222))-'Business Case'!F15*$F222</f>
        <v>680317360.179052</v>
      </c>
      <c r="M222" s="39" t="n">
        <f aca="false">(('Business Case'!G11*$C222*'Business Case'!G12*$B222)-'Business Case'!G11*$C222*'Business Case'!G13*$D222-'Business Case'!G14*$E222)-MAX(0,(('Business Case'!G11*$C222*'Business Case'!G12*$B222)-'Business Case'!G11*$C222*'Business Case'!G13*$D222-'Business Case'!G14*$E222))*'Business Case'!$B$7-'Business Case'!$B$8*(('Business Case'!G11*$C222*'Business Case'!G12*$B222)-('Business Case'!F11*$C222*'Business Case'!F12*$B222))-'Business Case'!G15*$F222+'Business Case'!$B$8*('Business Case'!G11*$C222*'Business Case'!G12*$B222)</f>
        <v>853435828.909212</v>
      </c>
      <c r="N222" s="39" t="n">
        <f aca="false">IF(COUNT('Business Case'!B11:G11)=0,"",H222+NPV(G222,I222:M222))</f>
        <v>-542127917.565382</v>
      </c>
      <c r="P222" s="40" t="n">
        <f aca="true">RAND()</f>
        <v>0.358062006397568</v>
      </c>
      <c r="Q222" s="40" t="n">
        <f aca="true">RAND()</f>
        <v>0.24386793950332</v>
      </c>
      <c r="R222" s="40" t="n">
        <f aca="true">RAND()</f>
        <v>0.393148102687767</v>
      </c>
      <c r="S222" s="40" t="n">
        <f aca="true">RAND()</f>
        <v>0.862442080012813</v>
      </c>
      <c r="T222" s="40" t="n">
        <f aca="true">RAND()</f>
        <v>0.441009068710775</v>
      </c>
      <c r="U222" s="40" t="n">
        <f aca="true">RAND()</f>
        <v>0.863833811398188</v>
      </c>
    </row>
    <row r="223" customFormat="false" ht="15" hidden="false" customHeight="false" outlineLevel="0" collapsed="false">
      <c r="A223" s="36" t="n">
        <v>143</v>
      </c>
      <c r="B223" s="37" t="n">
        <f aca="false">1+IF($G$6=$E$6,$F$6,IF(P223&lt;($F$6-$E$6)/($G$6-$E$6),$E$6+SQRT(P223*($G$6-$E$6)*($F$6-$E$6)),$G$6-SQRT((1-P223)*($G$6-$E$6)*($G$6-$F$6))))</f>
        <v>0.988550242873359</v>
      </c>
      <c r="C223" s="37" t="n">
        <f aca="false">1+IF($G$7=$E$7,$F$7,IF(Q223&lt;($F$7-$E$7)/($G$7-$E$7),$E$7+SQRT(Q223*($G$7-$E$7)*($F$7-$E$7)),$G$7-SQRT((1-Q223)*($G$7-$E$7)*($G$7-$F$7))))</f>
        <v>0.811323304502031</v>
      </c>
      <c r="D223" s="37" t="n">
        <f aca="false">1+IF($G$8=$E$8,$F$8,IF(R223&lt;($F$8-$E$8)/($G$8-$E$8),$E$8+SQRT(R223*($G$8-$E$8)*($F$8-$E$8)),$G$8-SQRT((1-R223)*($G$8-$E$8)*($G$8-$F$8))))</f>
        <v>1.00714285774827</v>
      </c>
      <c r="E223" s="37" t="n">
        <f aca="false">1+IF($G$9=$E$9,$F$9,IF(S223&lt;($F$9-$E$9)/($G$9-$E$9),$E$9+SQRT(S223*($G$9-$E$9)*($F$9-$E$9)),$G$9-SQRT((1-S223)*($G$9-$E$9)*($G$9-$F$9))))</f>
        <v>1.01900008896846</v>
      </c>
      <c r="F223" s="37" t="n">
        <f aca="false">1+IF($G$10=$E$10,$F$10,IF(T223&lt;($F$10-$E$10)/($G$10-$E$10),$E$10+SQRT(T223*($G$10-$E$10)*($F$10-$E$10)),$G$10-SQRT((1-T223)*($G$10-$E$10)*($G$10-$F$10))))</f>
        <v>0.977472936077069</v>
      </c>
      <c r="G223" s="38" t="n">
        <f aca="false">IF($G$11=$E$11,$F$11,IF(U223&lt;($F$11-$E$11)/($G$11-$E$11),$E$11+SQRT(U223*($G$11-$E$11)*($F$11-$E$11)),$G$11-SQRT((1-U223)*($G$11-$E$11)*($G$11-$F$11))))</f>
        <v>0.0966552660571286</v>
      </c>
      <c r="H223" s="39" t="n">
        <f aca="false">(('Business Case'!B11*$C223*'Business Case'!B12*$B223)-'Business Case'!B11*$C223*'Business Case'!B13*$D223-'Business Case'!B14*$E223)-MAX(0,(('Business Case'!B11*$C223*'Business Case'!B12*$B223)-'Business Case'!B11*$C223*'Business Case'!B13*$D223-'Business Case'!B14*$E223))*'Business Case'!$B$7-'Business Case'!$B$8*('Business Case'!B11*$C223*'Business Case'!B12*$B223)-'Business Case'!B15*$F223</f>
        <v>-1954945872.15414</v>
      </c>
      <c r="I223" s="39" t="n">
        <f aca="false">(('Business Case'!C11*$C223*'Business Case'!C12*$B223)-'Business Case'!C11*$C223*'Business Case'!C13*$D223-'Business Case'!C14*$E223)-MAX(0,(('Business Case'!C11*$C223*'Business Case'!C12*$B223)-'Business Case'!C11*$C223*'Business Case'!C13*$D223-'Business Case'!C14*$E223))*'Business Case'!$B$7-'Business Case'!$B$8*(('Business Case'!C11*$C223*'Business Case'!C12*$B223)-('Business Case'!B11*$C223*'Business Case'!B12*$B223))-'Business Case'!C15*$F223</f>
        <v>-45602359.5817235</v>
      </c>
      <c r="J223" s="39" t="n">
        <f aca="false">(('Business Case'!D11*$C223*'Business Case'!D12*$B223)-'Business Case'!D11*$C223*'Business Case'!D13*$D223-'Business Case'!D14*$E223)-MAX(0,(('Business Case'!D11*$C223*'Business Case'!D12*$B223)-'Business Case'!D11*$C223*'Business Case'!D13*$D223-'Business Case'!D14*$E223))*'Business Case'!$B$7-'Business Case'!$B$8*(('Business Case'!D11*$C223*'Business Case'!D12*$B223)-('Business Case'!C11*$C223*'Business Case'!C12*$B223))-'Business Case'!D15*$F223</f>
        <v>193021821.864764</v>
      </c>
      <c r="K223" s="39" t="n">
        <f aca="false">(('Business Case'!E11*$C223*'Business Case'!E12*$B223)-'Business Case'!E11*$C223*'Business Case'!E13*$D223-'Business Case'!E14*$E223)-MAX(0,(('Business Case'!E11*$C223*'Business Case'!E12*$B223)-'Business Case'!E11*$C223*'Business Case'!E13*$D223-'Business Case'!E14*$E223))*'Business Case'!$B$7-'Business Case'!$B$8*(('Business Case'!E11*$C223*'Business Case'!E12*$B223)-('Business Case'!D11*$C223*'Business Case'!D12*$B223))-'Business Case'!E15*$F223</f>
        <v>480519650.115105</v>
      </c>
      <c r="L223" s="39" t="n">
        <f aca="false">(('Business Case'!F11*$C223*'Business Case'!F12*$B223)-'Business Case'!F11*$C223*'Business Case'!F13*$D223-'Business Case'!F14*$E223)-MAX(0,(('Business Case'!F11*$C223*'Business Case'!F12*$B223)-'Business Case'!F11*$C223*'Business Case'!F13*$D223-'Business Case'!F14*$E223))*'Business Case'!$B$7-'Business Case'!$B$8*(('Business Case'!F11*$C223*'Business Case'!F12*$B223)-('Business Case'!E11*$C223*'Business Case'!E12*$B223))-'Business Case'!F15*$F223</f>
        <v>587779333.776727</v>
      </c>
      <c r="M223" s="39" t="n">
        <f aca="false">(('Business Case'!G11*$C223*'Business Case'!G12*$B223)-'Business Case'!G11*$C223*'Business Case'!G13*$D223-'Business Case'!G14*$E223)-MAX(0,(('Business Case'!G11*$C223*'Business Case'!G12*$B223)-'Business Case'!G11*$C223*'Business Case'!G13*$D223-'Business Case'!G14*$E223))*'Business Case'!$B$7-'Business Case'!$B$8*(('Business Case'!G11*$C223*'Business Case'!G12*$B223)-('Business Case'!F11*$C223*'Business Case'!F12*$B223))-'Business Case'!G15*$F223+'Business Case'!$B$8*('Business Case'!G11*$C223*'Business Case'!G12*$B223)</f>
        <v>740229927.930421</v>
      </c>
      <c r="N223" s="39" t="n">
        <f aca="false">IF(COUNT('Business Case'!B11:G11)=0,"",H223+NPV(G223,I223:M223))</f>
        <v>-598639443.906937</v>
      </c>
      <c r="P223" s="40" t="n">
        <f aca="true">RAND()</f>
        <v>0.489493312291297</v>
      </c>
      <c r="Q223" s="40" t="n">
        <f aca="true">RAND()</f>
        <v>0.00183167464065304</v>
      </c>
      <c r="R223" s="40" t="n">
        <f aca="true">RAND()</f>
        <v>0.489599694510651</v>
      </c>
      <c r="S223" s="40" t="n">
        <f aca="true">RAND()</f>
        <v>0.562600960858823</v>
      </c>
      <c r="T223" s="40" t="n">
        <f aca="true">RAND()</f>
        <v>0.0603809773355777</v>
      </c>
      <c r="U223" s="40" t="n">
        <f aca="true">RAND()</f>
        <v>0.147641887637229</v>
      </c>
    </row>
    <row r="224" customFormat="false" ht="15" hidden="false" customHeight="false" outlineLevel="0" collapsed="false">
      <c r="A224" s="36" t="n">
        <v>144</v>
      </c>
      <c r="B224" s="37" t="n">
        <f aca="false">1+IF($G$6=$E$6,$F$6,IF(P224&lt;($F$6-$E$6)/($G$6-$E$6),$E$6+SQRT(P224*($G$6-$E$6)*($F$6-$E$6)),$G$6-SQRT((1-P224)*($G$6-$E$6)*($G$6-$F$6))))</f>
        <v>0.979385495650072</v>
      </c>
      <c r="C224" s="37" t="n">
        <f aca="false">1+IF($G$7=$E$7,$F$7,IF(Q224&lt;($F$7-$E$7)/($G$7-$E$7),$E$7+SQRT(Q224*($G$7-$E$7)*($F$7-$E$7)),$G$7-SQRT((1-Q224)*($G$7-$E$7)*($G$7-$F$7))))</f>
        <v>0.917176250914061</v>
      </c>
      <c r="D224" s="37" t="n">
        <f aca="false">1+IF($G$8=$E$8,$F$8,IF(R224&lt;($F$8-$E$8)/($G$8-$E$8),$E$8+SQRT(R224*($G$8-$E$8)*($F$8-$E$8)),$G$8-SQRT((1-R224)*($G$8-$E$8)*($G$8-$F$8))))</f>
        <v>1.03226508979193</v>
      </c>
      <c r="E224" s="37" t="n">
        <f aca="false">1+IF($G$9=$E$9,$F$9,IF(S224&lt;($F$9-$E$9)/($G$9-$E$9),$E$9+SQRT(S224*($G$9-$E$9)*($F$9-$E$9)),$G$9-SQRT((1-S224)*($G$9-$E$9)*($G$9-$F$9))))</f>
        <v>1.00420676737762</v>
      </c>
      <c r="F224" s="37" t="n">
        <f aca="false">1+IF($G$10=$E$10,$F$10,IF(T224&lt;($F$10-$E$10)/($G$10-$E$10),$E$10+SQRT(T224*($G$10-$E$10)*($F$10-$E$10)),$G$10-SQRT((1-T224)*($G$10-$E$10)*($G$10-$F$10))))</f>
        <v>1.0045715542786</v>
      </c>
      <c r="G224" s="38" t="n">
        <f aca="false">IF($G$11=$E$11,$F$11,IF(U224&lt;($F$11-$E$11)/($G$11-$E$11),$E$11+SQRT(U224*($G$11-$E$11)*($F$11-$E$11)),$G$11-SQRT((1-U224)*($G$11-$E$11)*($G$11-$F$11))))</f>
        <v>0.100595722124198</v>
      </c>
      <c r="H224" s="39" t="n">
        <f aca="false">(('Business Case'!B11*$C224*'Business Case'!B12*$B224)-'Business Case'!B11*$C224*'Business Case'!B13*$D224-'Business Case'!B14*$E224)-MAX(0,(('Business Case'!B11*$C224*'Business Case'!B12*$B224)-'Business Case'!B11*$C224*'Business Case'!B13*$D224-'Business Case'!B14*$E224))*'Business Case'!$B$7-'Business Case'!$B$8*('Business Case'!B11*$C224*'Business Case'!B12*$B224)-'Business Case'!B15*$F224</f>
        <v>-2009143108.55721</v>
      </c>
      <c r="I224" s="39" t="n">
        <f aca="false">(('Business Case'!C11*$C224*'Business Case'!C12*$B224)-'Business Case'!C11*$C224*'Business Case'!C13*$D224-'Business Case'!C14*$E224)-MAX(0,(('Business Case'!C11*$C224*'Business Case'!C12*$B224)-'Business Case'!C11*$C224*'Business Case'!C13*$D224-'Business Case'!C14*$E224))*'Business Case'!$B$7-'Business Case'!$B$8*(('Business Case'!C11*$C224*'Business Case'!C12*$B224)-('Business Case'!B11*$C224*'Business Case'!B12*$B224))-'Business Case'!C15*$F224</f>
        <v>-38744545.778609</v>
      </c>
      <c r="J224" s="39" t="n">
        <f aca="false">(('Business Case'!D11*$C224*'Business Case'!D12*$B224)-'Business Case'!D11*$C224*'Business Case'!D13*$D224-'Business Case'!D14*$E224)-MAX(0,(('Business Case'!D11*$C224*'Business Case'!D12*$B224)-'Business Case'!D11*$C224*'Business Case'!D13*$D224-'Business Case'!D14*$E224))*'Business Case'!$B$7-'Business Case'!$B$8*(('Business Case'!D11*$C224*'Business Case'!D12*$B224)-('Business Case'!C11*$C224*'Business Case'!C12*$B224))-'Business Case'!D15*$F224</f>
        <v>212332537.222201</v>
      </c>
      <c r="K224" s="39" t="n">
        <f aca="false">(('Business Case'!E11*$C224*'Business Case'!E12*$B224)-'Business Case'!E11*$C224*'Business Case'!E13*$D224-'Business Case'!E14*$E224)-MAX(0,(('Business Case'!E11*$C224*'Business Case'!E12*$B224)-'Business Case'!E11*$C224*'Business Case'!E13*$D224-'Business Case'!E14*$E224))*'Business Case'!$B$7-'Business Case'!$B$8*(('Business Case'!E11*$C224*'Business Case'!E12*$B224)-('Business Case'!D11*$C224*'Business Case'!D12*$B224))-'Business Case'!E15*$F224</f>
        <v>513638197.936941</v>
      </c>
      <c r="L224" s="39" t="n">
        <f aca="false">(('Business Case'!F11*$C224*'Business Case'!F12*$B224)-'Business Case'!F11*$C224*'Business Case'!F13*$D224-'Business Case'!F14*$E224)-MAX(0,(('Business Case'!F11*$C224*'Business Case'!F12*$B224)-'Business Case'!F11*$C224*'Business Case'!F13*$D224-'Business Case'!F14*$E224))*'Business Case'!$B$7-'Business Case'!$B$8*(('Business Case'!F11*$C224*'Business Case'!F12*$B224)-('Business Case'!E11*$C224*'Business Case'!E12*$B224))-'Business Case'!F15*$F224</f>
        <v>628374739.624185</v>
      </c>
      <c r="M224" s="39" t="n">
        <f aca="false">(('Business Case'!G11*$C224*'Business Case'!G12*$B224)-'Business Case'!G11*$C224*'Business Case'!G13*$D224-'Business Case'!G14*$E224)-MAX(0,(('Business Case'!G11*$C224*'Business Case'!G12*$B224)-'Business Case'!G11*$C224*'Business Case'!G13*$D224-'Business Case'!G14*$E224))*'Business Case'!$B$7-'Business Case'!$B$8*(('Business Case'!G11*$C224*'Business Case'!G12*$B224)-('Business Case'!F11*$C224*'Business Case'!F12*$B224))-'Business Case'!G15*$F224+'Business Case'!$B$8*('Business Case'!G11*$C224*'Business Case'!G12*$B224)</f>
        <v>799117733.402542</v>
      </c>
      <c r="N224" s="39" t="n">
        <f aca="false">IF(COUNT('Business Case'!B11:G11)=0,"",H224+NPV(G224,I224:M224))</f>
        <v>-560669405.051533</v>
      </c>
      <c r="P224" s="40" t="n">
        <f aca="true">RAND()</f>
        <v>0.367358030583824</v>
      </c>
      <c r="Q224" s="40" t="n">
        <f aca="true">RAND()</f>
        <v>0.196146768261072</v>
      </c>
      <c r="R224" s="40" t="n">
        <f aca="true">RAND()</f>
        <v>0.780901764175765</v>
      </c>
      <c r="S224" s="40" t="n">
        <f aca="true">RAND()</f>
        <v>0.388243772250304</v>
      </c>
      <c r="T224" s="40" t="n">
        <f aca="true">RAND()</f>
        <v>0.236154452058377</v>
      </c>
      <c r="U224" s="40" t="n">
        <f aca="true">RAND()</f>
        <v>0.372456666864441</v>
      </c>
    </row>
    <row r="225" customFormat="false" ht="15" hidden="false" customHeight="false" outlineLevel="0" collapsed="false">
      <c r="A225" s="36" t="n">
        <v>145</v>
      </c>
      <c r="B225" s="37" t="n">
        <f aca="false">1+IF($G$6=$E$6,$F$6,IF(P225&lt;($F$6-$E$6)/($G$6-$E$6),$E$6+SQRT(P225*($G$6-$E$6)*($F$6-$E$6)),$G$6-SQRT((1-P225)*($G$6-$E$6)*($G$6-$F$6))))</f>
        <v>0.960484147333328</v>
      </c>
      <c r="C225" s="37" t="n">
        <f aca="false">1+IF($G$7=$E$7,$F$7,IF(Q225&lt;($F$7-$E$7)/($G$7-$E$7),$E$7+SQRT(Q225*($G$7-$E$7)*($F$7-$E$7)),$G$7-SQRT((1-Q225)*($G$7-$E$7)*($G$7-$F$7))))</f>
        <v>0.943704383772887</v>
      </c>
      <c r="D225" s="37" t="n">
        <f aca="false">1+IF($G$8=$E$8,$F$8,IF(R225&lt;($F$8-$E$8)/($G$8-$E$8),$E$8+SQRT(R225*($G$8-$E$8)*($F$8-$E$8)),$G$8-SQRT((1-R225)*($G$8-$E$8)*($G$8-$F$8))))</f>
        <v>0.993422839488175</v>
      </c>
      <c r="E225" s="37" t="n">
        <f aca="false">1+IF($G$9=$E$9,$F$9,IF(S225&lt;($F$9-$E$9)/($G$9-$E$9),$E$9+SQRT(S225*($G$9-$E$9)*($F$9-$E$9)),$G$9-SQRT((1-S225)*($G$9-$E$9)*($G$9-$F$9))))</f>
        <v>1.06628620925937</v>
      </c>
      <c r="F225" s="37" t="n">
        <f aca="false">1+IF($G$10=$E$10,$F$10,IF(T225&lt;($F$10-$E$10)/($G$10-$E$10),$E$10+SQRT(T225*($G$10-$E$10)*($F$10-$E$10)),$G$10-SQRT((1-T225)*($G$10-$E$10)*($G$10-$F$10))))</f>
        <v>1.07286056865538</v>
      </c>
      <c r="G225" s="38" t="n">
        <f aca="false">IF($G$11=$E$11,$F$11,IF(U225&lt;($F$11-$E$11)/($G$11-$E$11),$E$11+SQRT(U225*($G$11-$E$11)*($F$11-$E$11)),$G$11-SQRT((1-U225)*($G$11-$E$11)*($G$11-$F$11))))</f>
        <v>0.0950326177722509</v>
      </c>
      <c r="H225" s="39" t="n">
        <f aca="false">(('Business Case'!B11*$C225*'Business Case'!B12*$B225)-'Business Case'!B11*$C225*'Business Case'!B13*$D225-'Business Case'!B14*$E225)-MAX(0,(('Business Case'!B11*$C225*'Business Case'!B12*$B225)-'Business Case'!B11*$C225*'Business Case'!B13*$D225-'Business Case'!B14*$E225))*'Business Case'!$B$7-'Business Case'!$B$8*('Business Case'!B11*$C225*'Business Case'!B12*$B225)-'Business Case'!B15*$F225</f>
        <v>-2145721137.31075</v>
      </c>
      <c r="I225" s="39" t="n">
        <f aca="false">(('Business Case'!C11*$C225*'Business Case'!C12*$B225)-'Business Case'!C11*$C225*'Business Case'!C13*$D225-'Business Case'!C14*$E225)-MAX(0,(('Business Case'!C11*$C225*'Business Case'!C12*$B225)-'Business Case'!C11*$C225*'Business Case'!C13*$D225-'Business Case'!C14*$E225))*'Business Case'!$B$7-'Business Case'!$B$8*(('Business Case'!C11*$C225*'Business Case'!C12*$B225)-('Business Case'!B11*$C225*'Business Case'!B12*$B225))-'Business Case'!C15*$F225</f>
        <v>-43406534.3355496</v>
      </c>
      <c r="J225" s="39" t="n">
        <f aca="false">(('Business Case'!D11*$C225*'Business Case'!D12*$B225)-'Business Case'!D11*$C225*'Business Case'!D13*$D225-'Business Case'!D14*$E225)-MAX(0,(('Business Case'!D11*$C225*'Business Case'!D12*$B225)-'Business Case'!D11*$C225*'Business Case'!D13*$D225-'Business Case'!D14*$E225))*'Business Case'!$B$7-'Business Case'!$B$8*(('Business Case'!D11*$C225*'Business Case'!D12*$B225)-('Business Case'!C11*$C225*'Business Case'!C12*$B225))-'Business Case'!D15*$F225</f>
        <v>219087342.274966</v>
      </c>
      <c r="K225" s="39" t="n">
        <f aca="false">(('Business Case'!E11*$C225*'Business Case'!E12*$B225)-'Business Case'!E11*$C225*'Business Case'!E13*$D225-'Business Case'!E14*$E225)-MAX(0,(('Business Case'!E11*$C225*'Business Case'!E12*$B225)-'Business Case'!E11*$C225*'Business Case'!E13*$D225-'Business Case'!E14*$E225))*'Business Case'!$B$7-'Business Case'!$B$8*(('Business Case'!E11*$C225*'Business Case'!E12*$B225)-('Business Case'!D11*$C225*'Business Case'!D12*$B225))-'Business Case'!E15*$F225</f>
        <v>535224247.318251</v>
      </c>
      <c r="L225" s="39" t="n">
        <f aca="false">(('Business Case'!F11*$C225*'Business Case'!F12*$B225)-'Business Case'!F11*$C225*'Business Case'!F13*$D225-'Business Case'!F14*$E225)-MAX(0,(('Business Case'!F11*$C225*'Business Case'!F12*$B225)-'Business Case'!F11*$C225*'Business Case'!F13*$D225-'Business Case'!F14*$E225))*'Business Case'!$B$7-'Business Case'!$B$8*(('Business Case'!F11*$C225*'Business Case'!F12*$B225)-('Business Case'!E11*$C225*'Business Case'!E12*$B225))-'Business Case'!F15*$F225</f>
        <v>654047842.937653</v>
      </c>
      <c r="M225" s="39" t="n">
        <f aca="false">(('Business Case'!G11*$C225*'Business Case'!G12*$B225)-'Business Case'!G11*$C225*'Business Case'!G13*$D225-'Business Case'!G14*$E225)-MAX(0,(('Business Case'!G11*$C225*'Business Case'!G12*$B225)-'Business Case'!G11*$C225*'Business Case'!G13*$D225-'Business Case'!G14*$E225))*'Business Case'!$B$7-'Business Case'!$B$8*(('Business Case'!G11*$C225*'Business Case'!G12*$B225)-('Business Case'!F11*$C225*'Business Case'!F12*$B225))-'Business Case'!G15*$F225+'Business Case'!$B$8*('Business Case'!G11*$C225*'Business Case'!G12*$B225)</f>
        <v>826338845.058421</v>
      </c>
      <c r="N225" s="39" t="n">
        <f aca="false">IF(COUNT('Business Case'!B11:G11)=0,"",H225+NPV(G225,I225:M225))</f>
        <v>-615311298.90575</v>
      </c>
      <c r="P225" s="40" t="n">
        <f aca="true">RAND()</f>
        <v>0.170725644302774</v>
      </c>
      <c r="Q225" s="40" t="n">
        <f aca="true">RAND()</f>
        <v>0.295013570222074</v>
      </c>
      <c r="R225" s="40" t="n">
        <f aca="true">RAND()</f>
        <v>0.290083536802436</v>
      </c>
      <c r="S225" s="40" t="n">
        <f aca="true">RAND()</f>
        <v>0.92422535425978</v>
      </c>
      <c r="T225" s="40" t="n">
        <f aca="true">RAND()</f>
        <v>0.67671129994732</v>
      </c>
      <c r="U225" s="40" t="n">
        <f aca="true">RAND()</f>
        <v>0.0844241388052509</v>
      </c>
    </row>
    <row r="226" customFormat="false" ht="15" hidden="false" customHeight="false" outlineLevel="0" collapsed="false">
      <c r="A226" s="36" t="n">
        <v>146</v>
      </c>
      <c r="B226" s="37" t="n">
        <f aca="false">1+IF($G$6=$E$6,$F$6,IF(P226&lt;($F$6-$E$6)/($G$6-$E$6),$E$6+SQRT(P226*($G$6-$E$6)*($F$6-$E$6)),$G$6-SQRT((1-P226)*($G$6-$E$6)*($G$6-$F$6))))</f>
        <v>0.984053318715755</v>
      </c>
      <c r="C226" s="37" t="n">
        <f aca="false">1+IF($G$7=$E$7,$F$7,IF(Q226&lt;($F$7-$E$7)/($G$7-$E$7),$E$7+SQRT(Q226*($G$7-$E$7)*($F$7-$E$7)),$G$7-SQRT((1-Q226)*($G$7-$E$7)*($G$7-$F$7))))</f>
        <v>1.01222744741241</v>
      </c>
      <c r="D226" s="37" t="n">
        <f aca="false">1+IF($G$8=$E$8,$F$8,IF(R226&lt;($F$8-$E$8)/($G$8-$E$8),$E$8+SQRT(R226*($G$8-$E$8)*($F$8-$E$8)),$G$8-SQRT((1-R226)*($G$8-$E$8)*($G$8-$F$8))))</f>
        <v>1.00023827833841</v>
      </c>
      <c r="E226" s="37" t="n">
        <f aca="false">1+IF($G$9=$E$9,$F$9,IF(S226&lt;($F$9-$E$9)/($G$9-$E$9),$E$9+SQRT(S226*($G$9-$E$9)*($F$9-$E$9)),$G$9-SQRT((1-S226)*($G$9-$E$9)*($G$9-$F$9))))</f>
        <v>1.03278316145651</v>
      </c>
      <c r="F226" s="37" t="n">
        <f aca="false">1+IF($G$10=$E$10,$F$10,IF(T226&lt;($F$10-$E$10)/($G$10-$E$10),$E$10+SQRT(T226*($G$10-$E$10)*($F$10-$E$10)),$G$10-SQRT((1-T226)*($G$10-$E$10)*($G$10-$F$10))))</f>
        <v>1.06037115842932</v>
      </c>
      <c r="G226" s="38" t="n">
        <f aca="false">IF($G$11=$E$11,$F$11,IF(U226&lt;($F$11-$E$11)/($G$11-$E$11),$E$11+SQRT(U226*($G$11-$E$11)*($F$11-$E$11)),$G$11-SQRT((1-U226)*($G$11-$E$11)*($G$11-$F$11))))</f>
        <v>0.104182174691331</v>
      </c>
      <c r="H226" s="39" t="n">
        <f aca="false">(('Business Case'!B11*$C226*'Business Case'!B12*$B226)-'Business Case'!B11*$C226*'Business Case'!B13*$D226-'Business Case'!B14*$E226)-MAX(0,(('Business Case'!B11*$C226*'Business Case'!B12*$B226)-'Business Case'!B11*$C226*'Business Case'!B13*$D226-'Business Case'!B14*$E226))*'Business Case'!$B$7-'Business Case'!$B$8*('Business Case'!B11*$C226*'Business Case'!B12*$B226)-'Business Case'!B15*$F226</f>
        <v>-2120742316.85864</v>
      </c>
      <c r="I226" s="39" t="n">
        <f aca="false">(('Business Case'!C11*$C226*'Business Case'!C12*$B226)-'Business Case'!C11*$C226*'Business Case'!C13*$D226-'Business Case'!C14*$E226)-MAX(0,(('Business Case'!C11*$C226*'Business Case'!C12*$B226)-'Business Case'!C11*$C226*'Business Case'!C13*$D226-'Business Case'!C14*$E226))*'Business Case'!$B$7-'Business Case'!$B$8*(('Business Case'!C11*$C226*'Business Case'!C12*$B226)-('Business Case'!B11*$C226*'Business Case'!B12*$B226))-'Business Case'!C15*$F226</f>
        <v>-6972942.8922898</v>
      </c>
      <c r="J226" s="39" t="n">
        <f aca="false">(('Business Case'!D11*$C226*'Business Case'!D12*$B226)-'Business Case'!D11*$C226*'Business Case'!D13*$D226-'Business Case'!D14*$E226)-MAX(0,(('Business Case'!D11*$C226*'Business Case'!D12*$B226)-'Business Case'!D11*$C226*'Business Case'!D13*$D226-'Business Case'!D14*$E226))*'Business Case'!$B$7-'Business Case'!$B$8*(('Business Case'!D11*$C226*'Business Case'!D12*$B226)-('Business Case'!C11*$C226*'Business Case'!C12*$B226))-'Business Case'!D15*$F226</f>
        <v>290590082.396752</v>
      </c>
      <c r="K226" s="39" t="n">
        <f aca="false">(('Business Case'!E11*$C226*'Business Case'!E12*$B226)-'Business Case'!E11*$C226*'Business Case'!E13*$D226-'Business Case'!E14*$E226)-MAX(0,(('Business Case'!E11*$C226*'Business Case'!E12*$B226)-'Business Case'!E11*$C226*'Business Case'!E13*$D226-'Business Case'!E14*$E226))*'Business Case'!$B$7-'Business Case'!$B$8*(('Business Case'!E11*$C226*'Business Case'!E12*$B226)-('Business Case'!D11*$C226*'Business Case'!D12*$B226))-'Business Case'!E15*$F226</f>
        <v>641171665.60726</v>
      </c>
      <c r="L226" s="39" t="n">
        <f aca="false">(('Business Case'!F11*$C226*'Business Case'!F12*$B226)-'Business Case'!F11*$C226*'Business Case'!F13*$D226-'Business Case'!F14*$E226)-MAX(0,(('Business Case'!F11*$C226*'Business Case'!F12*$B226)-'Business Case'!F11*$C226*'Business Case'!F13*$D226-'Business Case'!F14*$E226))*'Business Case'!$B$7-'Business Case'!$B$8*(('Business Case'!F11*$C226*'Business Case'!F12*$B226)-('Business Case'!E11*$C226*'Business Case'!E12*$B226))-'Business Case'!F15*$F226</f>
        <v>774784065.223129</v>
      </c>
      <c r="M226" s="39" t="n">
        <f aca="false">(('Business Case'!G11*$C226*'Business Case'!G12*$B226)-'Business Case'!G11*$C226*'Business Case'!G13*$D226-'Business Case'!G14*$E226)-MAX(0,(('Business Case'!G11*$C226*'Business Case'!G12*$B226)-'Business Case'!G11*$C226*'Business Case'!G13*$D226-'Business Case'!G14*$E226))*'Business Case'!$B$7-'Business Case'!$B$8*(('Business Case'!G11*$C226*'Business Case'!G12*$B226)-('Business Case'!F11*$C226*'Business Case'!F12*$B226))-'Business Case'!G15*$F226+'Business Case'!$B$8*('Business Case'!G11*$C226*'Business Case'!G12*$B226)</f>
        <v>964120050.080501</v>
      </c>
      <c r="N226" s="39" t="n">
        <f aca="false">IF(COUNT('Business Case'!B11:G11)=0,"",H226+NPV(G226,I226:M226))</f>
        <v>-303839998.335137</v>
      </c>
      <c r="P226" s="40" t="n">
        <f aca="true">RAND()</f>
        <v>0.427377879010629</v>
      </c>
      <c r="Q226" s="40" t="n">
        <f aca="true">RAND()</f>
        <v>0.63845188101905</v>
      </c>
      <c r="R226" s="40" t="n">
        <f aca="true">RAND()</f>
        <v>0.388275745921085</v>
      </c>
      <c r="S226" s="40" t="n">
        <f aca="true">RAND()</f>
        <v>0.698793107747903</v>
      </c>
      <c r="T226" s="40" t="n">
        <f aca="true">RAND()</f>
        <v>0.610075732032611</v>
      </c>
      <c r="U226" s="40" t="n">
        <f aca="true">RAND()</f>
        <v>0.582994004174051</v>
      </c>
    </row>
    <row r="227" customFormat="false" ht="15" hidden="false" customHeight="false" outlineLevel="0" collapsed="false">
      <c r="A227" s="36" t="n">
        <v>147</v>
      </c>
      <c r="B227" s="37" t="n">
        <f aca="false">1+IF($G$6=$E$6,$F$6,IF(P227&lt;($F$6-$E$6)/($G$6-$E$6),$E$6+SQRT(P227*($G$6-$E$6)*($F$6-$E$6)),$G$6-SQRT((1-P227)*($G$6-$E$6)*($G$6-$F$6))))</f>
        <v>1.00009788409081</v>
      </c>
      <c r="C227" s="37" t="n">
        <f aca="false">1+IF($G$7=$E$7,$F$7,IF(Q227&lt;($F$7-$E$7)/($G$7-$E$7),$E$7+SQRT(Q227*($G$7-$E$7)*($F$7-$E$7)),$G$7-SQRT((1-Q227)*($G$7-$E$7)*($G$7-$F$7))))</f>
        <v>0.975690027123683</v>
      </c>
      <c r="D227" s="37" t="n">
        <f aca="false">1+IF($G$8=$E$8,$F$8,IF(R227&lt;($F$8-$E$8)/($G$8-$E$8),$E$8+SQRT(R227*($G$8-$E$8)*($F$8-$E$8)),$G$8-SQRT((1-R227)*($G$8-$E$8)*($G$8-$F$8))))</f>
        <v>1.01366748608134</v>
      </c>
      <c r="E227" s="37" t="n">
        <f aca="false">1+IF($G$9=$E$9,$F$9,IF(S227&lt;($F$9-$E$9)/($G$9-$E$9),$E$9+SQRT(S227*($G$9-$E$9)*($F$9-$E$9)),$G$9-SQRT((1-S227)*($G$9-$E$9)*($G$9-$F$9))))</f>
        <v>0.987173054332719</v>
      </c>
      <c r="F227" s="37" t="n">
        <f aca="false">1+IF($G$10=$E$10,$F$10,IF(T227&lt;($F$10-$E$10)/($G$10-$E$10),$E$10+SQRT(T227*($G$10-$E$10)*($F$10-$E$10)),$G$10-SQRT((1-T227)*($G$10-$E$10)*($G$10-$F$10))))</f>
        <v>1.00826039468247</v>
      </c>
      <c r="G227" s="38" t="n">
        <f aca="false">IF($G$11=$E$11,$F$11,IF(U227&lt;($F$11-$E$11)/($G$11-$E$11),$E$11+SQRT(U227*($G$11-$E$11)*($F$11-$E$11)),$G$11-SQRT((1-U227)*($G$11-$E$11)*($G$11-$F$11))))</f>
        <v>0.113625306431989</v>
      </c>
      <c r="H227" s="39" t="n">
        <f aca="false">(('Business Case'!B11*$C227*'Business Case'!B12*$B227)-'Business Case'!B11*$C227*'Business Case'!B13*$D227-'Business Case'!B14*$E227)-MAX(0,(('Business Case'!B11*$C227*'Business Case'!B12*$B227)-'Business Case'!B11*$C227*'Business Case'!B13*$D227-'Business Case'!B14*$E227))*'Business Case'!$B$7-'Business Case'!$B$8*('Business Case'!B11*$C227*'Business Case'!B12*$B227)-'Business Case'!B15*$F227</f>
        <v>-2016520789.36493</v>
      </c>
      <c r="I227" s="39" t="n">
        <f aca="false">(('Business Case'!C11*$C227*'Business Case'!C12*$B227)-'Business Case'!C11*$C227*'Business Case'!C13*$D227-'Business Case'!C14*$E227)-MAX(0,(('Business Case'!C11*$C227*'Business Case'!C12*$B227)-'Business Case'!C11*$C227*'Business Case'!C13*$D227-'Business Case'!C14*$E227))*'Business Case'!$B$7-'Business Case'!$B$8*(('Business Case'!C11*$C227*'Business Case'!C12*$B227)-('Business Case'!B11*$C227*'Business Case'!B12*$B227))-'Business Case'!C15*$F227</f>
        <v>1150027.67042984</v>
      </c>
      <c r="J227" s="39" t="n">
        <f aca="false">(('Business Case'!D11*$C227*'Business Case'!D12*$B227)-'Business Case'!D11*$C227*'Business Case'!D13*$D227-'Business Case'!D14*$E227)-MAX(0,(('Business Case'!D11*$C227*'Business Case'!D12*$B227)-'Business Case'!D11*$C227*'Business Case'!D13*$D227-'Business Case'!D14*$E227))*'Business Case'!$B$7-'Business Case'!$B$8*(('Business Case'!D11*$C227*'Business Case'!D12*$B227)-('Business Case'!C11*$C227*'Business Case'!C12*$B227))-'Business Case'!D15*$F227</f>
        <v>294086825.096209</v>
      </c>
      <c r="K227" s="39" t="n">
        <f aca="false">(('Business Case'!E11*$C227*'Business Case'!E12*$B227)-'Business Case'!E11*$C227*'Business Case'!E13*$D227-'Business Case'!E14*$E227)-MAX(0,(('Business Case'!E11*$C227*'Business Case'!E12*$B227)-'Business Case'!E11*$C227*'Business Case'!E13*$D227-'Business Case'!E14*$E227))*'Business Case'!$B$7-'Business Case'!$B$8*(('Business Case'!E11*$C227*'Business Case'!E12*$B227)-('Business Case'!D11*$C227*'Business Case'!D12*$B227))-'Business Case'!E15*$F227</f>
        <v>637436642.256111</v>
      </c>
      <c r="L227" s="39" t="n">
        <f aca="false">(('Business Case'!F11*$C227*'Business Case'!F12*$B227)-'Business Case'!F11*$C227*'Business Case'!F13*$D227-'Business Case'!F14*$E227)-MAX(0,(('Business Case'!F11*$C227*'Business Case'!F12*$B227)-'Business Case'!F11*$C227*'Business Case'!F13*$D227-'Business Case'!F14*$E227))*'Business Case'!$B$7-'Business Case'!$B$8*(('Business Case'!F11*$C227*'Business Case'!F12*$B227)-('Business Case'!E11*$C227*'Business Case'!E12*$B227))-'Business Case'!F15*$F227</f>
        <v>768805389.37203</v>
      </c>
      <c r="M227" s="39" t="n">
        <f aca="false">(('Business Case'!G11*$C227*'Business Case'!G12*$B227)-'Business Case'!G11*$C227*'Business Case'!G13*$D227-'Business Case'!G14*$E227)-MAX(0,(('Business Case'!G11*$C227*'Business Case'!G12*$B227)-'Business Case'!G11*$C227*'Business Case'!G13*$D227-'Business Case'!G14*$E227))*'Business Case'!$B$7-'Business Case'!$B$8*(('Business Case'!G11*$C227*'Business Case'!G12*$B227)-('Business Case'!F11*$C227*'Business Case'!F12*$B227))-'Business Case'!G15*$F227+'Business Case'!$B$8*('Business Case'!G11*$C227*'Business Case'!G12*$B227)</f>
        <v>954282703.228993</v>
      </c>
      <c r="N227" s="39" t="n">
        <f aca="false">IF(COUNT('Business Case'!B11:G11)=0,"",H227+NPV(G227,I227:M227))</f>
        <v>-259765533.930997</v>
      </c>
      <c r="P227" s="40" t="n">
        <f aca="true">RAND()</f>
        <v>0.668296072076941</v>
      </c>
      <c r="Q227" s="40" t="n">
        <f aca="true">RAND()</f>
        <v>0.440956937581723</v>
      </c>
      <c r="R227" s="40" t="n">
        <f aca="true">RAND()</f>
        <v>0.576922845887624</v>
      </c>
      <c r="S227" s="40" t="n">
        <f aca="true">RAND()</f>
        <v>0.184244795789774</v>
      </c>
      <c r="T227" s="40" t="n">
        <f aca="true">RAND()</f>
        <v>0.264718475053528</v>
      </c>
      <c r="U227" s="40" t="n">
        <f aca="true">RAND()</f>
        <v>0.932272136523262</v>
      </c>
    </row>
    <row r="228" customFormat="false" ht="15" hidden="false" customHeight="false" outlineLevel="0" collapsed="false">
      <c r="A228" s="36" t="n">
        <v>148</v>
      </c>
      <c r="B228" s="37" t="n">
        <f aca="false">1+IF($G$6=$E$6,$F$6,IF(P228&lt;($F$6-$E$6)/($G$6-$E$6),$E$6+SQRT(P228*($G$6-$E$6)*($F$6-$E$6)),$G$6-SQRT((1-P228)*($G$6-$E$6)*($G$6-$F$6))))</f>
        <v>0.936421086175228</v>
      </c>
      <c r="C228" s="37" t="n">
        <f aca="false">1+IF($G$7=$E$7,$F$7,IF(Q228&lt;($F$7-$E$7)/($G$7-$E$7),$E$7+SQRT(Q228*($G$7-$E$7)*($F$7-$E$7)),$G$7-SQRT((1-Q228)*($G$7-$E$7)*($G$7-$F$7))))</f>
        <v>1.069330518217</v>
      </c>
      <c r="D228" s="37" t="n">
        <f aca="false">1+IF($G$8=$E$8,$F$8,IF(R228&lt;($F$8-$E$8)/($G$8-$E$8),$E$8+SQRT(R228*($G$8-$E$8)*($F$8-$E$8)),$G$8-SQRT((1-R228)*($G$8-$E$8)*($G$8-$F$8))))</f>
        <v>1.01260019713558</v>
      </c>
      <c r="E228" s="37" t="n">
        <f aca="false">1+IF($G$9=$E$9,$F$9,IF(S228&lt;($F$9-$E$9)/($G$9-$E$9),$E$9+SQRT(S228*($G$9-$E$9)*($F$9-$E$9)),$G$9-SQRT((1-S228)*($G$9-$E$9)*($G$9-$F$9))))</f>
        <v>0.985879398289668</v>
      </c>
      <c r="F228" s="37" t="n">
        <f aca="false">1+IF($G$10=$E$10,$F$10,IF(T228&lt;($F$10-$E$10)/($G$10-$E$10),$E$10+SQRT(T228*($G$10-$E$10)*($F$10-$E$10)),$G$10-SQRT((1-T228)*($G$10-$E$10)*($G$10-$F$10))))</f>
        <v>1.00937535066791</v>
      </c>
      <c r="G228" s="38" t="n">
        <f aca="false">IF($G$11=$E$11,$F$11,IF(U228&lt;($F$11-$E$11)/($G$11-$E$11),$E$11+SQRT(U228*($G$11-$E$11)*($F$11-$E$11)),$G$11-SQRT((1-U228)*($G$11-$E$11)*($G$11-$F$11))))</f>
        <v>0.09614766466335</v>
      </c>
      <c r="H228" s="39" t="n">
        <f aca="false">(('Business Case'!B11*$C228*'Business Case'!B12*$B228)-'Business Case'!B11*$C228*'Business Case'!B13*$D228-'Business Case'!B14*$E228)-MAX(0,(('Business Case'!B11*$C228*'Business Case'!B12*$B228)-'Business Case'!B11*$C228*'Business Case'!B13*$D228-'Business Case'!B14*$E228))*'Business Case'!$B$7-'Business Case'!$B$8*('Business Case'!B11*$C228*'Business Case'!B12*$B228)-'Business Case'!B15*$F228</f>
        <v>-2018750701.33582</v>
      </c>
      <c r="I228" s="39" t="n">
        <f aca="false">(('Business Case'!C11*$C228*'Business Case'!C12*$B228)-'Business Case'!C11*$C228*'Business Case'!C13*$D228-'Business Case'!C14*$E228)-MAX(0,(('Business Case'!C11*$C228*'Business Case'!C12*$B228)-'Business Case'!C11*$C228*'Business Case'!C13*$D228-'Business Case'!C14*$E228))*'Business Case'!$B$7-'Business Case'!$B$8*(('Business Case'!C11*$C228*'Business Case'!C12*$B228)-('Business Case'!B11*$C228*'Business Case'!B12*$B228))-'Business Case'!C15*$F228</f>
        <v>-27175871.7490388</v>
      </c>
      <c r="J228" s="39" t="n">
        <f aca="false">(('Business Case'!D11*$C228*'Business Case'!D12*$B228)-'Business Case'!D11*$C228*'Business Case'!D13*$D228-'Business Case'!D14*$E228)-MAX(0,(('Business Case'!D11*$C228*'Business Case'!D12*$B228)-'Business Case'!D11*$C228*'Business Case'!D13*$D228-'Business Case'!D14*$E228))*'Business Case'!$B$7-'Business Case'!$B$8*(('Business Case'!D11*$C228*'Business Case'!D12*$B228)-('Business Case'!C11*$C228*'Business Case'!C12*$B228))-'Business Case'!D15*$F228</f>
        <v>238687496.5804</v>
      </c>
      <c r="K228" s="39" t="n">
        <f aca="false">(('Business Case'!E11*$C228*'Business Case'!E12*$B228)-'Business Case'!E11*$C228*'Business Case'!E13*$D228-'Business Case'!E14*$E228)-MAX(0,(('Business Case'!E11*$C228*'Business Case'!E12*$B228)-'Business Case'!E11*$C228*'Business Case'!E13*$D228-'Business Case'!E14*$E228))*'Business Case'!$B$7-'Business Case'!$B$8*(('Business Case'!E11*$C228*'Business Case'!E12*$B228)-('Business Case'!D11*$C228*'Business Case'!D12*$B228))-'Business Case'!E15*$F228</f>
        <v>555019632.443236</v>
      </c>
      <c r="L228" s="39" t="n">
        <f aca="false">(('Business Case'!F11*$C228*'Business Case'!F12*$B228)-'Business Case'!F11*$C228*'Business Case'!F13*$D228-'Business Case'!F14*$E228)-MAX(0,(('Business Case'!F11*$C228*'Business Case'!F12*$B228)-'Business Case'!F11*$C228*'Business Case'!F13*$D228-'Business Case'!F14*$E228))*'Business Case'!$B$7-'Business Case'!$B$8*(('Business Case'!F11*$C228*'Business Case'!F12*$B228)-('Business Case'!E11*$C228*'Business Case'!E12*$B228))-'Business Case'!F15*$F228</f>
        <v>678247191.602979</v>
      </c>
      <c r="M228" s="39" t="n">
        <f aca="false">(('Business Case'!G11*$C228*'Business Case'!G12*$B228)-'Business Case'!G11*$C228*'Business Case'!G13*$D228-'Business Case'!G14*$E228)-MAX(0,(('Business Case'!G11*$C228*'Business Case'!G12*$B228)-'Business Case'!G11*$C228*'Business Case'!G13*$D228-'Business Case'!G14*$E228))*'Business Case'!$B$7-'Business Case'!$B$8*(('Business Case'!G11*$C228*'Business Case'!G12*$B228)-('Business Case'!F11*$C228*'Business Case'!F12*$B228))-'Business Case'!G15*$F228+'Business Case'!$B$8*('Business Case'!G11*$C228*'Business Case'!G12*$B228)</f>
        <v>868582591.710932</v>
      </c>
      <c r="N228" s="39" t="n">
        <f aca="false">IF(COUNT('Business Case'!B11:G11)=0,"",H228+NPV(G228,I228:M228))</f>
        <v>-404821098.804442</v>
      </c>
      <c r="P228" s="40" t="n">
        <f aca="true">RAND()</f>
        <v>0.0280887574139859</v>
      </c>
      <c r="Q228" s="40" t="n">
        <f aca="true">RAND()</f>
        <v>0.876046375406892</v>
      </c>
      <c r="R228" s="40" t="n">
        <f aca="true">RAND()</f>
        <v>0.563198709022804</v>
      </c>
      <c r="S228" s="40" t="n">
        <f aca="true">RAND()</f>
        <v>0.171644162883815</v>
      </c>
      <c r="T228" s="40" t="n">
        <f aca="true">RAND()</f>
        <v>0.27324486134035</v>
      </c>
      <c r="U228" s="40" t="n">
        <f aca="true">RAND()</f>
        <v>0.125979269376675</v>
      </c>
    </row>
    <row r="229" customFormat="false" ht="15" hidden="false" customHeight="false" outlineLevel="0" collapsed="false">
      <c r="A229" s="36" t="n">
        <v>149</v>
      </c>
      <c r="B229" s="37" t="n">
        <f aca="false">1+IF($G$6=$E$6,$F$6,IF(P229&lt;($F$6-$E$6)/($G$6-$E$6),$E$6+SQRT(P229*($G$6-$E$6)*($F$6-$E$6)),$G$6-SQRT((1-P229)*($G$6-$E$6)*($G$6-$F$6))))</f>
        <v>0.937685393579192</v>
      </c>
      <c r="C229" s="37" t="n">
        <f aca="false">1+IF($G$7=$E$7,$F$7,IF(Q229&lt;($F$7-$E$7)/($G$7-$E$7),$E$7+SQRT(Q229*($G$7-$E$7)*($F$7-$E$7)),$G$7-SQRT((1-Q229)*($G$7-$E$7)*($G$7-$F$7))))</f>
        <v>0.986464846005899</v>
      </c>
      <c r="D229" s="37" t="n">
        <f aca="false">1+IF($G$8=$E$8,$F$8,IF(R229&lt;($F$8-$E$8)/($G$8-$E$8),$E$8+SQRT(R229*($G$8-$E$8)*($F$8-$E$8)),$G$8-SQRT((1-R229)*($G$8-$E$8)*($G$8-$F$8))))</f>
        <v>1.02877976979588</v>
      </c>
      <c r="E229" s="37" t="n">
        <f aca="false">1+IF($G$9=$E$9,$F$9,IF(S229&lt;($F$9-$E$9)/($G$9-$E$9),$E$9+SQRT(S229*($G$9-$E$9)*($F$9-$E$9)),$G$9-SQRT((1-S229)*($G$9-$E$9)*($G$9-$F$9))))</f>
        <v>1.02048237162607</v>
      </c>
      <c r="F229" s="37" t="n">
        <f aca="false">1+IF($G$10=$E$10,$F$10,IF(T229&lt;($F$10-$E$10)/($G$10-$E$10),$E$10+SQRT(T229*($G$10-$E$10)*($F$10-$E$10)),$G$10-SQRT((1-T229)*($G$10-$E$10)*($G$10-$F$10))))</f>
        <v>1.10124974265892</v>
      </c>
      <c r="G229" s="38" t="n">
        <f aca="false">IF($G$11=$E$11,$F$11,IF(U229&lt;($F$11-$E$11)/($G$11-$E$11),$E$11+SQRT(U229*($G$11-$E$11)*($F$11-$E$11)),$G$11-SQRT((1-U229)*($G$11-$E$11)*($G$11-$F$11))))</f>
        <v>0.0946472992046664</v>
      </c>
      <c r="H229" s="39" t="n">
        <f aca="false">(('Business Case'!B11*$C229*'Business Case'!B12*$B229)-'Business Case'!B11*$C229*'Business Case'!B13*$D229-'Business Case'!B14*$E229)-MAX(0,(('Business Case'!B11*$C229*'Business Case'!B12*$B229)-'Business Case'!B11*$C229*'Business Case'!B13*$D229-'Business Case'!B14*$E229))*'Business Case'!$B$7-'Business Case'!$B$8*('Business Case'!B11*$C229*'Business Case'!B12*$B229)-'Business Case'!B15*$F229</f>
        <v>-2202499485.31783</v>
      </c>
      <c r="I229" s="39" t="n">
        <f aca="false">(('Business Case'!C11*$C229*'Business Case'!C12*$B229)-'Business Case'!C11*$C229*'Business Case'!C13*$D229-'Business Case'!C14*$E229)-MAX(0,(('Business Case'!C11*$C229*'Business Case'!C12*$B229)-'Business Case'!C11*$C229*'Business Case'!C13*$D229-'Business Case'!C14*$E229))*'Business Case'!$B$7-'Business Case'!$B$8*(('Business Case'!C11*$C229*'Business Case'!C12*$B229)-('Business Case'!B11*$C229*'Business Case'!B12*$B229))-'Business Case'!C15*$F229</f>
        <v>-65077429.5411077</v>
      </c>
      <c r="J229" s="39" t="n">
        <f aca="false">(('Business Case'!D11*$C229*'Business Case'!D12*$B229)-'Business Case'!D11*$C229*'Business Case'!D13*$D229-'Business Case'!D14*$E229)-MAX(0,(('Business Case'!D11*$C229*'Business Case'!D12*$B229)-'Business Case'!D11*$C229*'Business Case'!D13*$D229-'Business Case'!D14*$E229))*'Business Case'!$B$7-'Business Case'!$B$8*(('Business Case'!D11*$C229*'Business Case'!D12*$B229)-('Business Case'!C11*$C229*'Business Case'!C12*$B229))-'Business Case'!D15*$F229</f>
        <v>173034380.664235</v>
      </c>
      <c r="K229" s="39" t="n">
        <f aca="false">(('Business Case'!E11*$C229*'Business Case'!E12*$B229)-'Business Case'!E11*$C229*'Business Case'!E13*$D229-'Business Case'!E14*$E229)-MAX(0,(('Business Case'!E11*$C229*'Business Case'!E12*$B229)-'Business Case'!E11*$C229*'Business Case'!E13*$D229-'Business Case'!E14*$E229))*'Business Case'!$B$7-'Business Case'!$B$8*(('Business Case'!E11*$C229*'Business Case'!E12*$B229)-('Business Case'!D11*$C229*'Business Case'!D12*$B229))-'Business Case'!E15*$F229</f>
        <v>466208678.002523</v>
      </c>
      <c r="L229" s="39" t="n">
        <f aca="false">(('Business Case'!F11*$C229*'Business Case'!F12*$B229)-'Business Case'!F11*$C229*'Business Case'!F13*$D229-'Business Case'!F14*$E229)-MAX(0,(('Business Case'!F11*$C229*'Business Case'!F12*$B229)-'Business Case'!F11*$C229*'Business Case'!F13*$D229-'Business Case'!F14*$E229))*'Business Case'!$B$7-'Business Case'!$B$8*(('Business Case'!F11*$C229*'Business Case'!F12*$B229)-('Business Case'!E11*$C229*'Business Case'!E12*$B229))-'Business Case'!F15*$F229</f>
        <v>577547062.894525</v>
      </c>
      <c r="M229" s="39" t="n">
        <f aca="false">(('Business Case'!G11*$C229*'Business Case'!G12*$B229)-'Business Case'!G11*$C229*'Business Case'!G13*$D229-'Business Case'!G14*$E229)-MAX(0,(('Business Case'!G11*$C229*'Business Case'!G12*$B229)-'Business Case'!G11*$C229*'Business Case'!G13*$D229-'Business Case'!G14*$E229))*'Business Case'!$B$7-'Business Case'!$B$8*(('Business Case'!G11*$C229*'Business Case'!G12*$B229)-('Business Case'!F11*$C229*'Business Case'!F12*$B229))-'Business Case'!G15*$F229+'Business Case'!$B$8*('Business Case'!G11*$C229*'Business Case'!G12*$B229)</f>
        <v>753369861.09074</v>
      </c>
      <c r="N229" s="39" t="n">
        <f aca="false">IF(COUNT('Business Case'!B11:G11)=0,"",H229+NPV(G229,I229:M229))</f>
        <v>-880533770.322544</v>
      </c>
      <c r="P229" s="40" t="n">
        <f aca="true">RAND()</f>
        <v>0.0325805360469706</v>
      </c>
      <c r="Q229" s="40" t="n">
        <f aca="true">RAND()</f>
        <v>0.496701982800051</v>
      </c>
      <c r="R229" s="40" t="n">
        <f aca="true">RAND()</f>
        <v>0.747739232484361</v>
      </c>
      <c r="S229" s="40" t="n">
        <f aca="true">RAND()</f>
        <v>0.578463118519038</v>
      </c>
      <c r="T229" s="40" t="n">
        <f aca="true">RAND()</f>
        <v>0.804967733501397</v>
      </c>
      <c r="U229" s="40" t="n">
        <f aca="true">RAND()</f>
        <v>0.0719912996589775</v>
      </c>
    </row>
    <row r="230" customFormat="false" ht="15" hidden="false" customHeight="false" outlineLevel="0" collapsed="false">
      <c r="A230" s="36" t="n">
        <v>150</v>
      </c>
      <c r="B230" s="37" t="n">
        <f aca="false">1+IF($G$6=$E$6,$F$6,IF(P230&lt;($F$6-$E$6)/($G$6-$E$6),$E$6+SQRT(P230*($G$6-$E$6)*($F$6-$E$6)),$G$6-SQRT((1-P230)*($G$6-$E$6)*($G$6-$F$6))))</f>
        <v>0.977200638603266</v>
      </c>
      <c r="C230" s="37" t="n">
        <f aca="false">1+IF($G$7=$E$7,$F$7,IF(Q230&lt;($F$7-$E$7)/($G$7-$E$7),$E$7+SQRT(Q230*($G$7-$E$7)*($F$7-$E$7)),$G$7-SQRT((1-Q230)*($G$7-$E$7)*($G$7-$F$7))))</f>
        <v>0.831855451943039</v>
      </c>
      <c r="D230" s="37" t="n">
        <f aca="false">1+IF($G$8=$E$8,$F$8,IF(R230&lt;($F$8-$E$8)/($G$8-$E$8),$E$8+SQRT(R230*($G$8-$E$8)*($F$8-$E$8)),$G$8-SQRT((1-R230)*($G$8-$E$8)*($G$8-$F$8))))</f>
        <v>1.02413222461124</v>
      </c>
      <c r="E230" s="37" t="n">
        <f aca="false">1+IF($G$9=$E$9,$F$9,IF(S230&lt;($F$9-$E$9)/($G$9-$E$9),$E$9+SQRT(S230*($G$9-$E$9)*($F$9-$E$9)),$G$9-SQRT((1-S230)*($G$9-$E$9)*($G$9-$F$9))))</f>
        <v>1.01896082851651</v>
      </c>
      <c r="F230" s="37" t="n">
        <f aca="false">1+IF($G$10=$E$10,$F$10,IF(T230&lt;($F$10-$E$10)/($G$10-$E$10),$E$10+SQRT(T230*($G$10-$E$10)*($F$10-$E$10)),$G$10-SQRT((1-T230)*($G$10-$E$10)*($G$10-$F$10))))</f>
        <v>1.02972235634365</v>
      </c>
      <c r="G230" s="38" t="n">
        <f aca="false">IF($G$11=$E$11,$F$11,IF(U230&lt;($F$11-$E$11)/($G$11-$E$11),$E$11+SQRT(U230*($G$11-$E$11)*($F$11-$E$11)),$G$11-SQRT((1-U230)*($G$11-$E$11)*($G$11-$F$11))))</f>
        <v>0.108282811551211</v>
      </c>
      <c r="H230" s="39" t="n">
        <f aca="false">(('Business Case'!B11*$C230*'Business Case'!B12*$B230)-'Business Case'!B11*$C230*'Business Case'!B13*$D230-'Business Case'!B14*$E230)-MAX(0,(('Business Case'!B11*$C230*'Business Case'!B12*$B230)-'Business Case'!B11*$C230*'Business Case'!B13*$D230-'Business Case'!B14*$E230))*'Business Case'!$B$7-'Business Case'!$B$8*('Business Case'!B11*$C230*'Business Case'!B12*$B230)-'Business Case'!B15*$F230</f>
        <v>-2059444712.6873</v>
      </c>
      <c r="I230" s="39" t="n">
        <f aca="false">(('Business Case'!C11*$C230*'Business Case'!C12*$B230)-'Business Case'!C11*$C230*'Business Case'!C13*$D230-'Business Case'!C14*$E230)-MAX(0,(('Business Case'!C11*$C230*'Business Case'!C12*$B230)-'Business Case'!C11*$C230*'Business Case'!C13*$D230-'Business Case'!C14*$E230))*'Business Case'!$B$7-'Business Case'!$B$8*(('Business Case'!C11*$C230*'Business Case'!C12*$B230)-('Business Case'!B11*$C230*'Business Case'!B12*$B230))-'Business Case'!C15*$F230</f>
        <v>-60313483.9283463</v>
      </c>
      <c r="J230" s="39" t="n">
        <f aca="false">(('Business Case'!D11*$C230*'Business Case'!D12*$B230)-'Business Case'!D11*$C230*'Business Case'!D13*$D230-'Business Case'!D14*$E230)-MAX(0,(('Business Case'!D11*$C230*'Business Case'!D12*$B230)-'Business Case'!D11*$C230*'Business Case'!D13*$D230-'Business Case'!D14*$E230))*'Business Case'!$B$7-'Business Case'!$B$8*(('Business Case'!D11*$C230*'Business Case'!D12*$B230)-('Business Case'!C11*$C230*'Business Case'!C12*$B230))-'Business Case'!D15*$F230</f>
        <v>169381698.545048</v>
      </c>
      <c r="K230" s="39" t="n">
        <f aca="false">(('Business Case'!E11*$C230*'Business Case'!E12*$B230)-'Business Case'!E11*$C230*'Business Case'!E13*$D230-'Business Case'!E14*$E230)-MAX(0,(('Business Case'!E11*$C230*'Business Case'!E12*$B230)-'Business Case'!E11*$C230*'Business Case'!E13*$D230-'Business Case'!E14*$E230))*'Business Case'!$B$7-'Business Case'!$B$8*(('Business Case'!E11*$C230*'Business Case'!E12*$B230)-('Business Case'!D11*$C230*'Business Case'!D12*$B230))-'Business Case'!E15*$F230</f>
        <v>450562998.835625</v>
      </c>
      <c r="L230" s="39" t="n">
        <f aca="false">(('Business Case'!F11*$C230*'Business Case'!F12*$B230)-'Business Case'!F11*$C230*'Business Case'!F13*$D230-'Business Case'!F14*$E230)-MAX(0,(('Business Case'!F11*$C230*'Business Case'!F12*$B230)-'Business Case'!F11*$C230*'Business Case'!F13*$D230-'Business Case'!F14*$E230))*'Business Case'!$B$7-'Business Case'!$B$8*(('Business Case'!F11*$C230*'Business Case'!F12*$B230)-('Business Case'!E11*$C230*'Business Case'!E12*$B230))-'Business Case'!F15*$F230</f>
        <v>555221526.961641</v>
      </c>
      <c r="M230" s="39" t="n">
        <f aca="false">(('Business Case'!G11*$C230*'Business Case'!G12*$B230)-'Business Case'!G11*$C230*'Business Case'!G13*$D230-'Business Case'!G14*$E230)-MAX(0,(('Business Case'!G11*$C230*'Business Case'!G12*$B230)-'Business Case'!G11*$C230*'Business Case'!G13*$D230-'Business Case'!G14*$E230))*'Business Case'!$B$7-'Business Case'!$B$8*(('Business Case'!G11*$C230*'Business Case'!G12*$B230)-('Business Case'!F11*$C230*'Business Case'!F12*$B230))-'Business Case'!G15*$F230+'Business Case'!$B$8*('Business Case'!G11*$C230*'Business Case'!G12*$B230)</f>
        <v>709735597.120176</v>
      </c>
      <c r="N230" s="39" t="n">
        <f aca="false">IF(COUNT('Business Case'!B11:G11)=0,"",H230+NPV(G230,I230:M230))</f>
        <v>-852503236.005945</v>
      </c>
      <c r="P230" s="40" t="n">
        <f aca="true">RAND()</f>
        <v>0.340824276731396</v>
      </c>
      <c r="Q230" s="40" t="n">
        <f aca="true">RAND()</f>
        <v>0.0144967116927897</v>
      </c>
      <c r="R230" s="40" t="n">
        <f aca="true">RAND()</f>
        <v>0.699883814722226</v>
      </c>
      <c r="S230" s="40" t="n">
        <f aca="true">RAND()</f>
        <v>0.562176845684617</v>
      </c>
      <c r="T230" s="40" t="n">
        <f aca="true">RAND()</f>
        <v>0.420110481416822</v>
      </c>
      <c r="U230" s="40" t="n">
        <f aca="true">RAND()</f>
        <v>0.771179158092604</v>
      </c>
    </row>
    <row r="231" customFormat="false" ht="15" hidden="false" customHeight="false" outlineLevel="0" collapsed="false">
      <c r="A231" s="36" t="n">
        <v>151</v>
      </c>
      <c r="B231" s="37" t="n">
        <f aca="false">1+IF($G$6=$E$6,$F$6,IF(P231&lt;($F$6-$E$6)/($G$6-$E$6),$E$6+SQRT(P231*($G$6-$E$6)*($F$6-$E$6)),$G$6-SQRT((1-P231)*($G$6-$E$6)*($G$6-$F$6))))</f>
        <v>0.943829736004047</v>
      </c>
      <c r="C231" s="37" t="n">
        <f aca="false">1+IF($G$7=$E$7,$F$7,IF(Q231&lt;($F$7-$E$7)/($G$7-$E$7),$E$7+SQRT(Q231*($G$7-$E$7)*($F$7-$E$7)),$G$7-SQRT((1-Q231)*($G$7-$E$7)*($G$7-$F$7))))</f>
        <v>0.994233764263227</v>
      </c>
      <c r="D231" s="37" t="n">
        <f aca="false">1+IF($G$8=$E$8,$F$8,IF(R231&lt;($F$8-$E$8)/($G$8-$E$8),$E$8+SQRT(R231*($G$8-$E$8)*($F$8-$E$8)),$G$8-SQRT((1-R231)*($G$8-$E$8)*($G$8-$F$8))))</f>
        <v>1.04369595946946</v>
      </c>
      <c r="E231" s="37" t="n">
        <f aca="false">1+IF($G$9=$E$9,$F$9,IF(S231&lt;($F$9-$E$9)/($G$9-$E$9),$E$9+SQRT(S231*($G$9-$E$9)*($F$9-$E$9)),$G$9-SQRT((1-S231)*($G$9-$E$9)*($G$9-$F$9))))</f>
        <v>0.995295372141483</v>
      </c>
      <c r="F231" s="37" t="n">
        <f aca="false">1+IF($G$10=$E$10,$F$10,IF(T231&lt;($F$10-$E$10)/($G$10-$E$10),$E$10+SQRT(T231*($G$10-$E$10)*($F$10-$E$10)),$G$10-SQRT((1-T231)*($G$10-$E$10)*($G$10-$F$10))))</f>
        <v>1.00591700069076</v>
      </c>
      <c r="G231" s="38" t="n">
        <f aca="false">IF($G$11=$E$11,$F$11,IF(U231&lt;($F$11-$E$11)/($G$11-$E$11),$E$11+SQRT(U231*($G$11-$E$11)*($F$11-$E$11)),$G$11-SQRT((1-U231)*($G$11-$E$11)*($G$11-$F$11))))</f>
        <v>0.0972854284111786</v>
      </c>
      <c r="H231" s="39" t="n">
        <f aca="false">(('Business Case'!B11*$C231*'Business Case'!B12*$B231)-'Business Case'!B11*$C231*'Business Case'!B13*$D231-'Business Case'!B14*$E231)-MAX(0,(('Business Case'!B11*$C231*'Business Case'!B12*$B231)-'Business Case'!B11*$C231*'Business Case'!B13*$D231-'Business Case'!B14*$E231))*'Business Case'!$B$7-'Business Case'!$B$8*('Business Case'!B11*$C231*'Business Case'!B12*$B231)-'Business Case'!B15*$F231</f>
        <v>-2011834001.38153</v>
      </c>
      <c r="I231" s="39" t="n">
        <f aca="false">(('Business Case'!C11*$C231*'Business Case'!C12*$B231)-'Business Case'!C11*$C231*'Business Case'!C13*$D231-'Business Case'!C14*$E231)-MAX(0,(('Business Case'!C11*$C231*'Business Case'!C12*$B231)-'Business Case'!C11*$C231*'Business Case'!C13*$D231-'Business Case'!C14*$E231))*'Business Case'!$B$7-'Business Case'!$B$8*(('Business Case'!C11*$C231*'Business Case'!C12*$B231)-('Business Case'!B11*$C231*'Business Case'!B12*$B231))-'Business Case'!C15*$F231</f>
        <v>-53369867.2175802</v>
      </c>
      <c r="J231" s="39" t="n">
        <f aca="false">(('Business Case'!D11*$C231*'Business Case'!D12*$B231)-'Business Case'!D11*$C231*'Business Case'!D13*$D231-'Business Case'!D14*$E231)-MAX(0,(('Business Case'!D11*$C231*'Business Case'!D12*$B231)-'Business Case'!D11*$C231*'Business Case'!D13*$D231-'Business Case'!D14*$E231))*'Business Case'!$B$7-'Business Case'!$B$8*(('Business Case'!D11*$C231*'Business Case'!D12*$B231)-('Business Case'!C11*$C231*'Business Case'!C12*$B231))-'Business Case'!D15*$F231</f>
        <v>184028969.91488</v>
      </c>
      <c r="K231" s="39" t="n">
        <f aca="false">(('Business Case'!E11*$C231*'Business Case'!E12*$B231)-'Business Case'!E11*$C231*'Business Case'!E13*$D231-'Business Case'!E14*$E231)-MAX(0,(('Business Case'!E11*$C231*'Business Case'!E12*$B231)-'Business Case'!E11*$C231*'Business Case'!E13*$D231-'Business Case'!E14*$E231))*'Business Case'!$B$7-'Business Case'!$B$8*(('Business Case'!E11*$C231*'Business Case'!E12*$B231)-('Business Case'!D11*$C231*'Business Case'!D12*$B231))-'Business Case'!E15*$F231</f>
        <v>471723657.081878</v>
      </c>
      <c r="L231" s="39" t="n">
        <f aca="false">(('Business Case'!F11*$C231*'Business Case'!F12*$B231)-'Business Case'!F11*$C231*'Business Case'!F13*$D231-'Business Case'!F14*$E231)-MAX(0,(('Business Case'!F11*$C231*'Business Case'!F12*$B231)-'Business Case'!F11*$C231*'Business Case'!F13*$D231-'Business Case'!F14*$E231))*'Business Case'!$B$7-'Business Case'!$B$8*(('Business Case'!F11*$C231*'Business Case'!F12*$B231)-('Business Case'!E11*$C231*'Business Case'!E12*$B231))-'Business Case'!F15*$F231</f>
        <v>583287271.034329</v>
      </c>
      <c r="M231" s="39" t="n">
        <f aca="false">(('Business Case'!G11*$C231*'Business Case'!G12*$B231)-'Business Case'!G11*$C231*'Business Case'!G13*$D231-'Business Case'!G14*$E231)-MAX(0,(('Business Case'!G11*$C231*'Business Case'!G12*$B231)-'Business Case'!G11*$C231*'Business Case'!G13*$D231-'Business Case'!G14*$E231))*'Business Case'!$B$7-'Business Case'!$B$8*(('Business Case'!G11*$C231*'Business Case'!G12*$B231)-('Business Case'!F11*$C231*'Business Case'!F12*$B231))-'Business Case'!G15*$F231+'Business Case'!$B$8*('Business Case'!G11*$C231*'Business Case'!G12*$B231)</f>
        <v>761655946.363294</v>
      </c>
      <c r="N231" s="39" t="n">
        <f aca="false">IF(COUNT('Business Case'!B11:G11)=0,"",H231+NPV(G231,I231:M231))</f>
        <v>-669421412.368392</v>
      </c>
      <c r="P231" s="40" t="n">
        <f aca="true">RAND()</f>
        <v>0.0591516997940203</v>
      </c>
      <c r="Q231" s="40" t="n">
        <f aca="true">RAND()</f>
        <v>0.538953645426609</v>
      </c>
      <c r="R231" s="40" t="n">
        <f aca="true">RAND()</f>
        <v>0.873270830880469</v>
      </c>
      <c r="S231" s="40" t="n">
        <f aca="true">RAND()</f>
        <v>0.273556098324726</v>
      </c>
      <c r="T231" s="40" t="n">
        <f aca="true">RAND()</f>
        <v>0.246635787582611</v>
      </c>
      <c r="U231" s="40" t="n">
        <f aca="true">RAND()</f>
        <v>0.176924890448027</v>
      </c>
    </row>
    <row r="232" customFormat="false" ht="15" hidden="false" customHeight="false" outlineLevel="0" collapsed="false">
      <c r="A232" s="36" t="n">
        <v>152</v>
      </c>
      <c r="B232" s="37" t="n">
        <f aca="false">1+IF($G$6=$E$6,$F$6,IF(P232&lt;($F$6-$E$6)/($G$6-$E$6),$E$6+SQRT(P232*($G$6-$E$6)*($F$6-$E$6)),$G$6-SQRT((1-P232)*($G$6-$E$6)*($G$6-$F$6))))</f>
        <v>1.00314732645135</v>
      </c>
      <c r="C232" s="37" t="n">
        <f aca="false">1+IF($G$7=$E$7,$F$7,IF(Q232&lt;($F$7-$E$7)/($G$7-$E$7),$E$7+SQRT(Q232*($G$7-$E$7)*($F$7-$E$7)),$G$7-SQRT((1-Q232)*($G$7-$E$7)*($G$7-$F$7))))</f>
        <v>1.03257762426798</v>
      </c>
      <c r="D232" s="37" t="n">
        <f aca="false">1+IF($G$8=$E$8,$F$8,IF(R232&lt;($F$8-$E$8)/($G$8-$E$8),$E$8+SQRT(R232*($G$8-$E$8)*($F$8-$E$8)),$G$8-SQRT((1-R232)*($G$8-$E$8)*($G$8-$F$8))))</f>
        <v>1.04015006160296</v>
      </c>
      <c r="E232" s="37" t="n">
        <f aca="false">1+IF($G$9=$E$9,$F$9,IF(S232&lt;($F$9-$E$9)/($G$9-$E$9),$E$9+SQRT(S232*($G$9-$E$9)*($F$9-$E$9)),$G$9-SQRT((1-S232)*($G$9-$E$9)*($G$9-$F$9))))</f>
        <v>0.97809752054907</v>
      </c>
      <c r="F232" s="37" t="n">
        <f aca="false">1+IF($G$10=$E$10,$F$10,IF(T232&lt;($F$10-$E$10)/($G$10-$E$10),$E$10+SQRT(T232*($G$10-$E$10)*($F$10-$E$10)),$G$10-SQRT((1-T232)*($G$10-$E$10)*($G$10-$F$10))))</f>
        <v>1.02405077456502</v>
      </c>
      <c r="G232" s="38" t="n">
        <f aca="false">IF($G$11=$E$11,$F$11,IF(U232&lt;($F$11-$E$11)/($G$11-$E$11),$E$11+SQRT(U232*($G$11-$E$11)*($F$11-$E$11)),$G$11-SQRT((1-U232)*($G$11-$E$11)*($G$11-$F$11))))</f>
        <v>0.108640729319302</v>
      </c>
      <c r="H232" s="39" t="n">
        <f aca="false">(('Business Case'!B11*$C232*'Business Case'!B12*$B232)-'Business Case'!B11*$C232*'Business Case'!B13*$D232-'Business Case'!B14*$E232)-MAX(0,(('Business Case'!B11*$C232*'Business Case'!B12*$B232)-'Business Case'!B11*$C232*'Business Case'!B13*$D232-'Business Case'!B14*$E232))*'Business Case'!$B$7-'Business Case'!$B$8*('Business Case'!B11*$C232*'Business Case'!B12*$B232)-'Business Case'!B15*$F232</f>
        <v>-2048101549.13003</v>
      </c>
      <c r="I232" s="39" t="n">
        <f aca="false">(('Business Case'!C11*$C232*'Business Case'!C12*$B232)-'Business Case'!C11*$C232*'Business Case'!C13*$D232-'Business Case'!C14*$E232)-MAX(0,(('Business Case'!C11*$C232*'Business Case'!C12*$B232)-'Business Case'!C11*$C232*'Business Case'!C13*$D232-'Business Case'!C14*$E232))*'Business Case'!$B$7-'Business Case'!$B$8*(('Business Case'!C11*$C232*'Business Case'!C12*$B232)-('Business Case'!B11*$C232*'Business Case'!B12*$B232))-'Business Case'!C15*$F232</f>
        <v>3409101.61864978</v>
      </c>
      <c r="J232" s="39" t="n">
        <f aca="false">(('Business Case'!D11*$C232*'Business Case'!D12*$B232)-'Business Case'!D11*$C232*'Business Case'!D13*$D232-'Business Case'!D14*$E232)-MAX(0,(('Business Case'!D11*$C232*'Business Case'!D12*$B232)-'Business Case'!D11*$C232*'Business Case'!D13*$D232-'Business Case'!D14*$E232))*'Business Case'!$B$7-'Business Case'!$B$8*(('Business Case'!D11*$C232*'Business Case'!D12*$B232)-('Business Case'!C11*$C232*'Business Case'!C12*$B232))-'Business Case'!D15*$F232</f>
        <v>302006044.841748</v>
      </c>
      <c r="K232" s="39" t="n">
        <f aca="false">(('Business Case'!E11*$C232*'Business Case'!E12*$B232)-'Business Case'!E11*$C232*'Business Case'!E13*$D232-'Business Case'!E14*$E232)-MAX(0,(('Business Case'!E11*$C232*'Business Case'!E12*$B232)-'Business Case'!E11*$C232*'Business Case'!E13*$D232-'Business Case'!E14*$E232))*'Business Case'!$B$7-'Business Case'!$B$8*(('Business Case'!E11*$C232*'Business Case'!E12*$B232)-('Business Case'!D11*$C232*'Business Case'!D12*$B232))-'Business Case'!E15*$F232</f>
        <v>651805526.793097</v>
      </c>
      <c r="L232" s="39" t="n">
        <f aca="false">(('Business Case'!F11*$C232*'Business Case'!F12*$B232)-'Business Case'!F11*$C232*'Business Case'!F13*$D232-'Business Case'!F14*$E232)-MAX(0,(('Business Case'!F11*$C232*'Business Case'!F12*$B232)-'Business Case'!F11*$C232*'Business Case'!F13*$D232-'Business Case'!F14*$E232))*'Business Case'!$B$7-'Business Case'!$B$8*(('Business Case'!F11*$C232*'Business Case'!F12*$B232)-('Business Case'!E11*$C232*'Business Case'!E12*$B232))-'Business Case'!F15*$F232</f>
        <v>787136039.018043</v>
      </c>
      <c r="M232" s="39" t="n">
        <f aca="false">(('Business Case'!G11*$C232*'Business Case'!G12*$B232)-'Business Case'!G11*$C232*'Business Case'!G13*$D232-'Business Case'!G14*$E232)-MAX(0,(('Business Case'!G11*$C232*'Business Case'!G12*$B232)-'Business Case'!G11*$C232*'Business Case'!G13*$D232-'Business Case'!G14*$E232))*'Business Case'!$B$7-'Business Case'!$B$8*(('Business Case'!G11*$C232*'Business Case'!G12*$B232)-('Business Case'!F11*$C232*'Business Case'!F12*$B232))-'Business Case'!G15*$F232+'Business Case'!$B$8*('Business Case'!G11*$C232*'Business Case'!G12*$B232)</f>
        <v>984026127.012897</v>
      </c>
      <c r="N232" s="39" t="n">
        <f aca="false">IF(COUNT('Business Case'!B11:G11)=0,"",H232+NPV(G232,I232:M232))</f>
        <v>-212341625.141</v>
      </c>
      <c r="P232" s="40" t="n">
        <f aca="true">RAND()</f>
        <v>0.717058427565959</v>
      </c>
      <c r="Q232" s="40" t="n">
        <f aca="true">RAND()</f>
        <v>0.737371155760926</v>
      </c>
      <c r="R232" s="40" t="n">
        <f aca="true">RAND()</f>
        <v>0.847306000937719</v>
      </c>
      <c r="S232" s="40" t="n">
        <f aca="true">RAND()</f>
        <v>0.105262754800722</v>
      </c>
      <c r="T232" s="40" t="n">
        <f aca="true">RAND()</f>
        <v>0.380837401376578</v>
      </c>
      <c r="U232" s="40" t="n">
        <f aca="true">RAND()</f>
        <v>0.784944949337707</v>
      </c>
    </row>
    <row r="233" customFormat="false" ht="15" hidden="false" customHeight="false" outlineLevel="0" collapsed="false">
      <c r="A233" s="36" t="n">
        <v>153</v>
      </c>
      <c r="B233" s="37" t="n">
        <f aca="false">1+IF($G$6=$E$6,$F$6,IF(P233&lt;($F$6-$E$6)/($G$6-$E$6),$E$6+SQRT(P233*($G$6-$E$6)*($F$6-$E$6)),$G$6-SQRT((1-P233)*($G$6-$E$6)*($G$6-$F$6))))</f>
        <v>0.999253599227692</v>
      </c>
      <c r="C233" s="37" t="n">
        <f aca="false">1+IF($G$7=$E$7,$F$7,IF(Q233&lt;($F$7-$E$7)/($G$7-$E$7),$E$7+SQRT(Q233*($G$7-$E$7)*($F$7-$E$7)),$G$7-SQRT((1-Q233)*($G$7-$E$7)*($G$7-$F$7))))</f>
        <v>0.977442271780415</v>
      </c>
      <c r="D233" s="37" t="n">
        <f aca="false">1+IF($G$8=$E$8,$F$8,IF(R233&lt;($F$8-$E$8)/($G$8-$E$8),$E$8+SQRT(R233*($G$8-$E$8)*($F$8-$E$8)),$G$8-SQRT((1-R233)*($G$8-$E$8)*($G$8-$F$8))))</f>
        <v>1.01915970302935</v>
      </c>
      <c r="E233" s="37" t="n">
        <f aca="false">1+IF($G$9=$E$9,$F$9,IF(S233&lt;($F$9-$E$9)/($G$9-$E$9),$E$9+SQRT(S233*($G$9-$E$9)*($F$9-$E$9)),$G$9-SQRT((1-S233)*($G$9-$E$9)*($G$9-$F$9))))</f>
        <v>0.987795133931621</v>
      </c>
      <c r="F233" s="37" t="n">
        <f aca="false">1+IF($G$10=$E$10,$F$10,IF(T233&lt;($F$10-$E$10)/($G$10-$E$10),$E$10+SQRT(T233*($G$10-$E$10)*($F$10-$E$10)),$G$10-SQRT((1-T233)*($G$10-$E$10)*($G$10-$F$10))))</f>
        <v>0.997982379480436</v>
      </c>
      <c r="G233" s="38" t="n">
        <f aca="false">IF($G$11=$E$11,$F$11,IF(U233&lt;($F$11-$E$11)/($G$11-$E$11),$E$11+SQRT(U233*($G$11-$E$11)*($F$11-$E$11)),$G$11-SQRT((1-U233)*($G$11-$E$11)*($G$11-$F$11))))</f>
        <v>0.103813059711304</v>
      </c>
      <c r="H233" s="39" t="n">
        <f aca="false">(('Business Case'!B11*$C233*'Business Case'!B12*$B233)-'Business Case'!B11*$C233*'Business Case'!B13*$D233-'Business Case'!B14*$E233)-MAX(0,(('Business Case'!B11*$C233*'Business Case'!B12*$B233)-'Business Case'!B11*$C233*'Business Case'!B13*$D233-'Business Case'!B14*$E233))*'Business Case'!$B$7-'Business Case'!$B$8*('Business Case'!B11*$C233*'Business Case'!B12*$B233)-'Business Case'!B15*$F233</f>
        <v>-1995964758.96087</v>
      </c>
      <c r="I233" s="39" t="n">
        <f aca="false">(('Business Case'!C11*$C233*'Business Case'!C12*$B233)-'Business Case'!C11*$C233*'Business Case'!C13*$D233-'Business Case'!C14*$E233)-MAX(0,(('Business Case'!C11*$C233*'Business Case'!C12*$B233)-'Business Case'!C11*$C233*'Business Case'!C13*$D233-'Business Case'!C14*$E233))*'Business Case'!$B$7-'Business Case'!$B$8*(('Business Case'!C11*$C233*'Business Case'!C12*$B233)-('Business Case'!B11*$C233*'Business Case'!B12*$B233))-'Business Case'!C15*$F233</f>
        <v>-856692.96272707</v>
      </c>
      <c r="J233" s="39" t="n">
        <f aca="false">(('Business Case'!D11*$C233*'Business Case'!D12*$B233)-'Business Case'!D11*$C233*'Business Case'!D13*$D233-'Business Case'!D14*$E233)-MAX(0,(('Business Case'!D11*$C233*'Business Case'!D12*$B233)-'Business Case'!D11*$C233*'Business Case'!D13*$D233-'Business Case'!D14*$E233))*'Business Case'!$B$7-'Business Case'!$B$8*(('Business Case'!D11*$C233*'Business Case'!D12*$B233)-('Business Case'!C11*$C233*'Business Case'!C12*$B233))-'Business Case'!D15*$F233</f>
        <v>289182106.856289</v>
      </c>
      <c r="K233" s="39" t="n">
        <f aca="false">(('Business Case'!E11*$C233*'Business Case'!E12*$B233)-'Business Case'!E11*$C233*'Business Case'!E13*$D233-'Business Case'!E14*$E233)-MAX(0,(('Business Case'!E11*$C233*'Business Case'!E12*$B233)-'Business Case'!E11*$C233*'Business Case'!E13*$D233-'Business Case'!E14*$E233))*'Business Case'!$B$7-'Business Case'!$B$8*(('Business Case'!E11*$C233*'Business Case'!E12*$B233)-('Business Case'!D11*$C233*'Business Case'!D12*$B233))-'Business Case'!E15*$F233</f>
        <v>629120025.649327</v>
      </c>
      <c r="L233" s="39" t="n">
        <f aca="false">(('Business Case'!F11*$C233*'Business Case'!F12*$B233)-'Business Case'!F11*$C233*'Business Case'!F13*$D233-'Business Case'!F14*$E233)-MAX(0,(('Business Case'!F11*$C233*'Business Case'!F12*$B233)-'Business Case'!F11*$C233*'Business Case'!F13*$D233-'Business Case'!F14*$E233))*'Business Case'!$B$7-'Business Case'!$B$8*(('Business Case'!F11*$C233*'Business Case'!F12*$B233)-('Business Case'!E11*$C233*'Business Case'!E12*$B233))-'Business Case'!F15*$F233</f>
        <v>759554816.781415</v>
      </c>
      <c r="M233" s="39" t="n">
        <f aca="false">(('Business Case'!G11*$C233*'Business Case'!G12*$B233)-'Business Case'!G11*$C233*'Business Case'!G13*$D233-'Business Case'!G14*$E233)-MAX(0,(('Business Case'!G11*$C233*'Business Case'!G12*$B233)-'Business Case'!G11*$C233*'Business Case'!G13*$D233-'Business Case'!G14*$E233))*'Business Case'!$B$7-'Business Case'!$B$8*(('Business Case'!G11*$C233*'Business Case'!G12*$B233)-('Business Case'!F11*$C233*'Business Case'!F12*$B233))-'Business Case'!G15*$F233+'Business Case'!$B$8*('Business Case'!G11*$C233*'Business Case'!G12*$B233)</f>
        <v>945208368.3397</v>
      </c>
      <c r="N233" s="39" t="n">
        <f aca="false">IF(COUNT('Business Case'!B11:G11)=0,"",H233+NPV(G233,I233:M233))</f>
        <v>-203122538.282969</v>
      </c>
      <c r="P233" s="40" t="n">
        <f aca="true">RAND()</f>
        <v>0.654284686514963</v>
      </c>
      <c r="Q233" s="40" t="n">
        <f aca="true">RAND()</f>
        <v>0.449796568779925</v>
      </c>
      <c r="R233" s="40" t="n">
        <f aca="true">RAND()</f>
        <v>0.644082525434932</v>
      </c>
      <c r="S233" s="40" t="n">
        <f aca="true">RAND()</f>
        <v>0.190462953187884</v>
      </c>
      <c r="T233" s="40" t="n">
        <f aca="true">RAND()</f>
        <v>0.184184699248362</v>
      </c>
      <c r="U233" s="40" t="n">
        <f aca="true">RAND()</f>
        <v>0.563304940150324</v>
      </c>
    </row>
    <row r="234" customFormat="false" ht="15" hidden="false" customHeight="false" outlineLevel="0" collapsed="false">
      <c r="A234" s="36" t="n">
        <v>154</v>
      </c>
      <c r="B234" s="37" t="n">
        <f aca="false">1+IF($G$6=$E$6,$F$6,IF(P234&lt;($F$6-$E$6)/($G$6-$E$6),$E$6+SQRT(P234*($G$6-$E$6)*($F$6-$E$6)),$G$6-SQRT((1-P234)*($G$6-$E$6)*($G$6-$F$6))))</f>
        <v>1.00690870687516</v>
      </c>
      <c r="C234" s="37" t="n">
        <f aca="false">1+IF($G$7=$E$7,$F$7,IF(Q234&lt;($F$7-$E$7)/($G$7-$E$7),$E$7+SQRT(Q234*($G$7-$E$7)*($F$7-$E$7)),$G$7-SQRT((1-Q234)*($G$7-$E$7)*($G$7-$F$7))))</f>
        <v>1.07812365749324</v>
      </c>
      <c r="D234" s="37" t="n">
        <f aca="false">1+IF($G$8=$E$8,$F$8,IF(R234&lt;($F$8-$E$8)/($G$8-$E$8),$E$8+SQRT(R234*($G$8-$E$8)*($F$8-$E$8)),$G$8-SQRT((1-R234)*($G$8-$E$8)*($G$8-$F$8))))</f>
        <v>1.01615810388194</v>
      </c>
      <c r="E234" s="37" t="n">
        <f aca="false">1+IF($G$9=$E$9,$F$9,IF(S234&lt;($F$9-$E$9)/($G$9-$E$9),$E$9+SQRT(S234*($G$9-$E$9)*($F$9-$E$9)),$G$9-SQRT((1-S234)*($G$9-$E$9)*($G$9-$F$9))))</f>
        <v>1.05803546300723</v>
      </c>
      <c r="F234" s="37" t="n">
        <f aca="false">1+IF($G$10=$E$10,$F$10,IF(T234&lt;($F$10-$E$10)/($G$10-$E$10),$E$10+SQRT(T234*($G$10-$E$10)*($F$10-$E$10)),$G$10-SQRT((1-T234)*($G$10-$E$10)*($G$10-$F$10))))</f>
        <v>1.10311231674501</v>
      </c>
      <c r="G234" s="38" t="n">
        <f aca="false">IF($G$11=$E$11,$F$11,IF(U234&lt;($F$11-$E$11)/($G$11-$E$11),$E$11+SQRT(U234*($G$11-$E$11)*($F$11-$E$11)),$G$11-SQRT((1-U234)*($G$11-$E$11)*($G$11-$F$11))))</f>
        <v>0.106373800939575</v>
      </c>
      <c r="H234" s="39" t="n">
        <f aca="false">(('Business Case'!B11*$C234*'Business Case'!B12*$B234)-'Business Case'!B11*$C234*'Business Case'!B13*$D234-'Business Case'!B14*$E234)-MAX(0,(('Business Case'!B11*$C234*'Business Case'!B12*$B234)-'Business Case'!B11*$C234*'Business Case'!B13*$D234-'Business Case'!B14*$E234))*'Business Case'!$B$7-'Business Case'!$B$8*('Business Case'!B11*$C234*'Business Case'!B12*$B234)-'Business Case'!B15*$F234</f>
        <v>-2206224633.49001</v>
      </c>
      <c r="I234" s="39" t="n">
        <f aca="false">(('Business Case'!C11*$C234*'Business Case'!C12*$B234)-'Business Case'!C11*$C234*'Business Case'!C13*$D234-'Business Case'!C14*$E234)-MAX(0,(('Business Case'!C11*$C234*'Business Case'!C12*$B234)-'Business Case'!C11*$C234*'Business Case'!C13*$D234-'Business Case'!C14*$E234))*'Business Case'!$B$7-'Business Case'!$B$8*(('Business Case'!C11*$C234*'Business Case'!C12*$B234)-('Business Case'!B11*$C234*'Business Case'!B12*$B234))-'Business Case'!C15*$F234</f>
        <v>11290845.8934441</v>
      </c>
      <c r="J234" s="39" t="n">
        <f aca="false">(('Business Case'!D11*$C234*'Business Case'!D12*$B234)-'Business Case'!D11*$C234*'Business Case'!D13*$D234-'Business Case'!D14*$E234)-MAX(0,(('Business Case'!D11*$C234*'Business Case'!D12*$B234)-'Business Case'!D11*$C234*'Business Case'!D13*$D234-'Business Case'!D14*$E234))*'Business Case'!$B$7-'Business Case'!$B$8*(('Business Case'!D11*$C234*'Business Case'!D12*$B234)-('Business Case'!C11*$C234*'Business Case'!C12*$B234))-'Business Case'!D15*$F234</f>
        <v>339621623.851904</v>
      </c>
      <c r="K234" s="39" t="n">
        <f aca="false">(('Business Case'!E11*$C234*'Business Case'!E12*$B234)-'Business Case'!E11*$C234*'Business Case'!E13*$D234-'Business Case'!E14*$E234)-MAX(0,(('Business Case'!E11*$C234*'Business Case'!E12*$B234)-'Business Case'!E11*$C234*'Business Case'!E13*$D234-'Business Case'!E14*$E234))*'Business Case'!$B$7-'Business Case'!$B$8*(('Business Case'!E11*$C234*'Business Case'!E12*$B234)-('Business Case'!D11*$C234*'Business Case'!D12*$B234))-'Business Case'!E15*$F234</f>
        <v>723108017.647614</v>
      </c>
      <c r="L234" s="39" t="n">
        <f aca="false">(('Business Case'!F11*$C234*'Business Case'!F12*$B234)-'Business Case'!F11*$C234*'Business Case'!F13*$D234-'Business Case'!F14*$E234)-MAX(0,(('Business Case'!F11*$C234*'Business Case'!F12*$B234)-'Business Case'!F11*$C234*'Business Case'!F13*$D234-'Business Case'!F14*$E234))*'Business Case'!$B$7-'Business Case'!$B$8*(('Business Case'!F11*$C234*'Business Case'!F12*$B234)-('Business Case'!E11*$C234*'Business Case'!E12*$B234))-'Business Case'!F15*$F234</f>
        <v>870068982.001026</v>
      </c>
      <c r="M234" s="39" t="n">
        <f aca="false">(('Business Case'!G11*$C234*'Business Case'!G12*$B234)-'Business Case'!G11*$C234*'Business Case'!G13*$D234-'Business Case'!G14*$E234)-MAX(0,(('Business Case'!G11*$C234*'Business Case'!G12*$B234)-'Business Case'!G11*$C234*'Business Case'!G13*$D234-'Business Case'!G14*$E234))*'Business Case'!$B$7-'Business Case'!$B$8*(('Business Case'!G11*$C234*'Business Case'!G12*$B234)-('Business Case'!F11*$C234*'Business Case'!F12*$B234))-'Business Case'!G15*$F234+'Business Case'!$B$8*('Business Case'!G11*$C234*'Business Case'!G12*$B234)</f>
        <v>1076414526.35428</v>
      </c>
      <c r="N234" s="39" t="n">
        <f aca="false">IF(COUNT('Business Case'!B11:G11)=0,"",H234+NPV(G234,I234:M234))</f>
        <v>-154589365.615882</v>
      </c>
      <c r="P234" s="40" t="n">
        <f aca="true">RAND()</f>
        <v>0.771867983192867</v>
      </c>
      <c r="Q234" s="40" t="n">
        <f aca="true">RAND()</f>
        <v>0.901596026435266</v>
      </c>
      <c r="R234" s="40" t="n">
        <f aca="true">RAND()</f>
        <v>0.608097336543301</v>
      </c>
      <c r="S234" s="40" t="n">
        <f aca="true">RAND()</f>
        <v>0.882598508998836</v>
      </c>
      <c r="T234" s="40" t="n">
        <f aca="true">RAND()</f>
        <v>0.812255536669601</v>
      </c>
      <c r="U234" s="40" t="n">
        <f aca="true">RAND()</f>
        <v>0.690544498609435</v>
      </c>
    </row>
    <row r="235" customFormat="false" ht="15" hidden="false" customHeight="false" outlineLevel="0" collapsed="false">
      <c r="A235" s="36" t="n">
        <v>155</v>
      </c>
      <c r="B235" s="37" t="n">
        <f aca="false">1+IF($G$6=$E$6,$F$6,IF(P235&lt;($F$6-$E$6)/($G$6-$E$6),$E$6+SQRT(P235*($G$6-$E$6)*($F$6-$E$6)),$G$6-SQRT((1-P235)*($G$6-$E$6)*($G$6-$F$6))))</f>
        <v>0.970869334262196</v>
      </c>
      <c r="C235" s="37" t="n">
        <f aca="false">1+IF($G$7=$E$7,$F$7,IF(Q235&lt;($F$7-$E$7)/($G$7-$E$7),$E$7+SQRT(Q235*($G$7-$E$7)*($F$7-$E$7)),$G$7-SQRT((1-Q235)*($G$7-$E$7)*($G$7-$F$7))))</f>
        <v>0.939340292125522</v>
      </c>
      <c r="D235" s="37" t="n">
        <f aca="false">1+IF($G$8=$E$8,$F$8,IF(R235&lt;($F$8-$E$8)/($G$8-$E$8),$E$8+SQRT(R235*($G$8-$E$8)*($F$8-$E$8)),$G$8-SQRT((1-R235)*($G$8-$E$8)*($G$8-$F$8))))</f>
        <v>0.965890867530793</v>
      </c>
      <c r="E235" s="37" t="n">
        <f aca="false">1+IF($G$9=$E$9,$F$9,IF(S235&lt;($F$9-$E$9)/($G$9-$E$9),$E$9+SQRT(S235*($G$9-$E$9)*($F$9-$E$9)),$G$9-SQRT((1-S235)*($G$9-$E$9)*($G$9-$F$9))))</f>
        <v>0.979437354678347</v>
      </c>
      <c r="F235" s="37" t="n">
        <f aca="false">1+IF($G$10=$E$10,$F$10,IF(T235&lt;($F$10-$E$10)/($G$10-$E$10),$E$10+SQRT(T235*($G$10-$E$10)*($F$10-$E$10)),$G$10-SQRT((1-T235)*($G$10-$E$10)*($G$10-$F$10))))</f>
        <v>0.986403420651128</v>
      </c>
      <c r="G235" s="38" t="n">
        <f aca="false">IF($G$11=$E$11,$F$11,IF(U235&lt;($F$11-$E$11)/($G$11-$E$11),$E$11+SQRT(U235*($G$11-$E$11)*($F$11-$E$11)),$G$11-SQRT((1-U235)*($G$11-$E$11)*($G$11-$F$11))))</f>
        <v>0.0959817502946946</v>
      </c>
      <c r="H235" s="39" t="n">
        <f aca="false">(('Business Case'!B11*$C235*'Business Case'!B12*$B235)-'Business Case'!B11*$C235*'Business Case'!B13*$D235-'Business Case'!B14*$E235)-MAX(0,(('Business Case'!B11*$C235*'Business Case'!B12*$B235)-'Business Case'!B11*$C235*'Business Case'!B13*$D235-'Business Case'!B14*$E235))*'Business Case'!$B$7-'Business Case'!$B$8*('Business Case'!B11*$C235*'Business Case'!B12*$B235)-'Business Case'!B15*$F235</f>
        <v>-1972806841.30226</v>
      </c>
      <c r="I235" s="39" t="n">
        <f aca="false">(('Business Case'!C11*$C235*'Business Case'!C12*$B235)-'Business Case'!C11*$C235*'Business Case'!C13*$D235-'Business Case'!C14*$E235)-MAX(0,(('Business Case'!C11*$C235*'Business Case'!C12*$B235)-'Business Case'!C11*$C235*'Business Case'!C13*$D235-'Business Case'!C14*$E235))*'Business Case'!$B$7-'Business Case'!$B$8*(('Business Case'!C11*$C235*'Business Case'!C12*$B235)-('Business Case'!B11*$C235*'Business Case'!B12*$B235))-'Business Case'!C15*$F235</f>
        <v>-2683761.96756756</v>
      </c>
      <c r="J235" s="39" t="n">
        <f aca="false">(('Business Case'!D11*$C235*'Business Case'!D12*$B235)-'Business Case'!D11*$C235*'Business Case'!D13*$D235-'Business Case'!D14*$E235)-MAX(0,(('Business Case'!D11*$C235*'Business Case'!D12*$B235)-'Business Case'!D11*$C235*'Business Case'!D13*$D235-'Business Case'!D14*$E235))*'Business Case'!$B$7-'Business Case'!$B$8*(('Business Case'!D11*$C235*'Business Case'!D12*$B235)-('Business Case'!C11*$C235*'Business Case'!C12*$B235))-'Business Case'!D15*$F235</f>
        <v>279825681.26699</v>
      </c>
      <c r="K235" s="39" t="n">
        <f aca="false">(('Business Case'!E11*$C235*'Business Case'!E12*$B235)-'Business Case'!E11*$C235*'Business Case'!E13*$D235-'Business Case'!E14*$E235)-MAX(0,(('Business Case'!E11*$C235*'Business Case'!E12*$B235)-'Business Case'!E11*$C235*'Business Case'!E13*$D235-'Business Case'!E14*$E235))*'Business Case'!$B$7-'Business Case'!$B$8*(('Business Case'!E11*$C235*'Business Case'!E12*$B235)-('Business Case'!D11*$C235*'Business Case'!D12*$B235))-'Business Case'!E15*$F235</f>
        <v>611655295.534104</v>
      </c>
      <c r="L235" s="39" t="n">
        <f aca="false">(('Business Case'!F11*$C235*'Business Case'!F12*$B235)-'Business Case'!F11*$C235*'Business Case'!F13*$D235-'Business Case'!F14*$E235)-MAX(0,(('Business Case'!F11*$C235*'Business Case'!F12*$B235)-'Business Case'!F11*$C235*'Business Case'!F13*$D235-'Business Case'!F14*$E235))*'Business Case'!$B$7-'Business Case'!$B$8*(('Business Case'!F11*$C235*'Business Case'!F12*$B235)-('Business Case'!E11*$C235*'Business Case'!E12*$B235))-'Business Case'!F15*$F235</f>
        <v>737343024.146791</v>
      </c>
      <c r="M235" s="39" t="n">
        <f aca="false">(('Business Case'!G11*$C235*'Business Case'!G12*$B235)-'Business Case'!G11*$C235*'Business Case'!G13*$D235-'Business Case'!G14*$E235)-MAX(0,(('Business Case'!G11*$C235*'Business Case'!G12*$B235)-'Business Case'!G11*$C235*'Business Case'!G13*$D235-'Business Case'!G14*$E235))*'Business Case'!$B$7-'Business Case'!$B$8*(('Business Case'!G11*$C235*'Business Case'!G12*$B235)-('Business Case'!F11*$C235*'Business Case'!F12*$B235))-'Business Case'!G15*$F235+'Business Case'!$B$8*('Business Case'!G11*$C235*'Business Case'!G12*$B235)</f>
        <v>910691552.253212</v>
      </c>
      <c r="N235" s="39" t="n">
        <f aca="false">IF(COUNT('Business Case'!B11:G11)=0,"",H235+NPV(G235,I235:M235))</f>
        <v>-190725272.018213</v>
      </c>
      <c r="P235" s="40" t="n">
        <f aca="true">RAND()</f>
        <v>0.269550955029063</v>
      </c>
      <c r="Q235" s="40" t="n">
        <f aca="true">RAND()</f>
        <v>0.277367385851797</v>
      </c>
      <c r="R235" s="40" t="n">
        <f aca="true">RAND()</f>
        <v>0.0388491801355726</v>
      </c>
      <c r="S235" s="40" t="n">
        <f aca="true">RAND()</f>
        <v>0.115541046727841</v>
      </c>
      <c r="T235" s="40" t="n">
        <f aca="true">RAND()</f>
        <v>0.106016722808239</v>
      </c>
      <c r="U235" s="40" t="n">
        <f aca="true">RAND()</f>
        <v>0.119271121960262</v>
      </c>
    </row>
    <row r="236" customFormat="false" ht="15" hidden="false" customHeight="false" outlineLevel="0" collapsed="false">
      <c r="A236" s="36" t="n">
        <v>156</v>
      </c>
      <c r="B236" s="37" t="n">
        <f aca="false">1+IF($G$6=$E$6,$F$6,IF(P236&lt;($F$6-$E$6)/($G$6-$E$6),$E$6+SQRT(P236*($G$6-$E$6)*($F$6-$E$6)),$G$6-SQRT((1-P236)*($G$6-$E$6)*($G$6-$F$6))))</f>
        <v>0.969629862014947</v>
      </c>
      <c r="C236" s="37" t="n">
        <f aca="false">1+IF($G$7=$E$7,$F$7,IF(Q236&lt;($F$7-$E$7)/($G$7-$E$7),$E$7+SQRT(Q236*($G$7-$E$7)*($F$7-$E$7)),$G$7-SQRT((1-Q236)*($G$7-$E$7)*($G$7-$F$7))))</f>
        <v>0.964594970954698</v>
      </c>
      <c r="D236" s="37" t="n">
        <f aca="false">1+IF($G$8=$E$8,$F$8,IF(R236&lt;($F$8-$E$8)/($G$8-$E$8),$E$8+SQRT(R236*($G$8-$E$8)*($F$8-$E$8)),$G$8-SQRT((1-R236)*($G$8-$E$8)*($G$8-$F$8))))</f>
        <v>1.0186009111229</v>
      </c>
      <c r="E236" s="37" t="n">
        <f aca="false">1+IF($G$9=$E$9,$F$9,IF(S236&lt;($F$9-$E$9)/($G$9-$E$9),$E$9+SQRT(S236*($G$9-$E$9)*($F$9-$E$9)),$G$9-SQRT((1-S236)*($G$9-$E$9)*($G$9-$F$9))))</f>
        <v>1.05702103488539</v>
      </c>
      <c r="F236" s="37" t="n">
        <f aca="false">1+IF($G$10=$E$10,$F$10,IF(T236&lt;($F$10-$E$10)/($G$10-$E$10),$E$10+SQRT(T236*($G$10-$E$10)*($F$10-$E$10)),$G$10-SQRT((1-T236)*($G$10-$E$10)*($G$10-$F$10))))</f>
        <v>1.13611075566865</v>
      </c>
      <c r="G236" s="38" t="n">
        <f aca="false">IF($G$11=$E$11,$F$11,IF(U236&lt;($F$11-$E$11)/($G$11-$E$11),$E$11+SQRT(U236*($G$11-$E$11)*($F$11-$E$11)),$G$11-SQRT((1-U236)*($G$11-$E$11)*($G$11-$F$11))))</f>
        <v>0.110367334081045</v>
      </c>
      <c r="H236" s="39" t="n">
        <f aca="false">(('Business Case'!B11*$C236*'Business Case'!B12*$B236)-'Business Case'!B11*$C236*'Business Case'!B13*$D236-'Business Case'!B14*$E236)-MAX(0,(('Business Case'!B11*$C236*'Business Case'!B12*$B236)-'Business Case'!B11*$C236*'Business Case'!B13*$D236-'Business Case'!B14*$E236))*'Business Case'!$B$7-'Business Case'!$B$8*('Business Case'!B11*$C236*'Business Case'!B12*$B236)-'Business Case'!B15*$F236</f>
        <v>-2272221511.3373</v>
      </c>
      <c r="I236" s="39" t="n">
        <f aca="false">(('Business Case'!C11*$C236*'Business Case'!C12*$B236)-'Business Case'!C11*$C236*'Business Case'!C13*$D236-'Business Case'!C14*$E236)-MAX(0,(('Business Case'!C11*$C236*'Business Case'!C12*$B236)-'Business Case'!C11*$C236*'Business Case'!C13*$D236-'Business Case'!C14*$E236))*'Business Case'!$B$7-'Business Case'!$B$8*(('Business Case'!C11*$C236*'Business Case'!C12*$B236)-('Business Case'!B11*$C236*'Business Case'!B12*$B236))-'Business Case'!C15*$F236</f>
        <v>-49307812.1102552</v>
      </c>
      <c r="J236" s="39" t="n">
        <f aca="false">(('Business Case'!D11*$C236*'Business Case'!D12*$B236)-'Business Case'!D11*$C236*'Business Case'!D13*$D236-'Business Case'!D14*$E236)-MAX(0,(('Business Case'!D11*$C236*'Business Case'!D12*$B236)-'Business Case'!D11*$C236*'Business Case'!D13*$D236-'Business Case'!D14*$E236))*'Business Case'!$B$7-'Business Case'!$B$8*(('Business Case'!D11*$C236*'Business Case'!D12*$B236)-('Business Case'!C11*$C236*'Business Case'!C12*$B236))-'Business Case'!D15*$F236</f>
        <v>213789799.099413</v>
      </c>
      <c r="K236" s="39" t="n">
        <f aca="false">(('Business Case'!E11*$C236*'Business Case'!E12*$B236)-'Business Case'!E11*$C236*'Business Case'!E13*$D236-'Business Case'!E14*$E236)-MAX(0,(('Business Case'!E11*$C236*'Business Case'!E12*$B236)-'Business Case'!E11*$C236*'Business Case'!E13*$D236-'Business Case'!E14*$E236))*'Business Case'!$B$7-'Business Case'!$B$8*(('Business Case'!E11*$C236*'Business Case'!E12*$B236)-('Business Case'!D11*$C236*'Business Case'!D12*$B236))-'Business Case'!E15*$F236</f>
        <v>533692948.092515</v>
      </c>
      <c r="L236" s="39" t="n">
        <f aca="false">(('Business Case'!F11*$C236*'Business Case'!F12*$B236)-'Business Case'!F11*$C236*'Business Case'!F13*$D236-'Business Case'!F14*$E236)-MAX(0,(('Business Case'!F11*$C236*'Business Case'!F12*$B236)-'Business Case'!F11*$C236*'Business Case'!F13*$D236-'Business Case'!F14*$E236))*'Business Case'!$B$7-'Business Case'!$B$8*(('Business Case'!F11*$C236*'Business Case'!F12*$B236)-('Business Case'!E11*$C236*'Business Case'!E12*$B236))-'Business Case'!F15*$F236</f>
        <v>653716122.890642</v>
      </c>
      <c r="M236" s="39" t="n">
        <f aca="false">(('Business Case'!G11*$C236*'Business Case'!G12*$B236)-'Business Case'!G11*$C236*'Business Case'!G13*$D236-'Business Case'!G14*$E236)-MAX(0,(('Business Case'!G11*$C236*'Business Case'!G12*$B236)-'Business Case'!G11*$C236*'Business Case'!G13*$D236-'Business Case'!G14*$E236))*'Business Case'!$B$7-'Business Case'!$B$8*(('Business Case'!G11*$C236*'Business Case'!G12*$B236)-('Business Case'!F11*$C236*'Business Case'!F12*$B236))-'Business Case'!G15*$F236+'Business Case'!$B$8*('Business Case'!G11*$C236*'Business Case'!G12*$B236)</f>
        <v>831497963.729281</v>
      </c>
      <c r="N236" s="39" t="n">
        <f aca="false">IF(COUNT('Business Case'!B11:G11)=0,"",H236+NPV(G236,I236:M236))</f>
        <v>-830690551.671135</v>
      </c>
      <c r="P236" s="40" t="n">
        <f aca="true">RAND()</f>
        <v>0.256575333710699</v>
      </c>
      <c r="Q236" s="40" t="n">
        <f aca="true">RAND()</f>
        <v>0.387021492336829</v>
      </c>
      <c r="R236" s="40" t="n">
        <f aca="true">RAND()</f>
        <v>0.637514604332893</v>
      </c>
      <c r="S236" s="40" t="n">
        <f aca="true">RAND()</f>
        <v>0.876853903845158</v>
      </c>
      <c r="T236" s="40" t="n">
        <f aca="true">RAND()</f>
        <v>0.918363289175376</v>
      </c>
      <c r="U236" s="40" t="n">
        <f aca="true">RAND()</f>
        <v>0.845352912156341</v>
      </c>
    </row>
    <row r="237" customFormat="false" ht="15" hidden="false" customHeight="false" outlineLevel="0" collapsed="false">
      <c r="A237" s="36" t="n">
        <v>157</v>
      </c>
      <c r="B237" s="37" t="n">
        <f aca="false">1+IF($G$6=$E$6,$F$6,IF(P237&lt;($F$6-$E$6)/($G$6-$E$6),$E$6+SQRT(P237*($G$6-$E$6)*($F$6-$E$6)),$G$6-SQRT((1-P237)*($G$6-$E$6)*($G$6-$F$6))))</f>
        <v>0.988413704586094</v>
      </c>
      <c r="C237" s="37" t="n">
        <f aca="false">1+IF($G$7=$E$7,$F$7,IF(Q237&lt;($F$7-$E$7)/($G$7-$E$7),$E$7+SQRT(Q237*($G$7-$E$7)*($F$7-$E$7)),$G$7-SQRT((1-Q237)*($G$7-$E$7)*($G$7-$F$7))))</f>
        <v>0.961551539460279</v>
      </c>
      <c r="D237" s="37" t="n">
        <f aca="false">1+IF($G$8=$E$8,$F$8,IF(R237&lt;($F$8-$E$8)/($G$8-$E$8),$E$8+SQRT(R237*($G$8-$E$8)*($F$8-$E$8)),$G$8-SQRT((1-R237)*($G$8-$E$8)*($G$8-$F$8))))</f>
        <v>0.999974997501377</v>
      </c>
      <c r="E237" s="37" t="n">
        <f aca="false">1+IF($G$9=$E$9,$F$9,IF(S237&lt;($F$9-$E$9)/($G$9-$E$9),$E$9+SQRT(S237*($G$9-$E$9)*($F$9-$E$9)),$G$9-SQRT((1-S237)*($G$9-$E$9)*($G$9-$F$9))))</f>
        <v>0.986350737570174</v>
      </c>
      <c r="F237" s="37" t="n">
        <f aca="false">1+IF($G$10=$E$10,$F$10,IF(T237&lt;($F$10-$E$10)/($G$10-$E$10),$E$10+SQRT(T237*($G$10-$E$10)*($F$10-$E$10)),$G$10-SQRT((1-T237)*($G$10-$E$10)*($G$10-$F$10))))</f>
        <v>0.982572756584142</v>
      </c>
      <c r="G237" s="38" t="n">
        <f aca="false">IF($G$11=$E$11,$F$11,IF(U237&lt;($F$11-$E$11)/($G$11-$E$11),$E$11+SQRT(U237*($G$11-$E$11)*($F$11-$E$11)),$G$11-SQRT((1-U237)*($G$11-$E$11)*($G$11-$F$11))))</f>
        <v>0.103098971988018</v>
      </c>
      <c r="H237" s="39" t="n">
        <f aca="false">(('Business Case'!B11*$C237*'Business Case'!B12*$B237)-'Business Case'!B11*$C237*'Business Case'!B13*$D237-'Business Case'!B14*$E237)-MAX(0,(('Business Case'!B11*$C237*'Business Case'!B12*$B237)-'Business Case'!B11*$C237*'Business Case'!B13*$D237-'Business Case'!B14*$E237))*'Business Case'!$B$7-'Business Case'!$B$8*('Business Case'!B11*$C237*'Business Case'!B12*$B237)-'Business Case'!B15*$F237</f>
        <v>-1965145513.16828</v>
      </c>
      <c r="I237" s="39" t="n">
        <f aca="false">(('Business Case'!C11*$C237*'Business Case'!C12*$B237)-'Business Case'!C11*$C237*'Business Case'!C13*$D237-'Business Case'!C14*$E237)-MAX(0,(('Business Case'!C11*$C237*'Business Case'!C12*$B237)-'Business Case'!C11*$C237*'Business Case'!C13*$D237-'Business Case'!C14*$E237))*'Business Case'!$B$7-'Business Case'!$B$8*(('Business Case'!C11*$C237*'Business Case'!C12*$B237)-('Business Case'!B11*$C237*'Business Case'!B12*$B237))-'Business Case'!C15*$F237</f>
        <v>-1555990.4891513</v>
      </c>
      <c r="J237" s="39" t="n">
        <f aca="false">(('Business Case'!D11*$C237*'Business Case'!D12*$B237)-'Business Case'!D11*$C237*'Business Case'!D13*$D237-'Business Case'!D14*$E237)-MAX(0,(('Business Case'!D11*$C237*'Business Case'!D12*$B237)-'Business Case'!D11*$C237*'Business Case'!D13*$D237-'Business Case'!D14*$E237))*'Business Case'!$B$7-'Business Case'!$B$8*(('Business Case'!D11*$C237*'Business Case'!D12*$B237)-('Business Case'!C11*$C237*'Business Case'!C12*$B237))-'Business Case'!D15*$F237</f>
        <v>284673661.249464</v>
      </c>
      <c r="K237" s="39" t="n">
        <f aca="false">(('Business Case'!E11*$C237*'Business Case'!E12*$B237)-'Business Case'!E11*$C237*'Business Case'!E13*$D237-'Business Case'!E14*$E237)-MAX(0,(('Business Case'!E11*$C237*'Business Case'!E12*$B237)-'Business Case'!E11*$C237*'Business Case'!E13*$D237-'Business Case'!E14*$E237))*'Business Case'!$B$7-'Business Case'!$B$8*(('Business Case'!E11*$C237*'Business Case'!E12*$B237)-('Business Case'!D11*$C237*'Business Case'!D12*$B237))-'Business Case'!E15*$F237</f>
        <v>620031950.817286</v>
      </c>
      <c r="L237" s="39" t="n">
        <f aca="false">(('Business Case'!F11*$C237*'Business Case'!F12*$B237)-'Business Case'!F11*$C237*'Business Case'!F13*$D237-'Business Case'!F14*$E237)-MAX(0,(('Business Case'!F11*$C237*'Business Case'!F12*$B237)-'Business Case'!F11*$C237*'Business Case'!F13*$D237-'Business Case'!F14*$E237))*'Business Case'!$B$7-'Business Case'!$B$8*(('Business Case'!F11*$C237*'Business Case'!F12*$B237)-('Business Case'!E11*$C237*'Business Case'!E12*$B237))-'Business Case'!F15*$F237</f>
        <v>748288029.188074</v>
      </c>
      <c r="M237" s="39" t="n">
        <f aca="false">(('Business Case'!G11*$C237*'Business Case'!G12*$B237)-'Business Case'!G11*$C237*'Business Case'!G13*$D237-'Business Case'!G14*$E237)-MAX(0,(('Business Case'!G11*$C237*'Business Case'!G12*$B237)-'Business Case'!G11*$C237*'Business Case'!G13*$D237-'Business Case'!G14*$E237))*'Business Case'!$B$7-'Business Case'!$B$8*(('Business Case'!G11*$C237*'Business Case'!G12*$B237)-('Business Case'!F11*$C237*'Business Case'!F12*$B237))-'Business Case'!G15*$F237+'Business Case'!$B$8*('Business Case'!G11*$C237*'Business Case'!G12*$B237)</f>
        <v>928942098.70661</v>
      </c>
      <c r="N237" s="39" t="n">
        <f aca="false">IF(COUNT('Business Case'!B11:G11)=0,"",H237+NPV(G237,I237:M237))</f>
        <v>-196569619.950012</v>
      </c>
      <c r="P237" s="40" t="n">
        <f aca="true">RAND()</f>
        <v>0.487545309915968</v>
      </c>
      <c r="Q237" s="40" t="n">
        <f aca="true">RAND()</f>
        <v>0.372841427171229</v>
      </c>
      <c r="R237" s="40" t="n">
        <f aca="true">RAND()</f>
        <v>0.384230826963485</v>
      </c>
      <c r="S237" s="40" t="n">
        <f aca="true">RAND()</f>
        <v>0.176183482919421</v>
      </c>
      <c r="T237" s="40" t="n">
        <f aca="true">RAND()</f>
        <v>0.0848787577191789</v>
      </c>
      <c r="U237" s="40" t="n">
        <f aca="true">RAND()</f>
        <v>0.523925420230315</v>
      </c>
    </row>
    <row r="238" customFormat="false" ht="15" hidden="false" customHeight="false" outlineLevel="0" collapsed="false">
      <c r="A238" s="36" t="n">
        <v>158</v>
      </c>
      <c r="B238" s="37" t="n">
        <f aca="false">1+IF($G$6=$E$6,$F$6,IF(P238&lt;($F$6-$E$6)/($G$6-$E$6),$E$6+SQRT(P238*($G$6-$E$6)*($F$6-$E$6)),$G$6-SQRT((1-P238)*($G$6-$E$6)*($G$6-$F$6))))</f>
        <v>0.971273594942894</v>
      </c>
      <c r="C238" s="37" t="n">
        <f aca="false">1+IF($G$7=$E$7,$F$7,IF(Q238&lt;($F$7-$E$7)/($G$7-$E$7),$E$7+SQRT(Q238*($G$7-$E$7)*($F$7-$E$7)),$G$7-SQRT((1-Q238)*($G$7-$E$7)*($G$7-$F$7))))</f>
        <v>1.02992459945431</v>
      </c>
      <c r="D238" s="37" t="n">
        <f aca="false">1+IF($G$8=$E$8,$F$8,IF(R238&lt;($F$8-$E$8)/($G$8-$E$8),$E$8+SQRT(R238*($G$8-$E$8)*($F$8-$E$8)),$G$8-SQRT((1-R238)*($G$8-$E$8)*($G$8-$F$8))))</f>
        <v>1.02909279097535</v>
      </c>
      <c r="E238" s="37" t="n">
        <f aca="false">1+IF($G$9=$E$9,$F$9,IF(S238&lt;($F$9-$E$9)/($G$9-$E$9),$E$9+SQRT(S238*($G$9-$E$9)*($F$9-$E$9)),$G$9-SQRT((1-S238)*($G$9-$E$9)*($G$9-$F$9))))</f>
        <v>1.02884218358563</v>
      </c>
      <c r="F238" s="37" t="n">
        <f aca="false">1+IF($G$10=$E$10,$F$10,IF(T238&lt;($F$10-$E$10)/($G$10-$E$10),$E$10+SQRT(T238*($G$10-$E$10)*($F$10-$E$10)),$G$10-SQRT((1-T238)*($G$10-$E$10)*($G$10-$F$10))))</f>
        <v>1.07807325588858</v>
      </c>
      <c r="G238" s="38" t="n">
        <f aca="false">IF($G$11=$E$11,$F$11,IF(U238&lt;($F$11-$E$11)/($G$11-$E$11),$E$11+SQRT(U238*($G$11-$E$11)*($F$11-$E$11)),$G$11-SQRT((1-U238)*($G$11-$E$11)*($G$11-$F$11))))</f>
        <v>0.118510148041409</v>
      </c>
      <c r="H238" s="39" t="n">
        <f aca="false">(('Business Case'!B11*$C238*'Business Case'!B12*$B238)-'Business Case'!B11*$C238*'Business Case'!B13*$D238-'Business Case'!B14*$E238)-MAX(0,(('Business Case'!B11*$C238*'Business Case'!B12*$B238)-'Business Case'!B11*$C238*'Business Case'!B13*$D238-'Business Case'!B14*$E238))*'Business Case'!$B$7-'Business Case'!$B$8*('Business Case'!B11*$C238*'Business Case'!B12*$B238)-'Business Case'!B15*$F238</f>
        <v>-2156146511.77716</v>
      </c>
      <c r="I238" s="39" t="n">
        <f aca="false">(('Business Case'!C11*$C238*'Business Case'!C12*$B238)-'Business Case'!C11*$C238*'Business Case'!C13*$D238-'Business Case'!C14*$E238)-MAX(0,(('Business Case'!C11*$C238*'Business Case'!C12*$B238)-'Business Case'!C11*$C238*'Business Case'!C13*$D238-'Business Case'!C14*$E238))*'Business Case'!$B$7-'Business Case'!$B$8*(('Business Case'!C11*$C238*'Business Case'!C12*$B238)-('Business Case'!B11*$C238*'Business Case'!B12*$B238))-'Business Case'!C15*$F238</f>
        <v>-29194778.7142946</v>
      </c>
      <c r="J238" s="39" t="n">
        <f aca="false">(('Business Case'!D11*$C238*'Business Case'!D12*$B238)-'Business Case'!D11*$C238*'Business Case'!D13*$D238-'Business Case'!D14*$E238)-MAX(0,(('Business Case'!D11*$C238*'Business Case'!D12*$B238)-'Business Case'!D11*$C238*'Business Case'!D13*$D238-'Business Case'!D14*$E238))*'Business Case'!$B$7-'Business Case'!$B$8*(('Business Case'!D11*$C238*'Business Case'!D12*$B238)-('Business Case'!C11*$C238*'Business Case'!C12*$B238))-'Business Case'!D15*$F238</f>
        <v>247576678.043298</v>
      </c>
      <c r="K238" s="39" t="n">
        <f aca="false">(('Business Case'!E11*$C238*'Business Case'!E12*$B238)-'Business Case'!E11*$C238*'Business Case'!E13*$D238-'Business Case'!E14*$E238)-MAX(0,(('Business Case'!E11*$C238*'Business Case'!E12*$B238)-'Business Case'!E11*$C238*'Business Case'!E13*$D238-'Business Case'!E14*$E238))*'Business Case'!$B$7-'Business Case'!$B$8*(('Business Case'!E11*$C238*'Business Case'!E12*$B238)-('Business Case'!D11*$C238*'Business Case'!D12*$B238))-'Business Case'!E15*$F238</f>
        <v>578251797.595319</v>
      </c>
      <c r="L238" s="39" t="n">
        <f aca="false">(('Business Case'!F11*$C238*'Business Case'!F12*$B238)-'Business Case'!F11*$C238*'Business Case'!F13*$D238-'Business Case'!F14*$E238)-MAX(0,(('Business Case'!F11*$C238*'Business Case'!F12*$B238)-'Business Case'!F11*$C238*'Business Case'!F13*$D238-'Business Case'!F14*$E238))*'Business Case'!$B$7-'Business Case'!$B$8*(('Business Case'!F11*$C238*'Business Case'!F12*$B238)-('Business Case'!E11*$C238*'Business Case'!E12*$B238))-'Business Case'!F15*$F238</f>
        <v>705080650.765952</v>
      </c>
      <c r="M238" s="39" t="n">
        <f aca="false">(('Business Case'!G11*$C238*'Business Case'!G12*$B238)-'Business Case'!G11*$C238*'Business Case'!G13*$D238-'Business Case'!G14*$E238)-MAX(0,(('Business Case'!G11*$C238*'Business Case'!G12*$B238)-'Business Case'!G11*$C238*'Business Case'!G13*$D238-'Business Case'!G14*$E238))*'Business Case'!$B$7-'Business Case'!$B$8*(('Business Case'!G11*$C238*'Business Case'!G12*$B238)-('Business Case'!F11*$C238*'Business Case'!F12*$B238))-'Business Case'!G15*$F238+'Business Case'!$B$8*('Business Case'!G11*$C238*'Business Case'!G12*$B238)</f>
        <v>895225005.815511</v>
      </c>
      <c r="N238" s="39" t="n">
        <f aca="false">IF(COUNT('Business Case'!B11:G11)=0,"",H238+NPV(G238,I238:M238))</f>
        <v>-609269613.067213</v>
      </c>
      <c r="P238" s="40" t="n">
        <f aca="true">RAND()</f>
        <v>0.27385224358</v>
      </c>
      <c r="Q238" s="40" t="n">
        <f aca="true">RAND()</f>
        <v>0.725369489215087</v>
      </c>
      <c r="R238" s="40" t="n">
        <f aca="true">RAND()</f>
        <v>0.750813083588493</v>
      </c>
      <c r="S238" s="40" t="n">
        <f aca="true">RAND()</f>
        <v>0.662437677542609</v>
      </c>
      <c r="T238" s="40" t="n">
        <f aca="true">RAND()</f>
        <v>0.702677381407758</v>
      </c>
      <c r="U238" s="40" t="n">
        <f aca="true">RAND()</f>
        <v>0.996300568569137</v>
      </c>
    </row>
    <row r="239" customFormat="false" ht="15" hidden="false" customHeight="false" outlineLevel="0" collapsed="false">
      <c r="A239" s="36" t="n">
        <v>159</v>
      </c>
      <c r="B239" s="37" t="n">
        <f aca="false">1+IF($G$6=$E$6,$F$6,IF(P239&lt;($F$6-$E$6)/($G$6-$E$6),$E$6+SQRT(P239*($G$6-$E$6)*($F$6-$E$6)),$G$6-SQRT((1-P239)*($G$6-$E$6)*($G$6-$F$6))))</f>
        <v>0.996843211342179</v>
      </c>
      <c r="C239" s="37" t="n">
        <f aca="false">1+IF($G$7=$E$7,$F$7,IF(Q239&lt;($F$7-$E$7)/($G$7-$E$7),$E$7+SQRT(Q239*($G$7-$E$7)*($F$7-$E$7)),$G$7-SQRT((1-Q239)*($G$7-$E$7)*($G$7-$F$7))))</f>
        <v>1.01674675263586</v>
      </c>
      <c r="D239" s="37" t="n">
        <f aca="false">1+IF($G$8=$E$8,$F$8,IF(R239&lt;($F$8-$E$8)/($G$8-$E$8),$E$8+SQRT(R239*($G$8-$E$8)*($F$8-$E$8)),$G$8-SQRT((1-R239)*($G$8-$E$8)*($G$8-$F$8))))</f>
        <v>1.00961942240998</v>
      </c>
      <c r="E239" s="37" t="n">
        <f aca="false">1+IF($G$9=$E$9,$F$9,IF(S239&lt;($F$9-$E$9)/($G$9-$E$9),$E$9+SQRT(S239*($G$9-$E$9)*($F$9-$E$9)),$G$9-SQRT((1-S239)*($G$9-$E$9)*($G$9-$F$9))))</f>
        <v>1.01833162416876</v>
      </c>
      <c r="F239" s="37" t="n">
        <f aca="false">1+IF($G$10=$E$10,$F$10,IF(T239&lt;($F$10-$E$10)/($G$10-$E$10),$E$10+SQRT(T239*($G$10-$E$10)*($F$10-$E$10)),$G$10-SQRT((1-T239)*($G$10-$E$10)*($G$10-$F$10))))</f>
        <v>1.09960242707816</v>
      </c>
      <c r="G239" s="38" t="n">
        <f aca="false">IF($G$11=$E$11,$F$11,IF(U239&lt;($F$11-$E$11)/($G$11-$E$11),$E$11+SQRT(U239*($G$11-$E$11)*($F$11-$E$11)),$G$11-SQRT((1-U239)*($G$11-$E$11)*($G$11-$F$11))))</f>
        <v>0.100006776189052</v>
      </c>
      <c r="H239" s="39" t="n">
        <f aca="false">(('Business Case'!B11*$C239*'Business Case'!B12*$B239)-'Business Case'!B11*$C239*'Business Case'!B13*$D239-'Business Case'!B14*$E239)-MAX(0,(('Business Case'!B11*$C239*'Business Case'!B12*$B239)-'Business Case'!B11*$C239*'Business Case'!B13*$D239-'Business Case'!B14*$E239))*'Business Case'!$B$7-'Business Case'!$B$8*('Business Case'!B11*$C239*'Business Case'!B12*$B239)-'Business Case'!B15*$F239</f>
        <v>-2199204854.15631</v>
      </c>
      <c r="I239" s="39" t="n">
        <f aca="false">(('Business Case'!C11*$C239*'Business Case'!C12*$B239)-'Business Case'!C11*$C239*'Business Case'!C13*$D239-'Business Case'!C14*$E239)-MAX(0,(('Business Case'!C11*$C239*'Business Case'!C12*$B239)-'Business Case'!C11*$C239*'Business Case'!C13*$D239-'Business Case'!C14*$E239))*'Business Case'!$B$7-'Business Case'!$B$8*(('Business Case'!C11*$C239*'Business Case'!C12*$B239)-('Business Case'!B11*$C239*'Business Case'!B12*$B239))-'Business Case'!C15*$F239</f>
        <v>-2648744.49188831</v>
      </c>
      <c r="J239" s="39" t="n">
        <f aca="false">(('Business Case'!D11*$C239*'Business Case'!D12*$B239)-'Business Case'!D11*$C239*'Business Case'!D13*$D239-'Business Case'!D14*$E239)-MAX(0,(('Business Case'!D11*$C239*'Business Case'!D12*$B239)-'Business Case'!D11*$C239*'Business Case'!D13*$D239-'Business Case'!D14*$E239))*'Business Case'!$B$7-'Business Case'!$B$8*(('Business Case'!D11*$C239*'Business Case'!D12*$B239)-('Business Case'!C11*$C239*'Business Case'!C12*$B239))-'Business Case'!D15*$F239</f>
        <v>302011273.842156</v>
      </c>
      <c r="K239" s="39" t="n">
        <f aca="false">(('Business Case'!E11*$C239*'Business Case'!E12*$B239)-'Business Case'!E11*$C239*'Business Case'!E13*$D239-'Business Case'!E14*$E239)-MAX(0,(('Business Case'!E11*$C239*'Business Case'!E12*$B239)-'Business Case'!E11*$C239*'Business Case'!E13*$D239-'Business Case'!E14*$E239))*'Business Case'!$B$7-'Business Case'!$B$8*(('Business Case'!E11*$C239*'Business Case'!E12*$B239)-('Business Case'!D11*$C239*'Business Case'!D12*$B239))-'Business Case'!E15*$F239</f>
        <v>661651413.530107</v>
      </c>
      <c r="L239" s="39" t="n">
        <f aca="false">(('Business Case'!F11*$C239*'Business Case'!F12*$B239)-'Business Case'!F11*$C239*'Business Case'!F13*$D239-'Business Case'!F14*$E239)-MAX(0,(('Business Case'!F11*$C239*'Business Case'!F12*$B239)-'Business Case'!F11*$C239*'Business Case'!F13*$D239-'Business Case'!F14*$E239))*'Business Case'!$B$7-'Business Case'!$B$8*(('Business Case'!F11*$C239*'Business Case'!F12*$B239)-('Business Case'!E11*$C239*'Business Case'!E12*$B239))-'Business Case'!F15*$F239</f>
        <v>798232595.082334</v>
      </c>
      <c r="M239" s="39" t="n">
        <f aca="false">(('Business Case'!G11*$C239*'Business Case'!G12*$B239)-'Business Case'!G11*$C239*'Business Case'!G13*$D239-'Business Case'!G14*$E239)-MAX(0,(('Business Case'!G11*$C239*'Business Case'!G12*$B239)-'Business Case'!G11*$C239*'Business Case'!G13*$D239-'Business Case'!G14*$E239))*'Business Case'!$B$7-'Business Case'!$B$8*(('Business Case'!G11*$C239*'Business Case'!G12*$B239)-('Business Case'!F11*$C239*'Business Case'!F12*$B239))-'Business Case'!G15*$F239+'Business Case'!$B$8*('Business Case'!G11*$C239*'Business Case'!G12*$B239)</f>
        <v>990885726.673835</v>
      </c>
      <c r="N239" s="39" t="n">
        <f aca="false">IF(COUNT('Business Case'!B11:G11)=0,"",H239+NPV(G239,I239:M239))</f>
        <v>-294487161.419702</v>
      </c>
      <c r="P239" s="40" t="n">
        <f aca="true">RAND()</f>
        <v>0.615091575976962</v>
      </c>
      <c r="Q239" s="40" t="n">
        <f aca="true">RAND()</f>
        <v>0.661782325084004</v>
      </c>
      <c r="R239" s="40" t="n">
        <f aca="true">RAND()</f>
        <v>0.523709067124491</v>
      </c>
      <c r="S239" s="40" t="n">
        <f aca="true">RAND()</f>
        <v>0.55535175927253</v>
      </c>
      <c r="T239" s="40" t="n">
        <f aca="true">RAND()</f>
        <v>0.79840654702806</v>
      </c>
      <c r="U239" s="40" t="n">
        <f aca="true">RAND()</f>
        <v>0.333785002742232</v>
      </c>
    </row>
    <row r="240" customFormat="false" ht="15" hidden="false" customHeight="false" outlineLevel="0" collapsed="false">
      <c r="A240" s="36" t="n">
        <v>160</v>
      </c>
      <c r="B240" s="37" t="n">
        <f aca="false">1+IF($G$6=$E$6,$F$6,IF(P240&lt;($F$6-$E$6)/($G$6-$E$6),$E$6+SQRT(P240*($G$6-$E$6)*($F$6-$E$6)),$G$6-SQRT((1-P240)*($G$6-$E$6)*($G$6-$F$6))))</f>
        <v>0.997617467902934</v>
      </c>
      <c r="C240" s="37" t="n">
        <f aca="false">1+IF($G$7=$E$7,$F$7,IF(Q240&lt;($F$7-$E$7)/($G$7-$E$7),$E$7+SQRT(Q240*($G$7-$E$7)*($F$7-$E$7)),$G$7-SQRT((1-Q240)*($G$7-$E$7)*($G$7-$F$7))))</f>
        <v>0.992694932673266</v>
      </c>
      <c r="D240" s="37" t="n">
        <f aca="false">1+IF($G$8=$E$8,$F$8,IF(R240&lt;($F$8-$E$8)/($G$8-$E$8),$E$8+SQRT(R240*($G$8-$E$8)*($F$8-$E$8)),$G$8-SQRT((1-R240)*($G$8-$E$8)*($G$8-$F$8))))</f>
        <v>0.995226877820116</v>
      </c>
      <c r="E240" s="37" t="n">
        <f aca="false">1+IF($G$9=$E$9,$F$9,IF(S240&lt;($F$9-$E$9)/($G$9-$E$9),$E$9+SQRT(S240*($G$9-$E$9)*($F$9-$E$9)),$G$9-SQRT((1-S240)*($G$9-$E$9)*($G$9-$F$9))))</f>
        <v>1.00775994306413</v>
      </c>
      <c r="F240" s="37" t="n">
        <f aca="false">1+IF($G$10=$E$10,$F$10,IF(T240&lt;($F$10-$E$10)/($G$10-$E$10),$E$10+SQRT(T240*($G$10-$E$10)*($F$10-$E$10)),$G$10-SQRT((1-T240)*($G$10-$E$10)*($G$10-$F$10))))</f>
        <v>0.96879031815869</v>
      </c>
      <c r="G240" s="38" t="n">
        <f aca="false">IF($G$11=$E$11,$F$11,IF(U240&lt;($F$11-$E$11)/($G$11-$E$11),$E$11+SQRT(U240*($G$11-$E$11)*($F$11-$E$11)),$G$11-SQRT((1-U240)*($G$11-$E$11)*($G$11-$F$11))))</f>
        <v>0.0937066427928469</v>
      </c>
      <c r="H240" s="39" t="n">
        <f aca="false">(('Business Case'!B11*$C240*'Business Case'!B12*$B240)-'Business Case'!B11*$C240*'Business Case'!B13*$D240-'Business Case'!B14*$E240)-MAX(0,(('Business Case'!B11*$C240*'Business Case'!B12*$B240)-'Business Case'!B11*$C240*'Business Case'!B13*$D240-'Business Case'!B14*$E240))*'Business Case'!$B$7-'Business Case'!$B$8*('Business Case'!B11*$C240*'Business Case'!B12*$B240)-'Business Case'!B15*$F240</f>
        <v>-1937580636.31738</v>
      </c>
      <c r="I240" s="39" t="n">
        <f aca="false">(('Business Case'!C11*$C240*'Business Case'!C12*$B240)-'Business Case'!C11*$C240*'Business Case'!C13*$D240-'Business Case'!C14*$E240)-MAX(0,(('Business Case'!C11*$C240*'Business Case'!C12*$B240)-'Business Case'!C11*$C240*'Business Case'!C13*$D240-'Business Case'!C14*$E240))*'Business Case'!$B$7-'Business Case'!$B$8*(('Business Case'!C11*$C240*'Business Case'!C12*$B240)-('Business Case'!B11*$C240*'Business Case'!B12*$B240))-'Business Case'!C15*$F240</f>
        <v>13875438.4891347</v>
      </c>
      <c r="J240" s="39" t="n">
        <f aca="false">(('Business Case'!D11*$C240*'Business Case'!D12*$B240)-'Business Case'!D11*$C240*'Business Case'!D13*$D240-'Business Case'!D14*$E240)-MAX(0,(('Business Case'!D11*$C240*'Business Case'!D12*$B240)-'Business Case'!D11*$C240*'Business Case'!D13*$D240-'Business Case'!D14*$E240))*'Business Case'!$B$7-'Business Case'!$B$8*(('Business Case'!D11*$C240*'Business Case'!D12*$B240)-('Business Case'!C11*$C240*'Business Case'!C12*$B240))-'Business Case'!D15*$F240</f>
        <v>319272069.795982</v>
      </c>
      <c r="K240" s="39" t="n">
        <f aca="false">(('Business Case'!E11*$C240*'Business Case'!E12*$B240)-'Business Case'!E11*$C240*'Business Case'!E13*$D240-'Business Case'!E14*$E240)-MAX(0,(('Business Case'!E11*$C240*'Business Case'!E12*$B240)-'Business Case'!E11*$C240*'Business Case'!E13*$D240-'Business Case'!E14*$E240))*'Business Case'!$B$7-'Business Case'!$B$8*(('Business Case'!E11*$C240*'Business Case'!E12*$B240)-('Business Case'!D11*$C240*'Business Case'!D12*$B240))-'Business Case'!E15*$F240</f>
        <v>673108217.010764</v>
      </c>
      <c r="L240" s="39" t="n">
        <f aca="false">(('Business Case'!F11*$C240*'Business Case'!F12*$B240)-'Business Case'!F11*$C240*'Business Case'!F13*$D240-'Business Case'!F14*$E240)-MAX(0,(('Business Case'!F11*$C240*'Business Case'!F12*$B240)-'Business Case'!F11*$C240*'Business Case'!F13*$D240-'Business Case'!F14*$E240))*'Business Case'!$B$7-'Business Case'!$B$8*(('Business Case'!F11*$C240*'Business Case'!F12*$B240)-('Business Case'!E11*$C240*'Business Case'!E12*$B240))-'Business Case'!F15*$F240</f>
        <v>809132892.178463</v>
      </c>
      <c r="M240" s="39" t="n">
        <f aca="false">(('Business Case'!G11*$C240*'Business Case'!G12*$B240)-'Business Case'!G11*$C240*'Business Case'!G13*$D240-'Business Case'!G14*$E240)-MAX(0,(('Business Case'!G11*$C240*'Business Case'!G12*$B240)-'Business Case'!G11*$C240*'Business Case'!G13*$D240-'Business Case'!G14*$E240))*'Business Case'!$B$7-'Business Case'!$B$8*(('Business Case'!G11*$C240*'Business Case'!G12*$B240)-('Business Case'!F11*$C240*'Business Case'!F12*$B240))-'Business Case'!G15*$F240+'Business Case'!$B$8*('Business Case'!G11*$C240*'Business Case'!G12*$B240)</f>
        <v>997374781.538253</v>
      </c>
      <c r="N240" s="39" t="n">
        <f aca="false">IF(COUNT('Business Case'!B11:G11)=0,"",H240+NPV(G240,I240:M240))</f>
        <v>59302890.2873278</v>
      </c>
      <c r="P240" s="40" t="n">
        <f aca="true">RAND()</f>
        <v>0.627549096214896</v>
      </c>
      <c r="Q240" s="40" t="n">
        <f aca="true">RAND()</f>
        <v>0.530447672542205</v>
      </c>
      <c r="R240" s="40" t="n">
        <f aca="true">RAND()</f>
        <v>0.314687765747029</v>
      </c>
      <c r="S240" s="40" t="n">
        <f aca="true">RAND()</f>
        <v>0.432784793097828</v>
      </c>
      <c r="T240" s="40" t="n">
        <f aca="true">RAND()</f>
        <v>0.0282460845203821</v>
      </c>
      <c r="U240" s="40" t="n">
        <f aca="true">RAND()</f>
        <v>0.0457973359792131</v>
      </c>
    </row>
    <row r="241" customFormat="false" ht="15" hidden="false" customHeight="false" outlineLevel="0" collapsed="false">
      <c r="A241" s="36" t="n">
        <v>161</v>
      </c>
      <c r="B241" s="37" t="n">
        <f aca="false">1+IF($G$6=$E$6,$F$6,IF(P241&lt;($F$6-$E$6)/($G$6-$E$6),$E$6+SQRT(P241*($G$6-$E$6)*($F$6-$E$6)),$G$6-SQRT((1-P241)*($G$6-$E$6)*($G$6-$F$6))))</f>
        <v>0.940977485852332</v>
      </c>
      <c r="C241" s="37" t="n">
        <f aca="false">1+IF($G$7=$E$7,$F$7,IF(Q241&lt;($F$7-$E$7)/($G$7-$E$7),$E$7+SQRT(Q241*($G$7-$E$7)*($F$7-$E$7)),$G$7-SQRT((1-Q241)*($G$7-$E$7)*($G$7-$F$7))))</f>
        <v>1.0640904044495</v>
      </c>
      <c r="D241" s="37" t="n">
        <f aca="false">1+IF($G$8=$E$8,$F$8,IF(R241&lt;($F$8-$E$8)/($G$8-$E$8),$E$8+SQRT(R241*($G$8-$E$8)*($F$8-$E$8)),$G$8-SQRT((1-R241)*($G$8-$E$8)*($G$8-$F$8))))</f>
        <v>0.968235980982358</v>
      </c>
      <c r="E241" s="37" t="n">
        <f aca="false">1+IF($G$9=$E$9,$F$9,IF(S241&lt;($F$9-$E$9)/($G$9-$E$9),$E$9+SQRT(S241*($G$9-$E$9)*($F$9-$E$9)),$G$9-SQRT((1-S241)*($G$9-$E$9)*($G$9-$F$9))))</f>
        <v>1.04470045230059</v>
      </c>
      <c r="F241" s="37" t="n">
        <f aca="false">1+IF($G$10=$E$10,$F$10,IF(T241&lt;($F$10-$E$10)/($G$10-$E$10),$E$10+SQRT(T241*($G$10-$E$10)*($F$10-$E$10)),$G$10-SQRT((1-T241)*($G$10-$E$10)*($G$10-$F$10))))</f>
        <v>1.00207658711694</v>
      </c>
      <c r="G241" s="38" t="n">
        <f aca="false">IF($G$11=$E$11,$F$11,IF(U241&lt;($F$11-$E$11)/($G$11-$E$11),$E$11+SQRT(U241*($G$11-$E$11)*($F$11-$E$11)),$G$11-SQRT((1-U241)*($G$11-$E$11)*($G$11-$F$11))))</f>
        <v>0.115208923851598</v>
      </c>
      <c r="H241" s="39" t="n">
        <f aca="false">(('Business Case'!B11*$C241*'Business Case'!B12*$B241)-'Business Case'!B11*$C241*'Business Case'!B13*$D241-'Business Case'!B14*$E241)-MAX(0,(('Business Case'!B11*$C241*'Business Case'!B12*$B241)-'Business Case'!B11*$C241*'Business Case'!B13*$D241-'Business Case'!B14*$E241))*'Business Case'!$B$7-'Business Case'!$B$8*('Business Case'!B11*$C241*'Business Case'!B12*$B241)-'Business Case'!B15*$F241</f>
        <v>-2004153174.23389</v>
      </c>
      <c r="I241" s="39" t="n">
        <f aca="false">(('Business Case'!C11*$C241*'Business Case'!C12*$B241)-'Business Case'!C11*$C241*'Business Case'!C13*$D241-'Business Case'!C14*$E241)-MAX(0,(('Business Case'!C11*$C241*'Business Case'!C12*$B241)-'Business Case'!C11*$C241*'Business Case'!C13*$D241-'Business Case'!C14*$E241))*'Business Case'!$B$7-'Business Case'!$B$8*(('Business Case'!C11*$C241*'Business Case'!C12*$B241)-('Business Case'!B11*$C241*'Business Case'!B12*$B241))-'Business Case'!C15*$F241</f>
        <v>-7972455.28215312</v>
      </c>
      <c r="J241" s="39" t="n">
        <f aca="false">(('Business Case'!D11*$C241*'Business Case'!D12*$B241)-'Business Case'!D11*$C241*'Business Case'!D13*$D241-'Business Case'!D14*$E241)-MAX(0,(('Business Case'!D11*$C241*'Business Case'!D12*$B241)-'Business Case'!D11*$C241*'Business Case'!D13*$D241-'Business Case'!D14*$E241))*'Business Case'!$B$7-'Business Case'!$B$8*(('Business Case'!D11*$C241*'Business Case'!D12*$B241)-('Business Case'!C11*$C241*'Business Case'!C12*$B241))-'Business Case'!D15*$F241</f>
        <v>284725772.748294</v>
      </c>
      <c r="K241" s="39" t="n">
        <f aca="false">(('Business Case'!E11*$C241*'Business Case'!E12*$B241)-'Business Case'!E11*$C241*'Business Case'!E13*$D241-'Business Case'!E14*$E241)-MAX(0,(('Business Case'!E11*$C241*'Business Case'!E12*$B241)-'Business Case'!E11*$C241*'Business Case'!E13*$D241-'Business Case'!E14*$E241))*'Business Case'!$B$7-'Business Case'!$B$8*(('Business Case'!E11*$C241*'Business Case'!E12*$B241)-('Business Case'!D11*$C241*'Business Case'!D12*$B241))-'Business Case'!E15*$F241</f>
        <v>627527830.134588</v>
      </c>
      <c r="L241" s="39" t="n">
        <f aca="false">(('Business Case'!F11*$C241*'Business Case'!F12*$B241)-'Business Case'!F11*$C241*'Business Case'!F13*$D241-'Business Case'!F14*$E241)-MAX(0,(('Business Case'!F11*$C241*'Business Case'!F12*$B241)-'Business Case'!F11*$C241*'Business Case'!F13*$D241-'Business Case'!F14*$E241))*'Business Case'!$B$7-'Business Case'!$B$8*(('Business Case'!F11*$C241*'Business Case'!F12*$B241)-('Business Case'!E11*$C241*'Business Case'!E12*$B241))-'Business Case'!F15*$F241</f>
        <v>759698319.667244</v>
      </c>
      <c r="M241" s="39" t="n">
        <f aca="false">(('Business Case'!G11*$C241*'Business Case'!G12*$B241)-'Business Case'!G11*$C241*'Business Case'!G13*$D241-'Business Case'!G14*$E241)-MAX(0,(('Business Case'!G11*$C241*'Business Case'!G12*$B241)-'Business Case'!G11*$C241*'Business Case'!G13*$D241-'Business Case'!G14*$E241))*'Business Case'!$B$7-'Business Case'!$B$8*(('Business Case'!G11*$C241*'Business Case'!G12*$B241)-('Business Case'!F11*$C241*'Business Case'!F12*$B241))-'Business Case'!G15*$F241+'Business Case'!$B$8*('Business Case'!G11*$C241*'Business Case'!G12*$B241)</f>
        <v>950022594.041036</v>
      </c>
      <c r="N241" s="39" t="n">
        <f aca="false">IF(COUNT('Business Case'!B11:G11)=0,"",H241+NPV(G241,I241:M241))</f>
        <v>-288022353.41557</v>
      </c>
      <c r="P241" s="40" t="n">
        <f aca="true">RAND()</f>
        <v>0.0458390534046659</v>
      </c>
      <c r="Q241" s="40" t="n">
        <f aca="true">RAND()</f>
        <v>0.85941983604476</v>
      </c>
      <c r="R241" s="40" t="n">
        <f aca="true">RAND()</f>
        <v>0.0511616926752173</v>
      </c>
      <c r="S241" s="40" t="n">
        <f aca="true">RAND()</f>
        <v>0.796130668282727</v>
      </c>
      <c r="T241" s="40" t="n">
        <f aca="true">RAND()</f>
        <v>0.216526452654463</v>
      </c>
      <c r="U241" s="40" t="n">
        <f aca="true">RAND()</f>
        <v>0.961742648900359</v>
      </c>
    </row>
    <row r="242" customFormat="false" ht="15" hidden="false" customHeight="false" outlineLevel="0" collapsed="false">
      <c r="A242" s="36" t="n">
        <v>162</v>
      </c>
      <c r="B242" s="37" t="n">
        <f aca="false">1+IF($G$6=$E$6,$F$6,IF(P242&lt;($F$6-$E$6)/($G$6-$E$6),$E$6+SQRT(P242*($G$6-$E$6)*($F$6-$E$6)),$G$6-SQRT((1-P242)*($G$6-$E$6)*($G$6-$F$6))))</f>
        <v>0.980442995053604</v>
      </c>
      <c r="C242" s="37" t="n">
        <f aca="false">1+IF($G$7=$E$7,$F$7,IF(Q242&lt;($F$7-$E$7)/($G$7-$E$7),$E$7+SQRT(Q242*($G$7-$E$7)*($F$7-$E$7)),$G$7-SQRT((1-Q242)*($G$7-$E$7)*($G$7-$F$7))))</f>
        <v>0.910476593275403</v>
      </c>
      <c r="D242" s="37" t="n">
        <f aca="false">1+IF($G$8=$E$8,$F$8,IF(R242&lt;($F$8-$E$8)/($G$8-$E$8),$E$8+SQRT(R242*($G$8-$E$8)*($F$8-$E$8)),$G$8-SQRT((1-R242)*($G$8-$E$8)*($G$8-$F$8))))</f>
        <v>0.965065162719981</v>
      </c>
      <c r="E242" s="37" t="n">
        <f aca="false">1+IF($G$9=$E$9,$F$9,IF(S242&lt;($F$9-$E$9)/($G$9-$E$9),$E$9+SQRT(S242*($G$9-$E$9)*($F$9-$E$9)),$G$9-SQRT((1-S242)*($G$9-$E$9)*($G$9-$F$9))))</f>
        <v>0.993974969077098</v>
      </c>
      <c r="F242" s="37" t="n">
        <f aca="false">1+IF($G$10=$E$10,$F$10,IF(T242&lt;($F$10-$E$10)/($G$10-$E$10),$E$10+SQRT(T242*($G$10-$E$10)*($F$10-$E$10)),$G$10-SQRT((1-T242)*($G$10-$E$10)*($G$10-$F$10))))</f>
        <v>1.02410354861694</v>
      </c>
      <c r="G242" s="38" t="n">
        <f aca="false">IF($G$11=$E$11,$F$11,IF(U242&lt;($F$11-$E$11)/($G$11-$E$11),$E$11+SQRT(U242*($G$11-$E$11)*($F$11-$E$11)),$G$11-SQRT((1-U242)*($G$11-$E$11)*($G$11-$F$11))))</f>
        <v>0.104915155112298</v>
      </c>
      <c r="H242" s="39" t="n">
        <f aca="false">(('Business Case'!B11*$C242*'Business Case'!B12*$B242)-'Business Case'!B11*$C242*'Business Case'!B13*$D242-'Business Case'!B14*$E242)-MAX(0,(('Business Case'!B11*$C242*'Business Case'!B12*$B242)-'Business Case'!B11*$C242*'Business Case'!B13*$D242-'Business Case'!B14*$E242))*'Business Case'!$B$7-'Business Case'!$B$8*('Business Case'!B11*$C242*'Business Case'!B12*$B242)-'Business Case'!B15*$F242</f>
        <v>-2048207097.23387</v>
      </c>
      <c r="I242" s="39" t="n">
        <f aca="false">(('Business Case'!C11*$C242*'Business Case'!C12*$B242)-'Business Case'!C11*$C242*'Business Case'!C13*$D242-'Business Case'!C14*$E242)-MAX(0,(('Business Case'!C11*$C242*'Business Case'!C12*$B242)-'Business Case'!C11*$C242*'Business Case'!C13*$D242-'Business Case'!C14*$E242))*'Business Case'!$B$7-'Business Case'!$B$8*(('Business Case'!C11*$C242*'Business Case'!C12*$B242)-('Business Case'!B11*$C242*'Business Case'!B12*$B242))-'Business Case'!C15*$F242</f>
        <v>-8676658.81903145</v>
      </c>
      <c r="J242" s="39" t="n">
        <f aca="false">(('Business Case'!D11*$C242*'Business Case'!D12*$B242)-'Business Case'!D11*$C242*'Business Case'!D13*$D242-'Business Case'!D14*$E242)-MAX(0,(('Business Case'!D11*$C242*'Business Case'!D12*$B242)-'Business Case'!D11*$C242*'Business Case'!D13*$D242-'Business Case'!D14*$E242))*'Business Case'!$B$7-'Business Case'!$B$8*(('Business Case'!D11*$C242*'Business Case'!D12*$B242)-('Business Case'!C11*$C242*'Business Case'!C12*$B242))-'Business Case'!D15*$F242</f>
        <v>272676311.260639</v>
      </c>
      <c r="K242" s="39" t="n">
        <f aca="false">(('Business Case'!E11*$C242*'Business Case'!E12*$B242)-'Business Case'!E11*$C242*'Business Case'!E13*$D242-'Business Case'!E14*$E242)-MAX(0,(('Business Case'!E11*$C242*'Business Case'!E12*$B242)-'Business Case'!E11*$C242*'Business Case'!E13*$D242-'Business Case'!E14*$E242))*'Business Case'!$B$7-'Business Case'!$B$8*(('Business Case'!E11*$C242*'Business Case'!E12*$B242)-('Business Case'!D11*$C242*'Business Case'!D12*$B242))-'Business Case'!E15*$F242</f>
        <v>605234458.771157</v>
      </c>
      <c r="L242" s="39" t="n">
        <f aca="false">(('Business Case'!F11*$C242*'Business Case'!F12*$B242)-'Business Case'!F11*$C242*'Business Case'!F13*$D242-'Business Case'!F14*$E242)-MAX(0,(('Business Case'!F11*$C242*'Business Case'!F12*$B242)-'Business Case'!F11*$C242*'Business Case'!F13*$D242-'Business Case'!F14*$E242))*'Business Case'!$B$7-'Business Case'!$B$8*(('Business Case'!F11*$C242*'Business Case'!F12*$B242)-('Business Case'!E11*$C242*'Business Case'!E12*$B242))-'Business Case'!F15*$F242</f>
        <v>729869471.087211</v>
      </c>
      <c r="M242" s="39" t="n">
        <f aca="false">(('Business Case'!G11*$C242*'Business Case'!G12*$B242)-'Business Case'!G11*$C242*'Business Case'!G13*$D242-'Business Case'!G14*$E242)-MAX(0,(('Business Case'!G11*$C242*'Business Case'!G12*$B242)-'Business Case'!G11*$C242*'Business Case'!G13*$D242-'Business Case'!G14*$E242))*'Business Case'!$B$7-'Business Case'!$B$8*(('Business Case'!G11*$C242*'Business Case'!G12*$B242)-('Business Case'!F11*$C242*'Business Case'!F12*$B242))-'Business Case'!G15*$F242+'Business Case'!$B$8*('Business Case'!G11*$C242*'Business Case'!G12*$B242)</f>
        <v>899548260.34611</v>
      </c>
      <c r="N242" s="39" t="n">
        <f aca="false">IF(COUNT('Business Case'!B11:G11)=0,"",H242+NPV(G242,I242:M242))</f>
        <v>-348093224.312002</v>
      </c>
      <c r="P242" s="40" t="n">
        <f aca="true">RAND()</f>
        <v>0.380557880317706</v>
      </c>
      <c r="Q242" s="40" t="n">
        <f aca="true">RAND()</f>
        <v>0.174358252310555</v>
      </c>
      <c r="R242" s="40" t="n">
        <f aca="true">RAND()</f>
        <v>0.0349167888891564</v>
      </c>
      <c r="S242" s="40" t="n">
        <f aca="true">RAND()</f>
        <v>0.257839720710894</v>
      </c>
      <c r="T242" s="40" t="n">
        <f aca="true">RAND()</f>
        <v>0.381208767816912</v>
      </c>
      <c r="U242" s="40" t="n">
        <f aca="true">RAND()</f>
        <v>0.62074575785662</v>
      </c>
    </row>
    <row r="243" customFormat="false" ht="15" hidden="false" customHeight="false" outlineLevel="0" collapsed="false">
      <c r="A243" s="36" t="n">
        <v>163</v>
      </c>
      <c r="B243" s="37" t="n">
        <f aca="false">1+IF($G$6=$E$6,$F$6,IF(P243&lt;($F$6-$E$6)/($G$6-$E$6),$E$6+SQRT(P243*($G$6-$E$6)*($F$6-$E$6)),$G$6-SQRT((1-P243)*($G$6-$E$6)*($G$6-$F$6))))</f>
        <v>1.00400007710608</v>
      </c>
      <c r="C243" s="37" t="n">
        <f aca="false">1+IF($G$7=$E$7,$F$7,IF(Q243&lt;($F$7-$E$7)/($G$7-$E$7),$E$7+SQRT(Q243*($G$7-$E$7)*($F$7-$E$7)),$G$7-SQRT((1-Q243)*($G$7-$E$7)*($G$7-$F$7))))</f>
        <v>1.06573066600944</v>
      </c>
      <c r="D243" s="37" t="n">
        <f aca="false">1+IF($G$8=$E$8,$F$8,IF(R243&lt;($F$8-$E$8)/($G$8-$E$8),$E$8+SQRT(R243*($G$8-$E$8)*($F$8-$E$8)),$G$8-SQRT((1-R243)*($G$8-$E$8)*($G$8-$F$8))))</f>
        <v>1.00760915743762</v>
      </c>
      <c r="E243" s="37" t="n">
        <f aca="false">1+IF($G$9=$E$9,$F$9,IF(S243&lt;($F$9-$E$9)/($G$9-$E$9),$E$9+SQRT(S243*($G$9-$E$9)*($F$9-$E$9)),$G$9-SQRT((1-S243)*($G$9-$E$9)*($G$9-$F$9))))</f>
        <v>1.03800401080326</v>
      </c>
      <c r="F243" s="37" t="n">
        <f aca="false">1+IF($G$10=$E$10,$F$10,IF(T243&lt;($F$10-$E$10)/($G$10-$E$10),$E$10+SQRT(T243*($G$10-$E$10)*($F$10-$E$10)),$G$10-SQRT((1-T243)*($G$10-$E$10)*($G$10-$F$10))))</f>
        <v>1.01994455372057</v>
      </c>
      <c r="G243" s="38" t="n">
        <f aca="false">IF($G$11=$E$11,$F$11,IF(U243&lt;($F$11-$E$11)/($G$11-$E$11),$E$11+SQRT(U243*($G$11-$E$11)*($F$11-$E$11)),$G$11-SQRT((1-U243)*($G$11-$E$11)*($G$11-$F$11))))</f>
        <v>0.105360293750886</v>
      </c>
      <c r="H243" s="39" t="n">
        <f aca="false">(('Business Case'!B11*$C243*'Business Case'!B12*$B243)-'Business Case'!B11*$C243*'Business Case'!B13*$D243-'Business Case'!B14*$E243)-MAX(0,(('Business Case'!B11*$C243*'Business Case'!B12*$B243)-'Business Case'!B11*$C243*'Business Case'!B13*$D243-'Business Case'!B14*$E243))*'Business Case'!$B$7-'Business Case'!$B$8*('Business Case'!B11*$C243*'Business Case'!B12*$B243)-'Business Case'!B15*$F243</f>
        <v>-2039889107.44114</v>
      </c>
      <c r="I243" s="39" t="n">
        <f aca="false">(('Business Case'!C11*$C243*'Business Case'!C12*$B243)-'Business Case'!C11*$C243*'Business Case'!C13*$D243-'Business Case'!C14*$E243)-MAX(0,(('Business Case'!C11*$C243*'Business Case'!C12*$B243)-'Business Case'!C11*$C243*'Business Case'!C13*$D243-'Business Case'!C14*$E243))*'Business Case'!$B$7-'Business Case'!$B$8*(('Business Case'!C11*$C243*'Business Case'!C12*$B243)-('Business Case'!B11*$C243*'Business Case'!B12*$B243))-'Business Case'!C15*$F243</f>
        <v>21614596.6040868</v>
      </c>
      <c r="J243" s="39" t="n">
        <f aca="false">(('Business Case'!D11*$C243*'Business Case'!D12*$B243)-'Business Case'!D11*$C243*'Business Case'!D13*$D243-'Business Case'!D14*$E243)-MAX(0,(('Business Case'!D11*$C243*'Business Case'!D12*$B243)-'Business Case'!D11*$C243*'Business Case'!D13*$D243-'Business Case'!D14*$E243))*'Business Case'!$B$7-'Business Case'!$B$8*(('Business Case'!D11*$C243*'Business Case'!D12*$B243)-('Business Case'!C11*$C243*'Business Case'!C12*$B243))-'Business Case'!D15*$F243</f>
        <v>348296290.813203</v>
      </c>
      <c r="K243" s="39" t="n">
        <f aca="false">(('Business Case'!E11*$C243*'Business Case'!E12*$B243)-'Business Case'!E11*$C243*'Business Case'!E13*$D243-'Business Case'!E14*$E243)-MAX(0,(('Business Case'!E11*$C243*'Business Case'!E12*$B243)-'Business Case'!E11*$C243*'Business Case'!E13*$D243-'Business Case'!E14*$E243))*'Business Case'!$B$7-'Business Case'!$B$8*(('Business Case'!E11*$C243*'Business Case'!E12*$B243)-('Business Case'!D11*$C243*'Business Case'!D12*$B243))-'Business Case'!E15*$F243</f>
        <v>725975212.708348</v>
      </c>
      <c r="L243" s="39" t="n">
        <f aca="false">(('Business Case'!F11*$C243*'Business Case'!F12*$B243)-'Business Case'!F11*$C243*'Business Case'!F13*$D243-'Business Case'!F14*$E243)-MAX(0,(('Business Case'!F11*$C243*'Business Case'!F12*$B243)-'Business Case'!F11*$C243*'Business Case'!F13*$D243-'Business Case'!F14*$E243))*'Business Case'!$B$7-'Business Case'!$B$8*(('Business Case'!F11*$C243*'Business Case'!F12*$B243)-('Business Case'!E11*$C243*'Business Case'!E12*$B243))-'Business Case'!F15*$F243</f>
        <v>871848092.042553</v>
      </c>
      <c r="M243" s="39" t="n">
        <f aca="false">(('Business Case'!G11*$C243*'Business Case'!G12*$B243)-'Business Case'!G11*$C243*'Business Case'!G13*$D243-'Business Case'!G14*$E243)-MAX(0,(('Business Case'!G11*$C243*'Business Case'!G12*$B243)-'Business Case'!G11*$C243*'Business Case'!G13*$D243-'Business Case'!G14*$E243))*'Business Case'!$B$7-'Business Case'!$B$8*(('Business Case'!G11*$C243*'Business Case'!G12*$B243)-('Business Case'!F11*$C243*'Business Case'!F12*$B243))-'Business Case'!G15*$F243+'Business Case'!$B$8*('Business Case'!G11*$C243*'Business Case'!G12*$B243)</f>
        <v>1075232488.9973</v>
      </c>
      <c r="N243" s="39" t="n">
        <f aca="false">IF(COUNT('Business Case'!B11:G11)=0,"",H243+NPV(G243,I243:M243))</f>
        <v>37887569.6502421</v>
      </c>
      <c r="P243" s="40" t="n">
        <f aca="true">RAND()</f>
        <v>0.730001156589954</v>
      </c>
      <c r="Q243" s="40" t="n">
        <f aca="true">RAND()</f>
        <v>0.864736749500705</v>
      </c>
      <c r="R243" s="40" t="n">
        <f aca="true">RAND()</f>
        <v>0.496112107029637</v>
      </c>
      <c r="S243" s="40" t="n">
        <f aca="true">RAND()</f>
        <v>0.743766488234507</v>
      </c>
      <c r="T243" s="40" t="n">
        <f aca="true">RAND()</f>
        <v>0.3516007253023</v>
      </c>
      <c r="U243" s="40" t="n">
        <f aca="true">RAND()</f>
        <v>0.642798334899405</v>
      </c>
    </row>
    <row r="244" customFormat="false" ht="15" hidden="false" customHeight="false" outlineLevel="0" collapsed="false">
      <c r="A244" s="36" t="n">
        <v>164</v>
      </c>
      <c r="B244" s="37" t="n">
        <f aca="false">1+IF($G$6=$E$6,$F$6,IF(P244&lt;($F$6-$E$6)/($G$6-$E$6),$E$6+SQRT(P244*($G$6-$E$6)*($F$6-$E$6)),$G$6-SQRT((1-P244)*($G$6-$E$6)*($G$6-$F$6))))</f>
        <v>1.00476574239359</v>
      </c>
      <c r="C244" s="37" t="n">
        <f aca="false">1+IF($G$7=$E$7,$F$7,IF(Q244&lt;($F$7-$E$7)/($G$7-$E$7),$E$7+SQRT(Q244*($G$7-$E$7)*($F$7-$E$7)),$G$7-SQRT((1-Q244)*($G$7-$E$7)*($G$7-$F$7))))</f>
        <v>0.889355052700761</v>
      </c>
      <c r="D244" s="37" t="n">
        <f aca="false">1+IF($G$8=$E$8,$F$8,IF(R244&lt;($F$8-$E$8)/($G$8-$E$8),$E$8+SQRT(R244*($G$8-$E$8)*($F$8-$E$8)),$G$8-SQRT((1-R244)*($G$8-$E$8)*($G$8-$F$8))))</f>
        <v>1.00427229716388</v>
      </c>
      <c r="E244" s="37" t="n">
        <f aca="false">1+IF($G$9=$E$9,$F$9,IF(S244&lt;($F$9-$E$9)/($G$9-$E$9),$E$9+SQRT(S244*($G$9-$E$9)*($F$9-$E$9)),$G$9-SQRT((1-S244)*($G$9-$E$9)*($G$9-$F$9))))</f>
        <v>1.06750556898167</v>
      </c>
      <c r="F244" s="37" t="n">
        <f aca="false">1+IF($G$10=$E$10,$F$10,IF(T244&lt;($F$10-$E$10)/($G$10-$E$10),$E$10+SQRT(T244*($G$10-$E$10)*($F$10-$E$10)),$G$10-SQRT((1-T244)*($G$10-$E$10)*($G$10-$F$10))))</f>
        <v>1.02741186645437</v>
      </c>
      <c r="G244" s="38" t="n">
        <f aca="false">IF($G$11=$E$11,$F$11,IF(U244&lt;($F$11-$E$11)/($G$11-$E$11),$E$11+SQRT(U244*($G$11-$E$11)*($F$11-$E$11)),$G$11-SQRT((1-U244)*($G$11-$E$11)*($G$11-$F$11))))</f>
        <v>0.0959537170573299</v>
      </c>
      <c r="H244" s="39" t="n">
        <f aca="false">(('Business Case'!B11*$C244*'Business Case'!B12*$B244)-'Business Case'!B11*$C244*'Business Case'!B13*$D244-'Business Case'!B14*$E244)-MAX(0,(('Business Case'!B11*$C244*'Business Case'!B12*$B244)-'Business Case'!B11*$C244*'Business Case'!B13*$D244-'Business Case'!B14*$E244))*'Business Case'!$B$7-'Business Case'!$B$8*('Business Case'!B11*$C244*'Business Case'!B12*$B244)-'Business Case'!B15*$F244</f>
        <v>-2054823732.90875</v>
      </c>
      <c r="I244" s="39" t="n">
        <f aca="false">(('Business Case'!C11*$C244*'Business Case'!C12*$B244)-'Business Case'!C11*$C244*'Business Case'!C13*$D244-'Business Case'!C14*$E244)-MAX(0,(('Business Case'!C11*$C244*'Business Case'!C12*$B244)-'Business Case'!C11*$C244*'Business Case'!C13*$D244-'Business Case'!C14*$E244))*'Business Case'!$B$7-'Business Case'!$B$8*(('Business Case'!C11*$C244*'Business Case'!C12*$B244)-('Business Case'!B11*$C244*'Business Case'!B12*$B244))-'Business Case'!C15*$F244</f>
        <v>-26170682.4199423</v>
      </c>
      <c r="J244" s="39" t="n">
        <f aca="false">(('Business Case'!D11*$C244*'Business Case'!D12*$B244)-'Business Case'!D11*$C244*'Business Case'!D13*$D244-'Business Case'!D14*$E244)-MAX(0,(('Business Case'!D11*$C244*'Business Case'!D12*$B244)-'Business Case'!D11*$C244*'Business Case'!D13*$D244-'Business Case'!D14*$E244))*'Business Case'!$B$7-'Business Case'!$B$8*(('Business Case'!D11*$C244*'Business Case'!D12*$B244)-('Business Case'!C11*$C244*'Business Case'!C12*$B244))-'Business Case'!D15*$F244</f>
        <v>248523000.224857</v>
      </c>
      <c r="K244" s="39" t="n">
        <f aca="false">(('Business Case'!E11*$C244*'Business Case'!E12*$B244)-'Business Case'!E11*$C244*'Business Case'!E13*$D244-'Business Case'!E14*$E244)-MAX(0,(('Business Case'!E11*$C244*'Business Case'!E12*$B244)-'Business Case'!E11*$C244*'Business Case'!E13*$D244-'Business Case'!E14*$E244))*'Business Case'!$B$7-'Business Case'!$B$8*(('Business Case'!E11*$C244*'Business Case'!E12*$B244)-('Business Case'!D11*$C244*'Business Case'!D12*$B244))-'Business Case'!E15*$F244</f>
        <v>574587276.192374</v>
      </c>
      <c r="L244" s="39" t="n">
        <f aca="false">(('Business Case'!F11*$C244*'Business Case'!F12*$B244)-'Business Case'!F11*$C244*'Business Case'!F13*$D244-'Business Case'!F14*$E244)-MAX(0,(('Business Case'!F11*$C244*'Business Case'!F12*$B244)-'Business Case'!F11*$C244*'Business Case'!F13*$D244-'Business Case'!F14*$E244))*'Business Case'!$B$7-'Business Case'!$B$8*(('Business Case'!F11*$C244*'Business Case'!F12*$B244)-('Business Case'!E11*$C244*'Business Case'!E12*$B244))-'Business Case'!F15*$F244</f>
        <v>697034428.080714</v>
      </c>
      <c r="M244" s="39" t="n">
        <f aca="false">(('Business Case'!G11*$C244*'Business Case'!G12*$B244)-'Business Case'!G11*$C244*'Business Case'!G13*$D244-'Business Case'!G14*$E244)-MAX(0,(('Business Case'!G11*$C244*'Business Case'!G12*$B244)-'Business Case'!G11*$C244*'Business Case'!G13*$D244-'Business Case'!G14*$E244))*'Business Case'!$B$7-'Business Case'!$B$8*(('Business Case'!G11*$C244*'Business Case'!G12*$B244)-('Business Case'!F11*$C244*'Business Case'!F12*$B244))-'Business Case'!G15*$F244+'Business Case'!$B$8*('Business Case'!G11*$C244*'Business Case'!G12*$B244)</f>
        <v>866888678.617786</v>
      </c>
      <c r="N244" s="39" t="n">
        <f aca="false">IF(COUNT('Business Case'!B11:G11)=0,"",H244+NPV(G244,I244:M244))</f>
        <v>-403864096.725997</v>
      </c>
      <c r="P244" s="40" t="n">
        <f aca="true">RAND()</f>
        <v>0.741363977276026</v>
      </c>
      <c r="Q244" s="40" t="n">
        <f aca="true">RAND()</f>
        <v>0.114061792045083</v>
      </c>
      <c r="R244" s="40" t="n">
        <f aca="true">RAND()</f>
        <v>0.448587982996584</v>
      </c>
      <c r="S244" s="40" t="n">
        <f aca="true">RAND()</f>
        <v>0.929607463519657</v>
      </c>
      <c r="T244" s="40" t="n">
        <f aca="true">RAND()</f>
        <v>0.40426672318474</v>
      </c>
      <c r="U244" s="40" t="n">
        <f aca="true">RAND()</f>
        <v>0.118155822662472</v>
      </c>
    </row>
    <row r="245" customFormat="false" ht="15" hidden="false" customHeight="false" outlineLevel="0" collapsed="false">
      <c r="A245" s="36" t="n">
        <v>165</v>
      </c>
      <c r="B245" s="37" t="n">
        <f aca="false">1+IF($G$6=$E$6,$F$6,IF(P245&lt;($F$6-$E$6)/($G$6-$E$6),$E$6+SQRT(P245*($G$6-$E$6)*($F$6-$E$6)),$G$6-SQRT((1-P245)*($G$6-$E$6)*($G$6-$F$6))))</f>
        <v>0.973422214951874</v>
      </c>
      <c r="C245" s="37" t="n">
        <f aca="false">1+IF($G$7=$E$7,$F$7,IF(Q245&lt;($F$7-$E$7)/($G$7-$E$7),$E$7+SQRT(Q245*($G$7-$E$7)*($F$7-$E$7)),$G$7-SQRT((1-Q245)*($G$7-$E$7)*($G$7-$F$7))))</f>
        <v>1.02473147589972</v>
      </c>
      <c r="D245" s="37" t="n">
        <f aca="false">1+IF($G$8=$E$8,$F$8,IF(R245&lt;($F$8-$E$8)/($G$8-$E$8),$E$8+SQRT(R245*($G$8-$E$8)*($F$8-$E$8)),$G$8-SQRT((1-R245)*($G$8-$E$8)*($G$8-$F$8))))</f>
        <v>1.00080123329</v>
      </c>
      <c r="E245" s="37" t="n">
        <f aca="false">1+IF($G$9=$E$9,$F$9,IF(S245&lt;($F$9-$E$9)/($G$9-$E$9),$E$9+SQRT(S245*($G$9-$E$9)*($F$9-$E$9)),$G$9-SQRT((1-S245)*($G$9-$E$9)*($G$9-$F$9))))</f>
        <v>1.0064458805431</v>
      </c>
      <c r="F245" s="37" t="n">
        <f aca="false">1+IF($G$10=$E$10,$F$10,IF(T245&lt;($F$10-$E$10)/($G$10-$E$10),$E$10+SQRT(T245*($G$10-$E$10)*($F$10-$E$10)),$G$10-SQRT((1-T245)*($G$10-$E$10)*($G$10-$F$10))))</f>
        <v>1.00778001400794</v>
      </c>
      <c r="G245" s="38" t="n">
        <f aca="false">IF($G$11=$E$11,$F$11,IF(U245&lt;($F$11-$E$11)/($G$11-$E$11),$E$11+SQRT(U245*($G$11-$E$11)*($F$11-$E$11)),$G$11-SQRT((1-U245)*($G$11-$E$11)*($G$11-$F$11))))</f>
        <v>0.106405966102699</v>
      </c>
      <c r="H245" s="39" t="n">
        <f aca="false">(('Business Case'!B11*$C245*'Business Case'!B12*$B245)-'Business Case'!B11*$C245*'Business Case'!B13*$D245-'Business Case'!B14*$E245)-MAX(0,(('Business Case'!B11*$C245*'Business Case'!B12*$B245)-'Business Case'!B11*$C245*'Business Case'!B13*$D245-'Business Case'!B14*$E245))*'Business Case'!$B$7-'Business Case'!$B$8*('Business Case'!B11*$C245*'Business Case'!B12*$B245)-'Business Case'!B15*$F245</f>
        <v>-2015560028.01588</v>
      </c>
      <c r="I245" s="39" t="n">
        <f aca="false">(('Business Case'!C11*$C245*'Business Case'!C12*$B245)-'Business Case'!C11*$C245*'Business Case'!C13*$D245-'Business Case'!C14*$E245)-MAX(0,(('Business Case'!C11*$C245*'Business Case'!C12*$B245)-'Business Case'!C11*$C245*'Business Case'!C13*$D245-'Business Case'!C14*$E245))*'Business Case'!$B$7-'Business Case'!$B$8*(('Business Case'!C11*$C245*'Business Case'!C12*$B245)-('Business Case'!B11*$C245*'Business Case'!B12*$B245))-'Business Case'!C15*$F245</f>
        <v>-3584309.22347063</v>
      </c>
      <c r="J245" s="39" t="n">
        <f aca="false">(('Business Case'!D11*$C245*'Business Case'!D12*$B245)-'Business Case'!D11*$C245*'Business Case'!D13*$D245-'Business Case'!D14*$E245)-MAX(0,(('Business Case'!D11*$C245*'Business Case'!D12*$B245)-'Business Case'!D11*$C245*'Business Case'!D13*$D245-'Business Case'!D14*$E245))*'Business Case'!$B$7-'Business Case'!$B$8*(('Business Case'!D11*$C245*'Business Case'!D12*$B245)-('Business Case'!C11*$C245*'Business Case'!C12*$B245))-'Business Case'!D15*$F245</f>
        <v>288436199.661865</v>
      </c>
      <c r="K245" s="39" t="n">
        <f aca="false">(('Business Case'!E11*$C245*'Business Case'!E12*$B245)-'Business Case'!E11*$C245*'Business Case'!E13*$D245-'Business Case'!E14*$E245)-MAX(0,(('Business Case'!E11*$C245*'Business Case'!E12*$B245)-'Business Case'!E11*$C245*'Business Case'!E13*$D245-'Business Case'!E14*$E245))*'Business Case'!$B$7-'Business Case'!$B$8*(('Business Case'!E11*$C245*'Business Case'!E12*$B245)-('Business Case'!D11*$C245*'Business Case'!D12*$B245))-'Business Case'!E15*$F245</f>
        <v>630845709.247598</v>
      </c>
      <c r="L245" s="39" t="n">
        <f aca="false">(('Business Case'!F11*$C245*'Business Case'!F12*$B245)-'Business Case'!F11*$C245*'Business Case'!F13*$D245-'Business Case'!F14*$E245)-MAX(0,(('Business Case'!F11*$C245*'Business Case'!F12*$B245)-'Business Case'!F11*$C245*'Business Case'!F13*$D245-'Business Case'!F14*$E245))*'Business Case'!$B$7-'Business Case'!$B$8*(('Business Case'!F11*$C245*'Business Case'!F12*$B245)-('Business Case'!E11*$C245*'Business Case'!E12*$B245))-'Business Case'!F15*$F245</f>
        <v>762659353.872564</v>
      </c>
      <c r="M245" s="39" t="n">
        <f aca="false">(('Business Case'!G11*$C245*'Business Case'!G12*$B245)-'Business Case'!G11*$C245*'Business Case'!G13*$D245-'Business Case'!G14*$E245)-MAX(0,(('Business Case'!G11*$C245*'Business Case'!G12*$B245)-'Business Case'!G11*$C245*'Business Case'!G13*$D245-'Business Case'!G14*$E245))*'Business Case'!$B$7-'Business Case'!$B$8*(('Business Case'!G11*$C245*'Business Case'!G12*$B245)-('Business Case'!F11*$C245*'Business Case'!F12*$B245))-'Business Case'!G15*$F245+'Business Case'!$B$8*('Business Case'!G11*$C245*'Business Case'!G12*$B245)</f>
        <v>952263466.353433</v>
      </c>
      <c r="N245" s="39" t="n">
        <f aca="false">IF(COUNT('Business Case'!B11:G11)=0,"",H245+NPV(G245,I245:M245))</f>
        <v>-234088734.075607</v>
      </c>
      <c r="P245" s="40" t="n">
        <f aca="true">RAND()</f>
        <v>0.297284692746279</v>
      </c>
      <c r="Q245" s="40" t="n">
        <f aca="true">RAND()</f>
        <v>0.701100892756889</v>
      </c>
      <c r="R245" s="40" t="n">
        <f aca="true">RAND()</f>
        <v>0.396880322270682</v>
      </c>
      <c r="S245" s="40" t="n">
        <f aca="true">RAND()</f>
        <v>0.416508448842995</v>
      </c>
      <c r="T245" s="40" t="n">
        <f aca="true">RAND()</f>
        <v>0.261029539704249</v>
      </c>
      <c r="U245" s="40" t="n">
        <f aca="true">RAND()</f>
        <v>0.692003737331708</v>
      </c>
    </row>
    <row r="246" customFormat="false" ht="15" hidden="false" customHeight="false" outlineLevel="0" collapsed="false">
      <c r="A246" s="36" t="n">
        <v>166</v>
      </c>
      <c r="B246" s="37" t="n">
        <f aca="false">1+IF($G$6=$E$6,$F$6,IF(P246&lt;($F$6-$E$6)/($G$6-$E$6),$E$6+SQRT(P246*($G$6-$E$6)*($F$6-$E$6)),$G$6-SQRT((1-P246)*($G$6-$E$6)*($G$6-$F$6))))</f>
        <v>1.00682872506439</v>
      </c>
      <c r="C246" s="37" t="n">
        <f aca="false">1+IF($G$7=$E$7,$F$7,IF(Q246&lt;($F$7-$E$7)/($G$7-$E$7),$E$7+SQRT(Q246*($G$7-$E$7)*($F$7-$E$7)),$G$7-SQRT((1-Q246)*($G$7-$E$7)*($G$7-$F$7))))</f>
        <v>0.940318970617596</v>
      </c>
      <c r="D246" s="37" t="n">
        <f aca="false">1+IF($G$8=$E$8,$F$8,IF(R246&lt;($F$8-$E$8)/($G$8-$E$8),$E$8+SQRT(R246*($G$8-$E$8)*($F$8-$E$8)),$G$8-SQRT((1-R246)*($G$8-$E$8)*($G$8-$F$8))))</f>
        <v>0.984760156383687</v>
      </c>
      <c r="E246" s="37" t="n">
        <f aca="false">1+IF($G$9=$E$9,$F$9,IF(S246&lt;($F$9-$E$9)/($G$9-$E$9),$E$9+SQRT(S246*($G$9-$E$9)*($F$9-$E$9)),$G$9-SQRT((1-S246)*($G$9-$E$9)*($G$9-$F$9))))</f>
        <v>0.96208995648568</v>
      </c>
      <c r="F246" s="37" t="n">
        <f aca="false">1+IF($G$10=$E$10,$F$10,IF(T246&lt;($F$10-$E$10)/($G$10-$E$10),$E$10+SQRT(T246*($G$10-$E$10)*($F$10-$E$10)),$G$10-SQRT((1-T246)*($G$10-$E$10)*($G$10-$F$10))))</f>
        <v>1.05130100519973</v>
      </c>
      <c r="G246" s="38" t="n">
        <f aca="false">IF($G$11=$E$11,$F$11,IF(U246&lt;($F$11-$E$11)/($G$11-$E$11),$E$11+SQRT(U246*($G$11-$E$11)*($F$11-$E$11)),$G$11-SQRT((1-U246)*($G$11-$E$11)*($G$11-$F$11))))</f>
        <v>0.0951170165250039</v>
      </c>
      <c r="H246" s="39" t="n">
        <f aca="false">(('Business Case'!B11*$C246*'Business Case'!B12*$B246)-'Business Case'!B11*$C246*'Business Case'!B13*$D246-'Business Case'!B14*$E246)-MAX(0,(('Business Case'!B11*$C246*'Business Case'!B12*$B246)-'Business Case'!B11*$C246*'Business Case'!B13*$D246-'Business Case'!B14*$E246))*'Business Case'!$B$7-'Business Case'!$B$8*('Business Case'!B11*$C246*'Business Case'!B12*$B246)-'Business Case'!B15*$F246</f>
        <v>-2102602010.39946</v>
      </c>
      <c r="I246" s="39" t="n">
        <f aca="false">(('Business Case'!C11*$C246*'Business Case'!C12*$B246)-'Business Case'!C11*$C246*'Business Case'!C13*$D246-'Business Case'!C14*$E246)-MAX(0,(('Business Case'!C11*$C246*'Business Case'!C12*$B246)-'Business Case'!C11*$C246*'Business Case'!C13*$D246-'Business Case'!C14*$E246))*'Business Case'!$B$7-'Business Case'!$B$8*(('Business Case'!C11*$C246*'Business Case'!C12*$B246)-('Business Case'!B11*$C246*'Business Case'!B12*$B246))-'Business Case'!C15*$F246</f>
        <v>10397933.6299056</v>
      </c>
      <c r="J246" s="39" t="n">
        <f aca="false">(('Business Case'!D11*$C246*'Business Case'!D12*$B246)-'Business Case'!D11*$C246*'Business Case'!D13*$D246-'Business Case'!D14*$E246)-MAX(0,(('Business Case'!D11*$C246*'Business Case'!D12*$B246)-'Business Case'!D11*$C246*'Business Case'!D13*$D246-'Business Case'!D14*$E246))*'Business Case'!$B$7-'Business Case'!$B$8*(('Business Case'!D11*$C246*'Business Case'!D12*$B246)-('Business Case'!C11*$C246*'Business Case'!C12*$B246))-'Business Case'!D15*$F246</f>
        <v>311814168.985714</v>
      </c>
      <c r="K246" s="39" t="n">
        <f aca="false">(('Business Case'!E11*$C246*'Business Case'!E12*$B246)-'Business Case'!E11*$C246*'Business Case'!E13*$D246-'Business Case'!E14*$E246)-MAX(0,(('Business Case'!E11*$C246*'Business Case'!E12*$B246)-'Business Case'!E11*$C246*'Business Case'!E13*$D246-'Business Case'!E14*$E246))*'Business Case'!$B$7-'Business Case'!$B$8*(('Business Case'!E11*$C246*'Business Case'!E12*$B246)-('Business Case'!D11*$C246*'Business Case'!D12*$B246))-'Business Case'!E15*$F246</f>
        <v>665795454.601509</v>
      </c>
      <c r="L246" s="39" t="n">
        <f aca="false">(('Business Case'!F11*$C246*'Business Case'!F12*$B246)-'Business Case'!F11*$C246*'Business Case'!F13*$D246-'Business Case'!F14*$E246)-MAX(0,(('Business Case'!F11*$C246*'Business Case'!F12*$B246)-'Business Case'!F11*$C246*'Business Case'!F13*$D246-'Business Case'!F14*$E246))*'Business Case'!$B$7-'Business Case'!$B$8*(('Business Case'!F11*$C246*'Business Case'!F12*$B246)-('Business Case'!E11*$C246*'Business Case'!E12*$B246))-'Business Case'!F15*$F246</f>
        <v>798986872.649222</v>
      </c>
      <c r="M246" s="39" t="n">
        <f aca="false">(('Business Case'!G11*$C246*'Business Case'!G12*$B246)-'Business Case'!G11*$C246*'Business Case'!G13*$D246-'Business Case'!G14*$E246)-MAX(0,(('Business Case'!G11*$C246*'Business Case'!G12*$B246)-'Business Case'!G11*$C246*'Business Case'!G13*$D246-'Business Case'!G14*$E246))*'Business Case'!$B$7-'Business Case'!$B$8*(('Business Case'!G11*$C246*'Business Case'!G12*$B246)-('Business Case'!F11*$C246*'Business Case'!F12*$B246))-'Business Case'!G15*$F246+'Business Case'!$B$8*('Business Case'!G11*$C246*'Business Case'!G12*$B246)</f>
        <v>978943240.425997</v>
      </c>
      <c r="N246" s="39" t="n">
        <f aca="false">IF(COUNT('Business Case'!B11:G11)=0,"",H246+NPV(G246,I246:M246))</f>
        <v>-149126301.182864</v>
      </c>
      <c r="P246" s="40" t="n">
        <f aca="true">RAND()</f>
        <v>0.770763858155498</v>
      </c>
      <c r="Q246" s="40" t="n">
        <f aca="true">RAND()</f>
        <v>0.281277335931167</v>
      </c>
      <c r="R246" s="40" t="n">
        <f aca="true">RAND()</f>
        <v>0.185887457202829</v>
      </c>
      <c r="S246" s="40" t="n">
        <f aca="true">RAND()</f>
        <v>0.0194889397100857</v>
      </c>
      <c r="T246" s="40" t="n">
        <f aca="true">RAND()</f>
        <v>0.557772178907778</v>
      </c>
      <c r="U246" s="40" t="n">
        <f aca="true">RAND()</f>
        <v>0.0872795270572105</v>
      </c>
    </row>
    <row r="247" customFormat="false" ht="15" hidden="false" customHeight="false" outlineLevel="0" collapsed="false">
      <c r="A247" s="36" t="n">
        <v>167</v>
      </c>
      <c r="B247" s="37" t="n">
        <f aca="false">1+IF($G$6=$E$6,$F$6,IF(P247&lt;($F$6-$E$6)/($G$6-$E$6),$E$6+SQRT(P247*($G$6-$E$6)*($F$6-$E$6)),$G$6-SQRT((1-P247)*($G$6-$E$6)*($G$6-$F$6))))</f>
        <v>0.977260604074345</v>
      </c>
      <c r="C247" s="37" t="n">
        <f aca="false">1+IF($G$7=$E$7,$F$7,IF(Q247&lt;($F$7-$E$7)/($G$7-$E$7),$E$7+SQRT(Q247*($G$7-$E$7)*($F$7-$E$7)),$G$7-SQRT((1-Q247)*($G$7-$E$7)*($G$7-$F$7))))</f>
        <v>0.949812098388578</v>
      </c>
      <c r="D247" s="37" t="n">
        <f aca="false">1+IF($G$8=$E$8,$F$8,IF(R247&lt;($F$8-$E$8)/($G$8-$E$8),$E$8+SQRT(R247*($G$8-$E$8)*($F$8-$E$8)),$G$8-SQRT((1-R247)*($G$8-$E$8)*($G$8-$F$8))))</f>
        <v>1.02635933371625</v>
      </c>
      <c r="E247" s="37" t="n">
        <f aca="false">1+IF($G$9=$E$9,$F$9,IF(S247&lt;($F$9-$E$9)/($G$9-$E$9),$E$9+SQRT(S247*($G$9-$E$9)*($F$9-$E$9)),$G$9-SQRT((1-S247)*($G$9-$E$9)*($G$9-$F$9))))</f>
        <v>1.042611512919</v>
      </c>
      <c r="F247" s="37" t="n">
        <f aca="false">1+IF($G$10=$E$10,$F$10,IF(T247&lt;($F$10-$E$10)/($G$10-$E$10),$E$10+SQRT(T247*($G$10-$E$10)*($F$10-$E$10)),$G$10-SQRT((1-T247)*($G$10-$E$10)*($G$10-$F$10))))</f>
        <v>1.13465280272496</v>
      </c>
      <c r="G247" s="38" t="n">
        <f aca="false">IF($G$11=$E$11,$F$11,IF(U247&lt;($F$11-$E$11)/($G$11-$E$11),$E$11+SQRT(U247*($G$11-$E$11)*($F$11-$E$11)),$G$11-SQRT((1-U247)*($G$11-$E$11)*($G$11-$F$11))))</f>
        <v>0.0978557258620086</v>
      </c>
      <c r="H247" s="39" t="n">
        <f aca="false">(('Business Case'!B11*$C247*'Business Case'!B12*$B247)-'Business Case'!B11*$C247*'Business Case'!B13*$D247-'Business Case'!B14*$E247)-MAX(0,(('Business Case'!B11*$C247*'Business Case'!B12*$B247)-'Business Case'!B11*$C247*'Business Case'!B13*$D247-'Business Case'!B14*$E247))*'Business Case'!$B$7-'Business Case'!$B$8*('Business Case'!B11*$C247*'Business Case'!B12*$B247)-'Business Case'!B15*$F247</f>
        <v>-2269305605.44993</v>
      </c>
      <c r="I247" s="39" t="n">
        <f aca="false">(('Business Case'!C11*$C247*'Business Case'!C12*$B247)-'Business Case'!C11*$C247*'Business Case'!C13*$D247-'Business Case'!C14*$E247)-MAX(0,(('Business Case'!C11*$C247*'Business Case'!C12*$B247)-'Business Case'!C11*$C247*'Business Case'!C13*$D247-'Business Case'!C14*$E247))*'Business Case'!$B$7-'Business Case'!$B$8*(('Business Case'!C11*$C247*'Business Case'!C12*$B247)-('Business Case'!B11*$C247*'Business Case'!B12*$B247))-'Business Case'!C15*$F247</f>
        <v>-48613646.4349582</v>
      </c>
      <c r="J247" s="39" t="n">
        <f aca="false">(('Business Case'!D11*$C247*'Business Case'!D12*$B247)-'Business Case'!D11*$C247*'Business Case'!D13*$D247-'Business Case'!D14*$E247)-MAX(0,(('Business Case'!D11*$C247*'Business Case'!D12*$B247)-'Business Case'!D11*$C247*'Business Case'!D13*$D247-'Business Case'!D14*$E247))*'Business Case'!$B$7-'Business Case'!$B$8*(('Business Case'!D11*$C247*'Business Case'!D12*$B247)-('Business Case'!C11*$C247*'Business Case'!C12*$B247))-'Business Case'!D15*$F247</f>
        <v>212615955.449932</v>
      </c>
      <c r="K247" s="39" t="n">
        <f aca="false">(('Business Case'!E11*$C247*'Business Case'!E12*$B247)-'Business Case'!E11*$C247*'Business Case'!E13*$D247-'Business Case'!E14*$E247)-MAX(0,(('Business Case'!E11*$C247*'Business Case'!E12*$B247)-'Business Case'!E11*$C247*'Business Case'!E13*$D247-'Business Case'!E14*$E247))*'Business Case'!$B$7-'Business Case'!$B$8*(('Business Case'!E11*$C247*'Business Case'!E12*$B247)-('Business Case'!D11*$C247*'Business Case'!D12*$B247))-'Business Case'!E15*$F247</f>
        <v>530578197.471069</v>
      </c>
      <c r="L247" s="39" t="n">
        <f aca="false">(('Business Case'!F11*$C247*'Business Case'!F12*$B247)-'Business Case'!F11*$C247*'Business Case'!F13*$D247-'Business Case'!F14*$E247)-MAX(0,(('Business Case'!F11*$C247*'Business Case'!F12*$B247)-'Business Case'!F11*$C247*'Business Case'!F13*$D247-'Business Case'!F14*$E247))*'Business Case'!$B$7-'Business Case'!$B$8*(('Business Case'!F11*$C247*'Business Case'!F12*$B247)-('Business Case'!E11*$C247*'Business Case'!E12*$B247))-'Business Case'!F15*$F247</f>
        <v>649733805.372879</v>
      </c>
      <c r="M247" s="39" t="n">
        <f aca="false">(('Business Case'!G11*$C247*'Business Case'!G12*$B247)-'Business Case'!G11*$C247*'Business Case'!G13*$D247-'Business Case'!G14*$E247)-MAX(0,(('Business Case'!G11*$C247*'Business Case'!G12*$B247)-'Business Case'!G11*$C247*'Business Case'!G13*$D247-'Business Case'!G14*$E247))*'Business Case'!$B$7-'Business Case'!$B$8*(('Business Case'!G11*$C247*'Business Case'!G12*$B247)-('Business Case'!F11*$C247*'Business Case'!F12*$B247))-'Business Case'!G15*$F247+'Business Case'!$B$8*('Business Case'!G11*$C247*'Business Case'!G12*$B247)</f>
        <v>826168712.043866</v>
      </c>
      <c r="N247" s="39" t="n">
        <f aca="false">IF(COUNT('Business Case'!B11:G11)=0,"",H247+NPV(G247,I247:M247))</f>
        <v>-770942628.426997</v>
      </c>
      <c r="P247" s="40" t="n">
        <f aca="true">RAND()</f>
        <v>0.341539247808222</v>
      </c>
      <c r="Q247" s="40" t="n">
        <f aca="true">RAND()</f>
        <v>0.32062378319413</v>
      </c>
      <c r="R247" s="40" t="n">
        <f aca="true">RAND()</f>
        <v>0.723334511599606</v>
      </c>
      <c r="S247" s="40" t="n">
        <f aca="true">RAND()</f>
        <v>0.780437436703617</v>
      </c>
      <c r="T247" s="40" t="n">
        <f aca="true">RAND()</f>
        <v>0.914594876165948</v>
      </c>
      <c r="U247" s="40" t="n">
        <f aca="true">RAND()</f>
        <v>0.205708096063437</v>
      </c>
    </row>
    <row r="248" customFormat="false" ht="15" hidden="false" customHeight="false" outlineLevel="0" collapsed="false">
      <c r="A248" s="36" t="n">
        <v>168</v>
      </c>
      <c r="B248" s="37" t="n">
        <f aca="false">1+IF($G$6=$E$6,$F$6,IF(P248&lt;($F$6-$E$6)/($G$6-$E$6),$E$6+SQRT(P248*($G$6-$E$6)*($F$6-$E$6)),$G$6-SQRT((1-P248)*($G$6-$E$6)*($G$6-$F$6))))</f>
        <v>0.992638471210116</v>
      </c>
      <c r="C248" s="37" t="n">
        <f aca="false">1+IF($G$7=$E$7,$F$7,IF(Q248&lt;($F$7-$E$7)/($G$7-$E$7),$E$7+SQRT(Q248*($G$7-$E$7)*($F$7-$E$7)),$G$7-SQRT((1-Q248)*($G$7-$E$7)*($G$7-$F$7))))</f>
        <v>0.964208279470156</v>
      </c>
      <c r="D248" s="37" t="n">
        <f aca="false">1+IF($G$8=$E$8,$F$8,IF(R248&lt;($F$8-$E$8)/($G$8-$E$8),$E$8+SQRT(R248*($G$8-$E$8)*($F$8-$E$8)),$G$8-SQRT((1-R248)*($G$8-$E$8)*($G$8-$F$8))))</f>
        <v>0.99415251046463</v>
      </c>
      <c r="E248" s="37" t="n">
        <f aca="false">1+IF($G$9=$E$9,$F$9,IF(S248&lt;($F$9-$E$9)/($G$9-$E$9),$E$9+SQRT(S248*($G$9-$E$9)*($F$9-$E$9)),$G$9-SQRT((1-S248)*($G$9-$E$9)*($G$9-$F$9))))</f>
        <v>0.982138988266265</v>
      </c>
      <c r="F248" s="37" t="n">
        <f aca="false">1+IF($G$10=$E$10,$F$10,IF(T248&lt;($F$10-$E$10)/($G$10-$E$10),$E$10+SQRT(T248*($G$10-$E$10)*($F$10-$E$10)),$G$10-SQRT((1-T248)*($G$10-$E$10)*($G$10-$F$10))))</f>
        <v>1.06737911795417</v>
      </c>
      <c r="G248" s="38" t="n">
        <f aca="false">IF($G$11=$E$11,$F$11,IF(U248&lt;($F$11-$E$11)/($G$11-$E$11),$E$11+SQRT(U248*($G$11-$E$11)*($F$11-$E$11)),$G$11-SQRT((1-U248)*($G$11-$E$11)*($G$11-$F$11))))</f>
        <v>0.103084505253647</v>
      </c>
      <c r="H248" s="39" t="n">
        <f aca="false">(('Business Case'!B11*$C248*'Business Case'!B12*$B248)-'Business Case'!B11*$C248*'Business Case'!B13*$D248-'Business Case'!B14*$E248)-MAX(0,(('Business Case'!B11*$C248*'Business Case'!B12*$B248)-'Business Case'!B11*$C248*'Business Case'!B13*$D248-'Business Case'!B14*$E248))*'Business Case'!$B$7-'Business Case'!$B$8*('Business Case'!B11*$C248*'Business Case'!B12*$B248)-'Business Case'!B15*$F248</f>
        <v>-2134758235.90833</v>
      </c>
      <c r="I248" s="39" t="n">
        <f aca="false">(('Business Case'!C11*$C248*'Business Case'!C12*$B248)-'Business Case'!C11*$C248*'Business Case'!C13*$D248-'Business Case'!C14*$E248)-MAX(0,(('Business Case'!C11*$C248*'Business Case'!C12*$B248)-'Business Case'!C11*$C248*'Business Case'!C13*$D248-'Business Case'!C14*$E248))*'Business Case'!$B$7-'Business Case'!$B$8*(('Business Case'!C11*$C248*'Business Case'!C12*$B248)-('Business Case'!B11*$C248*'Business Case'!B12*$B248))-'Business Case'!C15*$F248</f>
        <v>-2783674.25130022</v>
      </c>
      <c r="J248" s="39" t="n">
        <f aca="false">(('Business Case'!D11*$C248*'Business Case'!D12*$B248)-'Business Case'!D11*$C248*'Business Case'!D13*$D248-'Business Case'!D14*$E248)-MAX(0,(('Business Case'!D11*$C248*'Business Case'!D12*$B248)-'Business Case'!D11*$C248*'Business Case'!D13*$D248-'Business Case'!D14*$E248))*'Business Case'!$B$7-'Business Case'!$B$8*(('Business Case'!D11*$C248*'Business Case'!D12*$B248)-('Business Case'!C11*$C248*'Business Case'!C12*$B248))-'Business Case'!D15*$F248</f>
        <v>290447321.875078</v>
      </c>
      <c r="K248" s="39" t="n">
        <f aca="false">(('Business Case'!E11*$C248*'Business Case'!E12*$B248)-'Business Case'!E11*$C248*'Business Case'!E13*$D248-'Business Case'!E14*$E248)-MAX(0,(('Business Case'!E11*$C248*'Business Case'!E12*$B248)-'Business Case'!E11*$C248*'Business Case'!E13*$D248-'Business Case'!E14*$E248))*'Business Case'!$B$7-'Business Case'!$B$8*(('Business Case'!E11*$C248*'Business Case'!E12*$B248)-('Business Case'!D11*$C248*'Business Case'!D12*$B248))-'Business Case'!E15*$F248</f>
        <v>637047273.899164</v>
      </c>
      <c r="L248" s="39" t="n">
        <f aca="false">(('Business Case'!F11*$C248*'Business Case'!F12*$B248)-'Business Case'!F11*$C248*'Business Case'!F13*$D248-'Business Case'!F14*$E248)-MAX(0,(('Business Case'!F11*$C248*'Business Case'!F12*$B248)-'Business Case'!F11*$C248*'Business Case'!F13*$D248-'Business Case'!F14*$E248))*'Business Case'!$B$7-'Business Case'!$B$8*(('Business Case'!F11*$C248*'Business Case'!F12*$B248)-('Business Case'!E11*$C248*'Business Case'!E12*$B248))-'Business Case'!F15*$F248</f>
        <v>767868668.908489</v>
      </c>
      <c r="M248" s="39" t="n">
        <f aca="false">(('Business Case'!G11*$C248*'Business Case'!G12*$B248)-'Business Case'!G11*$C248*'Business Case'!G13*$D248-'Business Case'!G14*$E248)-MAX(0,(('Business Case'!G11*$C248*'Business Case'!G12*$B248)-'Business Case'!G11*$C248*'Business Case'!G13*$D248-'Business Case'!G14*$E248))*'Business Case'!$B$7-'Business Case'!$B$8*(('Business Case'!G11*$C248*'Business Case'!G12*$B248)-('Business Case'!F11*$C248*'Business Case'!F12*$B248))-'Business Case'!G15*$F248+'Business Case'!$B$8*('Business Case'!G11*$C248*'Business Case'!G12*$B248)</f>
        <v>949796181.89475</v>
      </c>
      <c r="N248" s="39" t="n">
        <f aca="false">IF(COUNT('Business Case'!B11:G11)=0,"",H248+NPV(G248,I248:M248))</f>
        <v>-323791708.292157</v>
      </c>
      <c r="P248" s="40" t="n">
        <f aca="true">RAND()</f>
        <v>0.549619531223215</v>
      </c>
      <c r="Q248" s="40" t="n">
        <f aca="true">RAND()</f>
        <v>0.385205129236412</v>
      </c>
      <c r="R248" s="40" t="n">
        <f aca="true">RAND()</f>
        <v>0.299914489281428</v>
      </c>
      <c r="S248" s="40" t="n">
        <f aca="true">RAND()</f>
        <v>0.137721942237215</v>
      </c>
      <c r="T248" s="40" t="n">
        <f aca="true">RAND()</f>
        <v>0.6482340329077</v>
      </c>
      <c r="U248" s="40" t="n">
        <f aca="true">RAND()</f>
        <v>0.523110062476864</v>
      </c>
    </row>
    <row r="249" customFormat="false" ht="15" hidden="false" customHeight="false" outlineLevel="0" collapsed="false">
      <c r="A249" s="36" t="n">
        <v>169</v>
      </c>
      <c r="B249" s="37" t="n">
        <f aca="false">1+IF($G$6=$E$6,$F$6,IF(P249&lt;($F$6-$E$6)/($G$6-$E$6),$E$6+SQRT(P249*($G$6-$E$6)*($F$6-$E$6)),$G$6-SQRT((1-P249)*($G$6-$E$6)*($G$6-$F$6))))</f>
        <v>0.976601292214381</v>
      </c>
      <c r="C249" s="37" t="n">
        <f aca="false">1+IF($G$7=$E$7,$F$7,IF(Q249&lt;($F$7-$E$7)/($G$7-$E$7),$E$7+SQRT(Q249*($G$7-$E$7)*($F$7-$E$7)),$G$7-SQRT((1-Q249)*($G$7-$E$7)*($G$7-$F$7))))</f>
        <v>0.990470640551427</v>
      </c>
      <c r="D249" s="37" t="n">
        <f aca="false">1+IF($G$8=$E$8,$F$8,IF(R249&lt;($F$8-$E$8)/($G$8-$E$8),$E$8+SQRT(R249*($G$8-$E$8)*($F$8-$E$8)),$G$8-SQRT((1-R249)*($G$8-$E$8)*($G$8-$F$8))))</f>
        <v>1.00614580368004</v>
      </c>
      <c r="E249" s="37" t="n">
        <f aca="false">1+IF($G$9=$E$9,$F$9,IF(S249&lt;($F$9-$E$9)/($G$9-$E$9),$E$9+SQRT(S249*($G$9-$E$9)*($F$9-$E$9)),$G$9-SQRT((1-S249)*($G$9-$E$9)*($G$9-$F$9))))</f>
        <v>1.06013704217664</v>
      </c>
      <c r="F249" s="37" t="n">
        <f aca="false">1+IF($G$10=$E$10,$F$10,IF(T249&lt;($F$10-$E$10)/($G$10-$E$10),$E$10+SQRT(T249*($G$10-$E$10)*($F$10-$E$10)),$G$10-SQRT((1-T249)*($G$10-$E$10)*($G$10-$F$10))))</f>
        <v>1.10092381486545</v>
      </c>
      <c r="G249" s="38" t="n">
        <f aca="false">IF($G$11=$E$11,$F$11,IF(U249&lt;($F$11-$E$11)/($G$11-$E$11),$E$11+SQRT(U249*($G$11-$E$11)*($F$11-$E$11)),$G$11-SQRT((1-U249)*($G$11-$E$11)*($G$11-$F$11))))</f>
        <v>0.0943014239590658</v>
      </c>
      <c r="H249" s="39" t="n">
        <f aca="false">(('Business Case'!B11*$C249*'Business Case'!B12*$B249)-'Business Case'!B11*$C249*'Business Case'!B13*$D249-'Business Case'!B14*$E249)-MAX(0,(('Business Case'!B11*$C249*'Business Case'!B12*$B249)-'Business Case'!B11*$C249*'Business Case'!B13*$D249-'Business Case'!B14*$E249))*'Business Case'!$B$7-'Business Case'!$B$8*('Business Case'!B11*$C249*'Business Case'!B12*$B249)-'Business Case'!B15*$F249</f>
        <v>-2201847629.7309</v>
      </c>
      <c r="I249" s="39" t="n">
        <f aca="false">(('Business Case'!C11*$C249*'Business Case'!C12*$B249)-'Business Case'!C11*$C249*'Business Case'!C13*$D249-'Business Case'!C14*$E249)-MAX(0,(('Business Case'!C11*$C249*'Business Case'!C12*$B249)-'Business Case'!C11*$C249*'Business Case'!C13*$D249-'Business Case'!C14*$E249))*'Business Case'!$B$7-'Business Case'!$B$8*(('Business Case'!C11*$C249*'Business Case'!C12*$B249)-('Business Case'!B11*$C249*'Business Case'!B12*$B249))-'Business Case'!C15*$F249</f>
        <v>-28862171.6846285</v>
      </c>
      <c r="J249" s="39" t="n">
        <f aca="false">(('Business Case'!D11*$C249*'Business Case'!D12*$B249)-'Business Case'!D11*$C249*'Business Case'!D13*$D249-'Business Case'!D14*$E249)-MAX(0,(('Business Case'!D11*$C249*'Business Case'!D12*$B249)-'Business Case'!D11*$C249*'Business Case'!D13*$D249-'Business Case'!D14*$E249))*'Business Case'!$B$7-'Business Case'!$B$8*(('Business Case'!D11*$C249*'Business Case'!D12*$B249)-('Business Case'!C11*$C249*'Business Case'!C12*$B249))-'Business Case'!D15*$F249</f>
        <v>253264093.517684</v>
      </c>
      <c r="K249" s="39" t="n">
        <f aca="false">(('Business Case'!E11*$C249*'Business Case'!E12*$B249)-'Business Case'!E11*$C249*'Business Case'!E13*$D249-'Business Case'!E14*$E249)-MAX(0,(('Business Case'!E11*$C249*'Business Case'!E12*$B249)-'Business Case'!E11*$C249*'Business Case'!E13*$D249-'Business Case'!E14*$E249))*'Business Case'!$B$7-'Business Case'!$B$8*(('Business Case'!E11*$C249*'Business Case'!E12*$B249)-('Business Case'!D11*$C249*'Business Case'!D12*$B249))-'Business Case'!E15*$F249</f>
        <v>590436549.463269</v>
      </c>
      <c r="L249" s="39" t="n">
        <f aca="false">(('Business Case'!F11*$C249*'Business Case'!F12*$B249)-'Business Case'!F11*$C249*'Business Case'!F13*$D249-'Business Case'!F14*$E249)-MAX(0,(('Business Case'!F11*$C249*'Business Case'!F12*$B249)-'Business Case'!F11*$C249*'Business Case'!F13*$D249-'Business Case'!F14*$E249))*'Business Case'!$B$7-'Business Case'!$B$8*(('Business Case'!F11*$C249*'Business Case'!F12*$B249)-('Business Case'!E11*$C249*'Business Case'!E12*$B249))-'Business Case'!F15*$F249</f>
        <v>717908349.865959</v>
      </c>
      <c r="M249" s="39" t="n">
        <f aca="false">(('Business Case'!G11*$C249*'Business Case'!G12*$B249)-'Business Case'!G11*$C249*'Business Case'!G13*$D249-'Business Case'!G14*$E249)-MAX(0,(('Business Case'!G11*$C249*'Business Case'!G12*$B249)-'Business Case'!G11*$C249*'Business Case'!G13*$D249-'Business Case'!G14*$E249))*'Business Case'!$B$7-'Business Case'!$B$8*(('Business Case'!G11*$C249*'Business Case'!G12*$B249)-('Business Case'!F11*$C249*'Business Case'!F12*$B249))-'Business Case'!G15*$F249+'Business Case'!$B$8*('Business Case'!G11*$C249*'Business Case'!G12*$B249)</f>
        <v>901771765.876512</v>
      </c>
      <c r="N249" s="39" t="n">
        <f aca="false">IF(COUNT('Business Case'!B11:G11)=0,"",H249+NPV(G249,I249:M249))</f>
        <v>-490861687.651708</v>
      </c>
      <c r="P249" s="40" t="n">
        <f aca="true">RAND()</f>
        <v>0.333719404201849</v>
      </c>
      <c r="Q249" s="40" t="n">
        <f aca="true">RAND()</f>
        <v>0.518272355886726</v>
      </c>
      <c r="R249" s="40" t="n">
        <f aca="true">RAND()</f>
        <v>0.47553439287809</v>
      </c>
      <c r="S249" s="40" t="n">
        <f aca="true">RAND()</f>
        <v>0.894062972904851</v>
      </c>
      <c r="T249" s="40" t="n">
        <f aca="true">RAND()</f>
        <v>0.803678190783689</v>
      </c>
      <c r="U249" s="40" t="n">
        <f aca="true">RAND()</f>
        <v>0.0616741602520841</v>
      </c>
    </row>
    <row r="250" customFormat="false" ht="15" hidden="false" customHeight="false" outlineLevel="0" collapsed="false">
      <c r="A250" s="36" t="n">
        <v>170</v>
      </c>
      <c r="B250" s="37" t="n">
        <f aca="false">1+IF($G$6=$E$6,$F$6,IF(P250&lt;($F$6-$E$6)/($G$6-$E$6),$E$6+SQRT(P250*($G$6-$E$6)*($F$6-$E$6)),$G$6-SQRT((1-P250)*($G$6-$E$6)*($G$6-$F$6))))</f>
        <v>0.970502111539448</v>
      </c>
      <c r="C250" s="37" t="n">
        <f aca="false">1+IF($G$7=$E$7,$F$7,IF(Q250&lt;($F$7-$E$7)/($G$7-$E$7),$E$7+SQRT(Q250*($G$7-$E$7)*($F$7-$E$7)),$G$7-SQRT((1-Q250)*($G$7-$E$7)*($G$7-$F$7))))</f>
        <v>0.8585045161863</v>
      </c>
      <c r="D250" s="37" t="n">
        <f aca="false">1+IF($G$8=$E$8,$F$8,IF(R250&lt;($F$8-$E$8)/($G$8-$E$8),$E$8+SQRT(R250*($G$8-$E$8)*($F$8-$E$8)),$G$8-SQRT((1-R250)*($G$8-$E$8)*($G$8-$F$8))))</f>
        <v>0.974283616315817</v>
      </c>
      <c r="E250" s="37" t="n">
        <f aca="false">1+IF($G$9=$E$9,$F$9,IF(S250&lt;($F$9-$E$9)/($G$9-$E$9),$E$9+SQRT(S250*($G$9-$E$9)*($F$9-$E$9)),$G$9-SQRT((1-S250)*($G$9-$E$9)*($G$9-$F$9))))</f>
        <v>1.03367071726623</v>
      </c>
      <c r="F250" s="37" t="n">
        <f aca="false">1+IF($G$10=$E$10,$F$10,IF(T250&lt;($F$10-$E$10)/($G$10-$E$10),$E$10+SQRT(T250*($G$10-$E$10)*($F$10-$E$10)),$G$10-SQRT((1-T250)*($G$10-$E$10)*($G$10-$F$10))))</f>
        <v>1.04529229688494</v>
      </c>
      <c r="G250" s="38" t="n">
        <f aca="false">IF($G$11=$E$11,$F$11,IF(U250&lt;($F$11-$E$11)/($G$11-$E$11),$E$11+SQRT(U250*($G$11-$E$11)*($F$11-$E$11)),$G$11-SQRT((1-U250)*($G$11-$E$11)*($G$11-$F$11))))</f>
        <v>0.100822098773743</v>
      </c>
      <c r="H250" s="39" t="n">
        <f aca="false">(('Business Case'!B11*$C250*'Business Case'!B12*$B250)-'Business Case'!B11*$C250*'Business Case'!B13*$D250-'Business Case'!B14*$E250)-MAX(0,(('Business Case'!B11*$C250*'Business Case'!B12*$B250)-'Business Case'!B11*$C250*'Business Case'!B13*$D250-'Business Case'!B14*$E250))*'Business Case'!$B$7-'Business Case'!$B$8*('Business Case'!B11*$C250*'Business Case'!B12*$B250)-'Business Case'!B15*$F250</f>
        <v>-2090584593.76989</v>
      </c>
      <c r="I250" s="39" t="n">
        <f aca="false">(('Business Case'!C11*$C250*'Business Case'!C12*$B250)-'Business Case'!C11*$C250*'Business Case'!C13*$D250-'Business Case'!C14*$E250)-MAX(0,(('Business Case'!C11*$C250*'Business Case'!C12*$B250)-'Business Case'!C11*$C250*'Business Case'!C13*$D250-'Business Case'!C14*$E250))*'Business Case'!$B$7-'Business Case'!$B$8*(('Business Case'!C11*$C250*'Business Case'!C12*$B250)-('Business Case'!B11*$C250*'Business Case'!B12*$B250))-'Business Case'!C15*$F250</f>
        <v>-40458156.7410964</v>
      </c>
      <c r="J250" s="39" t="n">
        <f aca="false">(('Business Case'!D11*$C250*'Business Case'!D12*$B250)-'Business Case'!D11*$C250*'Business Case'!D13*$D250-'Business Case'!D14*$E250)-MAX(0,(('Business Case'!D11*$C250*'Business Case'!D12*$B250)-'Business Case'!D11*$C250*'Business Case'!D13*$D250-'Business Case'!D14*$E250))*'Business Case'!$B$7-'Business Case'!$B$8*(('Business Case'!D11*$C250*'Business Case'!D12*$B250)-('Business Case'!C11*$C250*'Business Case'!C12*$B250))-'Business Case'!D15*$F250</f>
        <v>213792966.507941</v>
      </c>
      <c r="K250" s="39" t="n">
        <f aca="false">(('Business Case'!E11*$C250*'Business Case'!E12*$B250)-'Business Case'!E11*$C250*'Business Case'!E13*$D250-'Business Case'!E14*$E250)-MAX(0,(('Business Case'!E11*$C250*'Business Case'!E12*$B250)-'Business Case'!E11*$C250*'Business Case'!E13*$D250-'Business Case'!E14*$E250))*'Business Case'!$B$7-'Business Case'!$B$8*(('Business Case'!E11*$C250*'Business Case'!E12*$B250)-('Business Case'!D11*$C250*'Business Case'!D12*$B250))-'Business Case'!E15*$F250</f>
        <v>520308704.601226</v>
      </c>
      <c r="L250" s="39" t="n">
        <f aca="false">(('Business Case'!F11*$C250*'Business Case'!F12*$B250)-'Business Case'!F11*$C250*'Business Case'!F13*$D250-'Business Case'!F14*$E250)-MAX(0,(('Business Case'!F11*$C250*'Business Case'!F12*$B250)-'Business Case'!F11*$C250*'Business Case'!F13*$D250-'Business Case'!F14*$E250))*'Business Case'!$B$7-'Business Case'!$B$8*(('Business Case'!F11*$C250*'Business Case'!F12*$B250)-('Business Case'!E11*$C250*'Business Case'!E12*$B250))-'Business Case'!F15*$F250</f>
        <v>633853795.221827</v>
      </c>
      <c r="M250" s="39" t="n">
        <f aca="false">(('Business Case'!G11*$C250*'Business Case'!G12*$B250)-'Business Case'!G11*$C250*'Business Case'!G13*$D250-'Business Case'!G14*$E250)-MAX(0,(('Business Case'!G11*$C250*'Business Case'!G12*$B250)-'Business Case'!G11*$C250*'Business Case'!G13*$D250-'Business Case'!G14*$E250))*'Business Case'!$B$7-'Business Case'!$B$8*(('Business Case'!G11*$C250*'Business Case'!G12*$B250)-('Business Case'!F11*$C250*'Business Case'!F12*$B250))-'Business Case'!G15*$F250+'Business Case'!$B$8*('Business Case'!G11*$C250*'Business Case'!G12*$B250)</f>
        <v>792224734.345227</v>
      </c>
      <c r="N250" s="39" t="n">
        <f aca="false">IF(COUNT('Business Case'!B11:G11)=0,"",H250+NPV(G250,I250:M250))</f>
        <v>-639158166.714593</v>
      </c>
      <c r="P250" s="40" t="n">
        <f aca="true">RAND()</f>
        <v>0.265673257285712</v>
      </c>
      <c r="Q250" s="40" t="n">
        <f aca="true">RAND()</f>
        <v>0.048896834488472</v>
      </c>
      <c r="R250" s="40" t="n">
        <f aca="true">RAND()</f>
        <v>0.0907221571344317</v>
      </c>
      <c r="S250" s="40" t="n">
        <f aca="true">RAND()</f>
        <v>0.706695083468241</v>
      </c>
      <c r="T250" s="40" t="n">
        <f aca="true">RAND()</f>
        <v>0.521310531937275</v>
      </c>
      <c r="U250" s="40" t="n">
        <f aca="true">RAND()</f>
        <v>0.387013507593199</v>
      </c>
    </row>
    <row r="251" customFormat="false" ht="15" hidden="false" customHeight="false" outlineLevel="0" collapsed="false">
      <c r="A251" s="36" t="n">
        <v>171</v>
      </c>
      <c r="B251" s="37" t="n">
        <f aca="false">1+IF($G$6=$E$6,$F$6,IF(P251&lt;($F$6-$E$6)/($G$6-$E$6),$E$6+SQRT(P251*($G$6-$E$6)*($F$6-$E$6)),$G$6-SQRT((1-P251)*($G$6-$E$6)*($G$6-$F$6))))</f>
        <v>0.961789059662619</v>
      </c>
      <c r="C251" s="37" t="n">
        <f aca="false">1+IF($G$7=$E$7,$F$7,IF(Q251&lt;($F$7-$E$7)/($G$7-$E$7),$E$7+SQRT(Q251*($G$7-$E$7)*($F$7-$E$7)),$G$7-SQRT((1-Q251)*($G$7-$E$7)*($G$7-$F$7))))</f>
        <v>0.942940803250772</v>
      </c>
      <c r="D251" s="37" t="n">
        <f aca="false">1+IF($G$8=$E$8,$F$8,IF(R251&lt;($F$8-$E$8)/($G$8-$E$8),$E$8+SQRT(R251*($G$8-$E$8)*($F$8-$E$8)),$G$8-SQRT((1-R251)*($G$8-$E$8)*($G$8-$F$8))))</f>
        <v>1.01478160025336</v>
      </c>
      <c r="E251" s="37" t="n">
        <f aca="false">1+IF($G$9=$E$9,$F$9,IF(S251&lt;($F$9-$E$9)/($G$9-$E$9),$E$9+SQRT(S251*($G$9-$E$9)*($F$9-$E$9)),$G$9-SQRT((1-S251)*($G$9-$E$9)*($G$9-$F$9))))</f>
        <v>1.0354949068437</v>
      </c>
      <c r="F251" s="37" t="n">
        <f aca="false">1+IF($G$10=$E$10,$F$10,IF(T251&lt;($F$10-$E$10)/($G$10-$E$10),$E$10+SQRT(T251*($G$10-$E$10)*($F$10-$E$10)),$G$10-SQRT((1-T251)*($G$10-$E$10)*($G$10-$F$10))))</f>
        <v>0.996774794097911</v>
      </c>
      <c r="G251" s="38" t="n">
        <f aca="false">IF($G$11=$E$11,$F$11,IF(U251&lt;($F$11-$E$11)/($G$11-$E$11),$E$11+SQRT(U251*($G$11-$E$11)*($F$11-$E$11)),$G$11-SQRT((1-U251)*($G$11-$E$11)*($G$11-$F$11))))</f>
        <v>0.106154791417069</v>
      </c>
      <c r="H251" s="39" t="n">
        <f aca="false">(('Business Case'!B11*$C251*'Business Case'!B12*$B251)-'Business Case'!B11*$C251*'Business Case'!B13*$D251-'Business Case'!B14*$E251)-MAX(0,(('Business Case'!B11*$C251*'Business Case'!B12*$B251)-'Business Case'!B11*$C251*'Business Case'!B13*$D251-'Business Case'!B14*$E251))*'Business Case'!$B$7-'Business Case'!$B$8*('Business Case'!B11*$C251*'Business Case'!B12*$B251)-'Business Case'!B15*$F251</f>
        <v>-1993549588.19582</v>
      </c>
      <c r="I251" s="39" t="n">
        <f aca="false">(('Business Case'!C11*$C251*'Business Case'!C12*$B251)-'Business Case'!C11*$C251*'Business Case'!C13*$D251-'Business Case'!C14*$E251)-MAX(0,(('Business Case'!C11*$C251*'Business Case'!C12*$B251)-'Business Case'!C11*$C251*'Business Case'!C13*$D251-'Business Case'!C14*$E251))*'Business Case'!$B$7-'Business Case'!$B$8*(('Business Case'!C11*$C251*'Business Case'!C12*$B251)-('Business Case'!B11*$C251*'Business Case'!B12*$B251))-'Business Case'!C15*$F251</f>
        <v>-40959854.1698955</v>
      </c>
      <c r="J251" s="39" t="n">
        <f aca="false">(('Business Case'!D11*$C251*'Business Case'!D12*$B251)-'Business Case'!D11*$C251*'Business Case'!D13*$D251-'Business Case'!D14*$E251)-MAX(0,(('Business Case'!D11*$C251*'Business Case'!D12*$B251)-'Business Case'!D11*$C251*'Business Case'!D13*$D251-'Business Case'!D14*$E251))*'Business Case'!$B$7-'Business Case'!$B$8*(('Business Case'!D11*$C251*'Business Case'!D12*$B251)-('Business Case'!C11*$C251*'Business Case'!C12*$B251))-'Business Case'!D15*$F251</f>
        <v>212019368.920174</v>
      </c>
      <c r="K251" s="39" t="n">
        <f aca="false">(('Business Case'!E11*$C251*'Business Case'!E12*$B251)-'Business Case'!E11*$C251*'Business Case'!E13*$D251-'Business Case'!E14*$E251)-MAX(0,(('Business Case'!E11*$C251*'Business Case'!E12*$B251)-'Business Case'!E11*$C251*'Business Case'!E13*$D251-'Business Case'!E14*$E251))*'Business Case'!$B$7-'Business Case'!$B$8*(('Business Case'!E11*$C251*'Business Case'!E12*$B251)-('Business Case'!D11*$C251*'Business Case'!D12*$B251))-'Business Case'!E15*$F251</f>
        <v>514837331.715139</v>
      </c>
      <c r="L251" s="39" t="n">
        <f aca="false">(('Business Case'!F11*$C251*'Business Case'!F12*$B251)-'Business Case'!F11*$C251*'Business Case'!F13*$D251-'Business Case'!F14*$E251)-MAX(0,(('Business Case'!F11*$C251*'Business Case'!F12*$B251)-'Business Case'!F11*$C251*'Business Case'!F13*$D251-'Business Case'!F14*$E251))*'Business Case'!$B$7-'Business Case'!$B$8*(('Business Case'!F11*$C251*'Business Case'!F12*$B251)-('Business Case'!E11*$C251*'Business Case'!E12*$B251))-'Business Case'!F15*$F251</f>
        <v>630506554.143162</v>
      </c>
      <c r="M251" s="39" t="n">
        <f aca="false">(('Business Case'!G11*$C251*'Business Case'!G12*$B251)-'Business Case'!G11*$C251*'Business Case'!G13*$D251-'Business Case'!G14*$E251)-MAX(0,(('Business Case'!G11*$C251*'Business Case'!G12*$B251)-'Business Case'!G11*$C251*'Business Case'!G13*$D251-'Business Case'!G14*$E251))*'Business Case'!$B$7-'Business Case'!$B$8*(('Business Case'!G11*$C251*'Business Case'!G12*$B251)-('Business Case'!F11*$C251*'Business Case'!F12*$B251))-'Business Case'!G15*$F251+'Business Case'!$B$8*('Business Case'!G11*$C251*'Business Case'!G12*$B251)</f>
        <v>802892035.165494</v>
      </c>
      <c r="N251" s="39" t="n">
        <f aca="false">IF(COUNT('Business Case'!B11:G11)=0,"",H251+NPV(G251,I251:M251))</f>
        <v>-570960176.922583</v>
      </c>
      <c r="P251" s="40" t="n">
        <f aca="true">RAND()</f>
        <v>0.18190890702978</v>
      </c>
      <c r="Q251" s="40" t="n">
        <f aca="true">RAND()</f>
        <v>0.291886760485369</v>
      </c>
      <c r="R251" s="40" t="n">
        <f aca="true">RAND()</f>
        <v>0.59101541677762</v>
      </c>
      <c r="S251" s="40" t="n">
        <f aca="true">RAND()</f>
        <v>0.722606197126478</v>
      </c>
      <c r="T251" s="40" t="n">
        <f aca="true">RAND()</f>
        <v>0.175030509032157</v>
      </c>
      <c r="U251" s="40" t="n">
        <f aca="true">RAND()</f>
        <v>0.680516998825224</v>
      </c>
    </row>
    <row r="252" customFormat="false" ht="15" hidden="false" customHeight="false" outlineLevel="0" collapsed="false">
      <c r="A252" s="36" t="n">
        <v>172</v>
      </c>
      <c r="B252" s="37" t="n">
        <f aca="false">1+IF($G$6=$E$6,$F$6,IF(P252&lt;($F$6-$E$6)/($G$6-$E$6),$E$6+SQRT(P252*($G$6-$E$6)*($F$6-$E$6)),$G$6-SQRT((1-P252)*($G$6-$E$6)*($G$6-$F$6))))</f>
        <v>0.991399853822026</v>
      </c>
      <c r="C252" s="37" t="n">
        <f aca="false">1+IF($G$7=$E$7,$F$7,IF(Q252&lt;($F$7-$E$7)/($G$7-$E$7),$E$7+SQRT(Q252*($G$7-$E$7)*($F$7-$E$7)),$G$7-SQRT((1-Q252)*($G$7-$E$7)*($G$7-$F$7))))</f>
        <v>1.04401067347241</v>
      </c>
      <c r="D252" s="37" t="n">
        <f aca="false">1+IF($G$8=$E$8,$F$8,IF(R252&lt;($F$8-$E$8)/($G$8-$E$8),$E$8+SQRT(R252*($G$8-$E$8)*($F$8-$E$8)),$G$8-SQRT((1-R252)*($G$8-$E$8)*($G$8-$F$8))))</f>
        <v>1.03625121684499</v>
      </c>
      <c r="E252" s="37" t="n">
        <f aca="false">1+IF($G$9=$E$9,$F$9,IF(S252&lt;($F$9-$E$9)/($G$9-$E$9),$E$9+SQRT(S252*($G$9-$E$9)*($F$9-$E$9)),$G$9-SQRT((1-S252)*($G$9-$E$9)*($G$9-$F$9))))</f>
        <v>1.00615162707305</v>
      </c>
      <c r="F252" s="37" t="n">
        <f aca="false">1+IF($G$10=$E$10,$F$10,IF(T252&lt;($F$10-$E$10)/($G$10-$E$10),$E$10+SQRT(T252*($G$10-$E$10)*($F$10-$E$10)),$G$10-SQRT((1-T252)*($G$10-$E$10)*($G$10-$F$10))))</f>
        <v>0.977972486550722</v>
      </c>
      <c r="G252" s="38" t="n">
        <f aca="false">IF($G$11=$E$11,$F$11,IF(U252&lt;($F$11-$E$11)/($G$11-$E$11),$E$11+SQRT(U252*($G$11-$E$11)*($F$11-$E$11)),$G$11-SQRT((1-U252)*($G$11-$E$11)*($G$11-$F$11))))</f>
        <v>0.0966627204167121</v>
      </c>
      <c r="H252" s="39" t="n">
        <f aca="false">(('Business Case'!B11*$C252*'Business Case'!B12*$B252)-'Business Case'!B11*$C252*'Business Case'!B13*$D252-'Business Case'!B14*$E252)-MAX(0,(('Business Case'!B11*$C252*'Business Case'!B12*$B252)-'Business Case'!B11*$C252*'Business Case'!B13*$D252-'Business Case'!B14*$E252))*'Business Case'!$B$7-'Business Case'!$B$8*('Business Case'!B11*$C252*'Business Case'!B12*$B252)-'Business Case'!B15*$F252</f>
        <v>-1955944973.10144</v>
      </c>
      <c r="I252" s="39" t="n">
        <f aca="false">(('Business Case'!C11*$C252*'Business Case'!C12*$B252)-'Business Case'!C11*$C252*'Business Case'!C13*$D252-'Business Case'!C14*$E252)-MAX(0,(('Business Case'!C11*$C252*'Business Case'!C12*$B252)-'Business Case'!C11*$C252*'Business Case'!C13*$D252-'Business Case'!C14*$E252))*'Business Case'!$B$7-'Business Case'!$B$8*(('Business Case'!C11*$C252*'Business Case'!C12*$B252)-('Business Case'!B11*$C252*'Business Case'!B12*$B252))-'Business Case'!C15*$F252</f>
        <v>-586721.073478594</v>
      </c>
      <c r="J252" s="39" t="n">
        <f aca="false">(('Business Case'!D11*$C252*'Business Case'!D12*$B252)-'Business Case'!D11*$C252*'Business Case'!D13*$D252-'Business Case'!D14*$E252)-MAX(0,(('Business Case'!D11*$C252*'Business Case'!D12*$B252)-'Business Case'!D11*$C252*'Business Case'!D13*$D252-'Business Case'!D14*$E252))*'Business Case'!$B$7-'Business Case'!$B$8*(('Business Case'!D11*$C252*'Business Case'!D12*$B252)-('Business Case'!C11*$C252*'Business Case'!C12*$B252))-'Business Case'!D15*$F252</f>
        <v>293354628.264849</v>
      </c>
      <c r="K252" s="39" t="n">
        <f aca="false">(('Business Case'!E11*$C252*'Business Case'!E12*$B252)-'Business Case'!E11*$C252*'Business Case'!E13*$D252-'Business Case'!E14*$E252)-MAX(0,(('Business Case'!E11*$C252*'Business Case'!E12*$B252)-'Business Case'!E11*$C252*'Business Case'!E13*$D252-'Business Case'!E14*$E252))*'Business Case'!$B$7-'Business Case'!$B$8*(('Business Case'!E11*$C252*'Business Case'!E12*$B252)-('Business Case'!D11*$C252*'Business Case'!D12*$B252))-'Business Case'!E15*$F252</f>
        <v>636194601.930714</v>
      </c>
      <c r="L252" s="39" t="n">
        <f aca="false">(('Business Case'!F11*$C252*'Business Case'!F12*$B252)-'Business Case'!F11*$C252*'Business Case'!F13*$D252-'Business Case'!F14*$E252)-MAX(0,(('Business Case'!F11*$C252*'Business Case'!F12*$B252)-'Business Case'!F11*$C252*'Business Case'!F13*$D252-'Business Case'!F14*$E252))*'Business Case'!$B$7-'Business Case'!$B$8*(('Business Case'!F11*$C252*'Business Case'!F12*$B252)-('Business Case'!E11*$C252*'Business Case'!E12*$B252))-'Business Case'!F15*$F252</f>
        <v>769945758.634787</v>
      </c>
      <c r="M252" s="39" t="n">
        <f aca="false">(('Business Case'!G11*$C252*'Business Case'!G12*$B252)-'Business Case'!G11*$C252*'Business Case'!G13*$D252-'Business Case'!G14*$E252)-MAX(0,(('Business Case'!G11*$C252*'Business Case'!G12*$B252)-'Business Case'!G11*$C252*'Business Case'!G13*$D252-'Business Case'!G14*$E252))*'Business Case'!$B$7-'Business Case'!$B$8*(('Business Case'!G11*$C252*'Business Case'!G12*$B252)-('Business Case'!F11*$C252*'Business Case'!F12*$B252))-'Business Case'!G15*$F252+'Business Case'!$B$8*('Business Case'!G11*$C252*'Business Case'!G12*$B252)</f>
        <v>966684646.720257</v>
      </c>
      <c r="N252" s="39" t="n">
        <f aca="false">IF(COUNT('Business Case'!B11:G11)=0,"",H252+NPV(G252,I252:M252))</f>
        <v>-88463226.4833503</v>
      </c>
      <c r="P252" s="40" t="n">
        <f aca="true">RAND()</f>
        <v>0.531035325604867</v>
      </c>
      <c r="Q252" s="40" t="n">
        <f aca="true">RAND()</f>
        <v>0.786024050709104</v>
      </c>
      <c r="R252" s="40" t="n">
        <f aca="true">RAND()</f>
        <v>0.815965766582263</v>
      </c>
      <c r="S252" s="40" t="n">
        <f aca="true">RAND()</f>
        <v>0.412832193264293</v>
      </c>
      <c r="T252" s="40" t="n">
        <f aca="true">RAND()</f>
        <v>0.0625968003064275</v>
      </c>
      <c r="U252" s="40" t="n">
        <f aca="true">RAND()</f>
        <v>0.147972811170909</v>
      </c>
    </row>
    <row r="253" customFormat="false" ht="15" hidden="false" customHeight="false" outlineLevel="0" collapsed="false">
      <c r="A253" s="36" t="n">
        <v>173</v>
      </c>
      <c r="B253" s="37" t="n">
        <f aca="false">1+IF($G$6=$E$6,$F$6,IF(P253&lt;($F$6-$E$6)/($G$6-$E$6),$E$6+SQRT(P253*($G$6-$E$6)*($F$6-$E$6)),$G$6-SQRT((1-P253)*($G$6-$E$6)*($G$6-$F$6))))</f>
        <v>0.987437588711231</v>
      </c>
      <c r="C253" s="37" t="n">
        <f aca="false">1+IF($G$7=$E$7,$F$7,IF(Q253&lt;($F$7-$E$7)/($G$7-$E$7),$E$7+SQRT(Q253*($G$7-$E$7)*($F$7-$E$7)),$G$7-SQRT((1-Q253)*($G$7-$E$7)*($G$7-$F$7))))</f>
        <v>1.07371986796101</v>
      </c>
      <c r="D253" s="37" t="n">
        <f aca="false">1+IF($G$8=$E$8,$F$8,IF(R253&lt;($F$8-$E$8)/($G$8-$E$8),$E$8+SQRT(R253*($G$8-$E$8)*($F$8-$E$8)),$G$8-SQRT((1-R253)*($G$8-$E$8)*($G$8-$F$8))))</f>
        <v>1.04195648564699</v>
      </c>
      <c r="E253" s="37" t="n">
        <f aca="false">1+IF($G$9=$E$9,$F$9,IF(S253&lt;($F$9-$E$9)/($G$9-$E$9),$E$9+SQRT(S253*($G$9-$E$9)*($F$9-$E$9)),$G$9-SQRT((1-S253)*($G$9-$E$9)*($G$9-$F$9))))</f>
        <v>1.07529081869771</v>
      </c>
      <c r="F253" s="37" t="n">
        <f aca="false">1+IF($G$10=$E$10,$F$10,IF(T253&lt;($F$10-$E$10)/($G$10-$E$10),$E$10+SQRT(T253*($G$10-$E$10)*($F$10-$E$10)),$G$10-SQRT((1-T253)*($G$10-$E$10)*($G$10-$F$10))))</f>
        <v>1.10261269484944</v>
      </c>
      <c r="G253" s="38" t="n">
        <f aca="false">IF($G$11=$E$11,$F$11,IF(U253&lt;($F$11-$E$11)/($G$11-$E$11),$E$11+SQRT(U253*($G$11-$E$11)*($F$11-$E$11)),$G$11-SQRT((1-U253)*($G$11-$E$11)*($G$11-$F$11))))</f>
        <v>0.0990264964503991</v>
      </c>
      <c r="H253" s="39" t="n">
        <f aca="false">(('Business Case'!B11*$C253*'Business Case'!B12*$B253)-'Business Case'!B11*$C253*'Business Case'!B13*$D253-'Business Case'!B14*$E253)-MAX(0,(('Business Case'!B11*$C253*'Business Case'!B12*$B253)-'Business Case'!B11*$C253*'Business Case'!B13*$D253-'Business Case'!B14*$E253))*'Business Case'!$B$7-'Business Case'!$B$8*('Business Case'!B11*$C253*'Business Case'!B12*$B253)-'Business Case'!B15*$F253</f>
        <v>-2205225389.69888</v>
      </c>
      <c r="I253" s="39" t="n">
        <f aca="false">(('Business Case'!C11*$C253*'Business Case'!C12*$B253)-'Business Case'!C11*$C253*'Business Case'!C13*$D253-'Business Case'!C14*$E253)-MAX(0,(('Business Case'!C11*$C253*'Business Case'!C12*$B253)-'Business Case'!C11*$C253*'Business Case'!C13*$D253-'Business Case'!C14*$E253))*'Business Case'!$B$7-'Business Case'!$B$8*(('Business Case'!C11*$C253*'Business Case'!C12*$B253)-('Business Case'!B11*$C253*'Business Case'!B12*$B253))-'Business Case'!C15*$F253</f>
        <v>-22444620.2323418</v>
      </c>
      <c r="J253" s="39" t="n">
        <f aca="false">(('Business Case'!D11*$C253*'Business Case'!D12*$B253)-'Business Case'!D11*$C253*'Business Case'!D13*$D253-'Business Case'!D14*$E253)-MAX(0,(('Business Case'!D11*$C253*'Business Case'!D12*$B253)-'Business Case'!D11*$C253*'Business Case'!D13*$D253-'Business Case'!D14*$E253))*'Business Case'!$B$7-'Business Case'!$B$8*(('Business Case'!D11*$C253*'Business Case'!D12*$B253)-('Business Case'!C11*$C253*'Business Case'!C12*$B253))-'Business Case'!D15*$F253</f>
        <v>273240777.005175</v>
      </c>
      <c r="K253" s="39" t="n">
        <f aca="false">(('Business Case'!E11*$C253*'Business Case'!E12*$B253)-'Business Case'!E11*$C253*'Business Case'!E13*$D253-'Business Case'!E14*$E253)-MAX(0,(('Business Case'!E11*$C253*'Business Case'!E12*$B253)-'Business Case'!E11*$C253*'Business Case'!E13*$D253-'Business Case'!E14*$E253))*'Business Case'!$B$7-'Business Case'!$B$8*(('Business Case'!E11*$C253*'Business Case'!E12*$B253)-('Business Case'!D11*$C253*'Business Case'!D12*$B253))-'Business Case'!E15*$F253</f>
        <v>624056808.985164</v>
      </c>
      <c r="L253" s="39" t="n">
        <f aca="false">(('Business Case'!F11*$C253*'Business Case'!F12*$B253)-'Business Case'!F11*$C253*'Business Case'!F13*$D253-'Business Case'!F14*$E253)-MAX(0,(('Business Case'!F11*$C253*'Business Case'!F12*$B253)-'Business Case'!F11*$C253*'Business Case'!F13*$D253-'Business Case'!F14*$E253))*'Business Case'!$B$7-'Business Case'!$B$8*(('Business Case'!F11*$C253*'Business Case'!F12*$B253)-('Business Case'!E11*$C253*'Business Case'!E12*$B253))-'Business Case'!F15*$F253</f>
        <v>759260203.77507</v>
      </c>
      <c r="M253" s="39" t="n">
        <f aca="false">(('Business Case'!G11*$C253*'Business Case'!G12*$B253)-'Business Case'!G11*$C253*'Business Case'!G13*$D253-'Business Case'!G14*$E253)-MAX(0,(('Business Case'!G11*$C253*'Business Case'!G12*$B253)-'Business Case'!G11*$C253*'Business Case'!G13*$D253-'Business Case'!G14*$E253))*'Business Case'!$B$7-'Business Case'!$B$8*(('Business Case'!G11*$C253*'Business Case'!G12*$B253)-('Business Case'!F11*$C253*'Business Case'!F12*$B253))-'Business Case'!G15*$F253+'Business Case'!$B$8*('Business Case'!G11*$C253*'Business Case'!G12*$B253)</f>
        <v>960788980.184103</v>
      </c>
      <c r="N253" s="39" t="n">
        <f aca="false">IF(COUNT('Business Case'!B11:G11)=0,"",H253+NPV(G253,I253:M253))</f>
        <v>-409672406.919955</v>
      </c>
      <c r="P253" s="40" t="n">
        <f aca="true">RAND()</f>
        <v>0.473732121998452</v>
      </c>
      <c r="Q253" s="40" t="n">
        <f aca="true">RAND()</f>
        <v>0.889168408687878</v>
      </c>
      <c r="R253" s="40" t="n">
        <f aca="true">RAND()</f>
        <v>0.860835674583863</v>
      </c>
      <c r="S253" s="40" t="n">
        <f aca="true">RAND()</f>
        <v>0.95929709062471</v>
      </c>
      <c r="T253" s="40" t="n">
        <f aca="true">RAND()</f>
        <v>0.810314255910233</v>
      </c>
      <c r="U253" s="40" t="n">
        <f aca="true">RAND()</f>
        <v>0.271592127230227</v>
      </c>
    </row>
    <row r="254" customFormat="false" ht="15" hidden="false" customHeight="false" outlineLevel="0" collapsed="false">
      <c r="A254" s="36" t="n">
        <v>174</v>
      </c>
      <c r="B254" s="37" t="n">
        <f aca="false">1+IF($G$6=$E$6,$F$6,IF(P254&lt;($F$6-$E$6)/($G$6-$E$6),$E$6+SQRT(P254*($G$6-$E$6)*($F$6-$E$6)),$G$6-SQRT((1-P254)*($G$6-$E$6)*($G$6-$F$6))))</f>
        <v>0.994340264708241</v>
      </c>
      <c r="C254" s="37" t="n">
        <f aca="false">1+IF($G$7=$E$7,$F$7,IF(Q254&lt;($F$7-$E$7)/($G$7-$E$7),$E$7+SQRT(Q254*($G$7-$E$7)*($F$7-$E$7)),$G$7-SQRT((1-Q254)*($G$7-$E$7)*($G$7-$F$7))))</f>
        <v>0.89267484498948</v>
      </c>
      <c r="D254" s="37" t="n">
        <f aca="false">1+IF($G$8=$E$8,$F$8,IF(R254&lt;($F$8-$E$8)/($G$8-$E$8),$E$8+SQRT(R254*($G$8-$E$8)*($F$8-$E$8)),$G$8-SQRT((1-R254)*($G$8-$E$8)*($G$8-$F$8))))</f>
        <v>1.00298559865493</v>
      </c>
      <c r="E254" s="37" t="n">
        <f aca="false">1+IF($G$9=$E$9,$F$9,IF(S254&lt;($F$9-$E$9)/($G$9-$E$9),$E$9+SQRT(S254*($G$9-$E$9)*($F$9-$E$9)),$G$9-SQRT((1-S254)*($G$9-$E$9)*($G$9-$F$9))))</f>
        <v>1.03621195111666</v>
      </c>
      <c r="F254" s="37" t="n">
        <f aca="false">1+IF($G$10=$E$10,$F$10,IF(T254&lt;($F$10-$E$10)/($G$10-$E$10),$E$10+SQRT(T254*($G$10-$E$10)*($F$10-$E$10)),$G$10-SQRT((1-T254)*($G$10-$E$10)*($G$10-$F$10))))</f>
        <v>0.982777662203774</v>
      </c>
      <c r="G254" s="38" t="n">
        <f aca="false">IF($G$11=$E$11,$F$11,IF(U254&lt;($F$11-$E$11)/($G$11-$E$11),$E$11+SQRT(U254*($G$11-$E$11)*($F$11-$E$11)),$G$11-SQRT((1-U254)*($G$11-$E$11)*($G$11-$F$11))))</f>
        <v>0.0996351963127236</v>
      </c>
      <c r="H254" s="39" t="n">
        <f aca="false">(('Business Case'!B11*$C254*'Business Case'!B12*$B254)-'Business Case'!B11*$C254*'Business Case'!B13*$D254-'Business Case'!B14*$E254)-MAX(0,(('Business Case'!B11*$C254*'Business Case'!B12*$B254)-'Business Case'!B11*$C254*'Business Case'!B13*$D254-'Business Case'!B14*$E254))*'Business Case'!$B$7-'Business Case'!$B$8*('Business Case'!B11*$C254*'Business Case'!B12*$B254)-'Business Case'!B15*$F254</f>
        <v>-1965555324.40755</v>
      </c>
      <c r="I254" s="39" t="n">
        <f aca="false">(('Business Case'!C11*$C254*'Business Case'!C12*$B254)-'Business Case'!C11*$C254*'Business Case'!C13*$D254-'Business Case'!C14*$E254)-MAX(0,(('Business Case'!C11*$C254*'Business Case'!C12*$B254)-'Business Case'!C11*$C254*'Business Case'!C13*$D254-'Business Case'!C14*$E254))*'Business Case'!$B$7-'Business Case'!$B$8*(('Business Case'!C11*$C254*'Business Case'!C12*$B254)-('Business Case'!B11*$C254*'Business Case'!B12*$B254))-'Business Case'!C15*$F254</f>
        <v>-22957147.6498243</v>
      </c>
      <c r="J254" s="39" t="n">
        <f aca="false">(('Business Case'!D11*$C254*'Business Case'!D12*$B254)-'Business Case'!D11*$C254*'Business Case'!D13*$D254-'Business Case'!D14*$E254)-MAX(0,(('Business Case'!D11*$C254*'Business Case'!D12*$B254)-'Business Case'!D11*$C254*'Business Case'!D13*$D254-'Business Case'!D14*$E254))*'Business Case'!$B$7-'Business Case'!$B$8*(('Business Case'!D11*$C254*'Business Case'!D12*$B254)-('Business Case'!C11*$C254*'Business Case'!C12*$B254))-'Business Case'!D15*$F254</f>
        <v>245727162.929443</v>
      </c>
      <c r="K254" s="39" t="n">
        <f aca="false">(('Business Case'!E11*$C254*'Business Case'!E12*$B254)-'Business Case'!E11*$C254*'Business Case'!E13*$D254-'Business Case'!E14*$E254)-MAX(0,(('Business Case'!E11*$C254*'Business Case'!E12*$B254)-'Business Case'!E11*$C254*'Business Case'!E13*$D254-'Business Case'!E14*$E254))*'Business Case'!$B$7-'Business Case'!$B$8*(('Business Case'!E11*$C254*'Business Case'!E12*$B254)-('Business Case'!D11*$C254*'Business Case'!D12*$B254))-'Business Case'!E15*$F254</f>
        <v>563550356.618899</v>
      </c>
      <c r="L254" s="39" t="n">
        <f aca="false">(('Business Case'!F11*$C254*'Business Case'!F12*$B254)-'Business Case'!F11*$C254*'Business Case'!F13*$D254-'Business Case'!F14*$E254)-MAX(0,(('Business Case'!F11*$C254*'Business Case'!F12*$B254)-'Business Case'!F11*$C254*'Business Case'!F13*$D254-'Business Case'!F14*$E254))*'Business Case'!$B$7-'Business Case'!$B$8*(('Business Case'!F11*$C254*'Business Case'!F12*$B254)-('Business Case'!E11*$C254*'Business Case'!E12*$B254))-'Business Case'!F15*$F254</f>
        <v>683788028.518605</v>
      </c>
      <c r="M254" s="39" t="n">
        <f aca="false">(('Business Case'!G11*$C254*'Business Case'!G12*$B254)-'Business Case'!G11*$C254*'Business Case'!G13*$D254-'Business Case'!G14*$E254)-MAX(0,(('Business Case'!G11*$C254*'Business Case'!G12*$B254)-'Business Case'!G11*$C254*'Business Case'!G13*$D254-'Business Case'!G14*$E254))*'Business Case'!$B$7-'Business Case'!$B$8*(('Business Case'!G11*$C254*'Business Case'!G12*$B254)-('Business Case'!F11*$C254*'Business Case'!F12*$B254))-'Business Case'!G15*$F254+'Business Case'!$B$8*('Business Case'!G11*$C254*'Business Case'!G12*$B254)</f>
        <v>852507321.238332</v>
      </c>
      <c r="N254" s="39" t="n">
        <f aca="false">IF(COUNT('Business Case'!B11:G11)=0,"",H254+NPV(G254,I254:M254))</f>
        <v>-361516972.321768</v>
      </c>
      <c r="P254" s="40" t="n">
        <f aca="true">RAND()</f>
        <v>0.575674474676177</v>
      </c>
      <c r="Q254" s="40" t="n">
        <f aca="true">RAND()</f>
        <v>0.122694669911774</v>
      </c>
      <c r="R254" s="40" t="n">
        <f aca="true">RAND()</f>
        <v>0.42969057552509</v>
      </c>
      <c r="S254" s="40" t="n">
        <f aca="true">RAND()</f>
        <v>0.728738987977092</v>
      </c>
      <c r="T254" s="40" t="n">
        <f aca="true">RAND()</f>
        <v>0.0859500111635788</v>
      </c>
      <c r="U254" s="40" t="n">
        <f aca="true">RAND()</f>
        <v>0.30945669328241</v>
      </c>
    </row>
    <row r="255" customFormat="false" ht="15" hidden="false" customHeight="false" outlineLevel="0" collapsed="false">
      <c r="A255" s="36" t="n">
        <v>175</v>
      </c>
      <c r="B255" s="37" t="n">
        <f aca="false">1+IF($G$6=$E$6,$F$6,IF(P255&lt;($F$6-$E$6)/($G$6-$E$6),$E$6+SQRT(P255*($G$6-$E$6)*($F$6-$E$6)),$G$6-SQRT((1-P255)*($G$6-$E$6)*($G$6-$F$6))))</f>
        <v>1.0028397641587</v>
      </c>
      <c r="C255" s="37" t="n">
        <f aca="false">1+IF($G$7=$E$7,$F$7,IF(Q255&lt;($F$7-$E$7)/($G$7-$E$7),$E$7+SQRT(Q255*($G$7-$E$7)*($F$7-$E$7)),$G$7-SQRT((1-Q255)*($G$7-$E$7)*($G$7-$F$7))))</f>
        <v>0.866138885441791</v>
      </c>
      <c r="D255" s="37" t="n">
        <f aca="false">1+IF($G$8=$E$8,$F$8,IF(R255&lt;($F$8-$E$8)/($G$8-$E$8),$E$8+SQRT(R255*($G$8-$E$8)*($F$8-$E$8)),$G$8-SQRT((1-R255)*($G$8-$E$8)*($G$8-$F$8))))</f>
        <v>1.03374089725835</v>
      </c>
      <c r="E255" s="37" t="n">
        <f aca="false">1+IF($G$9=$E$9,$F$9,IF(S255&lt;($F$9-$E$9)/($G$9-$E$9),$E$9+SQRT(S255*($G$9-$E$9)*($F$9-$E$9)),$G$9-SQRT((1-S255)*($G$9-$E$9)*($G$9-$F$9))))</f>
        <v>1.02144144753688</v>
      </c>
      <c r="F255" s="37" t="n">
        <f aca="false">1+IF($G$10=$E$10,$F$10,IF(T255&lt;($F$10-$E$10)/($G$10-$E$10),$E$10+SQRT(T255*($G$10-$E$10)*($F$10-$E$10)),$G$10-SQRT((1-T255)*($G$10-$E$10)*($G$10-$F$10))))</f>
        <v>1.00776081860822</v>
      </c>
      <c r="G255" s="38" t="n">
        <f aca="false">IF($G$11=$E$11,$F$11,IF(U255&lt;($F$11-$E$11)/($G$11-$E$11),$E$11+SQRT(U255*($G$11-$E$11)*($F$11-$E$11)),$G$11-SQRT((1-U255)*($G$11-$E$11)*($G$11-$F$11))))</f>
        <v>0.108122578062729</v>
      </c>
      <c r="H255" s="39" t="n">
        <f aca="false">(('Business Case'!B11*$C255*'Business Case'!B12*$B255)-'Business Case'!B11*$C255*'Business Case'!B13*$D255-'Business Case'!B14*$E255)-MAX(0,(('Business Case'!B11*$C255*'Business Case'!B12*$B255)-'Business Case'!B11*$C255*'Business Case'!B13*$D255-'Business Case'!B14*$E255))*'Business Case'!$B$7-'Business Case'!$B$8*('Business Case'!B11*$C255*'Business Case'!B12*$B255)-'Business Case'!B15*$F255</f>
        <v>-2015521637.21644</v>
      </c>
      <c r="I255" s="39" t="n">
        <f aca="false">(('Business Case'!C11*$C255*'Business Case'!C12*$B255)-'Business Case'!C11*$C255*'Business Case'!C13*$D255-'Business Case'!C14*$E255)-MAX(0,(('Business Case'!C11*$C255*'Business Case'!C12*$B255)-'Business Case'!C11*$C255*'Business Case'!C13*$D255-'Business Case'!C14*$E255))*'Business Case'!$B$7-'Business Case'!$B$8*(('Business Case'!C11*$C255*'Business Case'!C12*$B255)-('Business Case'!B11*$C255*'Business Case'!B12*$B255))-'Business Case'!C15*$F255</f>
        <v>-37962802.8772469</v>
      </c>
      <c r="J255" s="39" t="n">
        <f aca="false">(('Business Case'!D11*$C255*'Business Case'!D12*$B255)-'Business Case'!D11*$C255*'Business Case'!D13*$D255-'Business Case'!D14*$E255)-MAX(0,(('Business Case'!D11*$C255*'Business Case'!D12*$B255)-'Business Case'!D11*$C255*'Business Case'!D13*$D255-'Business Case'!D14*$E255))*'Business Case'!$B$7-'Business Case'!$B$8*(('Business Case'!D11*$C255*'Business Case'!D12*$B255)-('Business Case'!C11*$C255*'Business Case'!C12*$B255))-'Business Case'!D15*$F255</f>
        <v>215127596.995043</v>
      </c>
      <c r="K255" s="39" t="n">
        <f aca="false">(('Business Case'!E11*$C255*'Business Case'!E12*$B255)-'Business Case'!E11*$C255*'Business Case'!E13*$D255-'Business Case'!E14*$E255)-MAX(0,(('Business Case'!E11*$C255*'Business Case'!E12*$B255)-'Business Case'!E11*$C255*'Business Case'!E13*$D255-'Business Case'!E14*$E255))*'Business Case'!$B$7-'Business Case'!$B$8*(('Business Case'!E11*$C255*'Business Case'!E12*$B255)-('Business Case'!D11*$C255*'Business Case'!D12*$B255))-'Business Case'!E15*$F255</f>
        <v>518606037.797743</v>
      </c>
      <c r="L255" s="39" t="n">
        <f aca="false">(('Business Case'!F11*$C255*'Business Case'!F12*$B255)-'Business Case'!F11*$C255*'Business Case'!F13*$D255-'Business Case'!F14*$E255)-MAX(0,(('Business Case'!F11*$C255*'Business Case'!F12*$B255)-'Business Case'!F11*$C255*'Business Case'!F13*$D255-'Business Case'!F14*$E255))*'Business Case'!$B$7-'Business Case'!$B$8*(('Business Case'!F11*$C255*'Business Case'!F12*$B255)-('Business Case'!E11*$C255*'Business Case'!E12*$B255))-'Business Case'!F15*$F255</f>
        <v>632988269.121153</v>
      </c>
      <c r="M255" s="39" t="n">
        <f aca="false">(('Business Case'!G11*$C255*'Business Case'!G12*$B255)-'Business Case'!G11*$C255*'Business Case'!G13*$D255-'Business Case'!G14*$E255)-MAX(0,(('Business Case'!G11*$C255*'Business Case'!G12*$B255)-'Business Case'!G11*$C255*'Business Case'!G13*$D255-'Business Case'!G14*$E255))*'Business Case'!$B$7-'Business Case'!$B$8*(('Business Case'!G11*$C255*'Business Case'!G12*$B255)-('Business Case'!F11*$C255*'Business Case'!F12*$B255))-'Business Case'!G15*$F255+'Business Case'!$B$8*('Business Case'!G11*$C255*'Business Case'!G12*$B255)</f>
        <v>798091474.967375</v>
      </c>
      <c r="N255" s="39" t="n">
        <f aca="false">IF(COUNT('Business Case'!B11:G11)=0,"",H255+NPV(G255,I255:M255))</f>
        <v>-595998684.195218</v>
      </c>
      <c r="P255" s="40" t="n">
        <f aca="true">RAND()</f>
        <v>0.712316015045584</v>
      </c>
      <c r="Q255" s="40" t="n">
        <f aca="true">RAND()</f>
        <v>0.0624907452497485</v>
      </c>
      <c r="R255" s="40" t="n">
        <f aca="true">RAND()</f>
        <v>0.7942399436094</v>
      </c>
      <c r="S255" s="40" t="n">
        <f aca="true">RAND()</f>
        <v>0.588570255659987</v>
      </c>
      <c r="T255" s="40" t="n">
        <f aca="true">RAND()</f>
        <v>0.26088194275638</v>
      </c>
      <c r="U255" s="40" t="n">
        <f aca="true">RAND()</f>
        <v>0.764878080206725</v>
      </c>
    </row>
    <row r="256" customFormat="false" ht="15" hidden="false" customHeight="false" outlineLevel="0" collapsed="false">
      <c r="A256" s="36" t="n">
        <v>176</v>
      </c>
      <c r="B256" s="37" t="n">
        <f aca="false">1+IF($G$6=$E$6,$F$6,IF(P256&lt;($F$6-$E$6)/($G$6-$E$6),$E$6+SQRT(P256*($G$6-$E$6)*($F$6-$E$6)),$G$6-SQRT((1-P256)*($G$6-$E$6)*($G$6-$F$6))))</f>
        <v>0.980880729797367</v>
      </c>
      <c r="C256" s="37" t="n">
        <f aca="false">1+IF($G$7=$E$7,$F$7,IF(Q256&lt;($F$7-$E$7)/($G$7-$E$7),$E$7+SQRT(Q256*($G$7-$E$7)*($F$7-$E$7)),$G$7-SQRT((1-Q256)*($G$7-$E$7)*($G$7-$F$7))))</f>
        <v>0.882262588206597</v>
      </c>
      <c r="D256" s="37" t="n">
        <f aca="false">1+IF($G$8=$E$8,$F$8,IF(R256&lt;($F$8-$E$8)/($G$8-$E$8),$E$8+SQRT(R256*($G$8-$E$8)*($F$8-$E$8)),$G$8-SQRT((1-R256)*($G$8-$E$8)*($G$8-$F$8))))</f>
        <v>1.04995566894784</v>
      </c>
      <c r="E256" s="37" t="n">
        <f aca="false">1+IF($G$9=$E$9,$F$9,IF(S256&lt;($F$9-$E$9)/($G$9-$E$9),$E$9+SQRT(S256*($G$9-$E$9)*($F$9-$E$9)),$G$9-SQRT((1-S256)*($G$9-$E$9)*($G$9-$F$9))))</f>
        <v>0.958302883198121</v>
      </c>
      <c r="F256" s="37" t="n">
        <f aca="false">1+IF($G$10=$E$10,$F$10,IF(T256&lt;($F$10-$E$10)/($G$10-$E$10),$E$10+SQRT(T256*($G$10-$E$10)*($F$10-$E$10)),$G$10-SQRT((1-T256)*($G$10-$E$10)*($G$10-$F$10))))</f>
        <v>0.970951774570149</v>
      </c>
      <c r="G256" s="38" t="n">
        <f aca="false">IF($G$11=$E$11,$F$11,IF(U256&lt;($F$11-$E$11)/($G$11-$E$11),$E$11+SQRT(U256*($G$11-$E$11)*($F$11-$E$11)),$G$11-SQRT((1-U256)*($G$11-$E$11)*($G$11-$F$11))))</f>
        <v>0.104431140287621</v>
      </c>
      <c r="H256" s="39" t="n">
        <f aca="false">(('Business Case'!B11*$C256*'Business Case'!B12*$B256)-'Business Case'!B11*$C256*'Business Case'!B13*$D256-'Business Case'!B14*$E256)-MAX(0,(('Business Case'!B11*$C256*'Business Case'!B12*$B256)-'Business Case'!B11*$C256*'Business Case'!B13*$D256-'Business Case'!B14*$E256))*'Business Case'!$B$7-'Business Case'!$B$8*('Business Case'!B11*$C256*'Business Case'!B12*$B256)-'Business Case'!B15*$F256</f>
        <v>-1941903549.1403</v>
      </c>
      <c r="I256" s="39" t="n">
        <f aca="false">(('Business Case'!C11*$C256*'Business Case'!C12*$B256)-'Business Case'!C11*$C256*'Business Case'!C13*$D256-'Business Case'!C14*$E256)-MAX(0,(('Business Case'!C11*$C256*'Business Case'!C12*$B256)-'Business Case'!C11*$C256*'Business Case'!C13*$D256-'Business Case'!C14*$E256))*'Business Case'!$B$7-'Business Case'!$B$8*(('Business Case'!C11*$C256*'Business Case'!C12*$B256)-('Business Case'!B11*$C256*'Business Case'!B12*$B256))-'Business Case'!C15*$F256</f>
        <v>-43617828.4326248</v>
      </c>
      <c r="J256" s="39" t="n">
        <f aca="false">(('Business Case'!D11*$C256*'Business Case'!D12*$B256)-'Business Case'!D11*$C256*'Business Case'!D13*$D256-'Business Case'!D14*$E256)-MAX(0,(('Business Case'!D11*$C256*'Business Case'!D12*$B256)-'Business Case'!D11*$C256*'Business Case'!D13*$D256-'Business Case'!D14*$E256))*'Business Case'!$B$7-'Business Case'!$B$8*(('Business Case'!D11*$C256*'Business Case'!D12*$B256)-('Business Case'!C11*$C256*'Business Case'!C12*$B256))-'Business Case'!D15*$F256</f>
        <v>190992234.795551</v>
      </c>
      <c r="K256" s="39" t="n">
        <f aca="false">(('Business Case'!E11*$C256*'Business Case'!E12*$B256)-'Business Case'!E11*$C256*'Business Case'!E13*$D256-'Business Case'!E14*$E256)-MAX(0,(('Business Case'!E11*$C256*'Business Case'!E12*$B256)-'Business Case'!E11*$C256*'Business Case'!E13*$D256-'Business Case'!E14*$E256))*'Business Case'!$B$7-'Business Case'!$B$8*(('Business Case'!E11*$C256*'Business Case'!E12*$B256)-('Business Case'!D11*$C256*'Business Case'!D12*$B256))-'Business Case'!E15*$F256</f>
        <v>474149886.752235</v>
      </c>
      <c r="L256" s="39" t="n">
        <f aca="false">(('Business Case'!F11*$C256*'Business Case'!F12*$B256)-'Business Case'!F11*$C256*'Business Case'!F13*$D256-'Business Case'!F14*$E256)-MAX(0,(('Business Case'!F11*$C256*'Business Case'!F12*$B256)-'Business Case'!F11*$C256*'Business Case'!F13*$D256-'Business Case'!F14*$E256))*'Business Case'!$B$7-'Business Case'!$B$8*(('Business Case'!F11*$C256*'Business Case'!F12*$B256)-('Business Case'!E11*$C256*'Business Case'!E12*$B256))-'Business Case'!F15*$F256</f>
        <v>582261270.636969</v>
      </c>
      <c r="M256" s="39" t="n">
        <f aca="false">(('Business Case'!G11*$C256*'Business Case'!G12*$B256)-'Business Case'!G11*$C256*'Business Case'!G13*$D256-'Business Case'!G14*$E256)-MAX(0,(('Business Case'!G11*$C256*'Business Case'!G12*$B256)-'Business Case'!G11*$C256*'Business Case'!G13*$D256-'Business Case'!G14*$E256))*'Business Case'!$B$7-'Business Case'!$B$8*(('Business Case'!G11*$C256*'Business Case'!G12*$B256)-('Business Case'!F11*$C256*'Business Case'!F12*$B256))-'Business Case'!G15*$F256+'Business Case'!$B$8*('Business Case'!G11*$C256*'Business Case'!G12*$B256)</f>
        <v>746755432.75135</v>
      </c>
      <c r="N256" s="39" t="n">
        <f aca="false">IF(COUNT('Business Case'!B11:G11)=0,"",H256+NPV(G256,I256:M256))</f>
        <v>-627053849.156029</v>
      </c>
      <c r="P256" s="40" t="n">
        <f aca="true">RAND()</f>
        <v>0.38608992298542</v>
      </c>
      <c r="Q256" s="40" t="n">
        <f aca="true">RAND()</f>
        <v>0.0966733345492588</v>
      </c>
      <c r="R256" s="40" t="n">
        <f aca="true">RAND()</f>
        <v>0.913205593425772</v>
      </c>
      <c r="S256" s="40" t="n">
        <f aca="true">RAND()</f>
        <v>0.00919171592021895</v>
      </c>
      <c r="T256" s="40" t="n">
        <f aca="true">RAND()</f>
        <v>0.0351181486110662</v>
      </c>
      <c r="U256" s="40" t="n">
        <f aca="true">RAND()</f>
        <v>0.596017678760447</v>
      </c>
    </row>
    <row r="257" customFormat="false" ht="15" hidden="false" customHeight="false" outlineLevel="0" collapsed="false">
      <c r="A257" s="36" t="n">
        <v>177</v>
      </c>
      <c r="B257" s="37" t="n">
        <f aca="false">1+IF($G$6=$E$6,$F$6,IF(P257&lt;($F$6-$E$6)/($G$6-$E$6),$E$6+SQRT(P257*($G$6-$E$6)*($F$6-$E$6)),$G$6-SQRT((1-P257)*($G$6-$E$6)*($G$6-$F$6))))</f>
        <v>1.01120322075023</v>
      </c>
      <c r="C257" s="37" t="n">
        <f aca="false">1+IF($G$7=$E$7,$F$7,IF(Q257&lt;($F$7-$E$7)/($G$7-$E$7),$E$7+SQRT(Q257*($G$7-$E$7)*($F$7-$E$7)),$G$7-SQRT((1-Q257)*($G$7-$E$7)*($G$7-$F$7))))</f>
        <v>0.986320211223984</v>
      </c>
      <c r="D257" s="37" t="n">
        <f aca="false">1+IF($G$8=$E$8,$F$8,IF(R257&lt;($F$8-$E$8)/($G$8-$E$8),$E$8+SQRT(R257*($G$8-$E$8)*($F$8-$E$8)),$G$8-SQRT((1-R257)*($G$8-$E$8)*($G$8-$F$8))))</f>
        <v>0.99688044317269</v>
      </c>
      <c r="E257" s="37" t="n">
        <f aca="false">1+IF($G$9=$E$9,$F$9,IF(S257&lt;($F$9-$E$9)/($G$9-$E$9),$E$9+SQRT(S257*($G$9-$E$9)*($F$9-$E$9)),$G$9-SQRT((1-S257)*($G$9-$E$9)*($G$9-$F$9))))</f>
        <v>1.02829422682027</v>
      </c>
      <c r="F257" s="37" t="n">
        <f aca="false">1+IF($G$10=$E$10,$F$10,IF(T257&lt;($F$10-$E$10)/($G$10-$E$10),$E$10+SQRT(T257*($G$10-$E$10)*($F$10-$E$10)),$G$10-SQRT((1-T257)*($G$10-$E$10)*($G$10-$F$10))))</f>
        <v>1.09286983577109</v>
      </c>
      <c r="G257" s="38" t="n">
        <f aca="false">IF($G$11=$E$11,$F$11,IF(U257&lt;($F$11-$E$11)/($G$11-$E$11),$E$11+SQRT(U257*($G$11-$E$11)*($F$11-$E$11)),$G$11-SQRT((1-U257)*($G$11-$E$11)*($G$11-$F$11))))</f>
        <v>0.118571285093139</v>
      </c>
      <c r="H257" s="39" t="n">
        <f aca="false">(('Business Case'!B11*$C257*'Business Case'!B12*$B257)-'Business Case'!B11*$C257*'Business Case'!B13*$D257-'Business Case'!B14*$E257)-MAX(0,(('Business Case'!B11*$C257*'Business Case'!B12*$B257)-'Business Case'!B11*$C257*'Business Case'!B13*$D257-'Business Case'!B14*$E257))*'Business Case'!$B$7-'Business Case'!$B$8*('Business Case'!B11*$C257*'Business Case'!B12*$B257)-'Business Case'!B15*$F257</f>
        <v>-2185739671.54219</v>
      </c>
      <c r="I257" s="39" t="n">
        <f aca="false">(('Business Case'!C11*$C257*'Business Case'!C12*$B257)-'Business Case'!C11*$C257*'Business Case'!C13*$D257-'Business Case'!C14*$E257)-MAX(0,(('Business Case'!C11*$C257*'Business Case'!C12*$B257)-'Business Case'!C11*$C257*'Business Case'!C13*$D257-'Business Case'!C14*$E257))*'Business Case'!$B$7-'Business Case'!$B$8*(('Business Case'!C11*$C257*'Business Case'!C12*$B257)-('Business Case'!B11*$C257*'Business Case'!B12*$B257))-'Business Case'!C15*$F257</f>
        <v>6361965.80027419</v>
      </c>
      <c r="J257" s="39" t="n">
        <f aca="false">(('Business Case'!D11*$C257*'Business Case'!D12*$B257)-'Business Case'!D11*$C257*'Business Case'!D13*$D257-'Business Case'!D14*$E257)-MAX(0,(('Business Case'!D11*$C257*'Business Case'!D12*$B257)-'Business Case'!D11*$C257*'Business Case'!D13*$D257-'Business Case'!D14*$E257))*'Business Case'!$B$7-'Business Case'!$B$8*(('Business Case'!D11*$C257*'Business Case'!D12*$B257)-('Business Case'!C11*$C257*'Business Case'!C12*$B257))-'Business Case'!D15*$F257</f>
        <v>319938024.066214</v>
      </c>
      <c r="K257" s="39" t="n">
        <f aca="false">(('Business Case'!E11*$C257*'Business Case'!E12*$B257)-'Business Case'!E11*$C257*'Business Case'!E13*$D257-'Business Case'!E14*$E257)-MAX(0,(('Business Case'!E11*$C257*'Business Case'!E12*$B257)-'Business Case'!E11*$C257*'Business Case'!E13*$D257-'Business Case'!E14*$E257))*'Business Case'!$B$7-'Business Case'!$B$8*(('Business Case'!E11*$C257*'Business Case'!E12*$B257)-('Business Case'!D11*$C257*'Business Case'!D12*$B257))-'Business Case'!E15*$F257</f>
        <v>688157574.120709</v>
      </c>
      <c r="L257" s="39" t="n">
        <f aca="false">(('Business Case'!F11*$C257*'Business Case'!F12*$B257)-'Business Case'!F11*$C257*'Business Case'!F13*$D257-'Business Case'!F14*$E257)-MAX(0,(('Business Case'!F11*$C257*'Business Case'!F12*$B257)-'Business Case'!F11*$C257*'Business Case'!F13*$D257-'Business Case'!F14*$E257))*'Business Case'!$B$7-'Business Case'!$B$8*(('Business Case'!F11*$C257*'Business Case'!F12*$B257)-('Business Case'!E11*$C257*'Business Case'!E12*$B257))-'Business Case'!F15*$F257</f>
        <v>827152040.099165</v>
      </c>
      <c r="M257" s="39" t="n">
        <f aca="false">(('Business Case'!G11*$C257*'Business Case'!G12*$B257)-'Business Case'!G11*$C257*'Business Case'!G13*$D257-'Business Case'!G14*$E257)-MAX(0,(('Business Case'!G11*$C257*'Business Case'!G12*$B257)-'Business Case'!G11*$C257*'Business Case'!G13*$D257-'Business Case'!G14*$E257))*'Business Case'!$B$7-'Business Case'!$B$8*(('Business Case'!G11*$C257*'Business Case'!G12*$B257)-('Business Case'!F11*$C257*'Business Case'!F12*$B257))-'Business Case'!G15*$F257+'Business Case'!$B$8*('Business Case'!G11*$C257*'Business Case'!G12*$B257)</f>
        <v>1016732162.82645</v>
      </c>
      <c r="N257" s="39" t="n">
        <f aca="false">IF(COUNT('Business Case'!B11:G11)=0,"",H257+NPV(G257,I257:M257))</f>
        <v>-323675367.364054</v>
      </c>
      <c r="P257" s="40" t="n">
        <f aca="true">RAND()</f>
        <v>0.827238646841656</v>
      </c>
      <c r="Q257" s="40" t="n">
        <f aca="true">RAND()</f>
        <v>0.495931730150715</v>
      </c>
      <c r="R257" s="40" t="n">
        <f aca="true">RAND()</f>
        <v>0.338119377241209</v>
      </c>
      <c r="S257" s="40" t="n">
        <f aca="true">RAND()</f>
        <v>0.657218806179851</v>
      </c>
      <c r="T257" s="40" t="n">
        <f aca="true">RAND()</f>
        <v>0.770462558245748</v>
      </c>
      <c r="U257" s="40" t="n">
        <f aca="true">RAND()</f>
        <v>0.996597956191522</v>
      </c>
    </row>
    <row r="258" customFormat="false" ht="15" hidden="false" customHeight="false" outlineLevel="0" collapsed="false">
      <c r="A258" s="36" t="n">
        <v>178</v>
      </c>
      <c r="B258" s="37" t="n">
        <f aca="false">1+IF($G$6=$E$6,$F$6,IF(P258&lt;($F$6-$E$6)/($G$6-$E$6),$E$6+SQRT(P258*($G$6-$E$6)*($F$6-$E$6)),$G$6-SQRT((1-P258)*($G$6-$E$6)*($G$6-$F$6))))</f>
        <v>0.962043912029656</v>
      </c>
      <c r="C258" s="37" t="n">
        <f aca="false">1+IF($G$7=$E$7,$F$7,IF(Q258&lt;($F$7-$E$7)/($G$7-$E$7),$E$7+SQRT(Q258*($G$7-$E$7)*($F$7-$E$7)),$G$7-SQRT((1-Q258)*($G$7-$E$7)*($G$7-$F$7))))</f>
        <v>0.963470642658416</v>
      </c>
      <c r="D258" s="37" t="n">
        <f aca="false">1+IF($G$8=$E$8,$F$8,IF(R258&lt;($F$8-$E$8)/($G$8-$E$8),$E$8+SQRT(R258*($G$8-$E$8)*($F$8-$E$8)),$G$8-SQRT((1-R258)*($G$8-$E$8)*($G$8-$F$8))))</f>
        <v>0.967729306201232</v>
      </c>
      <c r="E258" s="37" t="n">
        <f aca="false">1+IF($G$9=$E$9,$F$9,IF(S258&lt;($F$9-$E$9)/($G$9-$E$9),$E$9+SQRT(S258*($G$9-$E$9)*($F$9-$E$9)),$G$9-SQRT((1-S258)*($G$9-$E$9)*($G$9-$F$9))))</f>
        <v>1.0091177073558</v>
      </c>
      <c r="F258" s="37" t="n">
        <f aca="false">1+IF($G$10=$E$10,$F$10,IF(T258&lt;($F$10-$E$10)/($G$10-$E$10),$E$10+SQRT(T258*($G$10-$E$10)*($F$10-$E$10)),$G$10-SQRT((1-T258)*($G$10-$E$10)*($G$10-$F$10))))</f>
        <v>1.06498352091078</v>
      </c>
      <c r="G258" s="38" t="n">
        <f aca="false">IF($G$11=$E$11,$F$11,IF(U258&lt;($F$11-$E$11)/($G$11-$E$11),$E$11+SQRT(U258*($G$11-$E$11)*($F$11-$E$11)),$G$11-SQRT((1-U258)*($G$11-$E$11)*($G$11-$F$11))))</f>
        <v>0.109559677367195</v>
      </c>
      <c r="H258" s="39" t="n">
        <f aca="false">(('Business Case'!B11*$C258*'Business Case'!B12*$B258)-'Business Case'!B11*$C258*'Business Case'!B13*$D258-'Business Case'!B14*$E258)-MAX(0,(('Business Case'!B11*$C258*'Business Case'!B12*$B258)-'Business Case'!B11*$C258*'Business Case'!B13*$D258-'Business Case'!B14*$E258))*'Business Case'!$B$7-'Business Case'!$B$8*('Business Case'!B11*$C258*'Business Case'!B12*$B258)-'Business Case'!B15*$F258</f>
        <v>-2129967041.82157</v>
      </c>
      <c r="I258" s="39" t="n">
        <f aca="false">(('Business Case'!C11*$C258*'Business Case'!C12*$B258)-'Business Case'!C11*$C258*'Business Case'!C13*$D258-'Business Case'!C14*$E258)-MAX(0,(('Business Case'!C11*$C258*'Business Case'!C12*$B258)-'Business Case'!C11*$C258*'Business Case'!C13*$D258-'Business Case'!C14*$E258))*'Business Case'!$B$7-'Business Case'!$B$8*(('Business Case'!C11*$C258*'Business Case'!C12*$B258)-('Business Case'!B11*$C258*'Business Case'!B12*$B258))-'Business Case'!C15*$F258</f>
        <v>-16150074.5620833</v>
      </c>
      <c r="J258" s="39" t="n">
        <f aca="false">(('Business Case'!D11*$C258*'Business Case'!D12*$B258)-'Business Case'!D11*$C258*'Business Case'!D13*$D258-'Business Case'!D14*$E258)-MAX(0,(('Business Case'!D11*$C258*'Business Case'!D12*$B258)-'Business Case'!D11*$C258*'Business Case'!D13*$D258-'Business Case'!D14*$E258))*'Business Case'!$B$7-'Business Case'!$B$8*(('Business Case'!D11*$C258*'Business Case'!D12*$B258)-('Business Case'!C11*$C258*'Business Case'!C12*$B258))-'Business Case'!D15*$F258</f>
        <v>265745292.224136</v>
      </c>
      <c r="K258" s="39" t="n">
        <f aca="false">(('Business Case'!E11*$C258*'Business Case'!E12*$B258)-'Business Case'!E11*$C258*'Business Case'!E13*$D258-'Business Case'!E14*$E258)-MAX(0,(('Business Case'!E11*$C258*'Business Case'!E12*$B258)-'Business Case'!E11*$C258*'Business Case'!E13*$D258-'Business Case'!E14*$E258))*'Business Case'!$B$7-'Business Case'!$B$8*(('Business Case'!E11*$C258*'Business Case'!E12*$B258)-('Business Case'!D11*$C258*'Business Case'!D12*$B258))-'Business Case'!E15*$F258</f>
        <v>600889835.055894</v>
      </c>
      <c r="L258" s="39" t="n">
        <f aca="false">(('Business Case'!F11*$C258*'Business Case'!F12*$B258)-'Business Case'!F11*$C258*'Business Case'!F13*$D258-'Business Case'!F14*$E258)-MAX(0,(('Business Case'!F11*$C258*'Business Case'!F12*$B258)-'Business Case'!F11*$C258*'Business Case'!F13*$D258-'Business Case'!F14*$E258))*'Business Case'!$B$7-'Business Case'!$B$8*(('Business Case'!F11*$C258*'Business Case'!F12*$B258)-('Business Case'!E11*$C258*'Business Case'!E12*$B258))-'Business Case'!F15*$F258</f>
        <v>726888658.165453</v>
      </c>
      <c r="M258" s="39" t="n">
        <f aca="false">(('Business Case'!G11*$C258*'Business Case'!G12*$B258)-'Business Case'!G11*$C258*'Business Case'!G13*$D258-'Business Case'!G14*$E258)-MAX(0,(('Business Case'!G11*$C258*'Business Case'!G12*$B258)-'Business Case'!G11*$C258*'Business Case'!G13*$D258-'Business Case'!G14*$E258))*'Business Case'!$B$7-'Business Case'!$B$8*(('Business Case'!G11*$C258*'Business Case'!G12*$B258)-('Business Case'!F11*$C258*'Business Case'!F12*$B258))-'Business Case'!G15*$F258+'Business Case'!$B$8*('Business Case'!G11*$C258*'Business Case'!G12*$B258)</f>
        <v>903074012.826625</v>
      </c>
      <c r="N258" s="39" t="n">
        <f aca="false">IF(COUNT('Business Case'!B11:G11)=0,"",H258+NPV(G258,I258:M258))</f>
        <v>-472198292.6831</v>
      </c>
      <c r="P258" s="40" t="n">
        <f aca="true">RAND()</f>
        <v>0.184134431120568</v>
      </c>
      <c r="Q258" s="40" t="n">
        <f aca="true">RAND()</f>
        <v>0.381752157302224</v>
      </c>
      <c r="R258" s="40" t="n">
        <f aca="true">RAND()</f>
        <v>0.0483581997503168</v>
      </c>
      <c r="S258" s="40" t="n">
        <f aca="true">RAND()</f>
        <v>0.44936059224895</v>
      </c>
      <c r="T258" s="40" t="n">
        <f aca="true">RAND()</f>
        <v>0.635411007487027</v>
      </c>
      <c r="U258" s="40" t="n">
        <f aca="true">RAND()</f>
        <v>0.818332772204915</v>
      </c>
    </row>
    <row r="259" customFormat="false" ht="15" hidden="false" customHeight="false" outlineLevel="0" collapsed="false">
      <c r="A259" s="36" t="n">
        <v>179</v>
      </c>
      <c r="B259" s="37" t="n">
        <f aca="false">1+IF($G$6=$E$6,$F$6,IF(P259&lt;($F$6-$E$6)/($G$6-$E$6),$E$6+SQRT(P259*($G$6-$E$6)*($F$6-$E$6)),$G$6-SQRT((1-P259)*($G$6-$E$6)*($G$6-$F$6))))</f>
        <v>1.00370483153759</v>
      </c>
      <c r="C259" s="37" t="n">
        <f aca="false">1+IF($G$7=$E$7,$F$7,IF(Q259&lt;($F$7-$E$7)/($G$7-$E$7),$E$7+SQRT(Q259*($G$7-$E$7)*($F$7-$E$7)),$G$7-SQRT((1-Q259)*($G$7-$E$7)*($G$7-$F$7))))</f>
        <v>0.927124057788951</v>
      </c>
      <c r="D259" s="37" t="n">
        <f aca="false">1+IF($G$8=$E$8,$F$8,IF(R259&lt;($F$8-$E$8)/($G$8-$E$8),$E$8+SQRT(R259*($G$8-$E$8)*($F$8-$E$8)),$G$8-SQRT((1-R259)*($G$8-$E$8)*($G$8-$F$8))))</f>
        <v>1.06188897569273</v>
      </c>
      <c r="E259" s="37" t="n">
        <f aca="false">1+IF($G$9=$E$9,$F$9,IF(S259&lt;($F$9-$E$9)/($G$9-$E$9),$E$9+SQRT(S259*($G$9-$E$9)*($F$9-$E$9)),$G$9-SQRT((1-S259)*($G$9-$E$9)*($G$9-$F$9))))</f>
        <v>1.0017814255759</v>
      </c>
      <c r="F259" s="37" t="n">
        <f aca="false">1+IF($G$10=$E$10,$F$10,IF(T259&lt;($F$10-$E$10)/($G$10-$E$10),$E$10+SQRT(T259*($G$10-$E$10)*($F$10-$E$10)),$G$10-SQRT((1-T259)*($G$10-$E$10)*($G$10-$F$10))))</f>
        <v>0.983046688901032</v>
      </c>
      <c r="G259" s="38" t="n">
        <f aca="false">IF($G$11=$E$11,$F$11,IF(U259&lt;($F$11-$E$11)/($G$11-$E$11),$E$11+SQRT(U259*($G$11-$E$11)*($F$11-$E$11)),$G$11-SQRT((1-U259)*($G$11-$E$11)*($G$11-$F$11))))</f>
        <v>0.0993048953118923</v>
      </c>
      <c r="H259" s="39" t="n">
        <f aca="false">(('Business Case'!B11*$C259*'Business Case'!B12*$B259)-'Business Case'!B11*$C259*'Business Case'!B13*$D259-'Business Case'!B14*$E259)-MAX(0,(('Business Case'!B11*$C259*'Business Case'!B12*$B259)-'Business Case'!B11*$C259*'Business Case'!B13*$D259-'Business Case'!B14*$E259))*'Business Case'!$B$7-'Business Case'!$B$8*('Business Case'!B11*$C259*'Business Case'!B12*$B259)-'Business Case'!B15*$F259</f>
        <v>-1966093377.80206</v>
      </c>
      <c r="I259" s="39" t="n">
        <f aca="false">(('Business Case'!C11*$C259*'Business Case'!C12*$B259)-'Business Case'!C11*$C259*'Business Case'!C13*$D259-'Business Case'!C14*$E259)-MAX(0,(('Business Case'!C11*$C259*'Business Case'!C12*$B259)-'Business Case'!C11*$C259*'Business Case'!C13*$D259-'Business Case'!C14*$E259))*'Business Case'!$B$7-'Business Case'!$B$8*(('Business Case'!C11*$C259*'Business Case'!C12*$B259)-('Business Case'!B11*$C259*'Business Case'!B12*$B259))-'Business Case'!C15*$F259</f>
        <v>-30790106.1292026</v>
      </c>
      <c r="J259" s="39" t="n">
        <f aca="false">(('Business Case'!D11*$C259*'Business Case'!D12*$B259)-'Business Case'!D11*$C259*'Business Case'!D13*$D259-'Business Case'!D14*$E259)-MAX(0,(('Business Case'!D11*$C259*'Business Case'!D12*$B259)-'Business Case'!D11*$C259*'Business Case'!D13*$D259-'Business Case'!D14*$E259))*'Business Case'!$B$7-'Business Case'!$B$8*(('Business Case'!D11*$C259*'Business Case'!D12*$B259)-('Business Case'!C11*$C259*'Business Case'!C12*$B259))-'Business Case'!D15*$F259</f>
        <v>227417948.529544</v>
      </c>
      <c r="K259" s="39" t="n">
        <f aca="false">(('Business Case'!E11*$C259*'Business Case'!E12*$B259)-'Business Case'!E11*$C259*'Business Case'!E13*$D259-'Business Case'!E14*$E259)-MAX(0,(('Business Case'!E11*$C259*'Business Case'!E12*$B259)-'Business Case'!E11*$C259*'Business Case'!E13*$D259-'Business Case'!E14*$E259))*'Business Case'!$B$7-'Business Case'!$B$8*(('Business Case'!E11*$C259*'Business Case'!E12*$B259)-('Business Case'!D11*$C259*'Business Case'!D12*$B259))-'Business Case'!E15*$F259</f>
        <v>534778337.633342</v>
      </c>
      <c r="L259" s="39" t="n">
        <f aca="false">(('Business Case'!F11*$C259*'Business Case'!F12*$B259)-'Business Case'!F11*$C259*'Business Case'!F13*$D259-'Business Case'!F14*$E259)-MAX(0,(('Business Case'!F11*$C259*'Business Case'!F12*$B259)-'Business Case'!F11*$C259*'Business Case'!F13*$D259-'Business Case'!F14*$E259))*'Business Case'!$B$7-'Business Case'!$B$8*(('Business Case'!F11*$C259*'Business Case'!F12*$B259)-('Business Case'!E11*$C259*'Business Case'!E12*$B259))-'Business Case'!F15*$F259</f>
        <v>653007804.640226</v>
      </c>
      <c r="M259" s="39" t="n">
        <f aca="false">(('Business Case'!G11*$C259*'Business Case'!G12*$B259)-'Business Case'!G11*$C259*'Business Case'!G13*$D259-'Business Case'!G14*$E259)-MAX(0,(('Business Case'!G11*$C259*'Business Case'!G12*$B259)-'Business Case'!G11*$C259*'Business Case'!G13*$D259-'Business Case'!G14*$E259))*'Business Case'!$B$7-'Business Case'!$B$8*(('Business Case'!G11*$C259*'Business Case'!G12*$B259)-('Business Case'!F11*$C259*'Business Case'!F12*$B259))-'Business Case'!G15*$F259+'Business Case'!$B$8*('Business Case'!G11*$C259*'Business Case'!G12*$B259)</f>
        <v>829888439.637051</v>
      </c>
      <c r="N259" s="39" t="n">
        <f aca="false">IF(COUNT('Business Case'!B11:G11)=0,"",H259+NPV(G259,I259:M259))</f>
        <v>-439297181.182721</v>
      </c>
      <c r="P259" s="40" t="n">
        <f aca="true">RAND()</f>
        <v>0.725554322142786</v>
      </c>
      <c r="Q259" s="40" t="n">
        <f aca="true">RAND()</f>
        <v>0.230864658124692</v>
      </c>
      <c r="R259" s="40" t="n">
        <f aca="true">RAND()</f>
        <v>0.968460653705917</v>
      </c>
      <c r="S259" s="40" t="n">
        <f aca="true">RAND()</f>
        <v>0.356874109206538</v>
      </c>
      <c r="T259" s="40" t="n">
        <f aca="true">RAND()</f>
        <v>0.0873666917857292</v>
      </c>
      <c r="U259" s="40" t="n">
        <f aca="true">RAND()</f>
        <v>0.288603589217584</v>
      </c>
    </row>
    <row r="260" customFormat="false" ht="15" hidden="false" customHeight="false" outlineLevel="0" collapsed="false">
      <c r="A260" s="36" t="n">
        <v>180</v>
      </c>
      <c r="B260" s="37" t="n">
        <f aca="false">1+IF($G$6=$E$6,$F$6,IF(P260&lt;($F$6-$E$6)/($G$6-$E$6),$E$6+SQRT(P260*($G$6-$E$6)*($F$6-$E$6)),$G$6-SQRT((1-P260)*($G$6-$E$6)*($G$6-$F$6))))</f>
        <v>1.00362723958149</v>
      </c>
      <c r="C260" s="37" t="n">
        <f aca="false">1+IF($G$7=$E$7,$F$7,IF(Q260&lt;($F$7-$E$7)/($G$7-$E$7),$E$7+SQRT(Q260*($G$7-$E$7)*($F$7-$E$7)),$G$7-SQRT((1-Q260)*($G$7-$E$7)*($G$7-$F$7))))</f>
        <v>0.971485912585356</v>
      </c>
      <c r="D260" s="37" t="n">
        <f aca="false">1+IF($G$8=$E$8,$F$8,IF(R260&lt;($F$8-$E$8)/($G$8-$E$8),$E$8+SQRT(R260*($G$8-$E$8)*($F$8-$E$8)),$G$8-SQRT((1-R260)*($G$8-$E$8)*($G$8-$F$8))))</f>
        <v>1.0605680812628</v>
      </c>
      <c r="E260" s="37" t="n">
        <f aca="false">1+IF($G$9=$E$9,$F$9,IF(S260&lt;($F$9-$E$9)/($G$9-$E$9),$E$9+SQRT(S260*($G$9-$E$9)*($F$9-$E$9)),$G$9-SQRT((1-S260)*($G$9-$E$9)*($G$9-$F$9))))</f>
        <v>0.999788524006174</v>
      </c>
      <c r="F260" s="37" t="n">
        <f aca="false">1+IF($G$10=$E$10,$F$10,IF(T260&lt;($F$10-$E$10)/($G$10-$E$10),$E$10+SQRT(T260*($G$10-$E$10)*($F$10-$E$10)),$G$10-SQRT((1-T260)*($G$10-$E$10)*($G$10-$F$10))))</f>
        <v>1.09200960950177</v>
      </c>
      <c r="G260" s="38" t="n">
        <f aca="false">IF($G$11=$E$11,$F$11,IF(U260&lt;($F$11-$E$11)/($G$11-$E$11),$E$11+SQRT(U260*($G$11-$E$11)*($F$11-$E$11)),$G$11-SQRT((1-U260)*($G$11-$E$11)*($G$11-$F$11))))</f>
        <v>0.0973768300197987</v>
      </c>
      <c r="H260" s="39" t="n">
        <f aca="false">(('Business Case'!B11*$C260*'Business Case'!B12*$B260)-'Business Case'!B11*$C260*'Business Case'!B13*$D260-'Business Case'!B14*$E260)-MAX(0,(('Business Case'!B11*$C260*'Business Case'!B12*$B260)-'Business Case'!B11*$C260*'Business Case'!B13*$D260-'Business Case'!B14*$E260))*'Business Case'!$B$7-'Business Case'!$B$8*('Business Case'!B11*$C260*'Business Case'!B12*$B260)-'Business Case'!B15*$F260</f>
        <v>-2184019219.00354</v>
      </c>
      <c r="I260" s="39" t="n">
        <f aca="false">(('Business Case'!C11*$C260*'Business Case'!C12*$B260)-'Business Case'!C11*$C260*'Business Case'!C13*$D260-'Business Case'!C14*$E260)-MAX(0,(('Business Case'!C11*$C260*'Business Case'!C12*$B260)-'Business Case'!C11*$C260*'Business Case'!C13*$D260-'Business Case'!C14*$E260))*'Business Case'!$B$7-'Business Case'!$B$8*(('Business Case'!C11*$C260*'Business Case'!C12*$B260)-('Business Case'!B11*$C260*'Business Case'!B12*$B260))-'Business Case'!C15*$F260</f>
        <v>-30757200.3215048</v>
      </c>
      <c r="J260" s="39" t="n">
        <f aca="false">(('Business Case'!D11*$C260*'Business Case'!D12*$B260)-'Business Case'!D11*$C260*'Business Case'!D13*$D260-'Business Case'!D14*$E260)-MAX(0,(('Business Case'!D11*$C260*'Business Case'!D12*$B260)-'Business Case'!D11*$C260*'Business Case'!D13*$D260-'Business Case'!D14*$E260))*'Business Case'!$B$7-'Business Case'!$B$8*(('Business Case'!D11*$C260*'Business Case'!D12*$B260)-('Business Case'!C11*$C260*'Business Case'!C12*$B260))-'Business Case'!D15*$F260</f>
        <v>240400992.551385</v>
      </c>
      <c r="K260" s="39" t="n">
        <f aca="false">(('Business Case'!E11*$C260*'Business Case'!E12*$B260)-'Business Case'!E11*$C260*'Business Case'!E13*$D260-'Business Case'!E14*$E260)-MAX(0,(('Business Case'!E11*$C260*'Business Case'!E12*$B260)-'Business Case'!E11*$C260*'Business Case'!E13*$D260-'Business Case'!E14*$E260))*'Business Case'!$B$7-'Business Case'!$B$8*(('Business Case'!E11*$C260*'Business Case'!E12*$B260)-('Business Case'!D11*$C260*'Business Case'!D12*$B260))-'Business Case'!E15*$F260</f>
        <v>566159665.899364</v>
      </c>
      <c r="L260" s="39" t="n">
        <f aca="false">(('Business Case'!F11*$C260*'Business Case'!F12*$B260)-'Business Case'!F11*$C260*'Business Case'!F13*$D260-'Business Case'!F14*$E260)-MAX(0,(('Business Case'!F11*$C260*'Business Case'!F12*$B260)-'Business Case'!F11*$C260*'Business Case'!F13*$D260-'Business Case'!F14*$E260))*'Business Case'!$B$7-'Business Case'!$B$8*(('Business Case'!F11*$C260*'Business Case'!F12*$B260)-('Business Case'!E11*$C260*'Business Case'!E12*$B260))-'Business Case'!F15*$F260</f>
        <v>690242066.277353</v>
      </c>
      <c r="M260" s="39" t="n">
        <f aca="false">(('Business Case'!G11*$C260*'Business Case'!G12*$B260)-'Business Case'!G11*$C260*'Business Case'!G13*$D260-'Business Case'!G14*$E260)-MAX(0,(('Business Case'!G11*$C260*'Business Case'!G12*$B260)-'Business Case'!G11*$C260*'Business Case'!G13*$D260-'Business Case'!G14*$E260))*'Business Case'!$B$7-'Business Case'!$B$8*(('Business Case'!G11*$C260*'Business Case'!G12*$B260)-('Business Case'!F11*$C260*'Business Case'!F12*$B260))-'Business Case'!G15*$F260+'Business Case'!$B$8*('Business Case'!G11*$C260*'Business Case'!G12*$B260)</f>
        <v>875571914.755998</v>
      </c>
      <c r="N260" s="39" t="n">
        <f aca="false">IF(COUNT('Business Case'!B11:G11)=0,"",H260+NPV(G260,I260:M260))</f>
        <v>-557837034.108172</v>
      </c>
      <c r="P260" s="40" t="n">
        <f aca="true">RAND()</f>
        <v>0.724379645737024</v>
      </c>
      <c r="Q260" s="40" t="n">
        <f aca="true">RAND()</f>
        <v>0.420105974503319</v>
      </c>
      <c r="R260" s="40" t="n">
        <f aca="true">RAND()</f>
        <v>0.963692359056798</v>
      </c>
      <c r="S260" s="40" t="n">
        <f aca="true">RAND()</f>
        <v>0.330519616361784</v>
      </c>
      <c r="T260" s="40" t="n">
        <f aca="true">RAND()</f>
        <v>0.7667615112008</v>
      </c>
      <c r="U260" s="40" t="n">
        <f aca="true">RAND()</f>
        <v>0.18139207047001</v>
      </c>
    </row>
    <row r="261" customFormat="false" ht="15" hidden="false" customHeight="false" outlineLevel="0" collapsed="false">
      <c r="A261" s="36" t="n">
        <v>181</v>
      </c>
      <c r="B261" s="37" t="n">
        <f aca="false">1+IF($G$6=$E$6,$F$6,IF(P261&lt;($F$6-$E$6)/($G$6-$E$6),$E$6+SQRT(P261*($G$6-$E$6)*($F$6-$E$6)),$G$6-SQRT((1-P261)*($G$6-$E$6)*($G$6-$F$6))))</f>
        <v>1.01001452901485</v>
      </c>
      <c r="C261" s="37" t="n">
        <f aca="false">1+IF($G$7=$E$7,$F$7,IF(Q261&lt;($F$7-$E$7)/($G$7-$E$7),$E$7+SQRT(Q261*($G$7-$E$7)*($F$7-$E$7)),$G$7-SQRT((1-Q261)*($G$7-$E$7)*($G$7-$F$7))))</f>
        <v>0.969000998071668</v>
      </c>
      <c r="D261" s="37" t="n">
        <f aca="false">1+IF($G$8=$E$8,$F$8,IF(R261&lt;($F$8-$E$8)/($G$8-$E$8),$E$8+SQRT(R261*($G$8-$E$8)*($F$8-$E$8)),$G$8-SQRT((1-R261)*($G$8-$E$8)*($G$8-$F$8))))</f>
        <v>0.993226462865129</v>
      </c>
      <c r="E261" s="37" t="n">
        <f aca="false">1+IF($G$9=$E$9,$F$9,IF(S261&lt;($F$9-$E$9)/($G$9-$E$9),$E$9+SQRT(S261*($G$9-$E$9)*($F$9-$E$9)),$G$9-SQRT((1-S261)*($G$9-$E$9)*($G$9-$F$9))))</f>
        <v>1.01427629004357</v>
      </c>
      <c r="F261" s="37" t="n">
        <f aca="false">1+IF($G$10=$E$10,$F$10,IF(T261&lt;($F$10-$E$10)/($G$10-$E$10),$E$10+SQRT(T261*($G$10-$E$10)*($F$10-$E$10)),$G$10-SQRT((1-T261)*($G$10-$E$10)*($G$10-$F$10))))</f>
        <v>0.998952164577006</v>
      </c>
      <c r="G261" s="38" t="n">
        <f aca="false">IF($G$11=$E$11,$F$11,IF(U261&lt;($F$11-$E$11)/($G$11-$E$11),$E$11+SQRT(U261*($G$11-$E$11)*($F$11-$E$11)),$G$11-SQRT((1-U261)*($G$11-$E$11)*($G$11-$F$11))))</f>
        <v>0.103019315204718</v>
      </c>
      <c r="H261" s="39" t="n">
        <f aca="false">(('Business Case'!B11*$C261*'Business Case'!B12*$B261)-'Business Case'!B11*$C261*'Business Case'!B13*$D261-'Business Case'!B14*$E261)-MAX(0,(('Business Case'!B11*$C261*'Business Case'!B12*$B261)-'Business Case'!B11*$C261*'Business Case'!B13*$D261-'Business Case'!B14*$E261))*'Business Case'!$B$7-'Business Case'!$B$8*('Business Case'!B11*$C261*'Business Case'!B12*$B261)-'Business Case'!B15*$F261</f>
        <v>-1997904329.15401</v>
      </c>
      <c r="I261" s="39" t="n">
        <f aca="false">(('Business Case'!C11*$C261*'Business Case'!C12*$B261)-'Business Case'!C11*$C261*'Business Case'!C13*$D261-'Business Case'!C14*$E261)-MAX(0,(('Business Case'!C11*$C261*'Business Case'!C12*$B261)-'Business Case'!C11*$C261*'Business Case'!C13*$D261-'Business Case'!C14*$E261))*'Business Case'!$B$7-'Business Case'!$B$8*(('Business Case'!C11*$C261*'Business Case'!C12*$B261)-('Business Case'!B11*$C261*'Business Case'!B12*$B261))-'Business Case'!C15*$F261</f>
        <v>14077585.0385453</v>
      </c>
      <c r="J261" s="39" t="n">
        <f aca="false">(('Business Case'!D11*$C261*'Business Case'!D12*$B261)-'Business Case'!D11*$C261*'Business Case'!D13*$D261-'Business Case'!D14*$E261)-MAX(0,(('Business Case'!D11*$C261*'Business Case'!D12*$B261)-'Business Case'!D11*$C261*'Business Case'!D13*$D261-'Business Case'!D14*$E261))*'Business Case'!$B$7-'Business Case'!$B$8*(('Business Case'!D11*$C261*'Business Case'!D12*$B261)-('Business Case'!C11*$C261*'Business Case'!C12*$B261))-'Business Case'!D15*$F261</f>
        <v>323016546.672596</v>
      </c>
      <c r="K261" s="39" t="n">
        <f aca="false">(('Business Case'!E11*$C261*'Business Case'!E12*$B261)-'Business Case'!E11*$C261*'Business Case'!E13*$D261-'Business Case'!E14*$E261)-MAX(0,(('Business Case'!E11*$C261*'Business Case'!E12*$B261)-'Business Case'!E11*$C261*'Business Case'!E13*$D261-'Business Case'!E14*$E261))*'Business Case'!$B$7-'Business Case'!$B$8*(('Business Case'!E11*$C261*'Business Case'!E12*$B261)-('Business Case'!D11*$C261*'Business Case'!D12*$B261))-'Business Case'!E15*$F261</f>
        <v>681903116.535498</v>
      </c>
      <c r="L261" s="39" t="n">
        <f aca="false">(('Business Case'!F11*$C261*'Business Case'!F12*$B261)-'Business Case'!F11*$C261*'Business Case'!F13*$D261-'Business Case'!F14*$E261)-MAX(0,(('Business Case'!F11*$C261*'Business Case'!F12*$B261)-'Business Case'!F11*$C261*'Business Case'!F13*$D261-'Business Case'!F14*$E261))*'Business Case'!$B$7-'Business Case'!$B$8*(('Business Case'!F11*$C261*'Business Case'!F12*$B261)-('Business Case'!E11*$C261*'Business Case'!E12*$B261))-'Business Case'!F15*$F261</f>
        <v>818706818.209254</v>
      </c>
      <c r="M261" s="39" t="n">
        <f aca="false">(('Business Case'!G11*$C261*'Business Case'!G12*$B261)-'Business Case'!G11*$C261*'Business Case'!G13*$D261-'Business Case'!G14*$E261)-MAX(0,(('Business Case'!G11*$C261*'Business Case'!G12*$B261)-'Business Case'!G11*$C261*'Business Case'!G13*$D261-'Business Case'!G14*$E261))*'Business Case'!$B$7-'Business Case'!$B$8*(('Business Case'!G11*$C261*'Business Case'!G12*$B261)-('Business Case'!F11*$C261*'Business Case'!F12*$B261))-'Business Case'!G15*$F261+'Business Case'!$B$8*('Business Case'!G11*$C261*'Business Case'!G12*$B261)</f>
        <v>1004739081.08582</v>
      </c>
      <c r="N261" s="39" t="n">
        <f aca="false">IF(COUNT('Business Case'!B11:G11)=0,"",H261+NPV(G261,I261:M261))</f>
        <v>-43054857.033855</v>
      </c>
      <c r="P261" s="40" t="n">
        <f aca="true">RAND()</f>
        <v>0.812681568708091</v>
      </c>
      <c r="Q261" s="40" t="n">
        <f aca="true">RAND()</f>
        <v>0.408019104988856</v>
      </c>
      <c r="R261" s="40" t="n">
        <f aca="true">RAND()</f>
        <v>0.287465706435448</v>
      </c>
      <c r="S261" s="40" t="n">
        <f aca="true">RAND()</f>
        <v>0.510096370087056</v>
      </c>
      <c r="T261" s="40" t="n">
        <f aca="true">RAND()</f>
        <v>0.191705153341941</v>
      </c>
      <c r="U261" s="40" t="n">
        <f aca="true">RAND()</f>
        <v>0.519427239805479</v>
      </c>
    </row>
    <row r="262" customFormat="false" ht="15" hidden="false" customHeight="false" outlineLevel="0" collapsed="false">
      <c r="A262" s="36" t="n">
        <v>182</v>
      </c>
      <c r="B262" s="37" t="n">
        <f aca="false">1+IF($G$6=$E$6,$F$6,IF(P262&lt;($F$6-$E$6)/($G$6-$E$6),$E$6+SQRT(P262*($G$6-$E$6)*($F$6-$E$6)),$G$6-SQRT((1-P262)*($G$6-$E$6)*($G$6-$F$6))))</f>
        <v>0.950963709282306</v>
      </c>
      <c r="C262" s="37" t="n">
        <f aca="false">1+IF($G$7=$E$7,$F$7,IF(Q262&lt;($F$7-$E$7)/($G$7-$E$7),$E$7+SQRT(Q262*($G$7-$E$7)*($F$7-$E$7)),$G$7-SQRT((1-Q262)*($G$7-$E$7)*($G$7-$F$7))))</f>
        <v>0.829234807802326</v>
      </c>
      <c r="D262" s="37" t="n">
        <f aca="false">1+IF($G$8=$E$8,$F$8,IF(R262&lt;($F$8-$E$8)/($G$8-$E$8),$E$8+SQRT(R262*($G$8-$E$8)*($F$8-$E$8)),$G$8-SQRT((1-R262)*($G$8-$E$8)*($G$8-$F$8))))</f>
        <v>0.983005300621508</v>
      </c>
      <c r="E262" s="37" t="n">
        <f aca="false">1+IF($G$9=$E$9,$F$9,IF(S262&lt;($F$9-$E$9)/($G$9-$E$9),$E$9+SQRT(S262*($G$9-$E$9)*($F$9-$E$9)),$G$9-SQRT((1-S262)*($G$9-$E$9)*($G$9-$F$9))))</f>
        <v>1.02119692545851</v>
      </c>
      <c r="F262" s="37" t="n">
        <f aca="false">1+IF($G$10=$E$10,$F$10,IF(T262&lt;($F$10-$E$10)/($G$10-$E$10),$E$10+SQRT(T262*($G$10-$E$10)*($F$10-$E$10)),$G$10-SQRT((1-T262)*($G$10-$E$10)*($G$10-$F$10))))</f>
        <v>1.10485289731436</v>
      </c>
      <c r="G262" s="38" t="n">
        <f aca="false">IF($G$11=$E$11,$F$11,IF(U262&lt;($F$11-$E$11)/($G$11-$E$11),$E$11+SQRT(U262*($G$11-$E$11)*($F$11-$E$11)),$G$11-SQRT((1-U262)*($G$11-$E$11)*($G$11-$F$11))))</f>
        <v>0.0993885905825572</v>
      </c>
      <c r="H262" s="39" t="n">
        <f aca="false">(('Business Case'!B11*$C262*'Business Case'!B12*$B262)-'Business Case'!B11*$C262*'Business Case'!B13*$D262-'Business Case'!B14*$E262)-MAX(0,(('Business Case'!B11*$C262*'Business Case'!B12*$B262)-'Business Case'!B11*$C262*'Business Case'!B13*$D262-'Business Case'!B14*$E262))*'Business Case'!$B$7-'Business Case'!$B$8*('Business Case'!B11*$C262*'Business Case'!B12*$B262)-'Business Case'!B15*$F262</f>
        <v>-2209705794.62871</v>
      </c>
      <c r="I262" s="39" t="n">
        <f aca="false">(('Business Case'!C11*$C262*'Business Case'!C12*$B262)-'Business Case'!C11*$C262*'Business Case'!C13*$D262-'Business Case'!C14*$E262)-MAX(0,(('Business Case'!C11*$C262*'Business Case'!C12*$B262)-'Business Case'!C11*$C262*'Business Case'!C13*$D262-'Business Case'!C14*$E262))*'Business Case'!$B$7-'Business Case'!$B$8*(('Business Case'!C11*$C262*'Business Case'!C12*$B262)-('Business Case'!B11*$C262*'Business Case'!B12*$B262))-'Business Case'!C15*$F262</f>
        <v>-67969260.6373548</v>
      </c>
      <c r="J262" s="39" t="n">
        <f aca="false">(('Business Case'!D11*$C262*'Business Case'!D12*$B262)-'Business Case'!D11*$C262*'Business Case'!D13*$D262-'Business Case'!D14*$E262)-MAX(0,(('Business Case'!D11*$C262*'Business Case'!D12*$B262)-'Business Case'!D11*$C262*'Business Case'!D13*$D262-'Business Case'!D14*$E262))*'Business Case'!$B$7-'Business Case'!$B$8*(('Business Case'!D11*$C262*'Business Case'!D12*$B262)-('Business Case'!C11*$C262*'Business Case'!C12*$B262))-'Business Case'!D15*$F262</f>
        <v>160640554.555607</v>
      </c>
      <c r="K262" s="39" t="n">
        <f aca="false">(('Business Case'!E11*$C262*'Business Case'!E12*$B262)-'Business Case'!E11*$C262*'Business Case'!E13*$D262-'Business Case'!E14*$E262)-MAX(0,(('Business Case'!E11*$C262*'Business Case'!E12*$B262)-'Business Case'!E11*$C262*'Business Case'!E13*$D262-'Business Case'!E14*$E262))*'Business Case'!$B$7-'Business Case'!$B$8*(('Business Case'!E11*$C262*'Business Case'!E12*$B262)-('Business Case'!D11*$C262*'Business Case'!D12*$B262))-'Business Case'!E15*$F262</f>
        <v>444493014.614288</v>
      </c>
      <c r="L262" s="39" t="n">
        <f aca="false">(('Business Case'!F11*$C262*'Business Case'!F12*$B262)-'Business Case'!F11*$C262*'Business Case'!F13*$D262-'Business Case'!F14*$E262)-MAX(0,(('Business Case'!F11*$C262*'Business Case'!F12*$B262)-'Business Case'!F11*$C262*'Business Case'!F13*$D262-'Business Case'!F14*$E262))*'Business Case'!$B$7-'Business Case'!$B$8*(('Business Case'!F11*$C262*'Business Case'!F12*$B262)-('Business Case'!E11*$C262*'Business Case'!E12*$B262))-'Business Case'!F15*$F262</f>
        <v>547949341.877729</v>
      </c>
      <c r="M262" s="39" t="n">
        <f aca="false">(('Business Case'!G11*$C262*'Business Case'!G12*$B262)-'Business Case'!G11*$C262*'Business Case'!G13*$D262-'Business Case'!G14*$E262)-MAX(0,(('Business Case'!G11*$C262*'Business Case'!G12*$B262)-'Business Case'!G11*$C262*'Business Case'!G13*$D262-'Business Case'!G14*$E262))*'Business Case'!$B$7-'Business Case'!$B$8*(('Business Case'!G11*$C262*'Business Case'!G12*$B262)-('Business Case'!F11*$C262*'Business Case'!F12*$B262))-'Business Case'!G15*$F262+'Business Case'!$B$8*('Business Case'!G11*$C262*'Business Case'!G12*$B262)</f>
        <v>697841147.306228</v>
      </c>
      <c r="N262" s="39" t="n">
        <f aca="false">IF(COUNT('Business Case'!B11:G11)=0,"",H262+NPV(G262,I262:M262))</f>
        <v>-994509548.274695</v>
      </c>
      <c r="P262" s="40" t="n">
        <f aca="true">RAND()</f>
        <v>0.0998699263040804</v>
      </c>
      <c r="Q262" s="40" t="n">
        <f aca="true">RAND()</f>
        <v>0.012209628389128</v>
      </c>
      <c r="R262" s="40" t="n">
        <f aca="true">RAND()</f>
        <v>0.167592287556328</v>
      </c>
      <c r="S262" s="40" t="n">
        <f aca="true">RAND()</f>
        <v>0.586005029520537</v>
      </c>
      <c r="T262" s="40" t="n">
        <f aca="true">RAND()</f>
        <v>0.818940577010553</v>
      </c>
      <c r="U262" s="40" t="n">
        <f aca="true">RAND()</f>
        <v>0.293818777089608</v>
      </c>
    </row>
    <row r="263" customFormat="false" ht="15" hidden="false" customHeight="false" outlineLevel="0" collapsed="false">
      <c r="A263" s="36" t="n">
        <v>183</v>
      </c>
      <c r="B263" s="37" t="n">
        <f aca="false">1+IF($G$6=$E$6,$F$6,IF(P263&lt;($F$6-$E$6)/($G$6-$E$6),$E$6+SQRT(P263*($G$6-$E$6)*($F$6-$E$6)),$G$6-SQRT((1-P263)*($G$6-$E$6)*($G$6-$F$6))))</f>
        <v>1.00034791890587</v>
      </c>
      <c r="C263" s="37" t="n">
        <f aca="false">1+IF($G$7=$E$7,$F$7,IF(Q263&lt;($F$7-$E$7)/($G$7-$E$7),$E$7+SQRT(Q263*($G$7-$E$7)*($F$7-$E$7)),$G$7-SQRT((1-Q263)*($G$7-$E$7)*($G$7-$F$7))))</f>
        <v>0.868549630767982</v>
      </c>
      <c r="D263" s="37" t="n">
        <f aca="false">1+IF($G$8=$E$8,$F$8,IF(R263&lt;($F$8-$E$8)/($G$8-$E$8),$E$8+SQRT(R263*($G$8-$E$8)*($F$8-$E$8)),$G$8-SQRT((1-R263)*($G$8-$E$8)*($G$8-$F$8))))</f>
        <v>1.0222445536735</v>
      </c>
      <c r="E263" s="37" t="n">
        <f aca="false">1+IF($G$9=$E$9,$F$9,IF(S263&lt;($F$9-$E$9)/($G$9-$E$9),$E$9+SQRT(S263*($G$9-$E$9)*($F$9-$E$9)),$G$9-SQRT((1-S263)*($G$9-$E$9)*($G$9-$F$9))))</f>
        <v>1.01372164145823</v>
      </c>
      <c r="F263" s="37" t="n">
        <f aca="false">1+IF($G$10=$E$10,$F$10,IF(T263&lt;($F$10-$E$10)/($G$10-$E$10),$E$10+SQRT(T263*($G$10-$E$10)*($F$10-$E$10)),$G$10-SQRT((1-T263)*($G$10-$E$10)*($G$10-$F$10))))</f>
        <v>1.07400048823024</v>
      </c>
      <c r="G263" s="38" t="n">
        <f aca="false">IF($G$11=$E$11,$F$11,IF(U263&lt;($F$11-$E$11)/($G$11-$E$11),$E$11+SQRT(U263*($G$11-$E$11)*($F$11-$E$11)),$G$11-SQRT((1-U263)*($G$11-$E$11)*($G$11-$F$11))))</f>
        <v>0.10671561002505</v>
      </c>
      <c r="H263" s="39" t="n">
        <f aca="false">(('Business Case'!B11*$C263*'Business Case'!B12*$B263)-'Business Case'!B11*$C263*'Business Case'!B13*$D263-'Business Case'!B14*$E263)-MAX(0,(('Business Case'!B11*$C263*'Business Case'!B12*$B263)-'Business Case'!B11*$C263*'Business Case'!B13*$D263-'Business Case'!B14*$E263))*'Business Case'!$B$7-'Business Case'!$B$8*('Business Case'!B11*$C263*'Business Case'!B12*$B263)-'Business Case'!B15*$F263</f>
        <v>-2148000976.46048</v>
      </c>
      <c r="I263" s="39" t="n">
        <f aca="false">(('Business Case'!C11*$C263*'Business Case'!C12*$B263)-'Business Case'!C11*$C263*'Business Case'!C13*$D263-'Business Case'!C14*$E263)-MAX(0,(('Business Case'!C11*$C263*'Business Case'!C12*$B263)-'Business Case'!C11*$C263*'Business Case'!C13*$D263-'Business Case'!C14*$E263))*'Business Case'!$B$7-'Business Case'!$B$8*(('Business Case'!C11*$C263*'Business Case'!C12*$B263)-('Business Case'!B11*$C263*'Business Case'!B12*$B263))-'Business Case'!C15*$F263</f>
        <v>-39458826.8172156</v>
      </c>
      <c r="J263" s="39" t="n">
        <f aca="false">(('Business Case'!D11*$C263*'Business Case'!D12*$B263)-'Business Case'!D11*$C263*'Business Case'!D13*$D263-'Business Case'!D14*$E263)-MAX(0,(('Business Case'!D11*$C263*'Business Case'!D12*$B263)-'Business Case'!D11*$C263*'Business Case'!D13*$D263-'Business Case'!D14*$E263))*'Business Case'!$B$7-'Business Case'!$B$8*(('Business Case'!D11*$C263*'Business Case'!D12*$B263)-('Business Case'!C11*$C263*'Business Case'!C12*$B263))-'Business Case'!D15*$F263</f>
        <v>217674890.724927</v>
      </c>
      <c r="K263" s="39" t="n">
        <f aca="false">(('Business Case'!E11*$C263*'Business Case'!E12*$B263)-'Business Case'!E11*$C263*'Business Case'!E13*$D263-'Business Case'!E14*$E263)-MAX(0,(('Business Case'!E11*$C263*'Business Case'!E12*$B263)-'Business Case'!E11*$C263*'Business Case'!E13*$D263-'Business Case'!E14*$E263))*'Business Case'!$B$7-'Business Case'!$B$8*(('Business Case'!E11*$C263*'Business Case'!E12*$B263)-('Business Case'!D11*$C263*'Business Case'!D12*$B263))-'Business Case'!E15*$F263</f>
        <v>528508632.678582</v>
      </c>
      <c r="L263" s="39" t="n">
        <f aca="false">(('Business Case'!F11*$C263*'Business Case'!F12*$B263)-'Business Case'!F11*$C263*'Business Case'!F13*$D263-'Business Case'!F14*$E263)-MAX(0,(('Business Case'!F11*$C263*'Business Case'!F12*$B263)-'Business Case'!F11*$C263*'Business Case'!F13*$D263-'Business Case'!F14*$E263))*'Business Case'!$B$7-'Business Case'!$B$8*(('Business Case'!F11*$C263*'Business Case'!F12*$B263)-('Business Case'!E11*$C263*'Business Case'!E12*$B263))-'Business Case'!F15*$F263</f>
        <v>644247390.606612</v>
      </c>
      <c r="M263" s="39" t="n">
        <f aca="false">(('Business Case'!G11*$C263*'Business Case'!G12*$B263)-'Business Case'!G11*$C263*'Business Case'!G13*$D263-'Business Case'!G14*$E263)-MAX(0,(('Business Case'!G11*$C263*'Business Case'!G12*$B263)-'Business Case'!G11*$C263*'Business Case'!G13*$D263-'Business Case'!G14*$E263))*'Business Case'!$B$7-'Business Case'!$B$8*(('Business Case'!G11*$C263*'Business Case'!G12*$B263)-('Business Case'!F11*$C263*'Business Case'!F12*$B263))-'Business Case'!G15*$F263+'Business Case'!$B$8*('Business Case'!G11*$C263*'Business Case'!G12*$B263)</f>
        <v>809398743.716851</v>
      </c>
      <c r="N263" s="39" t="n">
        <f aca="false">IF(COUNT('Business Case'!B11:G11)=0,"",H263+NPV(G263,I263:M263))</f>
        <v>-699088654.282331</v>
      </c>
      <c r="P263" s="40" t="n">
        <f aca="true">RAND()</f>
        <v>0.67244009685516</v>
      </c>
      <c r="Q263" s="40" t="n">
        <f aca="true">RAND()</f>
        <v>0.0671293125489517</v>
      </c>
      <c r="R263" s="40" t="n">
        <f aca="true">RAND()</f>
        <v>0.679260424964161</v>
      </c>
      <c r="S263" s="40" t="n">
        <f aca="true">RAND()</f>
        <v>0.503736323155811</v>
      </c>
      <c r="T263" s="40" t="n">
        <f aca="true">RAND()</f>
        <v>0.682482460675647</v>
      </c>
      <c r="U263" s="40" t="n">
        <f aca="true">RAND()</f>
        <v>0.705874971655767</v>
      </c>
    </row>
    <row r="264" customFormat="false" ht="15" hidden="false" customHeight="false" outlineLevel="0" collapsed="false">
      <c r="A264" s="36" t="n">
        <v>184</v>
      </c>
      <c r="B264" s="37" t="n">
        <f aca="false">1+IF($G$6=$E$6,$F$6,IF(P264&lt;($F$6-$E$6)/($G$6-$E$6),$E$6+SQRT(P264*($G$6-$E$6)*($F$6-$E$6)),$G$6-SQRT((1-P264)*($G$6-$E$6)*($G$6-$F$6))))</f>
        <v>0.959567792063328</v>
      </c>
      <c r="C264" s="37" t="n">
        <f aca="false">1+IF($G$7=$E$7,$F$7,IF(Q264&lt;($F$7-$E$7)/($G$7-$E$7),$E$7+SQRT(Q264*($G$7-$E$7)*($F$7-$E$7)),$G$7-SQRT((1-Q264)*($G$7-$E$7)*($G$7-$F$7))))</f>
        <v>1.07043864629295</v>
      </c>
      <c r="D264" s="37" t="n">
        <f aca="false">1+IF($G$8=$E$8,$F$8,IF(R264&lt;($F$8-$E$8)/($G$8-$E$8),$E$8+SQRT(R264*($G$8-$E$8)*($F$8-$E$8)),$G$8-SQRT((1-R264)*($G$8-$E$8)*($G$8-$F$8))))</f>
        <v>1.01205010263005</v>
      </c>
      <c r="E264" s="37" t="n">
        <f aca="false">1+IF($G$9=$E$9,$F$9,IF(S264&lt;($F$9-$E$9)/($G$9-$E$9),$E$9+SQRT(S264*($G$9-$E$9)*($F$9-$E$9)),$G$9-SQRT((1-S264)*($G$9-$E$9)*($G$9-$F$9))))</f>
        <v>0.999987725151308</v>
      </c>
      <c r="F264" s="37" t="n">
        <f aca="false">1+IF($G$10=$E$10,$F$10,IF(T264&lt;($F$10-$E$10)/($G$10-$E$10),$E$10+SQRT(T264*($G$10-$E$10)*($F$10-$E$10)),$G$10-SQRT((1-T264)*($G$10-$E$10)*($G$10-$F$10))))</f>
        <v>1.1378398775809</v>
      </c>
      <c r="G264" s="38" t="n">
        <f aca="false">IF($G$11=$E$11,$F$11,IF(U264&lt;($F$11-$E$11)/($G$11-$E$11),$E$11+SQRT(U264*($G$11-$E$11)*($F$11-$E$11)),$G$11-SQRT((1-U264)*($G$11-$E$11)*($G$11-$F$11))))</f>
        <v>0.1116493683488</v>
      </c>
      <c r="H264" s="39" t="n">
        <f aca="false">(('Business Case'!B11*$C264*'Business Case'!B12*$B264)-'Business Case'!B11*$C264*'Business Case'!B13*$D264-'Business Case'!B14*$E264)-MAX(0,(('Business Case'!B11*$C264*'Business Case'!B12*$B264)-'Business Case'!B11*$C264*'Business Case'!B13*$D264-'Business Case'!B14*$E264))*'Business Case'!$B$7-'Business Case'!$B$8*('Business Case'!B11*$C264*'Business Case'!B12*$B264)-'Business Case'!B15*$F264</f>
        <v>-2275679755.1618</v>
      </c>
      <c r="I264" s="39" t="n">
        <f aca="false">(('Business Case'!C11*$C264*'Business Case'!C12*$B264)-'Business Case'!C11*$C264*'Business Case'!C13*$D264-'Business Case'!C14*$E264)-MAX(0,(('Business Case'!C11*$C264*'Business Case'!C12*$B264)-'Business Case'!C11*$C264*'Business Case'!C13*$D264-'Business Case'!C14*$E264))*'Business Case'!$B$7-'Business Case'!$B$8*(('Business Case'!C11*$C264*'Business Case'!C12*$B264)-('Business Case'!B11*$C264*'Business Case'!B12*$B264))-'Business Case'!C15*$F264</f>
        <v>-22495566.0391923</v>
      </c>
      <c r="J264" s="39" t="n">
        <f aca="false">(('Business Case'!D11*$C264*'Business Case'!D12*$B264)-'Business Case'!D11*$C264*'Business Case'!D13*$D264-'Business Case'!D14*$E264)-MAX(0,(('Business Case'!D11*$C264*'Business Case'!D12*$B264)-'Business Case'!D11*$C264*'Business Case'!D13*$D264-'Business Case'!D14*$E264))*'Business Case'!$B$7-'Business Case'!$B$8*(('Business Case'!D11*$C264*'Business Case'!D12*$B264)-('Business Case'!C11*$C264*'Business Case'!C12*$B264))-'Business Case'!D15*$F264</f>
        <v>264239004.159338</v>
      </c>
      <c r="K264" s="39" t="n">
        <f aca="false">(('Business Case'!E11*$C264*'Business Case'!E12*$B264)-'Business Case'!E11*$C264*'Business Case'!E13*$D264-'Business Case'!E14*$E264)-MAX(0,(('Business Case'!E11*$C264*'Business Case'!E12*$B264)-'Business Case'!E11*$C264*'Business Case'!E13*$D264-'Business Case'!E14*$E264))*'Business Case'!$B$7-'Business Case'!$B$8*(('Business Case'!E11*$C264*'Business Case'!E12*$B264)-('Business Case'!D11*$C264*'Business Case'!D12*$B264))-'Business Case'!E15*$F264</f>
        <v>607865568.236913</v>
      </c>
      <c r="L264" s="39" t="n">
        <f aca="false">(('Business Case'!F11*$C264*'Business Case'!F12*$B264)-'Business Case'!F11*$C264*'Business Case'!F13*$D264-'Business Case'!F14*$E264)-MAX(0,(('Business Case'!F11*$C264*'Business Case'!F12*$B264)-'Business Case'!F11*$C264*'Business Case'!F13*$D264-'Business Case'!F14*$E264))*'Business Case'!$B$7-'Business Case'!$B$8*(('Business Case'!F11*$C264*'Business Case'!F12*$B264)-('Business Case'!E11*$C264*'Business Case'!E12*$B264))-'Business Case'!F15*$F264</f>
        <v>738942354.2785</v>
      </c>
      <c r="M264" s="39" t="n">
        <f aca="false">(('Business Case'!G11*$C264*'Business Case'!G12*$B264)-'Business Case'!G11*$C264*'Business Case'!G13*$D264-'Business Case'!G14*$E264)-MAX(0,(('Business Case'!G11*$C264*'Business Case'!G12*$B264)-'Business Case'!G11*$C264*'Business Case'!G13*$D264-'Business Case'!G14*$E264))*'Business Case'!$B$7-'Business Case'!$B$8*(('Business Case'!G11*$C264*'Business Case'!G12*$B264)-('Business Case'!F11*$C264*'Business Case'!F12*$B264))-'Business Case'!G15*$F264+'Business Case'!$B$8*('Business Case'!G11*$C264*'Business Case'!G12*$B264)</f>
        <v>934184632.14326</v>
      </c>
      <c r="N264" s="39" t="n">
        <f aca="false">IF(COUNT('Business Case'!B11:G11)=0,"",H264+NPV(G264,I264:M264))</f>
        <v>-605424705.280878</v>
      </c>
      <c r="P264" s="40" t="n">
        <f aca="true">RAND()</f>
        <v>0.163084392579869</v>
      </c>
      <c r="Q264" s="40" t="n">
        <f aca="true">RAND()</f>
        <v>0.879428399929551</v>
      </c>
      <c r="R264" s="40" t="n">
        <f aca="true">RAND()</f>
        <v>0.556039562251263</v>
      </c>
      <c r="S264" s="40" t="n">
        <f aca="true">RAND()</f>
        <v>0.33316968877369</v>
      </c>
      <c r="T264" s="40" t="n">
        <f aca="true">RAND()</f>
        <v>0.92272238361685</v>
      </c>
      <c r="U264" s="40" t="n">
        <f aca="true">RAND()</f>
        <v>0.883778251709969</v>
      </c>
    </row>
    <row r="265" customFormat="false" ht="15" hidden="false" customHeight="false" outlineLevel="0" collapsed="false">
      <c r="A265" s="36" t="n">
        <v>185</v>
      </c>
      <c r="B265" s="37" t="n">
        <f aca="false">1+IF($G$6=$E$6,$F$6,IF(P265&lt;($F$6-$E$6)/($G$6-$E$6),$E$6+SQRT(P265*($G$6-$E$6)*($F$6-$E$6)),$G$6-SQRT((1-P265)*($G$6-$E$6)*($G$6-$F$6))))</f>
        <v>0.986285375374389</v>
      </c>
      <c r="C265" s="37" t="n">
        <f aca="false">1+IF($G$7=$E$7,$F$7,IF(Q265&lt;($F$7-$E$7)/($G$7-$E$7),$E$7+SQRT(Q265*($G$7-$E$7)*($F$7-$E$7)),$G$7-SQRT((1-Q265)*($G$7-$E$7)*($G$7-$F$7))))</f>
        <v>1.00168959056089</v>
      </c>
      <c r="D265" s="37" t="n">
        <f aca="false">1+IF($G$8=$E$8,$F$8,IF(R265&lt;($F$8-$E$8)/($G$8-$E$8),$E$8+SQRT(R265*($G$8-$E$8)*($F$8-$E$8)),$G$8-SQRT((1-R265)*($G$8-$E$8)*($G$8-$F$8))))</f>
        <v>0.99444038021133</v>
      </c>
      <c r="E265" s="37" t="n">
        <f aca="false">1+IF($G$9=$E$9,$F$9,IF(S265&lt;($F$9-$E$9)/($G$9-$E$9),$E$9+SQRT(S265*($G$9-$E$9)*($F$9-$E$9)),$G$9-SQRT((1-S265)*($G$9-$E$9)*($G$9-$F$9))))</f>
        <v>1.04652830589943</v>
      </c>
      <c r="F265" s="37" t="n">
        <f aca="false">1+IF($G$10=$E$10,$F$10,IF(T265&lt;($F$10-$E$10)/($G$10-$E$10),$E$10+SQRT(T265*($G$10-$E$10)*($F$10-$E$10)),$G$10-SQRT((1-T265)*($G$10-$E$10)*($G$10-$F$10))))</f>
        <v>1.05330820223766</v>
      </c>
      <c r="G265" s="38" t="n">
        <f aca="false">IF($G$11=$E$11,$F$11,IF(U265&lt;($F$11-$E$11)/($G$11-$E$11),$E$11+SQRT(U265*($G$11-$E$11)*($F$11-$E$11)),$G$11-SQRT((1-U265)*($G$11-$E$11)*($G$11-$F$11))))</f>
        <v>0.103573444224356</v>
      </c>
      <c r="H265" s="39" t="n">
        <f aca="false">(('Business Case'!B11*$C265*'Business Case'!B12*$B265)-'Business Case'!B11*$C265*'Business Case'!B13*$D265-'Business Case'!B14*$E265)-MAX(0,(('Business Case'!B11*$C265*'Business Case'!B12*$B265)-'Business Case'!B11*$C265*'Business Case'!B13*$D265-'Business Case'!B14*$E265))*'Business Case'!$B$7-'Business Case'!$B$8*('Business Case'!B11*$C265*'Business Case'!B12*$B265)-'Business Case'!B15*$F265</f>
        <v>-2106616404.47531</v>
      </c>
      <c r="I265" s="39" t="n">
        <f aca="false">(('Business Case'!C11*$C265*'Business Case'!C12*$B265)-'Business Case'!C11*$C265*'Business Case'!C13*$D265-'Business Case'!C14*$E265)-MAX(0,(('Business Case'!C11*$C265*'Business Case'!C12*$B265)-'Business Case'!C11*$C265*'Business Case'!C13*$D265-'Business Case'!C14*$E265))*'Business Case'!$B$7-'Business Case'!$B$8*(('Business Case'!C11*$C265*'Business Case'!C12*$B265)-('Business Case'!B11*$C265*'Business Case'!B12*$B265))-'Business Case'!C15*$F265</f>
        <v>-6092960.56193812</v>
      </c>
      <c r="J265" s="39" t="n">
        <f aca="false">(('Business Case'!D11*$C265*'Business Case'!D12*$B265)-'Business Case'!D11*$C265*'Business Case'!D13*$D265-'Business Case'!D14*$E265)-MAX(0,(('Business Case'!D11*$C265*'Business Case'!D12*$B265)-'Business Case'!D11*$C265*'Business Case'!D13*$D265-'Business Case'!D14*$E265))*'Business Case'!$B$7-'Business Case'!$B$8*(('Business Case'!D11*$C265*'Business Case'!D12*$B265)-('Business Case'!C11*$C265*'Business Case'!C12*$B265))-'Business Case'!D15*$F265</f>
        <v>293176645.191193</v>
      </c>
      <c r="K265" s="39" t="n">
        <f aca="false">(('Business Case'!E11*$C265*'Business Case'!E12*$B265)-'Business Case'!E11*$C265*'Business Case'!E13*$D265-'Business Case'!E14*$E265)-MAX(0,(('Business Case'!E11*$C265*'Business Case'!E12*$B265)-'Business Case'!E11*$C265*'Business Case'!E13*$D265-'Business Case'!E14*$E265))*'Business Case'!$B$7-'Business Case'!$B$8*(('Business Case'!E11*$C265*'Business Case'!E12*$B265)-('Business Case'!D11*$C265*'Business Case'!D12*$B265))-'Business Case'!E15*$F265</f>
        <v>645111661.056208</v>
      </c>
      <c r="L265" s="39" t="n">
        <f aca="false">(('Business Case'!F11*$C265*'Business Case'!F12*$B265)-'Business Case'!F11*$C265*'Business Case'!F13*$D265-'Business Case'!F14*$E265)-MAX(0,(('Business Case'!F11*$C265*'Business Case'!F12*$B265)-'Business Case'!F11*$C265*'Business Case'!F13*$D265-'Business Case'!F14*$E265))*'Business Case'!$B$7-'Business Case'!$B$8*(('Business Case'!F11*$C265*'Business Case'!F12*$B265)-('Business Case'!E11*$C265*'Business Case'!E12*$B265))-'Business Case'!F15*$F265</f>
        <v>779011810.302188</v>
      </c>
      <c r="M265" s="39" t="n">
        <f aca="false">(('Business Case'!G11*$C265*'Business Case'!G12*$B265)-'Business Case'!G11*$C265*'Business Case'!G13*$D265-'Business Case'!G14*$E265)-MAX(0,(('Business Case'!G11*$C265*'Business Case'!G12*$B265)-'Business Case'!G11*$C265*'Business Case'!G13*$D265-'Business Case'!G14*$E265))*'Business Case'!$B$7-'Business Case'!$B$8*(('Business Case'!G11*$C265*'Business Case'!G12*$B265)-('Business Case'!F11*$C265*'Business Case'!F12*$B265))-'Business Case'!G15*$F265+'Business Case'!$B$8*('Business Case'!G11*$C265*'Business Case'!G12*$B265)</f>
        <v>966801687.274338</v>
      </c>
      <c r="N265" s="39" t="n">
        <f aca="false">IF(COUNT('Business Case'!B11:G11)=0,"",H265+NPV(G265,I265:M265))</f>
        <v>-275551792.212641</v>
      </c>
      <c r="P265" s="40" t="n">
        <f aca="true">RAND()</f>
        <v>0.457682394637882</v>
      </c>
      <c r="Q265" s="40" t="n">
        <f aca="true">RAND()</f>
        <v>0.581028999085786</v>
      </c>
      <c r="R265" s="40" t="n">
        <f aca="true">RAND()</f>
        <v>0.303838060511935</v>
      </c>
      <c r="S265" s="40" t="n">
        <f aca="true">RAND()</f>
        <v>0.809385195334369</v>
      </c>
      <c r="T265" s="40" t="n">
        <f aca="true">RAND()</f>
        <v>0.56963032938503</v>
      </c>
      <c r="U265" s="40" t="n">
        <f aca="true">RAND()</f>
        <v>0.550280442249436</v>
      </c>
    </row>
    <row r="266" customFormat="false" ht="15" hidden="false" customHeight="false" outlineLevel="0" collapsed="false">
      <c r="A266" s="36" t="n">
        <v>186</v>
      </c>
      <c r="B266" s="37" t="n">
        <f aca="false">1+IF($G$6=$E$6,$F$6,IF(P266&lt;($F$6-$E$6)/($G$6-$E$6),$E$6+SQRT(P266*($G$6-$E$6)*($F$6-$E$6)),$G$6-SQRT((1-P266)*($G$6-$E$6)*($G$6-$F$6))))</f>
        <v>1.0164947397285</v>
      </c>
      <c r="C266" s="37" t="n">
        <f aca="false">1+IF($G$7=$E$7,$F$7,IF(Q266&lt;($F$7-$E$7)/($G$7-$E$7),$E$7+SQRT(Q266*($G$7-$E$7)*($F$7-$E$7)),$G$7-SQRT((1-Q266)*($G$7-$E$7)*($G$7-$F$7))))</f>
        <v>0.999226054707831</v>
      </c>
      <c r="D266" s="37" t="n">
        <f aca="false">1+IF($G$8=$E$8,$F$8,IF(R266&lt;($F$8-$E$8)/($G$8-$E$8),$E$8+SQRT(R266*($G$8-$E$8)*($F$8-$E$8)),$G$8-SQRT((1-R266)*($G$8-$E$8)*($G$8-$F$8))))</f>
        <v>1.01670350554347</v>
      </c>
      <c r="E266" s="37" t="n">
        <f aca="false">1+IF($G$9=$E$9,$F$9,IF(S266&lt;($F$9-$E$9)/($G$9-$E$9),$E$9+SQRT(S266*($G$9-$E$9)*($F$9-$E$9)),$G$9-SQRT((1-S266)*($G$9-$E$9)*($G$9-$F$9))))</f>
        <v>1.0626106405724</v>
      </c>
      <c r="F266" s="37" t="n">
        <f aca="false">1+IF($G$10=$E$10,$F$10,IF(T266&lt;($F$10-$E$10)/($G$10-$E$10),$E$10+SQRT(T266*($G$10-$E$10)*($F$10-$E$10)),$G$10-SQRT((1-T266)*($G$10-$E$10)*($G$10-$F$10))))</f>
        <v>1.00793604811011</v>
      </c>
      <c r="G266" s="38" t="n">
        <f aca="false">IF($G$11=$E$11,$F$11,IF(U266&lt;($F$11-$E$11)/($G$11-$E$11),$E$11+SQRT(U266*($G$11-$E$11)*($F$11-$E$11)),$G$11-SQRT((1-U266)*($G$11-$E$11)*($G$11-$F$11))))</f>
        <v>0.107518813734649</v>
      </c>
      <c r="H266" s="39" t="n">
        <f aca="false">(('Business Case'!B11*$C266*'Business Case'!B12*$B266)-'Business Case'!B11*$C266*'Business Case'!B13*$D266-'Business Case'!B14*$E266)-MAX(0,(('Business Case'!B11*$C266*'Business Case'!B12*$B266)-'Business Case'!B11*$C266*'Business Case'!B13*$D266-'Business Case'!B14*$E266))*'Business Case'!$B$7-'Business Case'!$B$8*('Business Case'!B11*$C266*'Business Case'!B12*$B266)-'Business Case'!B15*$F266</f>
        <v>-2015872096.22022</v>
      </c>
      <c r="I266" s="39" t="n">
        <f aca="false">(('Business Case'!C11*$C266*'Business Case'!C12*$B266)-'Business Case'!C11*$C266*'Business Case'!C13*$D266-'Business Case'!C14*$E266)-MAX(0,(('Business Case'!C11*$C266*'Business Case'!C12*$B266)-'Business Case'!C11*$C266*'Business Case'!C13*$D266-'Business Case'!C14*$E266))*'Business Case'!$B$7-'Business Case'!$B$8*(('Business Case'!C11*$C266*'Business Case'!C12*$B266)-('Business Case'!B11*$C266*'Business Case'!B12*$B266))-'Business Case'!C15*$F266</f>
        <v>7318821.56566541</v>
      </c>
      <c r="J266" s="39" t="n">
        <f aca="false">(('Business Case'!D11*$C266*'Business Case'!D12*$B266)-'Business Case'!D11*$C266*'Business Case'!D13*$D266-'Business Case'!D14*$E266)-MAX(0,(('Business Case'!D11*$C266*'Business Case'!D12*$B266)-'Business Case'!D11*$C266*'Business Case'!D13*$D266-'Business Case'!D14*$E266))*'Business Case'!$B$7-'Business Case'!$B$8*(('Business Case'!D11*$C266*'Business Case'!D12*$B266)-('Business Case'!C11*$C266*'Business Case'!C12*$B266))-'Business Case'!D15*$F266</f>
        <v>319188785.22452</v>
      </c>
      <c r="K266" s="39" t="n">
        <f aca="false">(('Business Case'!E11*$C266*'Business Case'!E12*$B266)-'Business Case'!E11*$C266*'Business Case'!E13*$D266-'Business Case'!E14*$E266)-MAX(0,(('Business Case'!E11*$C266*'Business Case'!E12*$B266)-'Business Case'!E11*$C266*'Business Case'!E13*$D266-'Business Case'!E14*$E266))*'Business Case'!$B$7-'Business Case'!$B$8*(('Business Case'!E11*$C266*'Business Case'!E12*$B266)-('Business Case'!D11*$C266*'Business Case'!D12*$B266))-'Business Case'!E15*$F266</f>
        <v>681455551.288881</v>
      </c>
      <c r="L266" s="39" t="n">
        <f aca="false">(('Business Case'!F11*$C266*'Business Case'!F12*$B266)-'Business Case'!F11*$C266*'Business Case'!F13*$D266-'Business Case'!F14*$E266)-MAX(0,(('Business Case'!F11*$C266*'Business Case'!F12*$B266)-'Business Case'!F11*$C266*'Business Case'!F13*$D266-'Business Case'!F14*$E266))*'Business Case'!$B$7-'Business Case'!$B$8*(('Business Case'!F11*$C266*'Business Case'!F12*$B266)-('Business Case'!E11*$C266*'Business Case'!E12*$B266))-'Business Case'!F15*$F266</f>
        <v>820515075.303688</v>
      </c>
      <c r="M266" s="39" t="n">
        <f aca="false">(('Business Case'!G11*$C266*'Business Case'!G12*$B266)-'Business Case'!G11*$C266*'Business Case'!G13*$D266-'Business Case'!G14*$E266)-MAX(0,(('Business Case'!G11*$C266*'Business Case'!G12*$B266)-'Business Case'!G11*$C266*'Business Case'!G13*$D266-'Business Case'!G14*$E266))*'Business Case'!$B$7-'Business Case'!$B$8*(('Business Case'!G11*$C266*'Business Case'!G12*$B266)-('Business Case'!F11*$C266*'Business Case'!F12*$B266))-'Business Case'!G15*$F266+'Business Case'!$B$8*('Business Case'!G11*$C266*'Business Case'!G12*$B266)</f>
        <v>1013580857.34389</v>
      </c>
      <c r="N266" s="39" t="n">
        <f aca="false">IF(COUNT('Business Case'!B11:G11)=0,"",H266+NPV(G266,I266:M266))</f>
        <v>-93772601.3119624</v>
      </c>
      <c r="P266" s="40" t="n">
        <f aca="true">RAND()</f>
        <v>0.884896404076894</v>
      </c>
      <c r="Q266" s="40" t="n">
        <f aca="true">RAND()</f>
        <v>0.567014583920678</v>
      </c>
      <c r="R266" s="40" t="n">
        <f aca="true">RAND()</f>
        <v>0.614764787453351</v>
      </c>
      <c r="S266" s="40" t="n">
        <f aca="true">RAND()</f>
        <v>0.906802386772908</v>
      </c>
      <c r="T266" s="40" t="n">
        <f aca="true">RAND()</f>
        <v>0.262228767688769</v>
      </c>
      <c r="U266" s="40" t="n">
        <f aca="true">RAND()</f>
        <v>0.740366649016041</v>
      </c>
    </row>
    <row r="267" customFormat="false" ht="15" hidden="false" customHeight="false" outlineLevel="0" collapsed="false">
      <c r="A267" s="36" t="n">
        <v>187</v>
      </c>
      <c r="B267" s="37" t="n">
        <f aca="false">1+IF($G$6=$E$6,$F$6,IF(P267&lt;($F$6-$E$6)/($G$6-$E$6),$E$6+SQRT(P267*($G$6-$E$6)*($F$6-$E$6)),$G$6-SQRT((1-P267)*($G$6-$E$6)*($G$6-$F$6))))</f>
        <v>0.962428950042854</v>
      </c>
      <c r="C267" s="37" t="n">
        <f aca="false">1+IF($G$7=$E$7,$F$7,IF(Q267&lt;($F$7-$E$7)/($G$7-$E$7),$E$7+SQRT(Q267*($G$7-$E$7)*($F$7-$E$7)),$G$7-SQRT((1-Q267)*($G$7-$E$7)*($G$7-$F$7))))</f>
        <v>1.093459369611</v>
      </c>
      <c r="D267" s="37" t="n">
        <f aca="false">1+IF($G$8=$E$8,$F$8,IF(R267&lt;($F$8-$E$8)/($G$8-$E$8),$E$8+SQRT(R267*($G$8-$E$8)*($F$8-$E$8)),$G$8-SQRT((1-R267)*($G$8-$E$8)*($G$8-$F$8))))</f>
        <v>1.019791645811</v>
      </c>
      <c r="E267" s="37" t="n">
        <f aca="false">1+IF($G$9=$E$9,$F$9,IF(S267&lt;($F$9-$E$9)/($G$9-$E$9),$E$9+SQRT(S267*($G$9-$E$9)*($F$9-$E$9)),$G$9-SQRT((1-S267)*($G$9-$E$9)*($G$9-$F$9))))</f>
        <v>1.04189185924929</v>
      </c>
      <c r="F267" s="37" t="n">
        <f aca="false">1+IF($G$10=$E$10,$F$10,IF(T267&lt;($F$10-$E$10)/($G$10-$E$10),$E$10+SQRT(T267*($G$10-$E$10)*($F$10-$E$10)),$G$10-SQRT((1-T267)*($G$10-$E$10)*($G$10-$F$10))))</f>
        <v>1.07660916898579</v>
      </c>
      <c r="G267" s="38" t="n">
        <f aca="false">IF($G$11=$E$11,$F$11,IF(U267&lt;($F$11-$E$11)/($G$11-$E$11),$E$11+SQRT(U267*($G$11-$E$11)*($F$11-$E$11)),$G$11-SQRT((1-U267)*($G$11-$E$11)*($G$11-$F$11))))</f>
        <v>0.108000875165715</v>
      </c>
      <c r="H267" s="39" t="n">
        <f aca="false">(('Business Case'!B11*$C267*'Business Case'!B12*$B267)-'Business Case'!B11*$C267*'Business Case'!B13*$D267-'Business Case'!B14*$E267)-MAX(0,(('Business Case'!B11*$C267*'Business Case'!B12*$B267)-'Business Case'!B11*$C267*'Business Case'!B13*$D267-'Business Case'!B14*$E267))*'Business Case'!$B$7-'Business Case'!$B$8*('Business Case'!B11*$C267*'Business Case'!B12*$B267)-'Business Case'!B15*$F267</f>
        <v>-2153218337.97159</v>
      </c>
      <c r="I267" s="39" t="n">
        <f aca="false">(('Business Case'!C11*$C267*'Business Case'!C12*$B267)-'Business Case'!C11*$C267*'Business Case'!C13*$D267-'Business Case'!C14*$E267)-MAX(0,(('Business Case'!C11*$C267*'Business Case'!C12*$B267)-'Business Case'!C11*$C267*'Business Case'!C13*$D267-'Business Case'!C14*$E267))*'Business Case'!$B$7-'Business Case'!$B$8*(('Business Case'!C11*$C267*'Business Case'!C12*$B267)-('Business Case'!B11*$C267*'Business Case'!B12*$B267))-'Business Case'!C15*$F267</f>
        <v>-19243030.6577217</v>
      </c>
      <c r="J267" s="39" t="n">
        <f aca="false">(('Business Case'!D11*$C267*'Business Case'!D12*$B267)-'Business Case'!D11*$C267*'Business Case'!D13*$D267-'Business Case'!D14*$E267)-MAX(0,(('Business Case'!D11*$C267*'Business Case'!D12*$B267)-'Business Case'!D11*$C267*'Business Case'!D13*$D267-'Business Case'!D14*$E267))*'Business Case'!$B$7-'Business Case'!$B$8*(('Business Case'!D11*$C267*'Business Case'!D12*$B267)-('Business Case'!C11*$C267*'Business Case'!C12*$B267))-'Business Case'!D15*$F267</f>
        <v>271887099.212383</v>
      </c>
      <c r="K267" s="39" t="n">
        <f aca="false">(('Business Case'!E11*$C267*'Business Case'!E12*$B267)-'Business Case'!E11*$C267*'Business Case'!E13*$D267-'Business Case'!E14*$E267)-MAX(0,(('Business Case'!E11*$C267*'Business Case'!E12*$B267)-'Business Case'!E11*$C267*'Business Case'!E13*$D267-'Business Case'!E14*$E267))*'Business Case'!$B$7-'Business Case'!$B$8*(('Business Case'!E11*$C267*'Business Case'!E12*$B267)-('Business Case'!D11*$C267*'Business Case'!D12*$B267))-'Business Case'!E15*$F267</f>
        <v>616847687.531778</v>
      </c>
      <c r="L267" s="39" t="n">
        <f aca="false">(('Business Case'!F11*$C267*'Business Case'!F12*$B267)-'Business Case'!F11*$C267*'Business Case'!F13*$D267-'Business Case'!F14*$E267)-MAX(0,(('Business Case'!F11*$C267*'Business Case'!F12*$B267)-'Business Case'!F11*$C267*'Business Case'!F13*$D267-'Business Case'!F14*$E267))*'Business Case'!$B$7-'Business Case'!$B$8*(('Business Case'!F11*$C267*'Business Case'!F12*$B267)-('Business Case'!E11*$C267*'Business Case'!E12*$B267))-'Business Case'!F15*$F267</f>
        <v>750261211.651145</v>
      </c>
      <c r="M267" s="39" t="n">
        <f aca="false">(('Business Case'!G11*$C267*'Business Case'!G12*$B267)-'Business Case'!G11*$C267*'Business Case'!G13*$D267-'Business Case'!G14*$E267)-MAX(0,(('Business Case'!G11*$C267*'Business Case'!G12*$B267)-'Business Case'!G11*$C267*'Business Case'!G13*$D267-'Business Case'!G14*$E267))*'Business Case'!$B$7-'Business Case'!$B$8*(('Business Case'!G11*$C267*'Business Case'!G12*$B267)-('Business Case'!F11*$C267*'Business Case'!F12*$B267))-'Business Case'!G15*$F267+'Business Case'!$B$8*('Business Case'!G11*$C267*'Business Case'!G12*$B267)</f>
        <v>950297022.87914</v>
      </c>
      <c r="N267" s="39" t="n">
        <f aca="false">IF(COUNT('Business Case'!B11:G11)=0,"",H267+NPV(G267,I267:M267))</f>
        <v>-428781715.767837</v>
      </c>
      <c r="P267" s="40" t="n">
        <f aca="true">RAND()</f>
        <v>0.187522479347812</v>
      </c>
      <c r="Q267" s="40" t="n">
        <f aca="true">RAND()</f>
        <v>0.939107754575508</v>
      </c>
      <c r="R267" s="40" t="n">
        <f aca="true">RAND()</f>
        <v>0.651437892870402</v>
      </c>
      <c r="S267" s="40" t="n">
        <f aca="true">RAND()</f>
        <v>0.774896265233018</v>
      </c>
      <c r="T267" s="40" t="n">
        <f aca="true">RAND()</f>
        <v>0.695494056432475</v>
      </c>
      <c r="U267" s="40" t="n">
        <f aca="true">RAND()</f>
        <v>0.760035005352061</v>
      </c>
    </row>
    <row r="268" customFormat="false" ht="15" hidden="false" customHeight="false" outlineLevel="0" collapsed="false">
      <c r="A268" s="36" t="n">
        <v>188</v>
      </c>
      <c r="B268" s="37" t="n">
        <f aca="false">1+IF($G$6=$E$6,$F$6,IF(P268&lt;($F$6-$E$6)/($G$6-$E$6),$E$6+SQRT(P268*($G$6-$E$6)*($F$6-$E$6)),$G$6-SQRT((1-P268)*($G$6-$E$6)*($G$6-$F$6))))</f>
        <v>1.00225150468665</v>
      </c>
      <c r="C268" s="37" t="n">
        <f aca="false">1+IF($G$7=$E$7,$F$7,IF(Q268&lt;($F$7-$E$7)/($G$7-$E$7),$E$7+SQRT(Q268*($G$7-$E$7)*($F$7-$E$7)),$G$7-SQRT((1-Q268)*($G$7-$E$7)*($G$7-$F$7))))</f>
        <v>0.970688647511714</v>
      </c>
      <c r="D268" s="37" t="n">
        <f aca="false">1+IF($G$8=$E$8,$F$8,IF(R268&lt;($F$8-$E$8)/($G$8-$E$8),$E$8+SQRT(R268*($G$8-$E$8)*($F$8-$E$8)),$G$8-SQRT((1-R268)*($G$8-$E$8)*($G$8-$F$8))))</f>
        <v>0.989291658731713</v>
      </c>
      <c r="E268" s="37" t="n">
        <f aca="false">1+IF($G$9=$E$9,$F$9,IF(S268&lt;($F$9-$E$9)/($G$9-$E$9),$E$9+SQRT(S268*($G$9-$E$9)*($F$9-$E$9)),$G$9-SQRT((1-S268)*($G$9-$E$9)*($G$9-$F$9))))</f>
        <v>0.968849160600604</v>
      </c>
      <c r="F268" s="37" t="n">
        <f aca="false">1+IF($G$10=$E$10,$F$10,IF(T268&lt;($F$10-$E$10)/($G$10-$E$10),$E$10+SQRT(T268*($G$10-$E$10)*($F$10-$E$10)),$G$10-SQRT((1-T268)*($G$10-$E$10)*($G$10-$F$10))))</f>
        <v>0.988430886642878</v>
      </c>
      <c r="G268" s="38" t="n">
        <f aca="false">IF($G$11=$E$11,$F$11,IF(U268&lt;($F$11-$E$11)/($G$11-$E$11),$E$11+SQRT(U268*($G$11-$E$11)*($F$11-$E$11)),$G$11-SQRT((1-U268)*($G$11-$E$11)*($G$11-$F$11))))</f>
        <v>0.102760506743567</v>
      </c>
      <c r="H268" s="39" t="n">
        <f aca="false">(('Business Case'!B11*$C268*'Business Case'!B12*$B268)-'Business Case'!B11*$C268*'Business Case'!B13*$D268-'Business Case'!B14*$E268)-MAX(0,(('Business Case'!B11*$C268*'Business Case'!B12*$B268)-'Business Case'!B11*$C268*'Business Case'!B13*$D268-'Business Case'!B14*$E268))*'Business Case'!$B$7-'Business Case'!$B$8*('Business Case'!B11*$C268*'Business Case'!B12*$B268)-'Business Case'!B15*$F268</f>
        <v>-1976861773.28576</v>
      </c>
      <c r="I268" s="39" t="n">
        <f aca="false">(('Business Case'!C11*$C268*'Business Case'!C12*$B268)-'Business Case'!C11*$C268*'Business Case'!C13*$D268-'Business Case'!C14*$E268)-MAX(0,(('Business Case'!C11*$C268*'Business Case'!C12*$B268)-'Business Case'!C11*$C268*'Business Case'!C13*$D268-'Business Case'!C14*$E268))*'Business Case'!$B$7-'Business Case'!$B$8*(('Business Case'!C11*$C268*'Business Case'!C12*$B268)-('Business Case'!B11*$C268*'Business Case'!B12*$B268))-'Business Case'!C15*$F268</f>
        <v>18212948.587984</v>
      </c>
      <c r="J268" s="39" t="n">
        <f aca="false">(('Business Case'!D11*$C268*'Business Case'!D12*$B268)-'Business Case'!D11*$C268*'Business Case'!D13*$D268-'Business Case'!D14*$E268)-MAX(0,(('Business Case'!D11*$C268*'Business Case'!D12*$B268)-'Business Case'!D11*$C268*'Business Case'!D13*$D268-'Business Case'!D14*$E268))*'Business Case'!$B$7-'Business Case'!$B$8*(('Business Case'!D11*$C268*'Business Case'!D12*$B268)-('Business Case'!C11*$C268*'Business Case'!C12*$B268))-'Business Case'!D15*$F268</f>
        <v>323473132.805098</v>
      </c>
      <c r="K268" s="39" t="n">
        <f aca="false">(('Business Case'!E11*$C268*'Business Case'!E12*$B268)-'Business Case'!E11*$C268*'Business Case'!E13*$D268-'Business Case'!E14*$E268)-MAX(0,(('Business Case'!E11*$C268*'Business Case'!E12*$B268)-'Business Case'!E11*$C268*'Business Case'!E13*$D268-'Business Case'!E14*$E268))*'Business Case'!$B$7-'Business Case'!$B$8*(('Business Case'!E11*$C268*'Business Case'!E12*$B268)-('Business Case'!D11*$C268*'Business Case'!D12*$B268))-'Business Case'!E15*$F268</f>
        <v>678154861.354356</v>
      </c>
      <c r="L268" s="39" t="n">
        <f aca="false">(('Business Case'!F11*$C268*'Business Case'!F12*$B268)-'Business Case'!F11*$C268*'Business Case'!F13*$D268-'Business Case'!F14*$E268)-MAX(0,(('Business Case'!F11*$C268*'Business Case'!F12*$B268)-'Business Case'!F11*$C268*'Business Case'!F13*$D268-'Business Case'!F14*$E268))*'Business Case'!$B$7-'Business Case'!$B$8*(('Business Case'!F11*$C268*'Business Case'!F12*$B268)-('Business Case'!E11*$C268*'Business Case'!E12*$B268))-'Business Case'!F15*$F268</f>
        <v>813530786.978352</v>
      </c>
      <c r="M268" s="39" t="n">
        <f aca="false">(('Business Case'!G11*$C268*'Business Case'!G12*$B268)-'Business Case'!G11*$C268*'Business Case'!G13*$D268-'Business Case'!G14*$E268)-MAX(0,(('Business Case'!G11*$C268*'Business Case'!G12*$B268)-'Business Case'!G11*$C268*'Business Case'!G13*$D268-'Business Case'!G14*$E268))*'Business Case'!$B$7-'Business Case'!$B$8*(('Business Case'!G11*$C268*'Business Case'!G12*$B268)-('Business Case'!F11*$C268*'Business Case'!F12*$B268))-'Business Case'!G15*$F268+'Business Case'!$B$8*('Business Case'!G11*$C268*'Business Case'!G12*$B268)</f>
        <v>998454706.845619</v>
      </c>
      <c r="N268" s="39" t="n">
        <f aca="false">IF(COUNT('Business Case'!B11:G11)=0,"",H268+NPV(G268,I268:M268))</f>
        <v>-26308065.6871972</v>
      </c>
      <c r="P268" s="40" t="n">
        <f aca="true">RAND()</f>
        <v>0.703135646162003</v>
      </c>
      <c r="Q268" s="40" t="n">
        <f aca="true">RAND()</f>
        <v>0.416208776991114</v>
      </c>
      <c r="R268" s="40" t="n">
        <f aca="true">RAND()</f>
        <v>0.237512991675293</v>
      </c>
      <c r="S268" s="40" t="n">
        <f aca="true">RAND()</f>
        <v>0.0473721140463127</v>
      </c>
      <c r="T268" s="40" t="n">
        <f aca="true">RAND()</f>
        <v>0.118154643852619</v>
      </c>
      <c r="U268" s="40" t="n">
        <f aca="true">RAND()</f>
        <v>0.504666453768976</v>
      </c>
    </row>
    <row r="269" customFormat="false" ht="15" hidden="false" customHeight="false" outlineLevel="0" collapsed="false">
      <c r="A269" s="36" t="n">
        <v>189</v>
      </c>
      <c r="B269" s="37" t="n">
        <f aca="false">1+IF($G$6=$E$6,$F$6,IF(P269&lt;($F$6-$E$6)/($G$6-$E$6),$E$6+SQRT(P269*($G$6-$E$6)*($F$6-$E$6)),$G$6-SQRT((1-P269)*($G$6-$E$6)*($G$6-$F$6))))</f>
        <v>0.96595259849173</v>
      </c>
      <c r="C269" s="37" t="n">
        <f aca="false">1+IF($G$7=$E$7,$F$7,IF(Q269&lt;($F$7-$E$7)/($G$7-$E$7),$E$7+SQRT(Q269*($G$7-$E$7)*($F$7-$E$7)),$G$7-SQRT((1-Q269)*($G$7-$E$7)*($G$7-$F$7))))</f>
        <v>0.817323551915215</v>
      </c>
      <c r="D269" s="37" t="n">
        <f aca="false">1+IF($G$8=$E$8,$F$8,IF(R269&lt;($F$8-$E$8)/($G$8-$E$8),$E$8+SQRT(R269*($G$8-$E$8)*($F$8-$E$8)),$G$8-SQRT((1-R269)*($G$8-$E$8)*($G$8-$F$8))))</f>
        <v>1.04543351659992</v>
      </c>
      <c r="E269" s="37" t="n">
        <f aca="false">1+IF($G$9=$E$9,$F$9,IF(S269&lt;($F$9-$E$9)/($G$9-$E$9),$E$9+SQRT(S269*($G$9-$E$9)*($F$9-$E$9)),$G$9-SQRT((1-S269)*($G$9-$E$9)*($G$9-$F$9))))</f>
        <v>1.01095741698299</v>
      </c>
      <c r="F269" s="37" t="n">
        <f aca="false">1+IF($G$10=$E$10,$F$10,IF(T269&lt;($F$10-$E$10)/($G$10-$E$10),$E$10+SQRT(T269*($G$10-$E$10)*($F$10-$E$10)),$G$10-SQRT((1-T269)*($G$10-$E$10)*($G$10-$F$10))))</f>
        <v>1.10221946902952</v>
      </c>
      <c r="G269" s="38" t="n">
        <f aca="false">IF($G$11=$E$11,$F$11,IF(U269&lt;($F$11-$E$11)/($G$11-$E$11),$E$11+SQRT(U269*($G$11-$E$11)*($F$11-$E$11)),$G$11-SQRT((1-U269)*($G$11-$E$11)*($G$11-$F$11))))</f>
        <v>0.0956196995677359</v>
      </c>
      <c r="H269" s="39" t="n">
        <f aca="false">(('Business Case'!B11*$C269*'Business Case'!B12*$B269)-'Business Case'!B11*$C269*'Business Case'!B13*$D269-'Business Case'!B14*$E269)-MAX(0,(('Business Case'!B11*$C269*'Business Case'!B12*$B269)-'Business Case'!B11*$C269*'Business Case'!B13*$D269-'Business Case'!B14*$E269))*'Business Case'!$B$7-'Business Case'!$B$8*('Business Case'!B11*$C269*'Business Case'!B12*$B269)-'Business Case'!B15*$F269</f>
        <v>-2204438938.05904</v>
      </c>
      <c r="I269" s="39" t="n">
        <f aca="false">(('Business Case'!C11*$C269*'Business Case'!C12*$B269)-'Business Case'!C11*$C269*'Business Case'!C13*$D269-'Business Case'!C14*$E269)-MAX(0,(('Business Case'!C11*$C269*'Business Case'!C12*$B269)-'Business Case'!C11*$C269*'Business Case'!C13*$D269-'Business Case'!C14*$E269))*'Business Case'!$B$7-'Business Case'!$B$8*(('Business Case'!C11*$C269*'Business Case'!C12*$B269)-('Business Case'!B11*$C269*'Business Case'!B12*$B269))-'Business Case'!C15*$F269</f>
        <v>-85667493.4007424</v>
      </c>
      <c r="J269" s="39" t="n">
        <f aca="false">(('Business Case'!D11*$C269*'Business Case'!D12*$B269)-'Business Case'!D11*$C269*'Business Case'!D13*$D269-'Business Case'!D14*$E269)-MAX(0,(('Business Case'!D11*$C269*'Business Case'!D12*$B269)-'Business Case'!D11*$C269*'Business Case'!D13*$D269-'Business Case'!D14*$E269))*'Business Case'!$B$7-'Business Case'!$B$8*(('Business Case'!D11*$C269*'Business Case'!D12*$B269)-('Business Case'!C11*$C269*'Business Case'!C12*$B269))-'Business Case'!D15*$F269</f>
        <v>123572567.523655</v>
      </c>
      <c r="K269" s="39" t="n">
        <f aca="false">(('Business Case'!E11*$C269*'Business Case'!E12*$B269)-'Business Case'!E11*$C269*'Business Case'!E13*$D269-'Business Case'!E14*$E269)-MAX(0,(('Business Case'!E11*$C269*'Business Case'!E12*$B269)-'Business Case'!E11*$C269*'Business Case'!E13*$D269-'Business Case'!E14*$E269))*'Business Case'!$B$7-'Business Case'!$B$8*(('Business Case'!E11*$C269*'Business Case'!E12*$B269)-('Business Case'!D11*$C269*'Business Case'!D12*$B269))-'Business Case'!E15*$F269</f>
        <v>387923601.899528</v>
      </c>
      <c r="L269" s="39" t="n">
        <f aca="false">(('Business Case'!F11*$C269*'Business Case'!F12*$B269)-'Business Case'!F11*$C269*'Business Case'!F13*$D269-'Business Case'!F14*$E269)-MAX(0,(('Business Case'!F11*$C269*'Business Case'!F12*$B269)-'Business Case'!F11*$C269*'Business Case'!F13*$D269-'Business Case'!F14*$E269))*'Business Case'!$B$7-'Business Case'!$B$8*(('Business Case'!F11*$C269*'Business Case'!F12*$B269)-('Business Case'!E11*$C269*'Business Case'!E12*$B269))-'Business Case'!F15*$F269</f>
        <v>484955264.025799</v>
      </c>
      <c r="M269" s="39" t="n">
        <f aca="false">(('Business Case'!G11*$C269*'Business Case'!G12*$B269)-'Business Case'!G11*$C269*'Business Case'!G13*$D269-'Business Case'!G14*$E269)-MAX(0,(('Business Case'!G11*$C269*'Business Case'!G12*$B269)-'Business Case'!G11*$C269*'Business Case'!G13*$D269-'Business Case'!G14*$E269))*'Business Case'!$B$7-'Business Case'!$B$8*(('Business Case'!G11*$C269*'Business Case'!G12*$B269)-('Business Case'!F11*$C269*'Business Case'!F12*$B269))-'Business Case'!G15*$F269+'Business Case'!$B$8*('Business Case'!G11*$C269*'Business Case'!G12*$B269)</f>
        <v>635022627.35889</v>
      </c>
      <c r="N269" s="39" t="n">
        <f aca="false">IF(COUNT('Business Case'!B11:G11)=0,"",H269+NPV(G269,I269:M269))</f>
        <v>-1145918771.59556</v>
      </c>
      <c r="P269" s="40" t="n">
        <f aca="true">RAND()</f>
        <v>0.219962636264802</v>
      </c>
      <c r="Q269" s="40" t="n">
        <f aca="true">RAND()</f>
        <v>0.00428722072798791</v>
      </c>
      <c r="R269" s="40" t="n">
        <f aca="true">RAND()</f>
        <v>0.885111367822293</v>
      </c>
      <c r="S269" s="40" t="n">
        <f aca="true">RAND()</f>
        <v>0.471427893977297</v>
      </c>
      <c r="T269" s="40" t="n">
        <f aca="true">RAND()</f>
        <v>0.808779355262611</v>
      </c>
      <c r="U269" s="40" t="n">
        <f aca="true">RAND()</f>
        <v>0.105270077438702</v>
      </c>
    </row>
    <row r="270" customFormat="false" ht="15" hidden="false" customHeight="false" outlineLevel="0" collapsed="false">
      <c r="A270" s="36" t="n">
        <v>190</v>
      </c>
      <c r="B270" s="37" t="n">
        <f aca="false">1+IF($G$6=$E$6,$F$6,IF(P270&lt;($F$6-$E$6)/($G$6-$E$6),$E$6+SQRT(P270*($G$6-$E$6)*($F$6-$E$6)),$G$6-SQRT((1-P270)*($G$6-$E$6)*($G$6-$F$6))))</f>
        <v>1.01470145862201</v>
      </c>
      <c r="C270" s="37" t="n">
        <f aca="false">1+IF($G$7=$E$7,$F$7,IF(Q270&lt;($F$7-$E$7)/($G$7-$E$7),$E$7+SQRT(Q270*($G$7-$E$7)*($F$7-$E$7)),$G$7-SQRT((1-Q270)*($G$7-$E$7)*($G$7-$F$7))))</f>
        <v>0.927185247031001</v>
      </c>
      <c r="D270" s="37" t="n">
        <f aca="false">1+IF($G$8=$E$8,$F$8,IF(R270&lt;($F$8-$E$8)/($G$8-$E$8),$E$8+SQRT(R270*($G$8-$E$8)*($F$8-$E$8)),$G$8-SQRT((1-R270)*($G$8-$E$8)*($G$8-$F$8))))</f>
        <v>1.00279585514866</v>
      </c>
      <c r="E270" s="37" t="n">
        <f aca="false">1+IF($G$9=$E$9,$F$9,IF(S270&lt;($F$9-$E$9)/($G$9-$E$9),$E$9+SQRT(S270*($G$9-$E$9)*($F$9-$E$9)),$G$9-SQRT((1-S270)*($G$9-$E$9)*($G$9-$F$9))))</f>
        <v>0.991689790022926</v>
      </c>
      <c r="F270" s="37" t="n">
        <f aca="false">1+IF($G$10=$E$10,$F$10,IF(T270&lt;($F$10-$E$10)/($G$10-$E$10),$E$10+SQRT(T270*($G$10-$E$10)*($F$10-$E$10)),$G$10-SQRT((1-T270)*($G$10-$E$10)*($G$10-$F$10))))</f>
        <v>1.11772880906985</v>
      </c>
      <c r="G270" s="38" t="n">
        <f aca="false">IF($G$11=$E$11,$F$11,IF(U270&lt;($F$11-$E$11)/($G$11-$E$11),$E$11+SQRT(U270*($G$11-$E$11)*($F$11-$E$11)),$G$11-SQRT((1-U270)*($G$11-$E$11)*($G$11-$F$11))))</f>
        <v>0.0925860343839702</v>
      </c>
      <c r="H270" s="39" t="n">
        <f aca="false">(('Business Case'!B11*$C270*'Business Case'!B12*$B270)-'Business Case'!B11*$C270*'Business Case'!B13*$D270-'Business Case'!B14*$E270)-MAX(0,(('Business Case'!B11*$C270*'Business Case'!B12*$B270)-'Business Case'!B11*$C270*'Business Case'!B13*$D270-'Business Case'!B14*$E270))*'Business Case'!$B$7-'Business Case'!$B$8*('Business Case'!B11*$C270*'Business Case'!B12*$B270)-'Business Case'!B15*$F270</f>
        <v>-2235457618.1397</v>
      </c>
      <c r="I270" s="39" t="n">
        <f aca="false">(('Business Case'!C11*$C270*'Business Case'!C12*$B270)-'Business Case'!C11*$C270*'Business Case'!C13*$D270-'Business Case'!C14*$E270)-MAX(0,(('Business Case'!C11*$C270*'Business Case'!C12*$B270)-'Business Case'!C11*$C270*'Business Case'!C13*$D270-'Business Case'!C14*$E270))*'Business Case'!$B$7-'Business Case'!$B$8*(('Business Case'!C11*$C270*'Business Case'!C12*$B270)-('Business Case'!B11*$C270*'Business Case'!B12*$B270))-'Business Case'!C15*$F270</f>
        <v>-6938566.37860976</v>
      </c>
      <c r="J270" s="39" t="n">
        <f aca="false">(('Business Case'!D11*$C270*'Business Case'!D12*$B270)-'Business Case'!D11*$C270*'Business Case'!D13*$D270-'Business Case'!D14*$E270)-MAX(0,(('Business Case'!D11*$C270*'Business Case'!D12*$B270)-'Business Case'!D11*$C270*'Business Case'!D13*$D270-'Business Case'!D14*$E270))*'Business Case'!$B$7-'Business Case'!$B$8*(('Business Case'!D11*$C270*'Business Case'!D12*$B270)-('Business Case'!C11*$C270*'Business Case'!C12*$B270))-'Business Case'!D15*$F270</f>
        <v>287685949.269322</v>
      </c>
      <c r="K270" s="39" t="n">
        <f aca="false">(('Business Case'!E11*$C270*'Business Case'!E12*$B270)-'Business Case'!E11*$C270*'Business Case'!E13*$D270-'Business Case'!E14*$E270)-MAX(0,(('Business Case'!E11*$C270*'Business Case'!E12*$B270)-'Business Case'!E11*$C270*'Business Case'!E13*$D270-'Business Case'!E14*$E270))*'Business Case'!$B$7-'Business Case'!$B$8*(('Business Case'!E11*$C270*'Business Case'!E12*$B270)-('Business Case'!D11*$C270*'Business Case'!D12*$B270))-'Business Case'!E15*$F270</f>
        <v>638196905.370746</v>
      </c>
      <c r="L270" s="39" t="n">
        <f aca="false">(('Business Case'!F11*$C270*'Business Case'!F12*$B270)-'Business Case'!F11*$C270*'Business Case'!F13*$D270-'Business Case'!F14*$E270)-MAX(0,(('Business Case'!F11*$C270*'Business Case'!F12*$B270)-'Business Case'!F11*$C270*'Business Case'!F13*$D270-'Business Case'!F14*$E270))*'Business Case'!$B$7-'Business Case'!$B$8*(('Business Case'!F11*$C270*'Business Case'!F12*$B270)-('Business Case'!E11*$C270*'Business Case'!E12*$B270))-'Business Case'!F15*$F270</f>
        <v>768919685.905588</v>
      </c>
      <c r="M270" s="39" t="n">
        <f aca="false">(('Business Case'!G11*$C270*'Business Case'!G12*$B270)-'Business Case'!G11*$C270*'Business Case'!G13*$D270-'Business Case'!G14*$E270)-MAX(0,(('Business Case'!G11*$C270*'Business Case'!G12*$B270)-'Business Case'!G11*$C270*'Business Case'!G13*$D270-'Business Case'!G14*$E270))*'Business Case'!$B$7-'Business Case'!$B$8*(('Business Case'!G11*$C270*'Business Case'!G12*$B270)-('Business Case'!F11*$C270*'Business Case'!F12*$B270))-'Business Case'!G15*$F270+'Business Case'!$B$8*('Business Case'!G11*$C270*'Business Case'!G12*$B270)</f>
        <v>947750033.492676</v>
      </c>
      <c r="N270" s="39" t="n">
        <f aca="false">IF(COUNT('Business Case'!B11:G11)=0,"",H270+NPV(G270,I270:M270))</f>
        <v>-363199058.83739</v>
      </c>
      <c r="P270" s="40" t="n">
        <f aca="true">RAND()</f>
        <v>0.866663292530476</v>
      </c>
      <c r="Q270" s="40" t="n">
        <f aca="true">RAND()</f>
        <v>0.231086958033381</v>
      </c>
      <c r="R270" s="40" t="n">
        <f aca="true">RAND()</f>
        <v>0.426876924785942</v>
      </c>
      <c r="S270" s="40" t="n">
        <f aca="true">RAND()</f>
        <v>0.231738478954082</v>
      </c>
      <c r="T270" s="40" t="n">
        <f aca="true">RAND()</f>
        <v>0.864629022858689</v>
      </c>
      <c r="U270" s="40" t="n">
        <f aca="true">RAND()</f>
        <v>0.0222919127835863</v>
      </c>
    </row>
    <row r="271" customFormat="false" ht="15" hidden="false" customHeight="false" outlineLevel="0" collapsed="false">
      <c r="A271" s="36" t="n">
        <v>191</v>
      </c>
      <c r="B271" s="37" t="n">
        <f aca="false">1+IF($G$6=$E$6,$F$6,IF(P271&lt;($F$6-$E$6)/($G$6-$E$6),$E$6+SQRT(P271*($G$6-$E$6)*($F$6-$E$6)),$G$6-SQRT((1-P271)*($G$6-$E$6)*($G$6-$F$6))))</f>
        <v>1.00151775876862</v>
      </c>
      <c r="C271" s="37" t="n">
        <f aca="false">1+IF($G$7=$E$7,$F$7,IF(Q271&lt;($F$7-$E$7)/($G$7-$E$7),$E$7+SQRT(Q271*($G$7-$E$7)*($F$7-$E$7)),$G$7-SQRT((1-Q271)*($G$7-$E$7)*($G$7-$F$7))))</f>
        <v>0.853179241691153</v>
      </c>
      <c r="D271" s="37" t="n">
        <f aca="false">1+IF($G$8=$E$8,$F$8,IF(R271&lt;($F$8-$E$8)/($G$8-$E$8),$E$8+SQRT(R271*($G$8-$E$8)*($F$8-$E$8)),$G$8-SQRT((1-R271)*($G$8-$E$8)*($G$8-$F$8))))</f>
        <v>1.02025788746084</v>
      </c>
      <c r="E271" s="37" t="n">
        <f aca="false">1+IF($G$9=$E$9,$F$9,IF(S271&lt;($F$9-$E$9)/($G$9-$E$9),$E$9+SQRT(S271*($G$9-$E$9)*($F$9-$E$9)),$G$9-SQRT((1-S271)*($G$9-$E$9)*($G$9-$F$9))))</f>
        <v>1.02702576346902</v>
      </c>
      <c r="F271" s="37" t="n">
        <f aca="false">1+IF($G$10=$E$10,$F$10,IF(T271&lt;($F$10-$E$10)/($G$10-$E$10),$E$10+SQRT(T271*($G$10-$E$10)*($F$10-$E$10)),$G$10-SQRT((1-T271)*($G$10-$E$10)*($G$10-$F$10))))</f>
        <v>1.07823378805271</v>
      </c>
      <c r="G271" s="38" t="n">
        <f aca="false">IF($G$11=$E$11,$F$11,IF(U271&lt;($F$11-$E$11)/($G$11-$E$11),$E$11+SQRT(U271*($G$11-$E$11)*($F$11-$E$11)),$G$11-SQRT((1-U271)*($G$11-$E$11)*($G$11-$F$11))))</f>
        <v>0.105319836512746</v>
      </c>
      <c r="H271" s="39" t="n">
        <f aca="false">(('Business Case'!B11*$C271*'Business Case'!B12*$B271)-'Business Case'!B11*$C271*'Business Case'!B13*$D271-'Business Case'!B14*$E271)-MAX(0,(('Business Case'!B11*$C271*'Business Case'!B12*$B271)-'Business Case'!B11*$C271*'Business Case'!B13*$D271-'Business Case'!B14*$E271))*'Business Case'!$B$7-'Business Case'!$B$8*('Business Case'!B11*$C271*'Business Case'!B12*$B271)-'Business Case'!B15*$F271</f>
        <v>-2156467576.10542</v>
      </c>
      <c r="I271" s="39" t="n">
        <f aca="false">(('Business Case'!C11*$C271*'Business Case'!C12*$B271)-'Business Case'!C11*$C271*'Business Case'!C13*$D271-'Business Case'!C14*$E271)-MAX(0,(('Business Case'!C11*$C271*'Business Case'!C12*$B271)-'Business Case'!C11*$C271*'Business Case'!C13*$D271-'Business Case'!C14*$E271))*'Business Case'!$B$7-'Business Case'!$B$8*(('Business Case'!C11*$C271*'Business Case'!C12*$B271)-('Business Case'!B11*$C271*'Business Case'!B12*$B271))-'Business Case'!C15*$F271</f>
        <v>-43893864.6943366</v>
      </c>
      <c r="J271" s="39" t="n">
        <f aca="false">(('Business Case'!D11*$C271*'Business Case'!D12*$B271)-'Business Case'!D11*$C271*'Business Case'!D13*$D271-'Business Case'!D14*$E271)-MAX(0,(('Business Case'!D11*$C271*'Business Case'!D12*$B271)-'Business Case'!D11*$C271*'Business Case'!D13*$D271-'Business Case'!D14*$E271))*'Business Case'!$B$7-'Business Case'!$B$8*(('Business Case'!D11*$C271*'Business Case'!D12*$B271)-('Business Case'!C11*$C271*'Business Case'!C12*$B271))-'Business Case'!D15*$F271</f>
        <v>210374653.538232</v>
      </c>
      <c r="K271" s="39" t="n">
        <f aca="false">(('Business Case'!E11*$C271*'Business Case'!E12*$B271)-'Business Case'!E11*$C271*'Business Case'!E13*$D271-'Business Case'!E14*$E271)-MAX(0,(('Business Case'!E11*$C271*'Business Case'!E12*$B271)-'Business Case'!E11*$C271*'Business Case'!E13*$D271-'Business Case'!E14*$E271))*'Business Case'!$B$7-'Business Case'!$B$8*(('Business Case'!E11*$C271*'Business Case'!E12*$B271)-('Business Case'!D11*$C271*'Business Case'!D12*$B271))-'Business Case'!E15*$F271</f>
        <v>518554861.173437</v>
      </c>
      <c r="L271" s="39" t="n">
        <f aca="false">(('Business Case'!F11*$C271*'Business Case'!F12*$B271)-'Business Case'!F11*$C271*'Business Case'!F13*$D271-'Business Case'!F14*$E271)-MAX(0,(('Business Case'!F11*$C271*'Business Case'!F12*$B271)-'Business Case'!F11*$C271*'Business Case'!F13*$D271-'Business Case'!F14*$E271))*'Business Case'!$B$7-'Business Case'!$B$8*(('Business Case'!F11*$C271*'Business Case'!F12*$B271)-('Business Case'!E11*$C271*'Business Case'!E12*$B271))-'Business Case'!F15*$F271</f>
        <v>632841660.955187</v>
      </c>
      <c r="M271" s="39" t="n">
        <f aca="false">(('Business Case'!G11*$C271*'Business Case'!G12*$B271)-'Business Case'!G11*$C271*'Business Case'!G13*$D271-'Business Case'!G14*$E271)-MAX(0,(('Business Case'!G11*$C271*'Business Case'!G12*$B271)-'Business Case'!G11*$C271*'Business Case'!G13*$D271-'Business Case'!G14*$E271))*'Business Case'!$B$7-'Business Case'!$B$8*(('Business Case'!G11*$C271*'Business Case'!G12*$B271)-('Business Case'!F11*$C271*'Business Case'!F12*$B271))-'Business Case'!G15*$F271+'Business Case'!$B$8*('Business Case'!G11*$C271*'Business Case'!G12*$B271)</f>
        <v>795260109.661768</v>
      </c>
      <c r="N271" s="39" t="n">
        <f aca="false">IF(COUNT('Business Case'!B11:G11)=0,"",H271+NPV(G271,I271:M271))</f>
        <v>-733982925.125728</v>
      </c>
      <c r="P271" s="40" t="n">
        <f aca="true">RAND()</f>
        <v>0.691482731210466</v>
      </c>
      <c r="Q271" s="40" t="n">
        <f aca="true">RAND()</f>
        <v>0.0404004535263724</v>
      </c>
      <c r="R271" s="40" t="n">
        <f aca="true">RAND()</f>
        <v>0.656815383592099</v>
      </c>
      <c r="S271" s="40" t="n">
        <f aca="true">RAND()</f>
        <v>0.64498405351468</v>
      </c>
      <c r="T271" s="40" t="n">
        <f aca="true">RAND()</f>
        <v>0.703459792560163</v>
      </c>
      <c r="U271" s="40" t="n">
        <f aca="true">RAND()</f>
        <v>0.640821333312499</v>
      </c>
    </row>
    <row r="272" customFormat="false" ht="15" hidden="false" customHeight="false" outlineLevel="0" collapsed="false">
      <c r="A272" s="36" t="n">
        <v>192</v>
      </c>
      <c r="B272" s="37" t="n">
        <f aca="false">1+IF($G$6=$E$6,$F$6,IF(P272&lt;($F$6-$E$6)/($G$6-$E$6),$E$6+SQRT(P272*($G$6-$E$6)*($F$6-$E$6)),$G$6-SQRT((1-P272)*($G$6-$E$6)*($G$6-$F$6))))</f>
        <v>0.998172781401123</v>
      </c>
      <c r="C272" s="37" t="n">
        <f aca="false">1+IF($G$7=$E$7,$F$7,IF(Q272&lt;($F$7-$E$7)/($G$7-$E$7),$E$7+SQRT(Q272*($G$7-$E$7)*($F$7-$E$7)),$G$7-SQRT((1-Q272)*($G$7-$E$7)*($G$7-$F$7))))</f>
        <v>0.943878662607745</v>
      </c>
      <c r="D272" s="37" t="n">
        <f aca="false">1+IF($G$8=$E$8,$F$8,IF(R272&lt;($F$8-$E$8)/($G$8-$E$8),$E$8+SQRT(R272*($G$8-$E$8)*($F$8-$E$8)),$G$8-SQRT((1-R272)*($G$8-$E$8)*($G$8-$F$8))))</f>
        <v>0.977936311799484</v>
      </c>
      <c r="E272" s="37" t="n">
        <f aca="false">1+IF($G$9=$E$9,$F$9,IF(S272&lt;($F$9-$E$9)/($G$9-$E$9),$E$9+SQRT(S272*($G$9-$E$9)*($F$9-$E$9)),$G$9-SQRT((1-S272)*($G$9-$E$9)*($G$9-$F$9))))</f>
        <v>1.00067494501381</v>
      </c>
      <c r="F272" s="37" t="n">
        <f aca="false">1+IF($G$10=$E$10,$F$10,IF(T272&lt;($F$10-$E$10)/($G$10-$E$10),$E$10+SQRT(T272*($G$10-$E$10)*($F$10-$E$10)),$G$10-SQRT((1-T272)*($G$10-$E$10)*($G$10-$F$10))))</f>
        <v>1.09415824394675</v>
      </c>
      <c r="G272" s="38" t="n">
        <f aca="false">IF($G$11=$E$11,$F$11,IF(U272&lt;($F$11-$E$11)/($G$11-$E$11),$E$11+SQRT(U272*($G$11-$E$11)*($F$11-$E$11)),$G$11-SQRT((1-U272)*($G$11-$E$11)*($G$11-$F$11))))</f>
        <v>0.104291488057462</v>
      </c>
      <c r="H272" s="39" t="n">
        <f aca="false">(('Business Case'!B11*$C272*'Business Case'!B12*$B272)-'Business Case'!B11*$C272*'Business Case'!B13*$D272-'Business Case'!B14*$E272)-MAX(0,(('Business Case'!B11*$C272*'Business Case'!B12*$B272)-'Business Case'!B11*$C272*'Business Case'!B13*$D272-'Business Case'!B14*$E272))*'Business Case'!$B$7-'Business Case'!$B$8*('Business Case'!B11*$C272*'Business Case'!B12*$B272)-'Business Case'!B15*$F272</f>
        <v>-2188316487.8935</v>
      </c>
      <c r="I272" s="39" t="n">
        <f aca="false">(('Business Case'!C11*$C272*'Business Case'!C12*$B272)-'Business Case'!C11*$C272*'Business Case'!C13*$D272-'Business Case'!C14*$E272)-MAX(0,(('Business Case'!C11*$C272*'Business Case'!C12*$B272)-'Business Case'!C11*$C272*'Business Case'!C13*$D272-'Business Case'!C14*$E272))*'Business Case'!$B$7-'Business Case'!$B$8*(('Business Case'!C11*$C272*'Business Case'!C12*$B272)-('Business Case'!B11*$C272*'Business Case'!B12*$B272))-'Business Case'!C15*$F272</f>
        <v>-1390514.95852187</v>
      </c>
      <c r="J272" s="39" t="n">
        <f aca="false">(('Business Case'!D11*$C272*'Business Case'!D12*$B272)-'Business Case'!D11*$C272*'Business Case'!D13*$D272-'Business Case'!D14*$E272)-MAX(0,(('Business Case'!D11*$C272*'Business Case'!D12*$B272)-'Business Case'!D11*$C272*'Business Case'!D13*$D272-'Business Case'!D14*$E272))*'Business Case'!$B$7-'Business Case'!$B$8*(('Business Case'!D11*$C272*'Business Case'!D12*$B272)-('Business Case'!C11*$C272*'Business Case'!C12*$B272))-'Business Case'!D15*$F272</f>
        <v>297772034.49814</v>
      </c>
      <c r="K272" s="39" t="n">
        <f aca="false">(('Business Case'!E11*$C272*'Business Case'!E12*$B272)-'Business Case'!E11*$C272*'Business Case'!E13*$D272-'Business Case'!E14*$E272)-MAX(0,(('Business Case'!E11*$C272*'Business Case'!E12*$B272)-'Business Case'!E11*$C272*'Business Case'!E13*$D272-'Business Case'!E14*$E272))*'Business Case'!$B$7-'Business Case'!$B$8*(('Business Case'!E11*$C272*'Business Case'!E12*$B272)-('Business Case'!D11*$C272*'Business Case'!D12*$B272))-'Business Case'!E15*$F272</f>
        <v>651642496.152139</v>
      </c>
      <c r="L272" s="39" t="n">
        <f aca="false">(('Business Case'!F11*$C272*'Business Case'!F12*$B272)-'Business Case'!F11*$C272*'Business Case'!F13*$D272-'Business Case'!F14*$E272)-MAX(0,(('Business Case'!F11*$C272*'Business Case'!F12*$B272)-'Business Case'!F11*$C272*'Business Case'!F13*$D272-'Business Case'!F14*$E272))*'Business Case'!$B$7-'Business Case'!$B$8*(('Business Case'!F11*$C272*'Business Case'!F12*$B272)-('Business Case'!E11*$C272*'Business Case'!E12*$B272))-'Business Case'!F15*$F272</f>
        <v>783924187.864055</v>
      </c>
      <c r="M272" s="39" t="n">
        <f aca="false">(('Business Case'!G11*$C272*'Business Case'!G12*$B272)-'Business Case'!G11*$C272*'Business Case'!G13*$D272-'Business Case'!G14*$E272)-MAX(0,(('Business Case'!G11*$C272*'Business Case'!G12*$B272)-'Business Case'!G11*$C272*'Business Case'!G13*$D272-'Business Case'!G14*$E272))*'Business Case'!$B$7-'Business Case'!$B$8*(('Business Case'!G11*$C272*'Business Case'!G12*$B272)-('Business Case'!F11*$C272*'Business Case'!F12*$B272))-'Business Case'!G15*$F272+'Business Case'!$B$8*('Business Case'!G11*$C272*'Business Case'!G12*$B272)</f>
        <v>963008818.275717</v>
      </c>
      <c r="N272" s="39" t="n">
        <f aca="false">IF(COUNT('Business Case'!B11:G11)=0,"",H272+NPV(G272,I272:M272))</f>
        <v>-347909311.932552</v>
      </c>
      <c r="P272" s="40" t="n">
        <f aca="true">RAND()</f>
        <v>0.636560807498719</v>
      </c>
      <c r="Q272" s="40" t="n">
        <f aca="true">RAND()</f>
        <v>0.295729565054192</v>
      </c>
      <c r="R272" s="40" t="n">
        <f aca="true">RAND()</f>
        <v>0.120067310301225</v>
      </c>
      <c r="S272" s="40" t="n">
        <f aca="true">RAND()</f>
        <v>0.342302230132729</v>
      </c>
      <c r="T272" s="40" t="n">
        <f aca="true">RAND()</f>
        <v>0.775950453511278</v>
      </c>
      <c r="U272" s="40" t="n">
        <f aca="true">RAND()</f>
        <v>0.588737754251911</v>
      </c>
    </row>
    <row r="273" customFormat="false" ht="15" hidden="false" customHeight="false" outlineLevel="0" collapsed="false">
      <c r="A273" s="36" t="n">
        <v>193</v>
      </c>
      <c r="B273" s="37" t="n">
        <f aca="false">1+IF($G$6=$E$6,$F$6,IF(P273&lt;($F$6-$E$6)/($G$6-$E$6),$E$6+SQRT(P273*($G$6-$E$6)*($F$6-$E$6)),$G$6-SQRT((1-P273)*($G$6-$E$6)*($G$6-$F$6))))</f>
        <v>0.949399793688179</v>
      </c>
      <c r="C273" s="37" t="n">
        <f aca="false">1+IF($G$7=$E$7,$F$7,IF(Q273&lt;($F$7-$E$7)/($G$7-$E$7),$E$7+SQRT(Q273*($G$7-$E$7)*($F$7-$E$7)),$G$7-SQRT((1-Q273)*($G$7-$E$7)*($G$7-$F$7))))</f>
        <v>1.00511680284523</v>
      </c>
      <c r="D273" s="37" t="n">
        <f aca="false">1+IF($G$8=$E$8,$F$8,IF(R273&lt;($F$8-$E$8)/($G$8-$E$8),$E$8+SQRT(R273*($G$8-$E$8)*($F$8-$E$8)),$G$8-SQRT((1-R273)*($G$8-$E$8)*($G$8-$F$8))))</f>
        <v>1.01152002729327</v>
      </c>
      <c r="E273" s="37" t="n">
        <f aca="false">1+IF($G$9=$E$9,$F$9,IF(S273&lt;($F$9-$E$9)/($G$9-$E$9),$E$9+SQRT(S273*($G$9-$E$9)*($F$9-$E$9)),$G$9-SQRT((1-S273)*($G$9-$E$9)*($G$9-$F$9))))</f>
        <v>1.03405062357011</v>
      </c>
      <c r="F273" s="37" t="n">
        <f aca="false">1+IF($G$10=$E$10,$F$10,IF(T273&lt;($F$10-$E$10)/($G$10-$E$10),$E$10+SQRT(T273*($G$10-$E$10)*($F$10-$E$10)),$G$10-SQRT((1-T273)*($G$10-$E$10)*($G$10-$F$10))))</f>
        <v>1.01745505463143</v>
      </c>
      <c r="G273" s="38" t="n">
        <f aca="false">IF($G$11=$E$11,$F$11,IF(U273&lt;($F$11-$E$11)/($G$11-$E$11),$E$11+SQRT(U273*($G$11-$E$11)*($F$11-$E$11)),$G$11-SQRT((1-U273)*($G$11-$E$11)*($G$11-$F$11))))</f>
        <v>0.09998690175489</v>
      </c>
      <c r="H273" s="39" t="n">
        <f aca="false">(('Business Case'!B11*$C273*'Business Case'!B12*$B273)-'Business Case'!B11*$C273*'Business Case'!B13*$D273-'Business Case'!B14*$E273)-MAX(0,(('Business Case'!B11*$C273*'Business Case'!B12*$B273)-'Business Case'!B11*$C273*'Business Case'!B13*$D273-'Business Case'!B14*$E273))*'Business Case'!$B$7-'Business Case'!$B$8*('Business Case'!B11*$C273*'Business Case'!B12*$B273)-'Business Case'!B15*$F273</f>
        <v>-2034910109.26287</v>
      </c>
      <c r="I273" s="39" t="n">
        <f aca="false">(('Business Case'!C11*$C273*'Business Case'!C12*$B273)-'Business Case'!C11*$C273*'Business Case'!C13*$D273-'Business Case'!C14*$E273)-MAX(0,(('Business Case'!C11*$C273*'Business Case'!C12*$B273)-'Business Case'!C11*$C273*'Business Case'!C13*$D273-'Business Case'!C14*$E273))*'Business Case'!$B$7-'Business Case'!$B$8*(('Business Case'!C11*$C273*'Business Case'!C12*$B273)-('Business Case'!B11*$C273*'Business Case'!B12*$B273))-'Business Case'!C15*$F273</f>
        <v>-37117373.3337427</v>
      </c>
      <c r="J273" s="39" t="n">
        <f aca="false">(('Business Case'!D11*$C273*'Business Case'!D12*$B273)-'Business Case'!D11*$C273*'Business Case'!D13*$D273-'Business Case'!D14*$E273)-MAX(0,(('Business Case'!D11*$C273*'Business Case'!D12*$B273)-'Business Case'!D11*$C273*'Business Case'!D13*$D273-'Business Case'!D14*$E273))*'Business Case'!$B$7-'Business Case'!$B$8*(('Business Case'!D11*$C273*'Business Case'!D12*$B273)-('Business Case'!C11*$C273*'Business Case'!C12*$B273))-'Business Case'!D15*$F273</f>
        <v>224021475.870884</v>
      </c>
      <c r="K273" s="39" t="n">
        <f aca="false">(('Business Case'!E11*$C273*'Business Case'!E12*$B273)-'Business Case'!E11*$C273*'Business Case'!E13*$D273-'Business Case'!E14*$E273)-MAX(0,(('Business Case'!E11*$C273*'Business Case'!E12*$B273)-'Business Case'!E11*$C273*'Business Case'!E13*$D273-'Business Case'!E14*$E273))*'Business Case'!$B$7-'Business Case'!$B$8*(('Business Case'!E11*$C273*'Business Case'!E12*$B273)-('Business Case'!D11*$C273*'Business Case'!D12*$B273))-'Business Case'!E15*$F273</f>
        <v>536033077.807081</v>
      </c>
      <c r="L273" s="39" t="n">
        <f aca="false">(('Business Case'!F11*$C273*'Business Case'!F12*$B273)-'Business Case'!F11*$C273*'Business Case'!F13*$D273-'Business Case'!F14*$E273)-MAX(0,(('Business Case'!F11*$C273*'Business Case'!F12*$B273)-'Business Case'!F11*$C273*'Business Case'!F13*$D273-'Business Case'!F14*$E273))*'Business Case'!$B$7-'Business Case'!$B$8*(('Business Case'!F11*$C273*'Business Case'!F12*$B273)-('Business Case'!E11*$C273*'Business Case'!E12*$B273))-'Business Case'!F15*$F273</f>
        <v>656058506.477661</v>
      </c>
      <c r="M273" s="39" t="n">
        <f aca="false">(('Business Case'!G11*$C273*'Business Case'!G12*$B273)-'Business Case'!G11*$C273*'Business Case'!G13*$D273-'Business Case'!G14*$E273)-MAX(0,(('Business Case'!G11*$C273*'Business Case'!G12*$B273)-'Business Case'!G11*$C273*'Business Case'!G13*$D273-'Business Case'!G14*$E273))*'Business Case'!$B$7-'Business Case'!$B$8*(('Business Case'!G11*$C273*'Business Case'!G12*$B273)-('Business Case'!F11*$C273*'Business Case'!F12*$B273))-'Business Case'!G15*$F273+'Business Case'!$B$8*('Business Case'!G11*$C273*'Business Case'!G12*$B273)</f>
        <v>837443807.2907</v>
      </c>
      <c r="N273" s="39" t="n">
        <f aca="false">IF(COUNT('Business Case'!B11:G11)=0,"",H273+NPV(G273,I273:M273))</f>
        <v>-512627673.410605</v>
      </c>
      <c r="P273" s="40" t="n">
        <f aca="true">RAND()</f>
        <v>0.0900362363445329</v>
      </c>
      <c r="Q273" s="40" t="n">
        <f aca="true">RAND()</f>
        <v>0.600168746327837</v>
      </c>
      <c r="R273" s="40" t="n">
        <f aca="true">RAND()</f>
        <v>0.549085897892822</v>
      </c>
      <c r="S273" s="40" t="n">
        <f aca="true">RAND()</f>
        <v>0.710045316567251</v>
      </c>
      <c r="T273" s="40" t="n">
        <f aca="true">RAND()</f>
        <v>0.333546858407735</v>
      </c>
      <c r="U273" s="40" t="n">
        <f aca="true">RAND()</f>
        <v>0.332460688872752</v>
      </c>
    </row>
    <row r="274" customFormat="false" ht="15" hidden="false" customHeight="false" outlineLevel="0" collapsed="false">
      <c r="A274" s="36" t="n">
        <v>194</v>
      </c>
      <c r="B274" s="37" t="n">
        <f aca="false">1+IF($G$6=$E$6,$F$6,IF(P274&lt;($F$6-$E$6)/($G$6-$E$6),$E$6+SQRT(P274*($G$6-$E$6)*($F$6-$E$6)),$G$6-SQRT((1-P274)*($G$6-$E$6)*($G$6-$F$6))))</f>
        <v>0.986349894395405</v>
      </c>
      <c r="C274" s="37" t="n">
        <f aca="false">1+IF($G$7=$E$7,$F$7,IF(Q274&lt;($F$7-$E$7)/($G$7-$E$7),$E$7+SQRT(Q274*($G$7-$E$7)*($F$7-$E$7)),$G$7-SQRT((1-Q274)*($G$7-$E$7)*($G$7-$F$7))))</f>
        <v>0.999245578780306</v>
      </c>
      <c r="D274" s="37" t="n">
        <f aca="false">1+IF($G$8=$E$8,$F$8,IF(R274&lt;($F$8-$E$8)/($G$8-$E$8),$E$8+SQRT(R274*($G$8-$E$8)*($F$8-$E$8)),$G$8-SQRT((1-R274)*($G$8-$E$8)*($G$8-$F$8))))</f>
        <v>1.02996966913769</v>
      </c>
      <c r="E274" s="37" t="n">
        <f aca="false">1+IF($G$9=$E$9,$F$9,IF(S274&lt;($F$9-$E$9)/($G$9-$E$9),$E$9+SQRT(S274*($G$9-$E$9)*($F$9-$E$9)),$G$9-SQRT((1-S274)*($G$9-$E$9)*($G$9-$F$9))))</f>
        <v>1.08843539461559</v>
      </c>
      <c r="F274" s="37" t="n">
        <f aca="false">1+IF($G$10=$E$10,$F$10,IF(T274&lt;($F$10-$E$10)/($G$10-$E$10),$E$10+SQRT(T274*($G$10-$E$10)*($F$10-$E$10)),$G$10-SQRT((1-T274)*($G$10-$E$10)*($G$10-$F$10))))</f>
        <v>1.0878565977553</v>
      </c>
      <c r="G274" s="38" t="n">
        <f aca="false">IF($G$11=$E$11,$F$11,IF(U274&lt;($F$11-$E$11)/($G$11-$E$11),$E$11+SQRT(U274*($G$11-$E$11)*($F$11-$E$11)),$G$11-SQRT((1-U274)*($G$11-$E$11)*($G$11-$F$11))))</f>
        <v>0.1018633657396</v>
      </c>
      <c r="H274" s="39" t="n">
        <f aca="false">(('Business Case'!B11*$C274*'Business Case'!B12*$B274)-'Business Case'!B11*$C274*'Business Case'!B13*$D274-'Business Case'!B14*$E274)-MAX(0,(('Business Case'!B11*$C274*'Business Case'!B12*$B274)-'Business Case'!B11*$C274*'Business Case'!B13*$D274-'Business Case'!B14*$E274))*'Business Case'!$B$7-'Business Case'!$B$8*('Business Case'!B11*$C274*'Business Case'!B12*$B274)-'Business Case'!B15*$F274</f>
        <v>-2175713195.51059</v>
      </c>
      <c r="I274" s="39" t="n">
        <f aca="false">(('Business Case'!C11*$C274*'Business Case'!C12*$B274)-'Business Case'!C11*$C274*'Business Case'!C13*$D274-'Business Case'!C14*$E274)-MAX(0,(('Business Case'!C11*$C274*'Business Case'!C12*$B274)-'Business Case'!C11*$C274*'Business Case'!C13*$D274-'Business Case'!C14*$E274))*'Business Case'!$B$7-'Business Case'!$B$8*(('Business Case'!C11*$C274*'Business Case'!C12*$B274)-('Business Case'!B11*$C274*'Business Case'!B12*$B274))-'Business Case'!C15*$F274</f>
        <v>-34237181.2421471</v>
      </c>
      <c r="J274" s="39" t="n">
        <f aca="false">(('Business Case'!D11*$C274*'Business Case'!D12*$B274)-'Business Case'!D11*$C274*'Business Case'!D13*$D274-'Business Case'!D14*$E274)-MAX(0,(('Business Case'!D11*$C274*'Business Case'!D12*$B274)-'Business Case'!D11*$C274*'Business Case'!D13*$D274-'Business Case'!D14*$E274))*'Business Case'!$B$7-'Business Case'!$B$8*(('Business Case'!D11*$C274*'Business Case'!D12*$B274)-('Business Case'!C11*$C274*'Business Case'!C12*$B274))-'Business Case'!D15*$F274</f>
        <v>246180613.579658</v>
      </c>
      <c r="K274" s="39" t="n">
        <f aca="false">(('Business Case'!E11*$C274*'Business Case'!E12*$B274)-'Business Case'!E11*$C274*'Business Case'!E13*$D274-'Business Case'!E14*$E274)-MAX(0,(('Business Case'!E11*$C274*'Business Case'!E12*$B274)-'Business Case'!E11*$C274*'Business Case'!E13*$D274-'Business Case'!E14*$E274))*'Business Case'!$B$7-'Business Case'!$B$8*(('Business Case'!E11*$C274*'Business Case'!E12*$B274)-('Business Case'!D11*$C274*'Business Case'!D12*$B274))-'Business Case'!E15*$F274</f>
        <v>580991238.289227</v>
      </c>
      <c r="L274" s="39" t="n">
        <f aca="false">(('Business Case'!F11*$C274*'Business Case'!F12*$B274)-'Business Case'!F11*$C274*'Business Case'!F13*$D274-'Business Case'!F14*$E274)-MAX(0,(('Business Case'!F11*$C274*'Business Case'!F12*$B274)-'Business Case'!F11*$C274*'Business Case'!F13*$D274-'Business Case'!F14*$E274))*'Business Case'!$B$7-'Business Case'!$B$8*(('Business Case'!F11*$C274*'Business Case'!F12*$B274)-('Business Case'!E11*$C274*'Business Case'!E12*$B274))-'Business Case'!F15*$F274</f>
        <v>708526372.012552</v>
      </c>
      <c r="M274" s="39" t="n">
        <f aca="false">(('Business Case'!G11*$C274*'Business Case'!G12*$B274)-'Business Case'!G11*$C274*'Business Case'!G13*$D274-'Business Case'!G14*$E274)-MAX(0,(('Business Case'!G11*$C274*'Business Case'!G12*$B274)-'Business Case'!G11*$C274*'Business Case'!G13*$D274-'Business Case'!G14*$E274))*'Business Case'!$B$7-'Business Case'!$B$8*(('Business Case'!G11*$C274*'Business Case'!G12*$B274)-('Business Case'!F11*$C274*'Business Case'!F12*$B274))-'Business Case'!G15*$F274+'Business Case'!$B$8*('Business Case'!G11*$C274*'Business Case'!G12*$B274)</f>
        <v>895870316.984196</v>
      </c>
      <c r="N274" s="39" t="n">
        <f aca="false">IF(COUNT('Business Case'!B11:G11)=0,"",H274+NPV(G274,I274:M274))</f>
        <v>-537476073.257826</v>
      </c>
      <c r="P274" s="40" t="n">
        <f aca="true">RAND()</f>
        <v>0.45857380065431</v>
      </c>
      <c r="Q274" s="40" t="n">
        <f aca="true">RAND()</f>
        <v>0.567125723764274</v>
      </c>
      <c r="R274" s="40" t="n">
        <f aca="true">RAND()</f>
        <v>0.759323653250716</v>
      </c>
      <c r="S274" s="40" t="n">
        <f aca="true">RAND()</f>
        <v>0.991083993486864</v>
      </c>
      <c r="T274" s="40" t="n">
        <f aca="true">RAND()</f>
        <v>0.74847714665965</v>
      </c>
      <c r="U274" s="40" t="n">
        <f aca="true">RAND()</f>
        <v>0.451770829507487</v>
      </c>
    </row>
    <row r="275" customFormat="false" ht="15" hidden="false" customHeight="false" outlineLevel="0" collapsed="false">
      <c r="A275" s="36" t="n">
        <v>195</v>
      </c>
      <c r="B275" s="37" t="n">
        <f aca="false">1+IF($G$6=$E$6,$F$6,IF(P275&lt;($F$6-$E$6)/($G$6-$E$6),$E$6+SQRT(P275*($G$6-$E$6)*($F$6-$E$6)),$G$6-SQRT((1-P275)*($G$6-$E$6)*($G$6-$F$6))))</f>
        <v>0.990352377316501</v>
      </c>
      <c r="C275" s="37" t="n">
        <f aca="false">1+IF($G$7=$E$7,$F$7,IF(Q275&lt;($F$7-$E$7)/($G$7-$E$7),$E$7+SQRT(Q275*($G$7-$E$7)*($F$7-$E$7)),$G$7-SQRT((1-Q275)*($G$7-$E$7)*($G$7-$F$7))))</f>
        <v>0.887762247133687</v>
      </c>
      <c r="D275" s="37" t="n">
        <f aca="false">1+IF($G$8=$E$8,$F$8,IF(R275&lt;($F$8-$E$8)/($G$8-$E$8),$E$8+SQRT(R275*($G$8-$E$8)*($F$8-$E$8)),$G$8-SQRT((1-R275)*($G$8-$E$8)*($G$8-$F$8))))</f>
        <v>1.04998766184019</v>
      </c>
      <c r="E275" s="37" t="n">
        <f aca="false">1+IF($G$9=$E$9,$F$9,IF(S275&lt;($F$9-$E$9)/($G$9-$E$9),$E$9+SQRT(S275*($G$9-$E$9)*($F$9-$E$9)),$G$9-SQRT((1-S275)*($G$9-$E$9)*($G$9-$F$9))))</f>
        <v>0.951951482176163</v>
      </c>
      <c r="F275" s="37" t="n">
        <f aca="false">1+IF($G$10=$E$10,$F$10,IF(T275&lt;($F$10-$E$10)/($G$10-$E$10),$E$10+SQRT(T275*($G$10-$E$10)*($F$10-$E$10)),$G$10-SQRT((1-T275)*($G$10-$E$10)*($G$10-$F$10))))</f>
        <v>1.01935633355403</v>
      </c>
      <c r="G275" s="38" t="n">
        <f aca="false">IF($G$11=$E$11,$F$11,IF(U275&lt;($F$11-$E$11)/($G$11-$E$11),$E$11+SQRT(U275*($G$11-$E$11)*($F$11-$E$11)),$G$11-SQRT((1-U275)*($G$11-$E$11)*($G$11-$F$11))))</f>
        <v>0.111912932208448</v>
      </c>
      <c r="H275" s="39" t="n">
        <f aca="false">(('Business Case'!B11*$C275*'Business Case'!B12*$B275)-'Business Case'!B11*$C275*'Business Case'!B13*$D275-'Business Case'!B14*$E275)-MAX(0,(('Business Case'!B11*$C275*'Business Case'!B12*$B275)-'Business Case'!B11*$C275*'Business Case'!B13*$D275-'Business Case'!B14*$E275))*'Business Case'!$B$7-'Business Case'!$B$8*('Business Case'!B11*$C275*'Business Case'!B12*$B275)-'Business Case'!B15*$F275</f>
        <v>-2038712667.10806</v>
      </c>
      <c r="I275" s="39" t="n">
        <f aca="false">(('Business Case'!C11*$C275*'Business Case'!C12*$B275)-'Business Case'!C11*$C275*'Business Case'!C13*$D275-'Business Case'!C14*$E275)-MAX(0,(('Business Case'!C11*$C275*'Business Case'!C12*$B275)-'Business Case'!C11*$C275*'Business Case'!C13*$D275-'Business Case'!C14*$E275))*'Business Case'!$B$7-'Business Case'!$B$8*(('Business Case'!C11*$C275*'Business Case'!C12*$B275)-('Business Case'!B11*$C275*'Business Case'!B12*$B275))-'Business Case'!C15*$F275</f>
        <v>-39935519.4636082</v>
      </c>
      <c r="J275" s="39" t="n">
        <f aca="false">(('Business Case'!D11*$C275*'Business Case'!D12*$B275)-'Business Case'!D11*$C275*'Business Case'!D13*$D275-'Business Case'!D14*$E275)-MAX(0,(('Business Case'!D11*$C275*'Business Case'!D12*$B275)-'Business Case'!D11*$C275*'Business Case'!D13*$D275-'Business Case'!D14*$E275))*'Business Case'!$B$7-'Business Case'!$B$8*(('Business Case'!D11*$C275*'Business Case'!D12*$B275)-('Business Case'!C11*$C275*'Business Case'!C12*$B275))-'Business Case'!D15*$F275</f>
        <v>203009691.102242</v>
      </c>
      <c r="K275" s="39" t="n">
        <f aca="false">(('Business Case'!E11*$C275*'Business Case'!E12*$B275)-'Business Case'!E11*$C275*'Business Case'!E13*$D275-'Business Case'!E14*$E275)-MAX(0,(('Business Case'!E11*$C275*'Business Case'!E12*$B275)-'Business Case'!E11*$C275*'Business Case'!E13*$D275-'Business Case'!E14*$E275))*'Business Case'!$B$7-'Business Case'!$B$8*(('Business Case'!E11*$C275*'Business Case'!E12*$B275)-('Business Case'!D11*$C275*'Business Case'!D12*$B275))-'Business Case'!E15*$F275</f>
        <v>496922718.345794</v>
      </c>
      <c r="L275" s="39" t="n">
        <f aca="false">(('Business Case'!F11*$C275*'Business Case'!F12*$B275)-'Business Case'!F11*$C275*'Business Case'!F13*$D275-'Business Case'!F14*$E275)-MAX(0,(('Business Case'!F11*$C275*'Business Case'!F12*$B275)-'Business Case'!F11*$C275*'Business Case'!F13*$D275-'Business Case'!F14*$E275))*'Business Case'!$B$7-'Business Case'!$B$8*(('Business Case'!F11*$C275*'Business Case'!F12*$B275)-('Business Case'!E11*$C275*'Business Case'!E12*$B275))-'Business Case'!F15*$F275</f>
        <v>608289519.140148</v>
      </c>
      <c r="M275" s="39" t="n">
        <f aca="false">(('Business Case'!G11*$C275*'Business Case'!G12*$B275)-'Business Case'!G11*$C275*'Business Case'!G13*$D275-'Business Case'!G14*$E275)-MAX(0,(('Business Case'!G11*$C275*'Business Case'!G12*$B275)-'Business Case'!G11*$C275*'Business Case'!G13*$D275-'Business Case'!G14*$E275))*'Business Case'!$B$7-'Business Case'!$B$8*(('Business Case'!G11*$C275*'Business Case'!G12*$B275)-('Business Case'!F11*$C275*'Business Case'!F12*$B275))-'Business Case'!G15*$F275+'Business Case'!$B$8*('Business Case'!G11*$C275*'Business Case'!G12*$B275)</f>
        <v>775407370.805033</v>
      </c>
      <c r="N275" s="39" t="n">
        <f aca="false">IF(COUNT('Business Case'!B11:G11)=0,"",H275+NPV(G275,I275:M275))</f>
        <v>-694783810.968722</v>
      </c>
      <c r="P275" s="40" t="n">
        <f aca="true">RAND()</f>
        <v>0.515568436883674</v>
      </c>
      <c r="Q275" s="40" t="n">
        <f aca="true">RAND()</f>
        <v>0.110031600313633</v>
      </c>
      <c r="R275" s="40" t="n">
        <f aca="true">RAND()</f>
        <v>0.913390342132818</v>
      </c>
      <c r="S275" s="40" t="n">
        <f aca="true">RAND()</f>
        <v>0.00050777102451742</v>
      </c>
      <c r="T275" s="40" t="n">
        <f aca="true">RAND()</f>
        <v>0.347357315459151</v>
      </c>
      <c r="U275" s="40" t="n">
        <f aca="true">RAND()</f>
        <v>0.890998890891404</v>
      </c>
    </row>
    <row r="276" customFormat="false" ht="15" hidden="false" customHeight="false" outlineLevel="0" collapsed="false">
      <c r="A276" s="36" t="n">
        <v>196</v>
      </c>
      <c r="B276" s="37" t="n">
        <f aca="false">1+IF($G$6=$E$6,$F$6,IF(P276&lt;($F$6-$E$6)/($G$6-$E$6),$E$6+SQRT(P276*($G$6-$E$6)*($F$6-$E$6)),$G$6-SQRT((1-P276)*($G$6-$E$6)*($G$6-$F$6))))</f>
        <v>0.941541271749939</v>
      </c>
      <c r="C276" s="37" t="n">
        <f aca="false">1+IF($G$7=$E$7,$F$7,IF(Q276&lt;($F$7-$E$7)/($G$7-$E$7),$E$7+SQRT(Q276*($G$7-$E$7)*($F$7-$E$7)),$G$7-SQRT((1-Q276)*($G$7-$E$7)*($G$7-$F$7))))</f>
        <v>1.0515539372682</v>
      </c>
      <c r="D276" s="37" t="n">
        <f aca="false">1+IF($G$8=$E$8,$F$8,IF(R276&lt;($F$8-$E$8)/($G$8-$E$8),$E$8+SQRT(R276*($G$8-$E$8)*($F$8-$E$8)),$G$8-SQRT((1-R276)*($G$8-$E$8)*($G$8-$F$8))))</f>
        <v>0.998445405539241</v>
      </c>
      <c r="E276" s="37" t="n">
        <f aca="false">1+IF($G$9=$E$9,$F$9,IF(S276&lt;($F$9-$E$9)/($G$9-$E$9),$E$9+SQRT(S276*($G$9-$E$9)*($F$9-$E$9)),$G$9-SQRT((1-S276)*($G$9-$E$9)*($G$9-$F$9))))</f>
        <v>1.00922266033819</v>
      </c>
      <c r="F276" s="37" t="n">
        <f aca="false">1+IF($G$10=$E$10,$F$10,IF(T276&lt;($F$10-$E$10)/($G$10-$E$10),$E$10+SQRT(T276*($G$10-$E$10)*($F$10-$E$10)),$G$10-SQRT((1-T276)*($G$10-$E$10)*($G$10-$F$10))))</f>
        <v>1.00484227515188</v>
      </c>
      <c r="G276" s="38" t="n">
        <f aca="false">IF($G$11=$E$11,$F$11,IF(U276&lt;($F$11-$E$11)/($G$11-$E$11),$E$11+SQRT(U276*($G$11-$E$11)*($F$11-$E$11)),$G$11-SQRT((1-U276)*($G$11-$E$11)*($G$11-$F$11))))</f>
        <v>0.103450440316826</v>
      </c>
      <c r="H276" s="39" t="n">
        <f aca="false">(('Business Case'!B11*$C276*'Business Case'!B12*$B276)-'Business Case'!B11*$C276*'Business Case'!B13*$D276-'Business Case'!B14*$E276)-MAX(0,(('Business Case'!B11*$C276*'Business Case'!B12*$B276)-'Business Case'!B11*$C276*'Business Case'!B13*$D276-'Business Case'!B14*$E276))*'Business Case'!$B$7-'Business Case'!$B$8*('Business Case'!B11*$C276*'Business Case'!B12*$B276)-'Business Case'!B15*$F276</f>
        <v>-2009684550.30377</v>
      </c>
      <c r="I276" s="39" t="n">
        <f aca="false">(('Business Case'!C11*$C276*'Business Case'!C12*$B276)-'Business Case'!C11*$C276*'Business Case'!C13*$D276-'Business Case'!C14*$E276)-MAX(0,(('Business Case'!C11*$C276*'Business Case'!C12*$B276)-'Business Case'!C11*$C276*'Business Case'!C13*$D276-'Business Case'!C14*$E276))*'Business Case'!$B$7-'Business Case'!$B$8*(('Business Case'!C11*$C276*'Business Case'!C12*$B276)-('Business Case'!B11*$C276*'Business Case'!B12*$B276))-'Business Case'!C15*$F276</f>
        <v>-21848168.5357542</v>
      </c>
      <c r="J276" s="39" t="n">
        <f aca="false">(('Business Case'!D11*$C276*'Business Case'!D12*$B276)-'Business Case'!D11*$C276*'Business Case'!D13*$D276-'Business Case'!D14*$E276)-MAX(0,(('Business Case'!D11*$C276*'Business Case'!D12*$B276)-'Business Case'!D11*$C276*'Business Case'!D13*$D276-'Business Case'!D14*$E276))*'Business Case'!$B$7-'Business Case'!$B$8*(('Business Case'!D11*$C276*'Business Case'!D12*$B276)-('Business Case'!C11*$C276*'Business Case'!C12*$B276))-'Business Case'!D15*$F276</f>
        <v>251625174.148021</v>
      </c>
      <c r="K276" s="39" t="n">
        <f aca="false">(('Business Case'!E11*$C276*'Business Case'!E12*$B276)-'Business Case'!E11*$C276*'Business Case'!E13*$D276-'Business Case'!E14*$E276)-MAX(0,(('Business Case'!E11*$C276*'Business Case'!E12*$B276)-'Business Case'!E11*$C276*'Business Case'!E13*$D276-'Business Case'!E14*$E276))*'Business Case'!$B$7-'Business Case'!$B$8*(('Business Case'!E11*$C276*'Business Case'!E12*$B276)-('Business Case'!D11*$C276*'Business Case'!D12*$B276))-'Business Case'!E15*$F276</f>
        <v>575340630.589391</v>
      </c>
      <c r="L276" s="39" t="n">
        <f aca="false">(('Business Case'!F11*$C276*'Business Case'!F12*$B276)-'Business Case'!F11*$C276*'Business Case'!F13*$D276-'Business Case'!F14*$E276)-MAX(0,(('Business Case'!F11*$C276*'Business Case'!F12*$B276)-'Business Case'!F11*$C276*'Business Case'!F13*$D276-'Business Case'!F14*$E276))*'Business Case'!$B$7-'Business Case'!$B$8*(('Business Case'!F11*$C276*'Business Case'!F12*$B276)-('Business Case'!E11*$C276*'Business Case'!E12*$B276))-'Business Case'!F15*$F276</f>
        <v>700715625.753482</v>
      </c>
      <c r="M276" s="39" t="n">
        <f aca="false">(('Business Case'!G11*$C276*'Business Case'!G12*$B276)-'Business Case'!G11*$C276*'Business Case'!G13*$D276-'Business Case'!G14*$E276)-MAX(0,(('Business Case'!G11*$C276*'Business Case'!G12*$B276)-'Business Case'!G11*$C276*'Business Case'!G13*$D276-'Business Case'!G14*$E276))*'Business Case'!$B$7-'Business Case'!$B$8*(('Business Case'!G11*$C276*'Business Case'!G12*$B276)-('Business Case'!F11*$C276*'Business Case'!F12*$B276))-'Business Case'!G15*$F276+'Business Case'!$B$8*('Business Case'!G11*$C276*'Business Case'!G12*$B276)</f>
        <v>888910304.235734</v>
      </c>
      <c r="N276" s="39" t="n">
        <f aca="false">IF(COUNT('Business Case'!B11:G11)=0,"",H276+NPV(G276,I276:M276))</f>
        <v>-378600965.183742</v>
      </c>
      <c r="P276" s="40" t="n">
        <f aca="true">RAND()</f>
        <v>0.0483360821463247</v>
      </c>
      <c r="Q276" s="40" t="n">
        <f aca="true">RAND()</f>
        <v>0.815397575859161</v>
      </c>
      <c r="R276" s="40" t="n">
        <f aca="true">RAND()</f>
        <v>0.361070356594075</v>
      </c>
      <c r="S276" s="40" t="n">
        <f aca="true">RAND()</f>
        <v>0.450631640261613</v>
      </c>
      <c r="T276" s="40" t="n">
        <f aca="true">RAND()</f>
        <v>0.238269248642135</v>
      </c>
      <c r="U276" s="40" t="n">
        <f aca="true">RAND()</f>
        <v>0.543520123821771</v>
      </c>
    </row>
    <row r="277" customFormat="false" ht="15" hidden="false" customHeight="false" outlineLevel="0" collapsed="false">
      <c r="A277" s="36" t="n">
        <v>197</v>
      </c>
      <c r="B277" s="37" t="n">
        <f aca="false">1+IF($G$6=$E$6,$F$6,IF(P277&lt;($F$6-$E$6)/($G$6-$E$6),$E$6+SQRT(P277*($G$6-$E$6)*($F$6-$E$6)),$G$6-SQRT((1-P277)*($G$6-$E$6)*($G$6-$F$6))))</f>
        <v>0.987025065066508</v>
      </c>
      <c r="C277" s="37" t="n">
        <f aca="false">1+IF($G$7=$E$7,$F$7,IF(Q277&lt;($F$7-$E$7)/($G$7-$E$7),$E$7+SQRT(Q277*($G$7-$E$7)*($F$7-$E$7)),$G$7-SQRT((1-Q277)*($G$7-$E$7)*($G$7-$F$7))))</f>
        <v>0.988538489524764</v>
      </c>
      <c r="D277" s="37" t="n">
        <f aca="false">1+IF($G$8=$E$8,$F$8,IF(R277&lt;($F$8-$E$8)/($G$8-$E$8),$E$8+SQRT(R277*($G$8-$E$8)*($F$8-$E$8)),$G$8-SQRT((1-R277)*($G$8-$E$8)*($G$8-$F$8))))</f>
        <v>0.984015009916321</v>
      </c>
      <c r="E277" s="37" t="n">
        <f aca="false">1+IF($G$9=$E$9,$F$9,IF(S277&lt;($F$9-$E$9)/($G$9-$E$9),$E$9+SQRT(S277*($G$9-$E$9)*($F$9-$E$9)),$G$9-SQRT((1-S277)*($G$9-$E$9)*($G$9-$F$9))))</f>
        <v>1.04348598284284</v>
      </c>
      <c r="F277" s="37" t="n">
        <f aca="false">1+IF($G$10=$E$10,$F$10,IF(T277&lt;($F$10-$E$10)/($G$10-$E$10),$E$10+SQRT(T277*($G$10-$E$10)*($F$10-$E$10)),$G$10-SQRT((1-T277)*($G$10-$E$10)*($G$10-$F$10))))</f>
        <v>1.02383954997101</v>
      </c>
      <c r="G277" s="38" t="n">
        <f aca="false">IF($G$11=$E$11,$F$11,IF(U277&lt;($F$11-$E$11)/($G$11-$E$11),$E$11+SQRT(U277*($G$11-$E$11)*($F$11-$E$11)),$G$11-SQRT((1-U277)*($G$11-$E$11)*($G$11-$F$11))))</f>
        <v>0.104124633451881</v>
      </c>
      <c r="H277" s="39" t="n">
        <f aca="false">(('Business Case'!B11*$C277*'Business Case'!B12*$B277)-'Business Case'!B11*$C277*'Business Case'!B13*$D277-'Business Case'!B14*$E277)-MAX(0,(('Business Case'!B11*$C277*'Business Case'!B12*$B277)-'Business Case'!B11*$C277*'Business Case'!B13*$D277-'Business Case'!B14*$E277))*'Business Case'!$B$7-'Business Case'!$B$8*('Business Case'!B11*$C277*'Business Case'!B12*$B277)-'Business Case'!B15*$F277</f>
        <v>-2047679099.94202</v>
      </c>
      <c r="I277" s="39" t="n">
        <f aca="false">(('Business Case'!C11*$C277*'Business Case'!C12*$B277)-'Business Case'!C11*$C277*'Business Case'!C13*$D277-'Business Case'!C14*$E277)-MAX(0,(('Business Case'!C11*$C277*'Business Case'!C12*$B277)-'Business Case'!C11*$C277*'Business Case'!C13*$D277-'Business Case'!C14*$E277))*'Business Case'!$B$7-'Business Case'!$B$8*(('Business Case'!C11*$C277*'Business Case'!C12*$B277)-('Business Case'!B11*$C277*'Business Case'!B12*$B277))-'Business Case'!C15*$F277</f>
        <v>-133365.153559238</v>
      </c>
      <c r="J277" s="39" t="n">
        <f aca="false">(('Business Case'!D11*$C277*'Business Case'!D12*$B277)-'Business Case'!D11*$C277*'Business Case'!D13*$D277-'Business Case'!D14*$E277)-MAX(0,(('Business Case'!D11*$C277*'Business Case'!D12*$B277)-'Business Case'!D11*$C277*'Business Case'!D13*$D277-'Business Case'!D14*$E277))*'Business Case'!$B$7-'Business Case'!$B$8*(('Business Case'!D11*$C277*'Business Case'!D12*$B277)-('Business Case'!C11*$C277*'Business Case'!C12*$B277))-'Business Case'!D15*$F277</f>
        <v>301081855.368607</v>
      </c>
      <c r="K277" s="39" t="n">
        <f aca="false">(('Business Case'!E11*$C277*'Business Case'!E12*$B277)-'Business Case'!E11*$C277*'Business Case'!E13*$D277-'Business Case'!E14*$E277)-MAX(0,(('Business Case'!E11*$C277*'Business Case'!E12*$B277)-'Business Case'!E11*$C277*'Business Case'!E13*$D277-'Business Case'!E14*$E277))*'Business Case'!$B$7-'Business Case'!$B$8*(('Business Case'!E11*$C277*'Business Case'!E12*$B277)-('Business Case'!D11*$C277*'Business Case'!D12*$B277))-'Business Case'!E15*$F277</f>
        <v>653489053.389324</v>
      </c>
      <c r="L277" s="39" t="n">
        <f aca="false">(('Business Case'!F11*$C277*'Business Case'!F12*$B277)-'Business Case'!F11*$C277*'Business Case'!F13*$D277-'Business Case'!F14*$E277)-MAX(0,(('Business Case'!F11*$C277*'Business Case'!F12*$B277)-'Business Case'!F11*$C277*'Business Case'!F13*$D277-'Business Case'!F14*$E277))*'Business Case'!$B$7-'Business Case'!$B$8*(('Business Case'!F11*$C277*'Business Case'!F12*$B277)-('Business Case'!E11*$C277*'Business Case'!E12*$B277))-'Business Case'!F15*$F277</f>
        <v>787614742.842295</v>
      </c>
      <c r="M277" s="39" t="n">
        <f aca="false">(('Business Case'!G11*$C277*'Business Case'!G12*$B277)-'Business Case'!G11*$C277*'Business Case'!G13*$D277-'Business Case'!G14*$E277)-MAX(0,(('Business Case'!G11*$C277*'Business Case'!G12*$B277)-'Business Case'!G11*$C277*'Business Case'!G13*$D277-'Business Case'!G14*$E277))*'Business Case'!$B$7-'Business Case'!$B$8*(('Business Case'!G11*$C277*'Business Case'!G12*$B277)-('Business Case'!F11*$C277*'Business Case'!F12*$B277))-'Business Case'!G15*$F277+'Business Case'!$B$8*('Business Case'!G11*$C277*'Business Case'!G12*$B277)</f>
        <v>973078130.542996</v>
      </c>
      <c r="N277" s="39" t="n">
        <f aca="false">IF(COUNT('Business Case'!B11:G11)=0,"",H277+NPV(G277,I277:M277))</f>
        <v>-192371910.204589</v>
      </c>
      <c r="P277" s="40" t="n">
        <f aca="true">RAND()</f>
        <v>0.467954098663506</v>
      </c>
      <c r="Q277" s="40" t="n">
        <f aca="true">RAND()</f>
        <v>0.507810886175422</v>
      </c>
      <c r="R277" s="40" t="n">
        <f aca="true">RAND()</f>
        <v>0.178003215324222</v>
      </c>
      <c r="S277" s="40" t="n">
        <f aca="true">RAND()</f>
        <v>0.787077724317314</v>
      </c>
      <c r="T277" s="40" t="n">
        <f aca="true">RAND()</f>
        <v>0.379349916911673</v>
      </c>
      <c r="U277" s="40" t="n">
        <f aca="true">RAND()</f>
        <v>0.579954561604769</v>
      </c>
    </row>
    <row r="278" customFormat="false" ht="15" hidden="false" customHeight="false" outlineLevel="0" collapsed="false">
      <c r="A278" s="36" t="n">
        <v>198</v>
      </c>
      <c r="B278" s="37" t="n">
        <f aca="false">1+IF($G$6=$E$6,$F$6,IF(P278&lt;($F$6-$E$6)/($G$6-$E$6),$E$6+SQRT(P278*($G$6-$E$6)*($F$6-$E$6)),$G$6-SQRT((1-P278)*($G$6-$E$6)*($G$6-$F$6))))</f>
        <v>1.00984333162009</v>
      </c>
      <c r="C278" s="37" t="n">
        <f aca="false">1+IF($G$7=$E$7,$F$7,IF(Q278&lt;($F$7-$E$7)/($G$7-$E$7),$E$7+SQRT(Q278*($G$7-$E$7)*($F$7-$E$7)),$G$7-SQRT((1-Q278)*($G$7-$E$7)*($G$7-$F$7))))</f>
        <v>0.931455018771761</v>
      </c>
      <c r="D278" s="37" t="n">
        <f aca="false">1+IF($G$8=$E$8,$F$8,IF(R278&lt;($F$8-$E$8)/($G$8-$E$8),$E$8+SQRT(R278*($G$8-$E$8)*($F$8-$E$8)),$G$8-SQRT((1-R278)*($G$8-$E$8)*($G$8-$F$8))))</f>
        <v>1.01129176906202</v>
      </c>
      <c r="E278" s="37" t="n">
        <f aca="false">1+IF($G$9=$E$9,$F$9,IF(S278&lt;($F$9-$E$9)/($G$9-$E$9),$E$9+SQRT(S278*($G$9-$E$9)*($F$9-$E$9)),$G$9-SQRT((1-S278)*($G$9-$E$9)*($G$9-$F$9))))</f>
        <v>0.997940407303646</v>
      </c>
      <c r="F278" s="37" t="n">
        <f aca="false">1+IF($G$10=$E$10,$F$10,IF(T278&lt;($F$10-$E$10)/($G$10-$E$10),$E$10+SQRT(T278*($G$10-$E$10)*($F$10-$E$10)),$G$10-SQRT((1-T278)*($G$10-$E$10)*($G$10-$F$10))))</f>
        <v>1.00667041542528</v>
      </c>
      <c r="G278" s="38" t="n">
        <f aca="false">IF($G$11=$E$11,$F$11,IF(U278&lt;($F$11-$E$11)/($G$11-$E$11),$E$11+SQRT(U278*($G$11-$E$11)*($F$11-$E$11)),$G$11-SQRT((1-U278)*($G$11-$E$11)*($G$11-$F$11))))</f>
        <v>0.100744664106183</v>
      </c>
      <c r="H278" s="39" t="n">
        <f aca="false">(('Business Case'!B11*$C278*'Business Case'!B12*$B278)-'Business Case'!B11*$C278*'Business Case'!B13*$D278-'Business Case'!B14*$E278)-MAX(0,(('Business Case'!B11*$C278*'Business Case'!B12*$B278)-'Business Case'!B11*$C278*'Business Case'!B13*$D278-'Business Case'!B14*$E278))*'Business Case'!$B$7-'Business Case'!$B$8*('Business Case'!B11*$C278*'Business Case'!B12*$B278)-'Business Case'!B15*$F278</f>
        <v>-2013340830.85056</v>
      </c>
      <c r="I278" s="39" t="n">
        <f aca="false">(('Business Case'!C11*$C278*'Business Case'!C12*$B278)-'Business Case'!C11*$C278*'Business Case'!C13*$D278-'Business Case'!C14*$E278)-MAX(0,(('Business Case'!C11*$C278*'Business Case'!C12*$B278)-'Business Case'!C11*$C278*'Business Case'!C13*$D278-'Business Case'!C14*$E278))*'Business Case'!$B$7-'Business Case'!$B$8*(('Business Case'!C11*$C278*'Business Case'!C12*$B278)-('Business Case'!B11*$C278*'Business Case'!B12*$B278))-'Business Case'!C15*$F278</f>
        <v>-3112323.91775687</v>
      </c>
      <c r="J278" s="39" t="n">
        <f aca="false">(('Business Case'!D11*$C278*'Business Case'!D12*$B278)-'Business Case'!D11*$C278*'Business Case'!D13*$D278-'Business Case'!D14*$E278)-MAX(0,(('Business Case'!D11*$C278*'Business Case'!D12*$B278)-'Business Case'!D11*$C278*'Business Case'!D13*$D278-'Business Case'!D14*$E278))*'Business Case'!$B$7-'Business Case'!$B$8*(('Business Case'!D11*$C278*'Business Case'!D12*$B278)-('Business Case'!C11*$C278*'Business Case'!C12*$B278))-'Business Case'!D15*$F278</f>
        <v>285111449.092645</v>
      </c>
      <c r="K278" s="39" t="n">
        <f aca="false">(('Business Case'!E11*$C278*'Business Case'!E12*$B278)-'Business Case'!E11*$C278*'Business Case'!E13*$D278-'Business Case'!E14*$E278)-MAX(0,(('Business Case'!E11*$C278*'Business Case'!E12*$B278)-'Business Case'!E11*$C278*'Business Case'!E13*$D278-'Business Case'!E14*$E278))*'Business Case'!$B$7-'Business Case'!$B$8*(('Business Case'!E11*$C278*'Business Case'!E12*$B278)-('Business Case'!D11*$C278*'Business Case'!D12*$B278))-'Business Case'!E15*$F278</f>
        <v>623668742.87431</v>
      </c>
      <c r="L278" s="39" t="n">
        <f aca="false">(('Business Case'!F11*$C278*'Business Case'!F12*$B278)-'Business Case'!F11*$C278*'Business Case'!F13*$D278-'Business Case'!F14*$E278)-MAX(0,(('Business Case'!F11*$C278*'Business Case'!F12*$B278)-'Business Case'!F11*$C278*'Business Case'!F13*$D278-'Business Case'!F14*$E278))*'Business Case'!$B$7-'Business Case'!$B$8*(('Business Case'!F11*$C278*'Business Case'!F12*$B278)-('Business Case'!E11*$C278*'Business Case'!E12*$B278))-'Business Case'!F15*$F278</f>
        <v>752251286.855812</v>
      </c>
      <c r="M278" s="39" t="n">
        <f aca="false">(('Business Case'!G11*$C278*'Business Case'!G12*$B278)-'Business Case'!G11*$C278*'Business Case'!G13*$D278-'Business Case'!G14*$E278)-MAX(0,(('Business Case'!G11*$C278*'Business Case'!G12*$B278)-'Business Case'!G11*$C278*'Business Case'!G13*$D278-'Business Case'!G14*$E278))*'Business Case'!$B$7-'Business Case'!$B$8*(('Business Case'!G11*$C278*'Business Case'!G12*$B278)-('Business Case'!F11*$C278*'Business Case'!F12*$B278))-'Business Case'!G15*$F278+'Business Case'!$B$8*('Business Case'!G11*$C278*'Business Case'!G12*$B278)</f>
        <v>931045028.235003</v>
      </c>
      <c r="N278" s="39" t="n">
        <f aca="false">IF(COUNT('Business Case'!B11:G11)=0,"",H278+NPV(G278,I278:M278))</f>
        <v>-224674796.979373</v>
      </c>
      <c r="P278" s="40" t="n">
        <f aca="true">RAND()</f>
        <v>0.810536531713331</v>
      </c>
      <c r="Q278" s="40" t="n">
        <f aca="true">RAND()</f>
        <v>0.246863170861202</v>
      </c>
      <c r="R278" s="40" t="n">
        <f aca="true">RAND()</f>
        <v>0.546074903978186</v>
      </c>
      <c r="S278" s="40" t="n">
        <f aca="true">RAND()</f>
        <v>0.306437686991931</v>
      </c>
      <c r="T278" s="40" t="n">
        <f aca="true">RAND()</f>
        <v>0.252473434563307</v>
      </c>
      <c r="U278" s="40" t="n">
        <f aca="true">RAND()</f>
        <v>0.382053399360473</v>
      </c>
    </row>
    <row r="279" customFormat="false" ht="15" hidden="false" customHeight="false" outlineLevel="0" collapsed="false">
      <c r="A279" s="36" t="n">
        <v>199</v>
      </c>
      <c r="B279" s="37" t="n">
        <f aca="false">1+IF($G$6=$E$6,$F$6,IF(P279&lt;($F$6-$E$6)/($G$6-$E$6),$E$6+SQRT(P279*($G$6-$E$6)*($F$6-$E$6)),$G$6-SQRT((1-P279)*($G$6-$E$6)*($G$6-$F$6))))</f>
        <v>0.996380045925675</v>
      </c>
      <c r="C279" s="37" t="n">
        <f aca="false">1+IF($G$7=$E$7,$F$7,IF(Q279&lt;($F$7-$E$7)/($G$7-$E$7),$E$7+SQRT(Q279*($G$7-$E$7)*($F$7-$E$7)),$G$7-SQRT((1-Q279)*($G$7-$E$7)*($G$7-$F$7))))</f>
        <v>1.03278991911468</v>
      </c>
      <c r="D279" s="37" t="n">
        <f aca="false">1+IF($G$8=$E$8,$F$8,IF(R279&lt;($F$8-$E$8)/($G$8-$E$8),$E$8+SQRT(R279*($G$8-$E$8)*($F$8-$E$8)),$G$8-SQRT((1-R279)*($G$8-$E$8)*($G$8-$F$8))))</f>
        <v>0.962167234535987</v>
      </c>
      <c r="E279" s="37" t="n">
        <f aca="false">1+IF($G$9=$E$9,$F$9,IF(S279&lt;($F$9-$E$9)/($G$9-$E$9),$E$9+SQRT(S279*($G$9-$E$9)*($F$9-$E$9)),$G$9-SQRT((1-S279)*($G$9-$E$9)*($G$9-$F$9))))</f>
        <v>1.0277892678019</v>
      </c>
      <c r="F279" s="37" t="n">
        <f aca="false">1+IF($G$10=$E$10,$F$10,IF(T279&lt;($F$10-$E$10)/($G$10-$E$10),$E$10+SQRT(T279*($G$10-$E$10)*($F$10-$E$10)),$G$10-SQRT((1-T279)*($G$10-$E$10)*($G$10-$F$10))))</f>
        <v>1.06550519445836</v>
      </c>
      <c r="G279" s="38" t="n">
        <f aca="false">IF($G$11=$E$11,$F$11,IF(U279&lt;($F$11-$E$11)/($G$11-$E$11),$E$11+SQRT(U279*($G$11-$E$11)*($F$11-$E$11)),$G$11-SQRT((1-U279)*($G$11-$E$11)*($G$11-$F$11))))</f>
        <v>0.0986285331699559</v>
      </c>
      <c r="H279" s="39" t="n">
        <f aca="false">(('Business Case'!B11*$C279*'Business Case'!B12*$B279)-'Business Case'!B11*$C279*'Business Case'!B13*$D279-'Business Case'!B14*$E279)-MAX(0,(('Business Case'!B11*$C279*'Business Case'!B12*$B279)-'Business Case'!B11*$C279*'Business Case'!B13*$D279-'Business Case'!B14*$E279))*'Business Case'!$B$7-'Business Case'!$B$8*('Business Case'!B11*$C279*'Business Case'!B12*$B279)-'Business Case'!B15*$F279</f>
        <v>-2131010388.91673</v>
      </c>
      <c r="I279" s="39" t="n">
        <f aca="false">(('Business Case'!C11*$C279*'Business Case'!C12*$B279)-'Business Case'!C11*$C279*'Business Case'!C13*$D279-'Business Case'!C14*$E279)-MAX(0,(('Business Case'!C11*$C279*'Business Case'!C12*$B279)-'Business Case'!C11*$C279*'Business Case'!C13*$D279-'Business Case'!C14*$E279))*'Business Case'!$B$7-'Business Case'!$B$8*(('Business Case'!C11*$C279*'Business Case'!C12*$B279)-('Business Case'!B11*$C279*'Business Case'!B12*$B279))-'Business Case'!C15*$F279</f>
        <v>28115496.1056886</v>
      </c>
      <c r="J279" s="39" t="n">
        <f aca="false">(('Business Case'!D11*$C279*'Business Case'!D12*$B279)-'Business Case'!D11*$C279*'Business Case'!D13*$D279-'Business Case'!D14*$E279)-MAX(0,(('Business Case'!D11*$C279*'Business Case'!D12*$B279)-'Business Case'!D11*$C279*'Business Case'!D13*$D279-'Business Case'!D14*$E279))*'Business Case'!$B$7-'Business Case'!$B$8*(('Business Case'!D11*$C279*'Business Case'!D12*$B279)-('Business Case'!C11*$C279*'Business Case'!C12*$B279))-'Business Case'!D15*$F279</f>
        <v>362279163.221948</v>
      </c>
      <c r="K279" s="39" t="n">
        <f aca="false">(('Business Case'!E11*$C279*'Business Case'!E12*$B279)-'Business Case'!E11*$C279*'Business Case'!E13*$D279-'Business Case'!E14*$E279)-MAX(0,(('Business Case'!E11*$C279*'Business Case'!E12*$B279)-'Business Case'!E11*$C279*'Business Case'!E13*$D279-'Business Case'!E14*$E279))*'Business Case'!$B$7-'Business Case'!$B$8*(('Business Case'!E11*$C279*'Business Case'!E12*$B279)-('Business Case'!D11*$C279*'Business Case'!D12*$B279))-'Business Case'!E15*$F279</f>
        <v>749718090.061126</v>
      </c>
      <c r="L279" s="39" t="n">
        <f aca="false">(('Business Case'!F11*$C279*'Business Case'!F12*$B279)-'Business Case'!F11*$C279*'Business Case'!F13*$D279-'Business Case'!F14*$E279)-MAX(0,(('Business Case'!F11*$C279*'Business Case'!F12*$B279)-'Business Case'!F11*$C279*'Business Case'!F13*$D279-'Business Case'!F14*$E279))*'Business Case'!$B$7-'Business Case'!$B$8*(('Business Case'!F11*$C279*'Business Case'!F12*$B279)-('Business Case'!E11*$C279*'Business Case'!E12*$B279))-'Business Case'!F15*$F279</f>
        <v>896669990.888749</v>
      </c>
      <c r="M279" s="39" t="n">
        <f aca="false">(('Business Case'!G11*$C279*'Business Case'!G12*$B279)-'Business Case'!G11*$C279*'Business Case'!G13*$D279-'Business Case'!G14*$E279)-MAX(0,(('Business Case'!G11*$C279*'Business Case'!G12*$B279)-'Business Case'!G11*$C279*'Business Case'!G13*$D279-'Business Case'!G14*$E279))*'Business Case'!$B$7-'Business Case'!$B$8*(('Business Case'!G11*$C279*'Business Case'!G12*$B279)-('Business Case'!F11*$C279*'Business Case'!F12*$B279))-'Business Case'!G15*$F279+'Business Case'!$B$8*('Business Case'!G11*$C279*'Business Case'!G12*$B279)</f>
        <v>1092272055.72753</v>
      </c>
      <c r="N279" s="39" t="n">
        <f aca="false">IF(COUNT('Business Case'!B11:G11)=0,"",H279+NPV(G279,I279:M279))</f>
        <v>58080080.7535062</v>
      </c>
      <c r="P279" s="40" t="n">
        <f aca="true">RAND()</f>
        <v>0.607699105792521</v>
      </c>
      <c r="Q279" s="40" t="n">
        <f aca="true">RAND()</f>
        <v>0.738319941692509</v>
      </c>
      <c r="R279" s="40" t="n">
        <f aca="true">RAND()</f>
        <v>0.0227756301928781</v>
      </c>
      <c r="S279" s="40" t="n">
        <f aca="true">RAND()</f>
        <v>0.652374010360903</v>
      </c>
      <c r="T279" s="40" t="n">
        <f aca="true">RAND()</f>
        <v>0.638222945646354</v>
      </c>
      <c r="U279" s="40" t="n">
        <f aca="true">RAND()</f>
        <v>0.248171948883431</v>
      </c>
    </row>
    <row r="280" customFormat="false" ht="15" hidden="false" customHeight="false" outlineLevel="0" collapsed="false">
      <c r="A280" s="36" t="n">
        <v>200</v>
      </c>
      <c r="B280" s="37" t="n">
        <f aca="false">1+IF($G$6=$E$6,$F$6,IF(P280&lt;($F$6-$E$6)/($G$6-$E$6),$E$6+SQRT(P280*($G$6-$E$6)*($F$6-$E$6)),$G$6-SQRT((1-P280)*($G$6-$E$6)*($G$6-$F$6))))</f>
        <v>0.996183257073478</v>
      </c>
      <c r="C280" s="37" t="n">
        <f aca="false">1+IF($G$7=$E$7,$F$7,IF(Q280&lt;($F$7-$E$7)/($G$7-$E$7),$E$7+SQRT(Q280*($G$7-$E$7)*($F$7-$E$7)),$G$7-SQRT((1-Q280)*($G$7-$E$7)*($G$7-$F$7))))</f>
        <v>1.00146717688522</v>
      </c>
      <c r="D280" s="37" t="n">
        <f aca="false">1+IF($G$8=$E$8,$F$8,IF(R280&lt;($F$8-$E$8)/($G$8-$E$8),$E$8+SQRT(R280*($G$8-$E$8)*($F$8-$E$8)),$G$8-SQRT((1-R280)*($G$8-$E$8)*($G$8-$F$8))))</f>
        <v>1.06037254829514</v>
      </c>
      <c r="E280" s="37" t="n">
        <f aca="false">1+IF($G$9=$E$9,$F$9,IF(S280&lt;($F$9-$E$9)/($G$9-$E$9),$E$9+SQRT(S280*($G$9-$E$9)*($F$9-$E$9)),$G$9-SQRT((1-S280)*($G$9-$E$9)*($G$9-$F$9))))</f>
        <v>1.07660742857982</v>
      </c>
      <c r="F280" s="37" t="n">
        <f aca="false">1+IF($G$10=$E$10,$F$10,IF(T280&lt;($F$10-$E$10)/($G$10-$E$10),$E$10+SQRT(T280*($G$10-$E$10)*($F$10-$E$10)),$G$10-SQRT((1-T280)*($G$10-$E$10)*($G$10-$F$10))))</f>
        <v>1.05342796414513</v>
      </c>
      <c r="G280" s="38" t="n">
        <f aca="false">IF($G$11=$E$11,$F$11,IF(U280&lt;($F$11-$E$11)/($G$11-$E$11),$E$11+SQRT(U280*($G$11-$E$11)*($F$11-$E$11)),$G$11-SQRT((1-U280)*($G$11-$E$11)*($G$11-$F$11))))</f>
        <v>0.0933233132508165</v>
      </c>
      <c r="H280" s="39" t="n">
        <f aca="false">(('Business Case'!B11*$C280*'Business Case'!B12*$B280)-'Business Case'!B11*$C280*'Business Case'!B13*$D280-'Business Case'!B14*$E280)-MAX(0,(('Business Case'!B11*$C280*'Business Case'!B12*$B280)-'Business Case'!B11*$C280*'Business Case'!B13*$D280-'Business Case'!B14*$E280))*'Business Case'!$B$7-'Business Case'!$B$8*('Business Case'!B11*$C280*'Business Case'!B12*$B280)-'Business Case'!B15*$F280</f>
        <v>-2106855928.29026</v>
      </c>
      <c r="I280" s="39" t="n">
        <f aca="false">(('Business Case'!C11*$C280*'Business Case'!C12*$B280)-'Business Case'!C11*$C280*'Business Case'!C13*$D280-'Business Case'!C14*$E280)-MAX(0,(('Business Case'!C11*$C280*'Business Case'!C12*$B280)-'Business Case'!C11*$C280*'Business Case'!C13*$D280-'Business Case'!C14*$E280))*'Business Case'!$B$7-'Business Case'!$B$8*(('Business Case'!C11*$C280*'Business Case'!C12*$B280)-('Business Case'!B11*$C280*'Business Case'!B12*$B280))-'Business Case'!C15*$F280</f>
        <v>-36633667.9440263</v>
      </c>
      <c r="J280" s="39" t="n">
        <f aca="false">(('Business Case'!D11*$C280*'Business Case'!D12*$B280)-'Business Case'!D11*$C280*'Business Case'!D13*$D280-'Business Case'!D14*$E280)-MAX(0,(('Business Case'!D11*$C280*'Business Case'!D12*$B280)-'Business Case'!D11*$C280*'Business Case'!D13*$D280-'Business Case'!D14*$E280))*'Business Case'!$B$7-'Business Case'!$B$8*(('Business Case'!D11*$C280*'Business Case'!D12*$B280)-('Business Case'!C11*$C280*'Business Case'!C12*$B280))-'Business Case'!D15*$F280</f>
        <v>236886945.071381</v>
      </c>
      <c r="K280" s="39" t="n">
        <f aca="false">(('Business Case'!E11*$C280*'Business Case'!E12*$B280)-'Business Case'!E11*$C280*'Business Case'!E13*$D280-'Business Case'!E14*$E280)-MAX(0,(('Business Case'!E11*$C280*'Business Case'!E12*$B280)-'Business Case'!E11*$C280*'Business Case'!E13*$D280-'Business Case'!E14*$E280))*'Business Case'!$B$7-'Business Case'!$B$8*(('Business Case'!E11*$C280*'Business Case'!E12*$B280)-('Business Case'!D11*$C280*'Business Case'!D12*$B280))-'Business Case'!E15*$F280</f>
        <v>563078956.294044</v>
      </c>
      <c r="L280" s="39" t="n">
        <f aca="false">(('Business Case'!F11*$C280*'Business Case'!F12*$B280)-'Business Case'!F11*$C280*'Business Case'!F13*$D280-'Business Case'!F14*$E280)-MAX(0,(('Business Case'!F11*$C280*'Business Case'!F12*$B280)-'Business Case'!F11*$C280*'Business Case'!F13*$D280-'Business Case'!F14*$E280))*'Business Case'!$B$7-'Business Case'!$B$8*(('Business Case'!F11*$C280*'Business Case'!F12*$B280)-('Business Case'!E11*$C280*'Business Case'!E12*$B280))-'Business Case'!F15*$F280</f>
        <v>688731099.433092</v>
      </c>
      <c r="M280" s="39" t="n">
        <f aca="false">(('Business Case'!G11*$C280*'Business Case'!G12*$B280)-'Business Case'!G11*$C280*'Business Case'!G13*$D280-'Business Case'!G14*$E280)-MAX(0,(('Business Case'!G11*$C280*'Business Case'!G12*$B280)-'Business Case'!G11*$C280*'Business Case'!G13*$D280-'Business Case'!G14*$E280))*'Business Case'!$B$7-'Business Case'!$B$8*(('Business Case'!G11*$C280*'Business Case'!G12*$B280)-('Business Case'!F11*$C280*'Business Case'!F12*$B280))-'Business Case'!G15*$F280+'Business Case'!$B$8*('Business Case'!G11*$C280*'Business Case'!G12*$B280)</f>
        <v>878363429.502946</v>
      </c>
      <c r="N280" s="39" t="n">
        <f aca="false">IF(COUNT('Business Case'!B11:G11)=0,"",H280+NPV(G280,I280:M280))</f>
        <v>-467081133.734473</v>
      </c>
      <c r="P280" s="40" t="n">
        <f aca="true">RAND()</f>
        <v>0.604571735242041</v>
      </c>
      <c r="Q280" s="40" t="n">
        <f aca="true">RAND()</f>
        <v>0.579771437286754</v>
      </c>
      <c r="R280" s="40" t="n">
        <f aca="true">RAND()</f>
        <v>0.962957994189753</v>
      </c>
      <c r="S280" s="40" t="n">
        <f aca="true">RAND()</f>
        <v>0.963519173490134</v>
      </c>
      <c r="T280" s="40" t="n">
        <f aca="true">RAND()</f>
        <v>0.57033276610718</v>
      </c>
      <c r="U280" s="40" t="n">
        <f aca="true">RAND()</f>
        <v>0.0368147032101761</v>
      </c>
    </row>
    <row r="281" customFormat="false" ht="15" hidden="false" customHeight="false" outlineLevel="0" collapsed="false">
      <c r="A281" s="36" t="n">
        <v>201</v>
      </c>
      <c r="B281" s="37" t="n">
        <f aca="false">1+IF($G$6=$E$6,$F$6,IF(P281&lt;($F$6-$E$6)/($G$6-$E$6),$E$6+SQRT(P281*($G$6-$E$6)*($F$6-$E$6)),$G$6-SQRT((1-P281)*($G$6-$E$6)*($G$6-$F$6))))</f>
        <v>0.974080519167815</v>
      </c>
      <c r="C281" s="37" t="n">
        <f aca="false">1+IF($G$7=$E$7,$F$7,IF(Q281&lt;($F$7-$E$7)/($G$7-$E$7),$E$7+SQRT(Q281*($G$7-$E$7)*($F$7-$E$7)),$G$7-SQRT((1-Q281)*($G$7-$E$7)*($G$7-$F$7))))</f>
        <v>0.887715675908957</v>
      </c>
      <c r="D281" s="37" t="n">
        <f aca="false">1+IF($G$8=$E$8,$F$8,IF(R281&lt;($F$8-$E$8)/($G$8-$E$8),$E$8+SQRT(R281*($G$8-$E$8)*($F$8-$E$8)),$G$8-SQRT((1-R281)*($G$8-$E$8)*($G$8-$F$8))))</f>
        <v>1.00068311694169</v>
      </c>
      <c r="E281" s="37" t="n">
        <f aca="false">1+IF($G$9=$E$9,$F$9,IF(S281&lt;($F$9-$E$9)/($G$9-$E$9),$E$9+SQRT(S281*($G$9-$E$9)*($F$9-$E$9)),$G$9-SQRT((1-S281)*($G$9-$E$9)*($G$9-$F$9))))</f>
        <v>0.979828169232555</v>
      </c>
      <c r="F281" s="37" t="n">
        <f aca="false">1+IF($G$10=$E$10,$F$10,IF(T281&lt;($F$10-$E$10)/($G$10-$E$10),$E$10+SQRT(T281*($G$10-$E$10)*($F$10-$E$10)),$G$10-SQRT((1-T281)*($G$10-$E$10)*($G$10-$F$10))))</f>
        <v>1.05025338086892</v>
      </c>
      <c r="G281" s="38" t="n">
        <f aca="false">IF($G$11=$E$11,$F$11,IF(U281&lt;($F$11-$E$11)/($G$11-$E$11),$E$11+SQRT(U281*($G$11-$E$11)*($F$11-$E$11)),$G$11-SQRT((1-U281)*($G$11-$E$11)*($G$11-$F$11))))</f>
        <v>0.100383473563538</v>
      </c>
      <c r="H281" s="39" t="n">
        <f aca="false">(('Business Case'!B11*$C281*'Business Case'!B12*$B281)-'Business Case'!B11*$C281*'Business Case'!B13*$D281-'Business Case'!B14*$E281)-MAX(0,(('Business Case'!B11*$C281*'Business Case'!B12*$B281)-'Business Case'!B11*$C281*'Business Case'!B13*$D281-'Business Case'!B14*$E281))*'Business Case'!$B$7-'Business Case'!$B$8*('Business Case'!B11*$C281*'Business Case'!B12*$B281)-'Business Case'!B15*$F281</f>
        <v>-2100506761.73783</v>
      </c>
      <c r="I281" s="39" t="n">
        <f aca="false">(('Business Case'!C11*$C281*'Business Case'!C12*$B281)-'Business Case'!C11*$C281*'Business Case'!C13*$D281-'Business Case'!C14*$E281)-MAX(0,(('Business Case'!C11*$C281*'Business Case'!C12*$B281)-'Business Case'!C11*$C281*'Business Case'!C13*$D281-'Business Case'!C14*$E281))*'Business Case'!$B$7-'Business Case'!$B$8*(('Business Case'!C11*$C281*'Business Case'!C12*$B281)-('Business Case'!B11*$C281*'Business Case'!B12*$B281))-'Business Case'!C15*$F281</f>
        <v>-35676214.7664561</v>
      </c>
      <c r="J281" s="39" t="n">
        <f aca="false">(('Business Case'!D11*$C281*'Business Case'!D12*$B281)-'Business Case'!D11*$C281*'Business Case'!D13*$D281-'Business Case'!D14*$E281)-MAX(0,(('Business Case'!D11*$C281*'Business Case'!D12*$B281)-'Business Case'!D11*$C281*'Business Case'!D13*$D281-'Business Case'!D14*$E281))*'Business Case'!$B$7-'Business Case'!$B$8*(('Business Case'!D11*$C281*'Business Case'!D12*$B281)-('Business Case'!C11*$C281*'Business Case'!C12*$B281))-'Business Case'!D15*$F281</f>
        <v>217830861.587481</v>
      </c>
      <c r="K281" s="39" t="n">
        <f aca="false">(('Business Case'!E11*$C281*'Business Case'!E12*$B281)-'Business Case'!E11*$C281*'Business Case'!E13*$D281-'Business Case'!E14*$E281)-MAX(0,(('Business Case'!E11*$C281*'Business Case'!E12*$B281)-'Business Case'!E11*$C281*'Business Case'!E13*$D281-'Business Case'!E14*$E281))*'Business Case'!$B$7-'Business Case'!$B$8*(('Business Case'!E11*$C281*'Business Case'!E12*$B281)-('Business Case'!D11*$C281*'Business Case'!D12*$B281))-'Business Case'!E15*$F281</f>
        <v>523850606.984863</v>
      </c>
      <c r="L281" s="39" t="n">
        <f aca="false">(('Business Case'!F11*$C281*'Business Case'!F12*$B281)-'Business Case'!F11*$C281*'Business Case'!F13*$D281-'Business Case'!F14*$E281)-MAX(0,(('Business Case'!F11*$C281*'Business Case'!F12*$B281)-'Business Case'!F11*$C281*'Business Case'!F13*$D281-'Business Case'!F14*$E281))*'Business Case'!$B$7-'Business Case'!$B$8*(('Business Case'!F11*$C281*'Business Case'!F12*$B281)-('Business Case'!E11*$C281*'Business Case'!E12*$B281))-'Business Case'!F15*$F281</f>
        <v>638237224.015263</v>
      </c>
      <c r="M281" s="39" t="n">
        <f aca="false">(('Business Case'!G11*$C281*'Business Case'!G12*$B281)-'Business Case'!G11*$C281*'Business Case'!G13*$D281-'Business Case'!G14*$E281)-MAX(0,(('Business Case'!G11*$C281*'Business Case'!G12*$B281)-'Business Case'!G11*$C281*'Business Case'!G13*$D281-'Business Case'!G14*$E281))*'Business Case'!$B$7-'Business Case'!$B$8*(('Business Case'!G11*$C281*'Business Case'!G12*$B281)-('Business Case'!F11*$C281*'Business Case'!F12*$B281))-'Business Case'!G15*$F281+'Business Case'!$B$8*('Business Case'!G11*$C281*'Business Case'!G12*$B281)</f>
        <v>802600644.366913</v>
      </c>
      <c r="N281" s="39" t="n">
        <f aca="false">IF(COUNT('Business Case'!B11:G11)=0,"",H281+NPV(G281,I281:M281))</f>
        <v>-627061574.554838</v>
      </c>
      <c r="P281" s="40" t="n">
        <f aca="true">RAND()</f>
        <v>0.304656515985462</v>
      </c>
      <c r="Q281" s="40" t="n">
        <f aca="true">RAND()</f>
        <v>0.109914854288074</v>
      </c>
      <c r="R281" s="40" t="n">
        <f aca="true">RAND()</f>
        <v>0.395080005953374</v>
      </c>
      <c r="S281" s="40" t="n">
        <f aca="true">RAND()</f>
        <v>0.118629290635457</v>
      </c>
      <c r="T281" s="40" t="n">
        <f aca="true">RAND()</f>
        <v>0.551519001176202</v>
      </c>
      <c r="U281" s="40" t="n">
        <f aca="true">RAND()</f>
        <v>0.358653150945974</v>
      </c>
    </row>
    <row r="282" customFormat="false" ht="15" hidden="false" customHeight="false" outlineLevel="0" collapsed="false">
      <c r="A282" s="36" t="n">
        <v>202</v>
      </c>
      <c r="B282" s="37" t="n">
        <f aca="false">1+IF($G$6=$E$6,$F$6,IF(P282&lt;($F$6-$E$6)/($G$6-$E$6),$E$6+SQRT(P282*($G$6-$E$6)*($F$6-$E$6)),$G$6-SQRT((1-P282)*($G$6-$E$6)*($G$6-$F$6))))</f>
        <v>0.994894087726112</v>
      </c>
      <c r="C282" s="37" t="n">
        <f aca="false">1+IF($G$7=$E$7,$F$7,IF(Q282&lt;($F$7-$E$7)/($G$7-$E$7),$E$7+SQRT(Q282*($G$7-$E$7)*($F$7-$E$7)),$G$7-SQRT((1-Q282)*($G$7-$E$7)*($G$7-$F$7))))</f>
        <v>0.986080196823862</v>
      </c>
      <c r="D282" s="37" t="n">
        <f aca="false">1+IF($G$8=$E$8,$F$8,IF(R282&lt;($F$8-$E$8)/($G$8-$E$8),$E$8+SQRT(R282*($G$8-$E$8)*($F$8-$E$8)),$G$8-SQRT((1-R282)*($G$8-$E$8)*($G$8-$F$8))))</f>
        <v>1.03718600976882</v>
      </c>
      <c r="E282" s="37" t="n">
        <f aca="false">1+IF($G$9=$E$9,$F$9,IF(S282&lt;($F$9-$E$9)/($G$9-$E$9),$E$9+SQRT(S282*($G$9-$E$9)*($F$9-$E$9)),$G$9-SQRT((1-S282)*($G$9-$E$9)*($G$9-$F$9))))</f>
        <v>1.05301037056772</v>
      </c>
      <c r="F282" s="37" t="n">
        <f aca="false">1+IF($G$10=$E$10,$F$10,IF(T282&lt;($F$10-$E$10)/($G$10-$E$10),$E$10+SQRT(T282*($G$10-$E$10)*($F$10-$E$10)),$G$10-SQRT((1-T282)*($G$10-$E$10)*($G$10-$F$10))))</f>
        <v>1.0251270941412</v>
      </c>
      <c r="G282" s="38" t="n">
        <f aca="false">IF($G$11=$E$11,$F$11,IF(U282&lt;($F$11-$E$11)/($G$11-$E$11),$E$11+SQRT(U282*($G$11-$E$11)*($F$11-$E$11)),$G$11-SQRT((1-U282)*($G$11-$E$11)*($G$11-$F$11))))</f>
        <v>0.100618841472226</v>
      </c>
      <c r="H282" s="39" t="n">
        <f aca="false">(('Business Case'!B11*$C282*'Business Case'!B12*$B282)-'Business Case'!B11*$C282*'Business Case'!B13*$D282-'Business Case'!B14*$E282)-MAX(0,(('Business Case'!B11*$C282*'Business Case'!B12*$B282)-'Business Case'!B11*$C282*'Business Case'!B13*$D282-'Business Case'!B14*$E282))*'Business Case'!$B$7-'Business Case'!$B$8*('Business Case'!B11*$C282*'Business Case'!B12*$B282)-'Business Case'!B15*$F282</f>
        <v>-2050254188.2824</v>
      </c>
      <c r="I282" s="39" t="n">
        <f aca="false">(('Business Case'!C11*$C282*'Business Case'!C12*$B282)-'Business Case'!C11*$C282*'Business Case'!C13*$D282-'Business Case'!C14*$E282)-MAX(0,(('Business Case'!C11*$C282*'Business Case'!C12*$B282)-'Business Case'!C11*$C282*'Business Case'!C13*$D282-'Business Case'!C14*$E282))*'Business Case'!$B$7-'Business Case'!$B$8*(('Business Case'!C11*$C282*'Business Case'!C12*$B282)-('Business Case'!B11*$C282*'Business Case'!B12*$B282))-'Business Case'!C15*$F282</f>
        <v>-23126847.5765849</v>
      </c>
      <c r="J282" s="39" t="n">
        <f aca="false">(('Business Case'!D11*$C282*'Business Case'!D12*$B282)-'Business Case'!D11*$C282*'Business Case'!D13*$D282-'Business Case'!D14*$E282)-MAX(0,(('Business Case'!D11*$C282*'Business Case'!D12*$B282)-'Business Case'!D11*$C282*'Business Case'!D13*$D282-'Business Case'!D14*$E282))*'Business Case'!$B$7-'Business Case'!$B$8*(('Business Case'!D11*$C282*'Business Case'!D12*$B282)-('Business Case'!C11*$C282*'Business Case'!C12*$B282))-'Business Case'!D15*$F282</f>
        <v>256854480.306306</v>
      </c>
      <c r="K282" s="39" t="n">
        <f aca="false">(('Business Case'!E11*$C282*'Business Case'!E12*$B282)-'Business Case'!E11*$C282*'Business Case'!E13*$D282-'Business Case'!E14*$E282)-MAX(0,(('Business Case'!E11*$C282*'Business Case'!E12*$B282)-'Business Case'!E11*$C282*'Business Case'!E13*$D282-'Business Case'!E14*$E282))*'Business Case'!$B$7-'Business Case'!$B$8*(('Business Case'!E11*$C282*'Business Case'!E12*$B282)-('Business Case'!D11*$C282*'Business Case'!D12*$B282))-'Business Case'!E15*$F282</f>
        <v>588092162.896257</v>
      </c>
      <c r="L282" s="39" t="n">
        <f aca="false">(('Business Case'!F11*$C282*'Business Case'!F12*$B282)-'Business Case'!F11*$C282*'Business Case'!F13*$D282-'Business Case'!F14*$E282)-MAX(0,(('Business Case'!F11*$C282*'Business Case'!F12*$B282)-'Business Case'!F11*$C282*'Business Case'!F13*$D282-'Business Case'!F14*$E282))*'Business Case'!$B$7-'Business Case'!$B$8*(('Business Case'!F11*$C282*'Business Case'!F12*$B282)-('Business Case'!E11*$C282*'Business Case'!E12*$B282))-'Business Case'!F15*$F282</f>
        <v>715324199.757638</v>
      </c>
      <c r="M282" s="39" t="n">
        <f aca="false">(('Business Case'!G11*$C282*'Business Case'!G12*$B282)-'Business Case'!G11*$C282*'Business Case'!G13*$D282-'Business Case'!G14*$E282)-MAX(0,(('Business Case'!G11*$C282*'Business Case'!G12*$B282)-'Business Case'!G11*$C282*'Business Case'!G13*$D282-'Business Case'!G14*$E282))*'Business Case'!$B$7-'Business Case'!$B$8*(('Business Case'!G11*$C282*'Business Case'!G12*$B282)-('Business Case'!F11*$C282*'Business Case'!F12*$B282))-'Business Case'!G15*$F282+'Business Case'!$B$8*('Business Case'!G11*$C282*'Business Case'!G12*$B282)</f>
        <v>901801301.376599</v>
      </c>
      <c r="N282" s="39" t="n">
        <f aca="false">IF(COUNT('Business Case'!B11:G11)=0,"",H282+NPV(G282,I282:M282))</f>
        <v>-372278157.554108</v>
      </c>
      <c r="P282" s="40" t="n">
        <f aca="true">RAND()</f>
        <v>0.584283789200686</v>
      </c>
      <c r="Q282" s="40" t="n">
        <f aca="true">RAND()</f>
        <v>0.494654852142959</v>
      </c>
      <c r="R282" s="40" t="n">
        <f aca="true">RAND()</f>
        <v>0.823746369277385</v>
      </c>
      <c r="S282" s="40" t="n">
        <f aca="true">RAND()</f>
        <v>0.852798315054472</v>
      </c>
      <c r="T282" s="40" t="n">
        <f aca="true">RAND()</f>
        <v>0.388389335929991</v>
      </c>
      <c r="U282" s="40" t="n">
        <f aca="true">RAND()</f>
        <v>0.37395115686882</v>
      </c>
    </row>
    <row r="283" customFormat="false" ht="15" hidden="false" customHeight="false" outlineLevel="0" collapsed="false">
      <c r="A283" s="36" t="n">
        <v>203</v>
      </c>
      <c r="B283" s="37" t="n">
        <f aca="false">1+IF($G$6=$E$6,$F$6,IF(P283&lt;($F$6-$E$6)/($G$6-$E$6),$E$6+SQRT(P283*($G$6-$E$6)*($F$6-$E$6)),$G$6-SQRT((1-P283)*($G$6-$E$6)*($G$6-$F$6))))</f>
        <v>0.967676496442674</v>
      </c>
      <c r="C283" s="37" t="n">
        <f aca="false">1+IF($G$7=$E$7,$F$7,IF(Q283&lt;($F$7-$E$7)/($G$7-$E$7),$E$7+SQRT(Q283*($G$7-$E$7)*($F$7-$E$7)),$G$7-SQRT((1-Q283)*($G$7-$E$7)*($G$7-$F$7))))</f>
        <v>0.858767876141059</v>
      </c>
      <c r="D283" s="37" t="n">
        <f aca="false">1+IF($G$8=$E$8,$F$8,IF(R283&lt;($F$8-$E$8)/($G$8-$E$8),$E$8+SQRT(R283*($G$8-$E$8)*($F$8-$E$8)),$G$8-SQRT((1-R283)*($G$8-$E$8)*($G$8-$F$8))))</f>
        <v>0.997686526064097</v>
      </c>
      <c r="E283" s="37" t="n">
        <f aca="false">1+IF($G$9=$E$9,$F$9,IF(S283&lt;($F$9-$E$9)/($G$9-$E$9),$E$9+SQRT(S283*($G$9-$E$9)*($F$9-$E$9)),$G$9-SQRT((1-S283)*($G$9-$E$9)*($G$9-$F$9))))</f>
        <v>0.995011842488052</v>
      </c>
      <c r="F283" s="37" t="n">
        <f aca="false">1+IF($G$10=$E$10,$F$10,IF(T283&lt;($F$10-$E$10)/($G$10-$E$10),$E$10+SQRT(T283*($G$10-$E$10)*($F$10-$E$10)),$G$10-SQRT((1-T283)*($G$10-$E$10)*($G$10-$F$10))))</f>
        <v>1.04928849245862</v>
      </c>
      <c r="G283" s="38" t="n">
        <f aca="false">IF($G$11=$E$11,$F$11,IF(U283&lt;($F$11-$E$11)/($G$11-$E$11),$E$11+SQRT(U283*($G$11-$E$11)*($F$11-$E$11)),$G$11-SQRT((1-U283)*($G$11-$E$11)*($G$11-$F$11))))</f>
        <v>0.091688512149116</v>
      </c>
      <c r="H283" s="39" t="n">
        <f aca="false">(('Business Case'!B11*$C283*'Business Case'!B12*$B283)-'Business Case'!B11*$C283*'Business Case'!B13*$D283-'Business Case'!B14*$E283)-MAX(0,(('Business Case'!B11*$C283*'Business Case'!B12*$B283)-'Business Case'!B11*$C283*'Business Case'!B13*$D283-'Business Case'!B14*$E283))*'Business Case'!$B$7-'Business Case'!$B$8*('Business Case'!B11*$C283*'Business Case'!B12*$B283)-'Business Case'!B15*$F283</f>
        <v>-2098576984.91725</v>
      </c>
      <c r="I283" s="39" t="n">
        <f aca="false">(('Business Case'!C11*$C283*'Business Case'!C12*$B283)-'Business Case'!C11*$C283*'Business Case'!C13*$D283-'Business Case'!C14*$E283)-MAX(0,(('Business Case'!C11*$C283*'Business Case'!C12*$B283)-'Business Case'!C11*$C283*'Business Case'!C13*$D283-'Business Case'!C14*$E283))*'Business Case'!$B$7-'Business Case'!$B$8*(('Business Case'!C11*$C283*'Business Case'!C12*$B283)-('Business Case'!B11*$C283*'Business Case'!B12*$B283))-'Business Case'!C15*$F283</f>
        <v>-47445861.1895819</v>
      </c>
      <c r="J283" s="39" t="n">
        <f aca="false">(('Business Case'!D11*$C283*'Business Case'!D12*$B283)-'Business Case'!D11*$C283*'Business Case'!D13*$D283-'Business Case'!D14*$E283)-MAX(0,(('Business Case'!D11*$C283*'Business Case'!D12*$B283)-'Business Case'!D11*$C283*'Business Case'!D13*$D283-'Business Case'!D14*$E283))*'Business Case'!$B$7-'Business Case'!$B$8*(('Business Case'!D11*$C283*'Business Case'!D12*$B283)-('Business Case'!C11*$C283*'Business Case'!C12*$B283))-'Business Case'!D15*$F283</f>
        <v>194607342.811525</v>
      </c>
      <c r="K283" s="39" t="n">
        <f aca="false">(('Business Case'!E11*$C283*'Business Case'!E12*$B283)-'Business Case'!E11*$C283*'Business Case'!E13*$D283-'Business Case'!E14*$E283)-MAX(0,(('Business Case'!E11*$C283*'Business Case'!E12*$B283)-'Business Case'!E11*$C283*'Business Case'!E13*$D283-'Business Case'!E14*$E283))*'Business Case'!$B$7-'Business Case'!$B$8*(('Business Case'!E11*$C283*'Business Case'!E12*$B283)-('Business Case'!D11*$C283*'Business Case'!D12*$B283))-'Business Case'!E15*$F283</f>
        <v>489124971.435563</v>
      </c>
      <c r="L283" s="39" t="n">
        <f aca="false">(('Business Case'!F11*$C283*'Business Case'!F12*$B283)-'Business Case'!F11*$C283*'Business Case'!F13*$D283-'Business Case'!F14*$E283)-MAX(0,(('Business Case'!F11*$C283*'Business Case'!F12*$B283)-'Business Case'!F11*$C283*'Business Case'!F13*$D283-'Business Case'!F14*$E283))*'Business Case'!$B$7-'Business Case'!$B$8*(('Business Case'!F11*$C283*'Business Case'!F12*$B283)-('Business Case'!E11*$C283*'Business Case'!E12*$B283))-'Business Case'!F15*$F283</f>
        <v>598529060.731283</v>
      </c>
      <c r="M283" s="39" t="n">
        <f aca="false">(('Business Case'!G11*$C283*'Business Case'!G12*$B283)-'Business Case'!G11*$C283*'Business Case'!G13*$D283-'Business Case'!G14*$E283)-MAX(0,(('Business Case'!G11*$C283*'Business Case'!G12*$B283)-'Business Case'!G11*$C283*'Business Case'!G13*$D283-'Business Case'!G14*$E283))*'Business Case'!$B$7-'Business Case'!$B$8*(('Business Case'!G11*$C283*'Business Case'!G12*$B283)-('Business Case'!F11*$C283*'Business Case'!F12*$B283))-'Business Case'!G15*$F283+'Business Case'!$B$8*('Business Case'!G11*$C283*'Business Case'!G12*$B283)</f>
        <v>756487344.522376</v>
      </c>
      <c r="N283" s="39" t="n">
        <f aca="false">IF(COUNT('Business Case'!B11:G11)=0,"",H283+NPV(G283,I283:M283))</f>
        <v>-693532564.287579</v>
      </c>
      <c r="P283" s="40" t="n">
        <f aca="true">RAND()</f>
        <v>0.236775865942527</v>
      </c>
      <c r="Q283" s="40" t="n">
        <f aca="true">RAND()</f>
        <v>0.0493380466590118</v>
      </c>
      <c r="R283" s="40" t="n">
        <f aca="true">RAND()</f>
        <v>0.349846887394123</v>
      </c>
      <c r="S283" s="40" t="n">
        <f aca="true">RAND()</f>
        <v>0.270142128555899</v>
      </c>
      <c r="T283" s="40" t="n">
        <f aca="true">RAND()</f>
        <v>0.545720829892112</v>
      </c>
      <c r="U283" s="40" t="n">
        <f aca="true">RAND()</f>
        <v>0.0095035775923745</v>
      </c>
    </row>
    <row r="284" customFormat="false" ht="15" hidden="false" customHeight="false" outlineLevel="0" collapsed="false">
      <c r="A284" s="36" t="n">
        <v>204</v>
      </c>
      <c r="B284" s="37" t="n">
        <f aca="false">1+IF($G$6=$E$6,$F$6,IF(P284&lt;($F$6-$E$6)/($G$6-$E$6),$E$6+SQRT(P284*($G$6-$E$6)*($F$6-$E$6)),$G$6-SQRT((1-P284)*($G$6-$E$6)*($G$6-$F$6))))</f>
        <v>0.965660213872513</v>
      </c>
      <c r="C284" s="37" t="n">
        <f aca="false">1+IF($G$7=$E$7,$F$7,IF(Q284&lt;($F$7-$E$7)/($G$7-$E$7),$E$7+SQRT(Q284*($G$7-$E$7)*($F$7-$E$7)),$G$7-SQRT((1-Q284)*($G$7-$E$7)*($G$7-$F$7))))</f>
        <v>1.06324097733208</v>
      </c>
      <c r="D284" s="37" t="n">
        <f aca="false">1+IF($G$8=$E$8,$F$8,IF(R284&lt;($F$8-$E$8)/($G$8-$E$8),$E$8+SQRT(R284*($G$8-$E$8)*($F$8-$E$8)),$G$8-SQRT((1-R284)*($G$8-$E$8)*($G$8-$F$8))))</f>
        <v>0.995172793511423</v>
      </c>
      <c r="E284" s="37" t="n">
        <f aca="false">1+IF($G$9=$E$9,$F$9,IF(S284&lt;($F$9-$E$9)/($G$9-$E$9),$E$9+SQRT(S284*($G$9-$E$9)*($F$9-$E$9)),$G$9-SQRT((1-S284)*($G$9-$E$9)*($G$9-$F$9))))</f>
        <v>1.01060657476585</v>
      </c>
      <c r="F284" s="37" t="n">
        <f aca="false">1+IF($G$10=$E$10,$F$10,IF(T284&lt;($F$10-$E$10)/($G$10-$E$10),$E$10+SQRT(T284*($G$10-$E$10)*($F$10-$E$10)),$G$10-SQRT((1-T284)*($G$10-$E$10)*($G$10-$F$10))))</f>
        <v>0.994697620651476</v>
      </c>
      <c r="G284" s="38" t="n">
        <f aca="false">IF($G$11=$E$11,$F$11,IF(U284&lt;($F$11-$E$11)/($G$11-$E$11),$E$11+SQRT(U284*($G$11-$E$11)*($F$11-$E$11)),$G$11-SQRT((1-U284)*($G$11-$E$11)*($G$11-$F$11))))</f>
        <v>0.106904276699977</v>
      </c>
      <c r="H284" s="39" t="n">
        <f aca="false">(('Business Case'!B11*$C284*'Business Case'!B12*$B284)-'Business Case'!B11*$C284*'Business Case'!B13*$D284-'Business Case'!B14*$E284)-MAX(0,(('Business Case'!B11*$C284*'Business Case'!B12*$B284)-'Business Case'!B11*$C284*'Business Case'!B13*$D284-'Business Case'!B14*$E284))*'Business Case'!$B$7-'Business Case'!$B$8*('Business Case'!B11*$C284*'Business Case'!B12*$B284)-'Business Case'!B15*$F284</f>
        <v>-1989395241.30295</v>
      </c>
      <c r="I284" s="39" t="n">
        <f aca="false">(('Business Case'!C11*$C284*'Business Case'!C12*$B284)-'Business Case'!C11*$C284*'Business Case'!C13*$D284-'Business Case'!C14*$E284)-MAX(0,(('Business Case'!C11*$C284*'Business Case'!C12*$B284)-'Business Case'!C11*$C284*'Business Case'!C13*$D284-'Business Case'!C14*$E284))*'Business Case'!$B$7-'Business Case'!$B$8*(('Business Case'!C11*$C284*'Business Case'!C12*$B284)-('Business Case'!B11*$C284*'Business Case'!B12*$B284))-'Business Case'!C15*$F284</f>
        <v>2894818.05116722</v>
      </c>
      <c r="J284" s="39" t="n">
        <f aca="false">(('Business Case'!D11*$C284*'Business Case'!D12*$B284)-'Business Case'!D11*$C284*'Business Case'!D13*$D284-'Business Case'!D14*$E284)-MAX(0,(('Business Case'!D11*$C284*'Business Case'!D12*$B284)-'Business Case'!D11*$C284*'Business Case'!D13*$D284-'Business Case'!D14*$E284))*'Business Case'!$B$7-'Business Case'!$B$8*(('Business Case'!D11*$C284*'Business Case'!D12*$B284)-('Business Case'!C11*$C284*'Business Case'!C12*$B284))-'Business Case'!D15*$F284</f>
        <v>302193310.875218</v>
      </c>
      <c r="K284" s="39" t="n">
        <f aca="false">(('Business Case'!E11*$C284*'Business Case'!E12*$B284)-'Business Case'!E11*$C284*'Business Case'!E13*$D284-'Business Case'!E14*$E284)-MAX(0,(('Business Case'!E11*$C284*'Business Case'!E12*$B284)-'Business Case'!E11*$C284*'Business Case'!E13*$D284-'Business Case'!E14*$E284))*'Business Case'!$B$7-'Business Case'!$B$8*(('Business Case'!E11*$C284*'Business Case'!E12*$B284)-('Business Case'!D11*$C284*'Business Case'!D12*$B284))-'Business Case'!E15*$F284</f>
        <v>651226684.731843</v>
      </c>
      <c r="L284" s="39" t="n">
        <f aca="false">(('Business Case'!F11*$C284*'Business Case'!F12*$B284)-'Business Case'!F11*$C284*'Business Case'!F13*$D284-'Business Case'!F14*$E284)-MAX(0,(('Business Case'!F11*$C284*'Business Case'!F12*$B284)-'Business Case'!F11*$C284*'Business Case'!F13*$D284-'Business Case'!F14*$E284))*'Business Case'!$B$7-'Business Case'!$B$8*(('Business Case'!F11*$C284*'Business Case'!F12*$B284)-('Business Case'!E11*$C284*'Business Case'!E12*$B284))-'Business Case'!F15*$F284</f>
        <v>786476620.857215</v>
      </c>
      <c r="M284" s="39" t="n">
        <f aca="false">(('Business Case'!G11*$C284*'Business Case'!G12*$B284)-'Business Case'!G11*$C284*'Business Case'!G13*$D284-'Business Case'!G14*$E284)-MAX(0,(('Business Case'!G11*$C284*'Business Case'!G12*$B284)-'Business Case'!G11*$C284*'Business Case'!G13*$D284-'Business Case'!G14*$E284))*'Business Case'!$B$7-'Business Case'!$B$8*(('Business Case'!G11*$C284*'Business Case'!G12*$B284)-('Business Case'!F11*$C284*'Business Case'!F12*$B284))-'Business Case'!G15*$F284+'Business Case'!$B$8*('Business Case'!G11*$C284*'Business Case'!G12*$B284)</f>
        <v>981637366.035998</v>
      </c>
      <c r="N284" s="39" t="n">
        <f aca="false">IF(COUNT('Business Case'!B11:G11)=0,"",H284+NPV(G284,I284:M284))</f>
        <v>-145319091.819217</v>
      </c>
      <c r="P284" s="40" t="n">
        <f aca="true">RAND()</f>
        <v>0.217172409467041</v>
      </c>
      <c r="Q284" s="40" t="n">
        <f aca="true">RAND()</f>
        <v>0.856626133061092</v>
      </c>
      <c r="R284" s="40" t="n">
        <f aca="true">RAND()</f>
        <v>0.313935580557791</v>
      </c>
      <c r="S284" s="40" t="n">
        <f aca="true">RAND()</f>
        <v>0.467254368327131</v>
      </c>
      <c r="T284" s="40" t="n">
        <f aca="true">RAND()</f>
        <v>0.159830183352263</v>
      </c>
      <c r="U284" s="40" t="n">
        <f aca="true">RAND()</f>
        <v>0.714170052082063</v>
      </c>
    </row>
    <row r="285" customFormat="false" ht="15" hidden="false" customHeight="false" outlineLevel="0" collapsed="false">
      <c r="A285" s="36" t="n">
        <v>205</v>
      </c>
      <c r="B285" s="37" t="n">
        <f aca="false">1+IF($G$6=$E$6,$F$6,IF(P285&lt;($F$6-$E$6)/($G$6-$E$6),$E$6+SQRT(P285*($G$6-$E$6)*($F$6-$E$6)),$G$6-SQRT((1-P285)*($G$6-$E$6)*($G$6-$F$6))))</f>
        <v>0.963558356376115</v>
      </c>
      <c r="C285" s="37" t="n">
        <f aca="false">1+IF($G$7=$E$7,$F$7,IF(Q285&lt;($F$7-$E$7)/($G$7-$E$7),$E$7+SQRT(Q285*($G$7-$E$7)*($F$7-$E$7)),$G$7-SQRT((1-Q285)*($G$7-$E$7)*($G$7-$F$7))))</f>
        <v>1.09714651421922</v>
      </c>
      <c r="D285" s="37" t="n">
        <f aca="false">1+IF($G$8=$E$8,$F$8,IF(R285&lt;($F$8-$E$8)/($G$8-$E$8),$E$8+SQRT(R285*($G$8-$E$8)*($F$8-$E$8)),$G$8-SQRT((1-R285)*($G$8-$E$8)*($G$8-$F$8))))</f>
        <v>1.00342627311157</v>
      </c>
      <c r="E285" s="37" t="n">
        <f aca="false">1+IF($G$9=$E$9,$F$9,IF(S285&lt;($F$9-$E$9)/($G$9-$E$9),$E$9+SQRT(S285*($G$9-$E$9)*($F$9-$E$9)),$G$9-SQRT((1-S285)*($G$9-$E$9)*($G$9-$F$9))))</f>
        <v>1.08596469935801</v>
      </c>
      <c r="F285" s="37" t="n">
        <f aca="false">1+IF($G$10=$E$10,$F$10,IF(T285&lt;($F$10-$E$10)/($G$10-$E$10),$E$10+SQRT(T285*($G$10-$E$10)*($F$10-$E$10)),$G$10-SQRT((1-T285)*($G$10-$E$10)*($G$10-$F$10))))</f>
        <v>1.09310506013311</v>
      </c>
      <c r="G285" s="38" t="n">
        <f aca="false">IF($G$11=$E$11,$F$11,IF(U285&lt;($F$11-$E$11)/($G$11-$E$11),$E$11+SQRT(U285*($G$11-$E$11)*($F$11-$E$11)),$G$11-SQRT((1-U285)*($G$11-$E$11)*($G$11-$F$11))))</f>
        <v>0.0988764815232657</v>
      </c>
      <c r="H285" s="39" t="n">
        <f aca="false">(('Business Case'!B11*$C285*'Business Case'!B12*$B285)-'Business Case'!B11*$C285*'Business Case'!B13*$D285-'Business Case'!B14*$E285)-MAX(0,(('Business Case'!B11*$C285*'Business Case'!B12*$B285)-'Business Case'!B11*$C285*'Business Case'!B13*$D285-'Business Case'!B14*$E285))*'Business Case'!$B$7-'Business Case'!$B$8*('Business Case'!B11*$C285*'Business Case'!B12*$B285)-'Business Case'!B15*$F285</f>
        <v>-2186210120.26622</v>
      </c>
      <c r="I285" s="39" t="n">
        <f aca="false">(('Business Case'!C11*$C285*'Business Case'!C12*$B285)-'Business Case'!C11*$C285*'Business Case'!C13*$D285-'Business Case'!C14*$E285)-MAX(0,(('Business Case'!C11*$C285*'Business Case'!C12*$B285)-'Business Case'!C11*$C285*'Business Case'!C13*$D285-'Business Case'!C14*$E285))*'Business Case'!$B$7-'Business Case'!$B$8*(('Business Case'!C11*$C285*'Business Case'!C12*$B285)-('Business Case'!B11*$C285*'Business Case'!B12*$B285))-'Business Case'!C15*$F285</f>
        <v>-16219719.444774</v>
      </c>
      <c r="J285" s="39" t="n">
        <f aca="false">(('Business Case'!D11*$C285*'Business Case'!D12*$B285)-'Business Case'!D11*$C285*'Business Case'!D13*$D285-'Business Case'!D14*$E285)-MAX(0,(('Business Case'!D11*$C285*'Business Case'!D12*$B285)-'Business Case'!D11*$C285*'Business Case'!D13*$D285-'Business Case'!D14*$E285))*'Business Case'!$B$7-'Business Case'!$B$8*(('Business Case'!D11*$C285*'Business Case'!D12*$B285)-('Business Case'!C11*$C285*'Business Case'!C12*$B285))-'Business Case'!D15*$F285</f>
        <v>286098665.002894</v>
      </c>
      <c r="K285" s="39" t="n">
        <f aca="false">(('Business Case'!E11*$C285*'Business Case'!E12*$B285)-'Business Case'!E11*$C285*'Business Case'!E13*$D285-'Business Case'!E14*$E285)-MAX(0,(('Business Case'!E11*$C285*'Business Case'!E12*$B285)-'Business Case'!E11*$C285*'Business Case'!E13*$D285-'Business Case'!E14*$E285))*'Business Case'!$B$7-'Business Case'!$B$8*(('Business Case'!E11*$C285*'Business Case'!E12*$B285)-('Business Case'!D11*$C285*'Business Case'!D12*$B285))-'Business Case'!E15*$F285</f>
        <v>643072302.457218</v>
      </c>
      <c r="L285" s="39" t="n">
        <f aca="false">(('Business Case'!F11*$C285*'Business Case'!F12*$B285)-'Business Case'!F11*$C285*'Business Case'!F13*$D285-'Business Case'!F14*$E285)-MAX(0,(('Business Case'!F11*$C285*'Business Case'!F12*$B285)-'Business Case'!F11*$C285*'Business Case'!F13*$D285-'Business Case'!F14*$E285))*'Business Case'!$B$7-'Business Case'!$B$8*(('Business Case'!F11*$C285*'Business Case'!F12*$B285)-('Business Case'!E11*$C285*'Business Case'!E12*$B285))-'Business Case'!F15*$F285</f>
        <v>780380709.026722</v>
      </c>
      <c r="M285" s="39" t="n">
        <f aca="false">(('Business Case'!G11*$C285*'Business Case'!G12*$B285)-'Business Case'!G11*$C285*'Business Case'!G13*$D285-'Business Case'!G14*$E285)-MAX(0,(('Business Case'!G11*$C285*'Business Case'!G12*$B285)-'Business Case'!G11*$C285*'Business Case'!G13*$D285-'Business Case'!G14*$E285))*'Business Case'!$B$7-'Business Case'!$B$8*(('Business Case'!G11*$C285*'Business Case'!G12*$B285)-('Business Case'!F11*$C285*'Business Case'!F12*$B285))-'Business Case'!G15*$F285+'Business Case'!$B$8*('Business Case'!G11*$C285*'Business Case'!G12*$B285)</f>
        <v>981326573.671601</v>
      </c>
      <c r="N285" s="39" t="n">
        <f aca="false">IF(COUNT('Business Case'!B11:G11)=0,"",H285+NPV(G285,I285:M285))</f>
        <v>-331766622.722853</v>
      </c>
      <c r="P285" s="40" t="n">
        <f aca="true">RAND()</f>
        <v>0.197638584394654</v>
      </c>
      <c r="Q285" s="40" t="n">
        <f aca="true">RAND()</f>
        <v>0.946790648396594</v>
      </c>
      <c r="R285" s="40" t="n">
        <f aca="true">RAND()</f>
        <v>0.436198495232325</v>
      </c>
      <c r="S285" s="40" t="n">
        <f aca="true">RAND()</f>
        <v>0.986867355725935</v>
      </c>
      <c r="T285" s="40" t="n">
        <f aca="true">RAND()</f>
        <v>0.771469436617085</v>
      </c>
      <c r="U285" s="40" t="n">
        <f aca="true">RAND()</f>
        <v>0.262639747442926</v>
      </c>
    </row>
    <row r="286" customFormat="false" ht="15" hidden="false" customHeight="false" outlineLevel="0" collapsed="false">
      <c r="A286" s="36" t="n">
        <v>206</v>
      </c>
      <c r="B286" s="37" t="n">
        <f aca="false">1+IF($G$6=$E$6,$F$6,IF(P286&lt;($F$6-$E$6)/($G$6-$E$6),$E$6+SQRT(P286*($G$6-$E$6)*($F$6-$E$6)),$G$6-SQRT((1-P286)*($G$6-$E$6)*($G$6-$F$6))))</f>
        <v>0.977794374039354</v>
      </c>
      <c r="C286" s="37" t="n">
        <f aca="false">1+IF($G$7=$E$7,$F$7,IF(Q286&lt;($F$7-$E$7)/($G$7-$E$7),$E$7+SQRT(Q286*($G$7-$E$7)*($F$7-$E$7)),$G$7-SQRT((1-Q286)*($G$7-$E$7)*($G$7-$F$7))))</f>
        <v>1.04638239069856</v>
      </c>
      <c r="D286" s="37" t="n">
        <f aca="false">1+IF($G$8=$E$8,$F$8,IF(R286&lt;($F$8-$E$8)/($G$8-$E$8),$E$8+SQRT(R286*($G$8-$E$8)*($F$8-$E$8)),$G$8-SQRT((1-R286)*($G$8-$E$8)*($G$8-$F$8))))</f>
        <v>0.998987407590472</v>
      </c>
      <c r="E286" s="37" t="n">
        <f aca="false">1+IF($G$9=$E$9,$F$9,IF(S286&lt;($F$9-$E$9)/($G$9-$E$9),$E$9+SQRT(S286*($G$9-$E$9)*($F$9-$E$9)),$G$9-SQRT((1-S286)*($G$9-$E$9)*($G$9-$F$9))))</f>
        <v>1.03233928538178</v>
      </c>
      <c r="F286" s="37" t="n">
        <f aca="false">1+IF($G$10=$E$10,$F$10,IF(T286&lt;($F$10-$E$10)/($G$10-$E$10),$E$10+SQRT(T286*($G$10-$E$10)*($F$10-$E$10)),$G$10-SQRT((1-T286)*($G$10-$E$10)*($G$10-$F$10))))</f>
        <v>1.00654317781265</v>
      </c>
      <c r="G286" s="38" t="n">
        <f aca="false">IF($G$11=$E$11,$F$11,IF(U286&lt;($F$11-$E$11)/($G$11-$E$11),$E$11+SQRT(U286*($G$11-$E$11)*($F$11-$E$11)),$G$11-SQRT((1-U286)*($G$11-$E$11)*($G$11-$F$11))))</f>
        <v>0.109500192216536</v>
      </c>
      <c r="H286" s="39" t="n">
        <f aca="false">(('Business Case'!B11*$C286*'Business Case'!B12*$B286)-'Business Case'!B11*$C286*'Business Case'!B13*$D286-'Business Case'!B14*$E286)-MAX(0,(('Business Case'!B11*$C286*'Business Case'!B12*$B286)-'Business Case'!B11*$C286*'Business Case'!B13*$D286-'Business Case'!B14*$E286))*'Business Case'!$B$7-'Business Case'!$B$8*('Business Case'!B11*$C286*'Business Case'!B12*$B286)-'Business Case'!B15*$F286</f>
        <v>-2013086355.62529</v>
      </c>
      <c r="I286" s="39" t="n">
        <f aca="false">(('Business Case'!C11*$C286*'Business Case'!C12*$B286)-'Business Case'!C11*$C286*'Business Case'!C13*$D286-'Business Case'!C14*$E286)-MAX(0,(('Business Case'!C11*$C286*'Business Case'!C12*$B286)-'Business Case'!C11*$C286*'Business Case'!C13*$D286-'Business Case'!C14*$E286))*'Business Case'!$B$7-'Business Case'!$B$8*(('Business Case'!C11*$C286*'Business Case'!C12*$B286)-('Business Case'!B11*$C286*'Business Case'!B12*$B286))-'Business Case'!C15*$F286</f>
        <v>2416348.71628042</v>
      </c>
      <c r="J286" s="39" t="n">
        <f aca="false">(('Business Case'!D11*$C286*'Business Case'!D12*$B286)-'Business Case'!D11*$C286*'Business Case'!D13*$D286-'Business Case'!D14*$E286)-MAX(0,(('Business Case'!D11*$C286*'Business Case'!D12*$B286)-'Business Case'!D11*$C286*'Business Case'!D13*$D286-'Business Case'!D14*$E286))*'Business Case'!$B$7-'Business Case'!$B$8*(('Business Case'!D11*$C286*'Business Case'!D12*$B286)-('Business Case'!C11*$C286*'Business Case'!C12*$B286))-'Business Case'!D15*$F286</f>
        <v>305325592.470142</v>
      </c>
      <c r="K286" s="39" t="n">
        <f aca="false">(('Business Case'!E11*$C286*'Business Case'!E12*$B286)-'Business Case'!E11*$C286*'Business Case'!E13*$D286-'Business Case'!E14*$E286)-MAX(0,(('Business Case'!E11*$C286*'Business Case'!E12*$B286)-'Business Case'!E11*$C286*'Business Case'!E13*$D286-'Business Case'!E14*$E286))*'Business Case'!$B$7-'Business Case'!$B$8*(('Business Case'!E11*$C286*'Business Case'!E12*$B286)-('Business Case'!D11*$C286*'Business Case'!D12*$B286))-'Business Case'!E15*$F286</f>
        <v>658561995.114636</v>
      </c>
      <c r="L286" s="39" t="n">
        <f aca="false">(('Business Case'!F11*$C286*'Business Case'!F12*$B286)-'Business Case'!F11*$C286*'Business Case'!F13*$D286-'Business Case'!F14*$E286)-MAX(0,(('Business Case'!F11*$C286*'Business Case'!F12*$B286)-'Business Case'!F11*$C286*'Business Case'!F13*$D286-'Business Case'!F14*$E286))*'Business Case'!$B$7-'Business Case'!$B$8*(('Business Case'!F11*$C286*'Business Case'!F12*$B286)-('Business Case'!E11*$C286*'Business Case'!E12*$B286))-'Business Case'!F15*$F286</f>
        <v>794891696.949274</v>
      </c>
      <c r="M286" s="39" t="n">
        <f aca="false">(('Business Case'!G11*$C286*'Business Case'!G12*$B286)-'Business Case'!G11*$C286*'Business Case'!G13*$D286-'Business Case'!G14*$E286)-MAX(0,(('Business Case'!G11*$C286*'Business Case'!G12*$B286)-'Business Case'!G11*$C286*'Business Case'!G13*$D286-'Business Case'!G14*$E286))*'Business Case'!$B$7-'Business Case'!$B$8*(('Business Case'!G11*$C286*'Business Case'!G12*$B286)-('Business Case'!F11*$C286*'Business Case'!F12*$B286))-'Business Case'!G15*$F286+'Business Case'!$B$8*('Business Case'!G11*$C286*'Business Case'!G12*$B286)</f>
        <v>989371443.491043</v>
      </c>
      <c r="N286" s="39" t="n">
        <f aca="false">IF(COUNT('Business Case'!B11:G11)=0,"",H286+NPV(G286,I286:M286))</f>
        <v>-167658740.781353</v>
      </c>
      <c r="P286" s="40" t="n">
        <f aca="true">RAND()</f>
        <v>0.347936424020909</v>
      </c>
      <c r="Q286" s="40" t="n">
        <f aca="true">RAND()</f>
        <v>0.795493162717215</v>
      </c>
      <c r="R286" s="40" t="n">
        <f aca="true">RAND()</f>
        <v>0.369194784989999</v>
      </c>
      <c r="S286" s="40" t="n">
        <f aca="true">RAND()</f>
        <v>0.694801846490082</v>
      </c>
      <c r="T286" s="40" t="n">
        <f aca="true">RAND()</f>
        <v>0.251489158983403</v>
      </c>
      <c r="U286" s="40" t="n">
        <f aca="true">RAND()</f>
        <v>0.816256727517195</v>
      </c>
    </row>
    <row r="287" customFormat="false" ht="15" hidden="false" customHeight="false" outlineLevel="0" collapsed="false">
      <c r="A287" s="36" t="n">
        <v>207</v>
      </c>
      <c r="B287" s="37" t="n">
        <f aca="false">1+IF($G$6=$E$6,$F$6,IF(P287&lt;($F$6-$E$6)/($G$6-$E$6),$E$6+SQRT(P287*($G$6-$E$6)*($F$6-$E$6)),$G$6-SQRT((1-P287)*($G$6-$E$6)*($G$6-$F$6))))</f>
        <v>0.994065342550997</v>
      </c>
      <c r="C287" s="37" t="n">
        <f aca="false">1+IF($G$7=$E$7,$F$7,IF(Q287&lt;($F$7-$E$7)/($G$7-$E$7),$E$7+SQRT(Q287*($G$7-$E$7)*($F$7-$E$7)),$G$7-SQRT((1-Q287)*($G$7-$E$7)*($G$7-$F$7))))</f>
        <v>0.991838743793002</v>
      </c>
      <c r="D287" s="37" t="n">
        <f aca="false">1+IF($G$8=$E$8,$F$8,IF(R287&lt;($F$8-$E$8)/($G$8-$E$8),$E$8+SQRT(R287*($G$8-$E$8)*($F$8-$E$8)),$G$8-SQRT((1-R287)*($G$8-$E$8)*($G$8-$F$8))))</f>
        <v>0.986015309243406</v>
      </c>
      <c r="E287" s="37" t="n">
        <f aca="false">1+IF($G$9=$E$9,$F$9,IF(S287&lt;($F$9-$E$9)/($G$9-$E$9),$E$9+SQRT(S287*($G$9-$E$9)*($F$9-$E$9)),$G$9-SQRT((1-S287)*($G$9-$E$9)*($G$9-$F$9))))</f>
        <v>1.00757243430705</v>
      </c>
      <c r="F287" s="37" t="n">
        <f aca="false">1+IF($G$10=$E$10,$F$10,IF(T287&lt;($F$10-$E$10)/($G$10-$E$10),$E$10+SQRT(T287*($G$10-$E$10)*($F$10-$E$10)),$G$10-SQRT((1-T287)*($G$10-$E$10)*($G$10-$F$10))))</f>
        <v>0.98543603112551</v>
      </c>
      <c r="G287" s="38" t="n">
        <f aca="false">IF($G$11=$E$11,$F$11,IF(U287&lt;($F$11-$E$11)/($G$11-$E$11),$E$11+SQRT(U287*($G$11-$E$11)*($F$11-$E$11)),$G$11-SQRT((1-U287)*($G$11-$E$11)*($G$11-$F$11))))</f>
        <v>0.106563294364437</v>
      </c>
      <c r="H287" s="39" t="n">
        <f aca="false">(('Business Case'!B11*$C287*'Business Case'!B12*$B287)-'Business Case'!B11*$C287*'Business Case'!B13*$D287-'Business Case'!B14*$E287)-MAX(0,(('Business Case'!B11*$C287*'Business Case'!B12*$B287)-'Business Case'!B11*$C287*'Business Case'!B13*$D287-'Business Case'!B14*$E287))*'Business Case'!$B$7-'Business Case'!$B$8*('Business Case'!B11*$C287*'Business Case'!B12*$B287)-'Business Case'!B15*$F287</f>
        <v>-1970872062.25102</v>
      </c>
      <c r="I287" s="39" t="n">
        <f aca="false">(('Business Case'!C11*$C287*'Business Case'!C12*$B287)-'Business Case'!C11*$C287*'Business Case'!C13*$D287-'Business Case'!C14*$E287)-MAX(0,(('Business Case'!C11*$C287*'Business Case'!C12*$B287)-'Business Case'!C11*$C287*'Business Case'!C13*$D287-'Business Case'!C14*$E287))*'Business Case'!$B$7-'Business Case'!$B$8*(('Business Case'!C11*$C287*'Business Case'!C12*$B287)-('Business Case'!B11*$C287*'Business Case'!B12*$B287))-'Business Case'!C15*$F287</f>
        <v>13992447.4033515</v>
      </c>
      <c r="J287" s="39" t="n">
        <f aca="false">(('Business Case'!D11*$C287*'Business Case'!D12*$B287)-'Business Case'!D11*$C287*'Business Case'!D13*$D287-'Business Case'!D14*$E287)-MAX(0,(('Business Case'!D11*$C287*'Business Case'!D12*$B287)-'Business Case'!D11*$C287*'Business Case'!D13*$D287-'Business Case'!D14*$E287))*'Business Case'!$B$7-'Business Case'!$B$8*(('Business Case'!D11*$C287*'Business Case'!D12*$B287)-('Business Case'!C11*$C287*'Business Case'!C12*$B287))-'Business Case'!D15*$F287</f>
        <v>320917076.745825</v>
      </c>
      <c r="K287" s="39" t="n">
        <f aca="false">(('Business Case'!E11*$C287*'Business Case'!E12*$B287)-'Business Case'!E11*$C287*'Business Case'!E13*$D287-'Business Case'!E14*$E287)-MAX(0,(('Business Case'!E11*$C287*'Business Case'!E12*$B287)-'Business Case'!E11*$C287*'Business Case'!E13*$D287-'Business Case'!E14*$E287))*'Business Case'!$B$7-'Business Case'!$B$8*(('Business Case'!E11*$C287*'Business Case'!E12*$B287)-('Business Case'!D11*$C287*'Business Case'!D12*$B287))-'Business Case'!E15*$F287</f>
        <v>677113507.644574</v>
      </c>
      <c r="L287" s="39" t="n">
        <f aca="false">(('Business Case'!F11*$C287*'Business Case'!F12*$B287)-'Business Case'!F11*$C287*'Business Case'!F13*$D287-'Business Case'!F14*$E287)-MAX(0,(('Business Case'!F11*$C287*'Business Case'!F12*$B287)-'Business Case'!F11*$C287*'Business Case'!F13*$D287-'Business Case'!F14*$E287))*'Business Case'!$B$7-'Business Case'!$B$8*(('Business Case'!F11*$C287*'Business Case'!F12*$B287)-('Business Case'!E11*$C287*'Business Case'!E12*$B287))-'Business Case'!F15*$F287</f>
        <v>813496236.537471</v>
      </c>
      <c r="M287" s="39" t="n">
        <f aca="false">(('Business Case'!G11*$C287*'Business Case'!G12*$B287)-'Business Case'!G11*$C287*'Business Case'!G13*$D287-'Business Case'!G14*$E287)-MAX(0,(('Business Case'!G11*$C287*'Business Case'!G12*$B287)-'Business Case'!G11*$C287*'Business Case'!G13*$D287-'Business Case'!G14*$E287))*'Business Case'!$B$7-'Business Case'!$B$8*(('Business Case'!G11*$C287*'Business Case'!G12*$B287)-('Business Case'!F11*$C287*'Business Case'!F12*$B287))-'Business Case'!G15*$F287+'Business Case'!$B$8*('Business Case'!G11*$C287*'Business Case'!G12*$B287)</f>
        <v>1000906091.65387</v>
      </c>
      <c r="N287" s="39" t="n">
        <f aca="false">IF(COUNT('Business Case'!B11:G11)=0,"",H287+NPV(G287,I287:M287))</f>
        <v>-50582523.4562554</v>
      </c>
      <c r="P287" s="40" t="n">
        <f aca="true">RAND()</f>
        <v>0.571424475749631</v>
      </c>
      <c r="Q287" s="40" t="n">
        <f aca="true">RAND()</f>
        <v>0.525744337429672</v>
      </c>
      <c r="R287" s="40" t="n">
        <f aca="true">RAND()</f>
        <v>0.199554230753565</v>
      </c>
      <c r="S287" s="40" t="n">
        <f aca="true">RAND()</f>
        <v>0.430476340005039</v>
      </c>
      <c r="T287" s="40" t="n">
        <f aca="true">RAND()</f>
        <v>0.100456984154247</v>
      </c>
      <c r="U287" s="40" t="n">
        <f aca="true">RAND()</f>
        <v>0.699091569438701</v>
      </c>
    </row>
    <row r="288" customFormat="false" ht="15" hidden="false" customHeight="false" outlineLevel="0" collapsed="false">
      <c r="A288" s="36" t="n">
        <v>208</v>
      </c>
      <c r="B288" s="37" t="n">
        <f aca="false">1+IF($G$6=$E$6,$F$6,IF(P288&lt;($F$6-$E$6)/($G$6-$E$6),$E$6+SQRT(P288*($G$6-$E$6)*($F$6-$E$6)),$G$6-SQRT((1-P288)*($G$6-$E$6)*($G$6-$F$6))))</f>
        <v>1.01550774828304</v>
      </c>
      <c r="C288" s="37" t="n">
        <f aca="false">1+IF($G$7=$E$7,$F$7,IF(Q288&lt;($F$7-$E$7)/($G$7-$E$7),$E$7+SQRT(Q288*($G$7-$E$7)*($F$7-$E$7)),$G$7-SQRT((1-Q288)*($G$7-$E$7)*($G$7-$F$7))))</f>
        <v>0.868923317025207</v>
      </c>
      <c r="D288" s="37" t="n">
        <f aca="false">1+IF($G$8=$E$8,$F$8,IF(R288&lt;($F$8-$E$8)/($G$8-$E$8),$E$8+SQRT(R288*($G$8-$E$8)*($F$8-$E$8)),$G$8-SQRT((1-R288)*($G$8-$E$8)*($G$8-$F$8))))</f>
        <v>1.01051156168265</v>
      </c>
      <c r="E288" s="37" t="n">
        <f aca="false">1+IF($G$9=$E$9,$F$9,IF(S288&lt;($F$9-$E$9)/($G$9-$E$9),$E$9+SQRT(S288*($G$9-$E$9)*($F$9-$E$9)),$G$9-SQRT((1-S288)*($G$9-$E$9)*($G$9-$F$9))))</f>
        <v>1.0627406751994</v>
      </c>
      <c r="F288" s="37" t="n">
        <f aca="false">1+IF($G$10=$E$10,$F$10,IF(T288&lt;($F$10-$E$10)/($G$10-$E$10),$E$10+SQRT(T288*($G$10-$E$10)*($F$10-$E$10)),$G$10-SQRT((1-T288)*($G$10-$E$10)*($G$10-$F$10))))</f>
        <v>1.07471978400572</v>
      </c>
      <c r="G288" s="38" t="n">
        <f aca="false">IF($G$11=$E$11,$F$11,IF(U288&lt;($F$11-$E$11)/($G$11-$E$11),$E$11+SQRT(U288*($G$11-$E$11)*($F$11-$E$11)),$G$11-SQRT((1-U288)*($G$11-$E$11)*($G$11-$F$11))))</f>
        <v>0.104520211956417</v>
      </c>
      <c r="H288" s="39" t="n">
        <f aca="false">(('Business Case'!B11*$C288*'Business Case'!B12*$B288)-'Business Case'!B11*$C288*'Business Case'!B13*$D288-'Business Case'!B14*$E288)-MAX(0,(('Business Case'!B11*$C288*'Business Case'!B12*$B288)-'Business Case'!B11*$C288*'Business Case'!B13*$D288-'Business Case'!B14*$E288))*'Business Case'!$B$7-'Business Case'!$B$8*('Business Case'!B11*$C288*'Business Case'!B12*$B288)-'Business Case'!B15*$F288</f>
        <v>-2149439568.01143</v>
      </c>
      <c r="I288" s="39" t="n">
        <f aca="false">(('Business Case'!C11*$C288*'Business Case'!C12*$B288)-'Business Case'!C11*$C288*'Business Case'!C13*$D288-'Business Case'!C14*$E288)-MAX(0,(('Business Case'!C11*$C288*'Business Case'!C12*$B288)-'Business Case'!C11*$C288*'Business Case'!C13*$D288-'Business Case'!C14*$E288))*'Business Case'!$B$7-'Business Case'!$B$8*(('Business Case'!C11*$C288*'Business Case'!C12*$B288)-('Business Case'!B11*$C288*'Business Case'!B12*$B288))-'Business Case'!C15*$F288</f>
        <v>-31084412.1952214</v>
      </c>
      <c r="J288" s="39" t="n">
        <f aca="false">(('Business Case'!D11*$C288*'Business Case'!D12*$B288)-'Business Case'!D11*$C288*'Business Case'!D13*$D288-'Business Case'!D14*$E288)-MAX(0,(('Business Case'!D11*$C288*'Business Case'!D12*$B288)-'Business Case'!D11*$C288*'Business Case'!D13*$D288-'Business Case'!D14*$E288))*'Business Case'!$B$7-'Business Case'!$B$8*(('Business Case'!D11*$C288*'Business Case'!D12*$B288)-('Business Case'!C11*$C288*'Business Case'!C12*$B288))-'Business Case'!D15*$F288</f>
        <v>242168409.063058</v>
      </c>
      <c r="K288" s="39" t="n">
        <f aca="false">(('Business Case'!E11*$C288*'Business Case'!E12*$B288)-'Business Case'!E11*$C288*'Business Case'!E13*$D288-'Business Case'!E14*$E288)-MAX(0,(('Business Case'!E11*$C288*'Business Case'!E12*$B288)-'Business Case'!E11*$C288*'Business Case'!E13*$D288-'Business Case'!E14*$E288))*'Business Case'!$B$7-'Business Case'!$B$8*(('Business Case'!E11*$C288*'Business Case'!E12*$B288)-('Business Case'!D11*$C288*'Business Case'!D12*$B288))-'Business Case'!E15*$F288</f>
        <v>569157219.521622</v>
      </c>
      <c r="L288" s="39" t="n">
        <f aca="false">(('Business Case'!F11*$C288*'Business Case'!F12*$B288)-'Business Case'!F11*$C288*'Business Case'!F13*$D288-'Business Case'!F14*$E288)-MAX(0,(('Business Case'!F11*$C288*'Business Case'!F12*$B288)-'Business Case'!F11*$C288*'Business Case'!F13*$D288-'Business Case'!F14*$E288))*'Business Case'!$B$7-'Business Case'!$B$8*(('Business Case'!F11*$C288*'Business Case'!F12*$B288)-('Business Case'!E11*$C288*'Business Case'!E12*$B288))-'Business Case'!F15*$F288</f>
        <v>690737180.634098</v>
      </c>
      <c r="M288" s="39" t="n">
        <f aca="false">(('Business Case'!G11*$C288*'Business Case'!G12*$B288)-'Business Case'!G11*$C288*'Business Case'!G13*$D288-'Business Case'!G14*$E288)-MAX(0,(('Business Case'!G11*$C288*'Business Case'!G12*$B288)-'Business Case'!G11*$C288*'Business Case'!G13*$D288-'Business Case'!G14*$E288))*'Business Case'!$B$7-'Business Case'!$B$8*(('Business Case'!G11*$C288*'Business Case'!G12*$B288)-('Business Case'!F11*$C288*'Business Case'!F12*$B288))-'Business Case'!G15*$F288+'Business Case'!$B$8*('Business Case'!G11*$C288*'Business Case'!G12*$B288)</f>
        <v>858463461.112538</v>
      </c>
      <c r="N288" s="39" t="n">
        <f aca="false">IF(COUNT('Business Case'!B11:G11)=0,"",H288+NPV(G288,I288:M288))</f>
        <v>-570363366.740446</v>
      </c>
      <c r="P288" s="40" t="n">
        <f aca="true">RAND()</f>
        <v>0.875027001215264</v>
      </c>
      <c r="Q288" s="40" t="n">
        <f aca="true">RAND()</f>
        <v>0.0678631947108166</v>
      </c>
      <c r="R288" s="40" t="n">
        <f aca="true">RAND()</f>
        <v>0.535707398097736</v>
      </c>
      <c r="S288" s="40" t="n">
        <f aca="true">RAND()</f>
        <v>0.907449514360215</v>
      </c>
      <c r="T288" s="40" t="n">
        <f aca="true">RAND()</f>
        <v>0.686097349608515</v>
      </c>
      <c r="U288" s="40" t="n">
        <f aca="true">RAND()</f>
        <v>0.600626936876264</v>
      </c>
    </row>
    <row r="289" customFormat="false" ht="15" hidden="false" customHeight="false" outlineLevel="0" collapsed="false">
      <c r="A289" s="36" t="n">
        <v>209</v>
      </c>
      <c r="B289" s="37" t="n">
        <f aca="false">1+IF($G$6=$E$6,$F$6,IF(P289&lt;($F$6-$E$6)/($G$6-$E$6),$E$6+SQRT(P289*($G$6-$E$6)*($F$6-$E$6)),$G$6-SQRT((1-P289)*($G$6-$E$6)*($G$6-$F$6))))</f>
        <v>1.02034695259012</v>
      </c>
      <c r="C289" s="37" t="n">
        <f aca="false">1+IF($G$7=$E$7,$F$7,IF(Q289&lt;($F$7-$E$7)/($G$7-$E$7),$E$7+SQRT(Q289*($G$7-$E$7)*($F$7-$E$7)),$G$7-SQRT((1-Q289)*($G$7-$E$7)*($G$7-$F$7))))</f>
        <v>0.867496583741234</v>
      </c>
      <c r="D289" s="37" t="n">
        <f aca="false">1+IF($G$8=$E$8,$F$8,IF(R289&lt;($F$8-$E$8)/($G$8-$E$8),$E$8+SQRT(R289*($G$8-$E$8)*($F$8-$E$8)),$G$8-SQRT((1-R289)*($G$8-$E$8)*($G$8-$F$8))))</f>
        <v>0.996297062773108</v>
      </c>
      <c r="E289" s="37" t="n">
        <f aca="false">1+IF($G$9=$E$9,$F$9,IF(S289&lt;($F$9-$E$9)/($G$9-$E$9),$E$9+SQRT(S289*($G$9-$E$9)*($F$9-$E$9)),$G$9-SQRT((1-S289)*($G$9-$E$9)*($G$9-$F$9))))</f>
        <v>0.987561292328361</v>
      </c>
      <c r="F289" s="37" t="n">
        <f aca="false">1+IF($G$10=$E$10,$F$10,IF(T289&lt;($F$10-$E$10)/($G$10-$E$10),$E$10+SQRT(T289*($G$10-$E$10)*($F$10-$E$10)),$G$10-SQRT((1-T289)*($G$10-$E$10)*($G$10-$F$10))))</f>
        <v>1.04923149617575</v>
      </c>
      <c r="G289" s="38" t="n">
        <f aca="false">IF($G$11=$E$11,$F$11,IF(U289&lt;($F$11-$E$11)/($G$11-$E$11),$E$11+SQRT(U289*($G$11-$E$11)*($F$11-$E$11)),$G$11-SQRT((1-U289)*($G$11-$E$11)*($G$11-$F$11))))</f>
        <v>0.0965787570476112</v>
      </c>
      <c r="H289" s="39" t="n">
        <f aca="false">(('Business Case'!B11*$C289*'Business Case'!B12*$B289)-'Business Case'!B11*$C289*'Business Case'!B13*$D289-'Business Case'!B14*$E289)-MAX(0,(('Business Case'!B11*$C289*'Business Case'!B12*$B289)-'Business Case'!B11*$C289*'Business Case'!B13*$D289-'Business Case'!B14*$E289))*'Business Case'!$B$7-'Business Case'!$B$8*('Business Case'!B11*$C289*'Business Case'!B12*$B289)-'Business Case'!B15*$F289</f>
        <v>-2098462992.35151</v>
      </c>
      <c r="I289" s="39" t="n">
        <f aca="false">(('Business Case'!C11*$C289*'Business Case'!C12*$B289)-'Business Case'!C11*$C289*'Business Case'!C13*$D289-'Business Case'!C14*$E289)-MAX(0,(('Business Case'!C11*$C289*'Business Case'!C12*$B289)-'Business Case'!C11*$C289*'Business Case'!C13*$D289-'Business Case'!C14*$E289))*'Business Case'!$B$7-'Business Case'!$B$8*(('Business Case'!C11*$C289*'Business Case'!C12*$B289)-('Business Case'!B11*$C289*'Business Case'!B12*$B289))-'Business Case'!C15*$F289</f>
        <v>-8685300.0502582</v>
      </c>
      <c r="J289" s="39" t="n">
        <f aca="false">(('Business Case'!D11*$C289*'Business Case'!D12*$B289)-'Business Case'!D11*$C289*'Business Case'!D13*$D289-'Business Case'!D14*$E289)-MAX(0,(('Business Case'!D11*$C289*'Business Case'!D12*$B289)-'Business Case'!D11*$C289*'Business Case'!D13*$D289-'Business Case'!D14*$E289))*'Business Case'!$B$7-'Business Case'!$B$8*(('Business Case'!D11*$C289*'Business Case'!D12*$B289)-('Business Case'!C11*$C289*'Business Case'!C12*$B289))-'Business Case'!D15*$F289</f>
        <v>273869811.458196</v>
      </c>
      <c r="K289" s="39" t="n">
        <f aca="false">(('Business Case'!E11*$C289*'Business Case'!E12*$B289)-'Business Case'!E11*$C289*'Business Case'!E13*$D289-'Business Case'!E14*$E289)-MAX(0,(('Business Case'!E11*$C289*'Business Case'!E12*$B289)-'Business Case'!E11*$C289*'Business Case'!E13*$D289-'Business Case'!E14*$E289))*'Business Case'!$B$7-'Business Case'!$B$8*(('Business Case'!E11*$C289*'Business Case'!E12*$B289)-('Business Case'!D11*$C289*'Business Case'!D12*$B289))-'Business Case'!E15*$F289</f>
        <v>608886497.775438</v>
      </c>
      <c r="L289" s="39" t="n">
        <f aca="false">(('Business Case'!F11*$C289*'Business Case'!F12*$B289)-'Business Case'!F11*$C289*'Business Case'!F13*$D289-'Business Case'!F14*$E289)-MAX(0,(('Business Case'!F11*$C289*'Business Case'!F12*$B289)-'Business Case'!F11*$C289*'Business Case'!F13*$D289-'Business Case'!F14*$E289))*'Business Case'!$B$7-'Business Case'!$B$8*(('Business Case'!F11*$C289*'Business Case'!F12*$B289)-('Business Case'!E11*$C289*'Business Case'!E12*$B289))-'Business Case'!F15*$F289</f>
        <v>733662232.392953</v>
      </c>
      <c r="M289" s="39" t="n">
        <f aca="false">(('Business Case'!G11*$C289*'Business Case'!G12*$B289)-'Business Case'!G11*$C289*'Business Case'!G13*$D289-'Business Case'!G14*$E289)-MAX(0,(('Business Case'!G11*$C289*'Business Case'!G12*$B289)-'Business Case'!G11*$C289*'Business Case'!G13*$D289-'Business Case'!G14*$E289))*'Business Case'!$B$7-'Business Case'!$B$8*(('Business Case'!G11*$C289*'Business Case'!G12*$B289)-('Business Case'!F11*$C289*'Business Case'!F12*$B289))-'Business Case'!G15*$F289+'Business Case'!$B$8*('Business Case'!G11*$C289*'Business Case'!G12*$B289)</f>
        <v>901911068.357115</v>
      </c>
      <c r="N289" s="39" t="n">
        <f aca="false">IF(COUNT('Business Case'!B11:G11)=0,"",H289+NPV(G289,I289:M289))</f>
        <v>-340678934.826355</v>
      </c>
      <c r="P289" s="40" t="n">
        <f aca="true">RAND()</f>
        <v>0.919532859896864</v>
      </c>
      <c r="Q289" s="40" t="n">
        <f aca="true">RAND()</f>
        <v>0.0650826973819636</v>
      </c>
      <c r="R289" s="40" t="n">
        <f aca="true">RAND()</f>
        <v>0.329756618679549</v>
      </c>
      <c r="S289" s="40" t="n">
        <f aca="true">RAND()</f>
        <v>0.188113424183546</v>
      </c>
      <c r="T289" s="40" t="n">
        <f aca="true">RAND()</f>
        <v>0.545377165091966</v>
      </c>
      <c r="U289" s="40" t="n">
        <f aca="true">RAND()</f>
        <v>0.144266814304979</v>
      </c>
    </row>
    <row r="290" customFormat="false" ht="15" hidden="false" customHeight="false" outlineLevel="0" collapsed="false">
      <c r="A290" s="36" t="n">
        <v>210</v>
      </c>
      <c r="B290" s="37" t="n">
        <f aca="false">1+IF($G$6=$E$6,$F$6,IF(P290&lt;($F$6-$E$6)/($G$6-$E$6),$E$6+SQRT(P290*($G$6-$E$6)*($F$6-$E$6)),$G$6-SQRT((1-P290)*($G$6-$E$6)*($G$6-$F$6))))</f>
        <v>0.992612019475158</v>
      </c>
      <c r="C290" s="37" t="n">
        <f aca="false">1+IF($G$7=$E$7,$F$7,IF(Q290&lt;($F$7-$E$7)/($G$7-$E$7),$E$7+SQRT(Q290*($G$7-$E$7)*($F$7-$E$7)),$G$7-SQRT((1-Q290)*($G$7-$E$7)*($G$7-$F$7))))</f>
        <v>0.94238990175276</v>
      </c>
      <c r="D290" s="37" t="n">
        <f aca="false">1+IF($G$8=$E$8,$F$8,IF(R290&lt;($F$8-$E$8)/($G$8-$E$8),$E$8+SQRT(R290*($G$8-$E$8)*($F$8-$E$8)),$G$8-SQRT((1-R290)*($G$8-$E$8)*($G$8-$F$8))))</f>
        <v>1.01848439043794</v>
      </c>
      <c r="E290" s="37" t="n">
        <f aca="false">1+IF($G$9=$E$9,$F$9,IF(S290&lt;($F$9-$E$9)/($G$9-$E$9),$E$9+SQRT(S290*($G$9-$E$9)*($F$9-$E$9)),$G$9-SQRT((1-S290)*($G$9-$E$9)*($G$9-$F$9))))</f>
        <v>1.06777795564089</v>
      </c>
      <c r="F290" s="37" t="n">
        <f aca="false">1+IF($G$10=$E$10,$F$10,IF(T290&lt;($F$10-$E$10)/($G$10-$E$10),$E$10+SQRT(T290*($G$10-$E$10)*($F$10-$E$10)),$G$10-SQRT((1-T290)*($G$10-$E$10)*($G$10-$F$10))))</f>
        <v>1.06351198382691</v>
      </c>
      <c r="G290" s="38" t="n">
        <f aca="false">IF($G$11=$E$11,$F$11,IF(U290&lt;($F$11-$E$11)/($G$11-$E$11),$E$11+SQRT(U290*($G$11-$E$11)*($F$11-$E$11)),$G$11-SQRT((1-U290)*($G$11-$E$11)*($G$11-$F$11))))</f>
        <v>0.0985315284475286</v>
      </c>
      <c r="H290" s="39" t="n">
        <f aca="false">(('Business Case'!B11*$C290*'Business Case'!B12*$B290)-'Business Case'!B11*$C290*'Business Case'!B13*$D290-'Business Case'!B14*$E290)-MAX(0,(('Business Case'!B11*$C290*'Business Case'!B12*$B290)-'Business Case'!B11*$C290*'Business Case'!B13*$D290-'Business Case'!B14*$E290))*'Business Case'!$B$7-'Business Case'!$B$8*('Business Case'!B11*$C290*'Business Case'!B12*$B290)-'Business Case'!B15*$F290</f>
        <v>-2127023967.65381</v>
      </c>
      <c r="I290" s="39" t="n">
        <f aca="false">(('Business Case'!C11*$C290*'Business Case'!C12*$B290)-'Business Case'!C11*$C290*'Business Case'!C13*$D290-'Business Case'!C14*$E290)-MAX(0,(('Business Case'!C11*$C290*'Business Case'!C12*$B290)-'Business Case'!C11*$C290*'Business Case'!C13*$D290-'Business Case'!C14*$E290))*'Business Case'!$B$7-'Business Case'!$B$8*(('Business Case'!C11*$C290*'Business Case'!C12*$B290)-('Business Case'!B11*$C290*'Business Case'!B12*$B290))-'Business Case'!C15*$F290</f>
        <v>-31844909.035267</v>
      </c>
      <c r="J290" s="39" t="n">
        <f aca="false">(('Business Case'!D11*$C290*'Business Case'!D12*$B290)-'Business Case'!D11*$C290*'Business Case'!D13*$D290-'Business Case'!D14*$E290)-MAX(0,(('Business Case'!D11*$C290*'Business Case'!D12*$B290)-'Business Case'!D11*$C290*'Business Case'!D13*$D290-'Business Case'!D14*$E290))*'Business Case'!$B$7-'Business Case'!$B$8*(('Business Case'!D11*$C290*'Business Case'!D12*$B290)-('Business Case'!C11*$C290*'Business Case'!C12*$B290))-'Business Case'!D15*$F290</f>
        <v>242991969.459942</v>
      </c>
      <c r="K290" s="39" t="n">
        <f aca="false">(('Business Case'!E11*$C290*'Business Case'!E12*$B290)-'Business Case'!E11*$C290*'Business Case'!E13*$D290-'Business Case'!E14*$E290)-MAX(0,(('Business Case'!E11*$C290*'Business Case'!E12*$B290)-'Business Case'!E11*$C290*'Business Case'!E13*$D290-'Business Case'!E14*$E290))*'Business Case'!$B$7-'Business Case'!$B$8*(('Business Case'!E11*$C290*'Business Case'!E12*$B290)-('Business Case'!D11*$C290*'Business Case'!D12*$B290))-'Business Case'!E15*$F290</f>
        <v>571004447.146497</v>
      </c>
      <c r="L290" s="39" t="n">
        <f aca="false">(('Business Case'!F11*$C290*'Business Case'!F12*$B290)-'Business Case'!F11*$C290*'Business Case'!F13*$D290-'Business Case'!F14*$E290)-MAX(0,(('Business Case'!F11*$C290*'Business Case'!F12*$B290)-'Business Case'!F11*$C290*'Business Case'!F13*$D290-'Business Case'!F14*$E290))*'Business Case'!$B$7-'Business Case'!$B$8*(('Business Case'!F11*$C290*'Business Case'!F12*$B290)-('Business Case'!E11*$C290*'Business Case'!E12*$B290))-'Business Case'!F15*$F290</f>
        <v>694945115.882001</v>
      </c>
      <c r="M290" s="39" t="n">
        <f aca="false">(('Business Case'!G11*$C290*'Business Case'!G12*$B290)-'Business Case'!G11*$C290*'Business Case'!G13*$D290-'Business Case'!G14*$E290)-MAX(0,(('Business Case'!G11*$C290*'Business Case'!G12*$B290)-'Business Case'!G11*$C290*'Business Case'!G13*$D290-'Business Case'!G14*$E290))*'Business Case'!$B$7-'Business Case'!$B$8*(('Business Case'!G11*$C290*'Business Case'!G12*$B290)-('Business Case'!F11*$C290*'Business Case'!F12*$B290))-'Business Case'!G15*$F290+'Business Case'!$B$8*('Business Case'!G11*$C290*'Business Case'!G12*$B290)</f>
        <v>872751183.352725</v>
      </c>
      <c r="N290" s="39" t="n">
        <f aca="false">IF(COUNT('Business Case'!B11:G11)=0,"",H290+NPV(G290,I290:M290))</f>
        <v>-501187207.864322</v>
      </c>
      <c r="P290" s="40" t="n">
        <f aca="true">RAND()</f>
        <v>0.54921930961049</v>
      </c>
      <c r="Q290" s="40" t="n">
        <f aca="true">RAND()</f>
        <v>0.289641201730867</v>
      </c>
      <c r="R290" s="40" t="n">
        <f aca="true">RAND()</f>
        <v>0.636137478866121</v>
      </c>
      <c r="S290" s="40" t="n">
        <f aca="true">RAND()</f>
        <v>0.930782657154619</v>
      </c>
      <c r="T290" s="40" t="n">
        <f aca="true">RAND()</f>
        <v>0.627420428822659</v>
      </c>
      <c r="U290" s="40" t="n">
        <f aca="true">RAND()</f>
        <v>0.242623258836631</v>
      </c>
    </row>
    <row r="291" customFormat="false" ht="15" hidden="false" customHeight="false" outlineLevel="0" collapsed="false">
      <c r="A291" s="36" t="n">
        <v>211</v>
      </c>
      <c r="B291" s="37" t="n">
        <f aca="false">1+IF($G$6=$E$6,$F$6,IF(P291&lt;($F$6-$E$6)/($G$6-$E$6),$E$6+SQRT(P291*($G$6-$E$6)*($F$6-$E$6)),$G$6-SQRT((1-P291)*($G$6-$E$6)*($G$6-$F$6))))</f>
        <v>0.947809125001675</v>
      </c>
      <c r="C291" s="37" t="n">
        <f aca="false">1+IF($G$7=$E$7,$F$7,IF(Q291&lt;($F$7-$E$7)/($G$7-$E$7),$E$7+SQRT(Q291*($G$7-$E$7)*($F$7-$E$7)),$G$7-SQRT((1-Q291)*($G$7-$E$7)*($G$7-$F$7))))</f>
        <v>0.831790026220541</v>
      </c>
      <c r="D291" s="37" t="n">
        <f aca="false">1+IF($G$8=$E$8,$F$8,IF(R291&lt;($F$8-$E$8)/($G$8-$E$8),$E$8+SQRT(R291*($G$8-$E$8)*($F$8-$E$8)),$G$8-SQRT((1-R291)*($G$8-$E$8)*($G$8-$F$8))))</f>
        <v>1.00736278824865</v>
      </c>
      <c r="E291" s="37" t="n">
        <f aca="false">1+IF($G$9=$E$9,$F$9,IF(S291&lt;($F$9-$E$9)/($G$9-$E$9),$E$9+SQRT(S291*($G$9-$E$9)*($F$9-$E$9)),$G$9-SQRT((1-S291)*($G$9-$E$9)*($G$9-$F$9))))</f>
        <v>1.05668595995411</v>
      </c>
      <c r="F291" s="37" t="n">
        <f aca="false">1+IF($G$10=$E$10,$F$10,IF(T291&lt;($F$10-$E$10)/($G$10-$E$10),$E$10+SQRT(T291*($G$10-$E$10)*($F$10-$E$10)),$G$10-SQRT((1-T291)*($G$10-$E$10)*($G$10-$F$10))))</f>
        <v>1.01993476063681</v>
      </c>
      <c r="G291" s="38" t="n">
        <f aca="false">IF($G$11=$E$11,$F$11,IF(U291&lt;($F$11-$E$11)/($G$11-$E$11),$E$11+SQRT(U291*($G$11-$E$11)*($F$11-$E$11)),$G$11-SQRT((1-U291)*($G$11-$E$11)*($G$11-$F$11))))</f>
        <v>0.115669992909378</v>
      </c>
      <c r="H291" s="39" t="n">
        <f aca="false">(('Business Case'!B11*$C291*'Business Case'!B12*$B291)-'Business Case'!B11*$C291*'Business Case'!B13*$D291-'Business Case'!B14*$E291)-MAX(0,(('Business Case'!B11*$C291*'Business Case'!B12*$B291)-'Business Case'!B11*$C291*'Business Case'!B13*$D291-'Business Case'!B14*$E291))*'Business Case'!$B$7-'Business Case'!$B$8*('Business Case'!B11*$C291*'Business Case'!B12*$B291)-'Business Case'!B15*$F291</f>
        <v>-2039869521.27362</v>
      </c>
      <c r="I291" s="39" t="n">
        <f aca="false">(('Business Case'!C11*$C291*'Business Case'!C12*$B291)-'Business Case'!C11*$C291*'Business Case'!C13*$D291-'Business Case'!C14*$E291)-MAX(0,(('Business Case'!C11*$C291*'Business Case'!C12*$B291)-'Business Case'!C11*$C291*'Business Case'!C13*$D291-'Business Case'!C14*$E291))*'Business Case'!$B$7-'Business Case'!$B$8*(('Business Case'!C11*$C291*'Business Case'!C12*$B291)-('Business Case'!B11*$C291*'Business Case'!B12*$B291))-'Business Case'!C15*$F291</f>
        <v>-76330352.8417429</v>
      </c>
      <c r="J291" s="39" t="n">
        <f aca="false">(('Business Case'!D11*$C291*'Business Case'!D12*$B291)-'Business Case'!D11*$C291*'Business Case'!D13*$D291-'Business Case'!D14*$E291)-MAX(0,(('Business Case'!D11*$C291*'Business Case'!D12*$B291)-'Business Case'!D11*$C291*'Business Case'!D13*$D291-'Business Case'!D14*$E291))*'Business Case'!$B$7-'Business Case'!$B$8*(('Business Case'!D11*$C291*'Business Case'!D12*$B291)-('Business Case'!C11*$C291*'Business Case'!C12*$B291))-'Business Case'!D15*$F291</f>
        <v>140463038.578094</v>
      </c>
      <c r="K291" s="39" t="n">
        <f aca="false">(('Business Case'!E11*$C291*'Business Case'!E12*$B291)-'Business Case'!E11*$C291*'Business Case'!E13*$D291-'Business Case'!E14*$E291)-MAX(0,(('Business Case'!E11*$C291*'Business Case'!E12*$B291)-'Business Case'!E11*$C291*'Business Case'!E13*$D291-'Business Case'!E14*$E291))*'Business Case'!$B$7-'Business Case'!$B$8*(('Business Case'!E11*$C291*'Business Case'!E12*$B291)-('Business Case'!D11*$C291*'Business Case'!D12*$B291))-'Business Case'!E15*$F291</f>
        <v>408253168.029772</v>
      </c>
      <c r="L291" s="39" t="n">
        <f aca="false">(('Business Case'!F11*$C291*'Business Case'!F12*$B291)-'Business Case'!F11*$C291*'Business Case'!F13*$D291-'Business Case'!F14*$E291)-MAX(0,(('Business Case'!F11*$C291*'Business Case'!F12*$B291)-'Business Case'!F11*$C291*'Business Case'!F13*$D291-'Business Case'!F14*$E291))*'Business Case'!$B$7-'Business Case'!$B$8*(('Business Case'!F11*$C291*'Business Case'!F12*$B291)-('Business Case'!E11*$C291*'Business Case'!E12*$B291))-'Business Case'!F15*$F291</f>
        <v>507763981.631334</v>
      </c>
      <c r="M291" s="39" t="n">
        <f aca="false">(('Business Case'!G11*$C291*'Business Case'!G12*$B291)-'Business Case'!G11*$C291*'Business Case'!G13*$D291-'Business Case'!G14*$E291)-MAX(0,(('Business Case'!G11*$C291*'Business Case'!G12*$B291)-'Business Case'!G11*$C291*'Business Case'!G13*$D291-'Business Case'!G14*$E291))*'Business Case'!$B$7-'Business Case'!$B$8*(('Business Case'!G11*$C291*'Business Case'!G12*$B291)-('Business Case'!F11*$C291*'Business Case'!F12*$B291))-'Business Case'!G15*$F291+'Business Case'!$B$8*('Business Case'!G11*$C291*'Business Case'!G12*$B291)</f>
        <v>657618905.503559</v>
      </c>
      <c r="N291" s="39" t="n">
        <f aca="false">IF(COUNT('Business Case'!B11:G11)=0,"",H291+NPV(G291,I291:M291))</f>
        <v>-993275706.915958</v>
      </c>
      <c r="P291" s="40" t="n">
        <f aca="true">RAND()</f>
        <v>0.080557024308204</v>
      </c>
      <c r="Q291" s="40" t="n">
        <f aca="true">RAND()</f>
        <v>0.0144372252443239</v>
      </c>
      <c r="R291" s="40" t="n">
        <f aca="true">RAND()</f>
        <v>0.492676487402836</v>
      </c>
      <c r="S291" s="40" t="n">
        <f aca="true">RAND()</f>
        <v>0.874926262326863</v>
      </c>
      <c r="T291" s="40" t="n">
        <f aca="true">RAND()</f>
        <v>0.351530191461523</v>
      </c>
      <c r="U291" s="40" t="n">
        <f aca="true">RAND()</f>
        <v>0.968751730991936</v>
      </c>
    </row>
    <row r="292" customFormat="false" ht="15" hidden="false" customHeight="false" outlineLevel="0" collapsed="false">
      <c r="A292" s="36" t="n">
        <v>212</v>
      </c>
      <c r="B292" s="37" t="n">
        <f aca="false">1+IF($G$6=$E$6,$F$6,IF(P292&lt;($F$6-$E$6)/($G$6-$E$6),$E$6+SQRT(P292*($G$6-$E$6)*($F$6-$E$6)),$G$6-SQRT((1-P292)*($G$6-$E$6)*($G$6-$F$6))))</f>
        <v>0.991155567317526</v>
      </c>
      <c r="C292" s="37" t="n">
        <f aca="false">1+IF($G$7=$E$7,$F$7,IF(Q292&lt;($F$7-$E$7)/($G$7-$E$7),$E$7+SQRT(Q292*($G$7-$E$7)*($F$7-$E$7)),$G$7-SQRT((1-Q292)*($G$7-$E$7)*($G$7-$F$7))))</f>
        <v>1.01921514333834</v>
      </c>
      <c r="D292" s="37" t="n">
        <f aca="false">1+IF($G$8=$E$8,$F$8,IF(R292&lt;($F$8-$E$8)/($G$8-$E$8),$E$8+SQRT(R292*($G$8-$E$8)*($F$8-$E$8)),$G$8-SQRT((1-R292)*($G$8-$E$8)*($G$8-$F$8))))</f>
        <v>1.00288172481243</v>
      </c>
      <c r="E292" s="37" t="n">
        <f aca="false">1+IF($G$9=$E$9,$F$9,IF(S292&lt;($F$9-$E$9)/($G$9-$E$9),$E$9+SQRT(S292*($G$9-$E$9)*($F$9-$E$9)),$G$9-SQRT((1-S292)*($G$9-$E$9)*($G$9-$F$9))))</f>
        <v>1.08162623322459</v>
      </c>
      <c r="F292" s="37" t="n">
        <f aca="false">1+IF($G$10=$E$10,$F$10,IF(T292&lt;($F$10-$E$10)/($G$10-$E$10),$E$10+SQRT(T292*($G$10-$E$10)*($F$10-$E$10)),$G$10-SQRT((1-T292)*($G$10-$E$10)*($G$10-$F$10))))</f>
        <v>1.00348381775242</v>
      </c>
      <c r="G292" s="38" t="n">
        <f aca="false">IF($G$11=$E$11,$F$11,IF(U292&lt;($F$11-$E$11)/($G$11-$E$11),$E$11+SQRT(U292*($G$11-$E$11)*($F$11-$E$11)),$G$11-SQRT((1-U292)*($G$11-$E$11)*($G$11-$F$11))))</f>
        <v>0.108939766886343</v>
      </c>
      <c r="H292" s="39" t="n">
        <f aca="false">(('Business Case'!B11*$C292*'Business Case'!B12*$B292)-'Business Case'!B11*$C292*'Business Case'!B13*$D292-'Business Case'!B14*$E292)-MAX(0,(('Business Case'!B11*$C292*'Business Case'!B12*$B292)-'Business Case'!B11*$C292*'Business Case'!B13*$D292-'Business Case'!B14*$E292))*'Business Case'!$B$7-'Business Case'!$B$8*('Business Case'!B11*$C292*'Business Case'!B12*$B292)-'Business Case'!B15*$F292</f>
        <v>-2006967635.50485</v>
      </c>
      <c r="I292" s="39" t="n">
        <f aca="false">(('Business Case'!C11*$C292*'Business Case'!C12*$B292)-'Business Case'!C11*$C292*'Business Case'!C13*$D292-'Business Case'!C14*$E292)-MAX(0,(('Business Case'!C11*$C292*'Business Case'!C12*$B292)-'Business Case'!C11*$C292*'Business Case'!C13*$D292-'Business Case'!C14*$E292))*'Business Case'!$B$7-'Business Case'!$B$8*(('Business Case'!C11*$C292*'Business Case'!C12*$B292)-('Business Case'!B11*$C292*'Business Case'!B12*$B292))-'Business Case'!C15*$F292</f>
        <v>-2357455.035235</v>
      </c>
      <c r="J292" s="39" t="n">
        <f aca="false">(('Business Case'!D11*$C292*'Business Case'!D12*$B292)-'Business Case'!D11*$C292*'Business Case'!D13*$D292-'Business Case'!D14*$E292)-MAX(0,(('Business Case'!D11*$C292*'Business Case'!D12*$B292)-'Business Case'!D11*$C292*'Business Case'!D13*$D292-'Business Case'!D14*$E292))*'Business Case'!$B$7-'Business Case'!$B$8*(('Business Case'!D11*$C292*'Business Case'!D12*$B292)-('Business Case'!C11*$C292*'Business Case'!C12*$B292))-'Business Case'!D15*$F292</f>
        <v>301809529.655065</v>
      </c>
      <c r="K292" s="39" t="n">
        <f aca="false">(('Business Case'!E11*$C292*'Business Case'!E12*$B292)-'Business Case'!E11*$C292*'Business Case'!E13*$D292-'Business Case'!E14*$E292)-MAX(0,(('Business Case'!E11*$C292*'Business Case'!E12*$B292)-'Business Case'!E11*$C292*'Business Case'!E13*$D292-'Business Case'!E14*$E292))*'Business Case'!$B$7-'Business Case'!$B$8*(('Business Case'!E11*$C292*'Business Case'!E12*$B292)-('Business Case'!D11*$C292*'Business Case'!D12*$B292))-'Business Case'!E15*$F292</f>
        <v>656150705.232986</v>
      </c>
      <c r="L292" s="39" t="n">
        <f aca="false">(('Business Case'!F11*$C292*'Business Case'!F12*$B292)-'Business Case'!F11*$C292*'Business Case'!F13*$D292-'Business Case'!F14*$E292)-MAX(0,(('Business Case'!F11*$C292*'Business Case'!F12*$B292)-'Business Case'!F11*$C292*'Business Case'!F13*$D292-'Business Case'!F14*$E292))*'Business Case'!$B$7-'Business Case'!$B$8*(('Business Case'!F11*$C292*'Business Case'!F12*$B292)-('Business Case'!E11*$C292*'Business Case'!E12*$B292))-'Business Case'!F15*$F292</f>
        <v>792452238.520257</v>
      </c>
      <c r="M292" s="39" t="n">
        <f aca="false">(('Business Case'!G11*$C292*'Business Case'!G12*$B292)-'Business Case'!G11*$C292*'Business Case'!G13*$D292-'Business Case'!G14*$E292)-MAX(0,(('Business Case'!G11*$C292*'Business Case'!G12*$B292)-'Business Case'!G11*$C292*'Business Case'!G13*$D292-'Business Case'!G14*$E292))*'Business Case'!$B$7-'Business Case'!$B$8*(('Business Case'!G11*$C292*'Business Case'!G12*$B292)-('Business Case'!F11*$C292*'Business Case'!F12*$B292))-'Business Case'!G15*$F292+'Business Case'!$B$8*('Business Case'!G11*$C292*'Business Case'!G12*$B292)</f>
        <v>984471199.668031</v>
      </c>
      <c r="N292" s="39" t="n">
        <f aca="false">IF(COUNT('Business Case'!B11:G11)=0,"",H292+NPV(G292,I292:M292))</f>
        <v>-171474341.426062</v>
      </c>
      <c r="P292" s="40" t="n">
        <f aca="true">RAND()</f>
        <v>0.527407787529057</v>
      </c>
      <c r="Q292" s="40" t="n">
        <f aca="true">RAND()</f>
        <v>0.674196595580765</v>
      </c>
      <c r="R292" s="40" t="n">
        <f aca="true">RAND()</f>
        <v>0.42815111847056</v>
      </c>
      <c r="S292" s="40" t="n">
        <f aca="true">RAND()</f>
        <v>0.977493646298846</v>
      </c>
      <c r="T292" s="40" t="n">
        <f aca="true">RAND()</f>
        <v>0.227627802296747</v>
      </c>
      <c r="U292" s="40" t="n">
        <f aca="true">RAND()</f>
        <v>0.796118739119263</v>
      </c>
    </row>
    <row r="293" customFormat="false" ht="15" hidden="false" customHeight="false" outlineLevel="0" collapsed="false">
      <c r="A293" s="36" t="n">
        <v>213</v>
      </c>
      <c r="B293" s="37" t="n">
        <f aca="false">1+IF($G$6=$E$6,$F$6,IF(P293&lt;($F$6-$E$6)/($G$6-$E$6),$E$6+SQRT(P293*($G$6-$E$6)*($F$6-$E$6)),$G$6-SQRT((1-P293)*($G$6-$E$6)*($G$6-$F$6))))</f>
        <v>1.03454646337599</v>
      </c>
      <c r="C293" s="37" t="n">
        <f aca="false">1+IF($G$7=$E$7,$F$7,IF(Q293&lt;($F$7-$E$7)/($G$7-$E$7),$E$7+SQRT(Q293*($G$7-$E$7)*($F$7-$E$7)),$G$7-SQRT((1-Q293)*($G$7-$E$7)*($G$7-$F$7))))</f>
        <v>0.930618200975959</v>
      </c>
      <c r="D293" s="37" t="n">
        <f aca="false">1+IF($G$8=$E$8,$F$8,IF(R293&lt;($F$8-$E$8)/($G$8-$E$8),$E$8+SQRT(R293*($G$8-$E$8)*($F$8-$E$8)),$G$8-SQRT((1-R293)*($G$8-$E$8)*($G$8-$F$8))))</f>
        <v>1.0209735892187</v>
      </c>
      <c r="E293" s="37" t="n">
        <f aca="false">1+IF($G$9=$E$9,$F$9,IF(S293&lt;($F$9-$E$9)/($G$9-$E$9),$E$9+SQRT(S293*($G$9-$E$9)*($F$9-$E$9)),$G$9-SQRT((1-S293)*($G$9-$E$9)*($G$9-$F$9))))</f>
        <v>0.990678250087654</v>
      </c>
      <c r="F293" s="37" t="n">
        <f aca="false">1+IF($G$10=$E$10,$F$10,IF(T293&lt;($F$10-$E$10)/($G$10-$E$10),$E$10+SQRT(T293*($G$10-$E$10)*($F$10-$E$10)),$G$10-SQRT((1-T293)*($G$10-$E$10)*($G$10-$F$10))))</f>
        <v>0.982725019215001</v>
      </c>
      <c r="G293" s="38" t="n">
        <f aca="false">IF($G$11=$E$11,$F$11,IF(U293&lt;($F$11-$E$11)/($G$11-$E$11),$E$11+SQRT(U293*($G$11-$E$11)*($F$11-$E$11)),$G$11-SQRT((1-U293)*($G$11-$E$11)*($G$11-$F$11))))</f>
        <v>0.104071972493587</v>
      </c>
      <c r="H293" s="39" t="n">
        <f aca="false">(('Business Case'!B11*$C293*'Business Case'!B12*$B293)-'Business Case'!B11*$C293*'Business Case'!B13*$D293-'Business Case'!B14*$E293)-MAX(0,(('Business Case'!B11*$C293*'Business Case'!B12*$B293)-'Business Case'!B11*$C293*'Business Case'!B13*$D293-'Business Case'!B14*$E293))*'Business Case'!$B$7-'Business Case'!$B$8*('Business Case'!B11*$C293*'Business Case'!B12*$B293)-'Business Case'!B15*$F293</f>
        <v>-1965450038.43</v>
      </c>
      <c r="I293" s="39" t="n">
        <f aca="false">(('Business Case'!C11*$C293*'Business Case'!C12*$B293)-'Business Case'!C11*$C293*'Business Case'!C13*$D293-'Business Case'!C14*$E293)-MAX(0,(('Business Case'!C11*$C293*'Business Case'!C12*$B293)-'Business Case'!C11*$C293*'Business Case'!C13*$D293-'Business Case'!C14*$E293))*'Business Case'!$B$7-'Business Case'!$B$8*(('Business Case'!C11*$C293*'Business Case'!C12*$B293)-('Business Case'!B11*$C293*'Business Case'!B12*$B293))-'Business Case'!C15*$F293</f>
        <v>13125360.7827765</v>
      </c>
      <c r="J293" s="39" t="n">
        <f aca="false">(('Business Case'!D11*$C293*'Business Case'!D12*$B293)-'Business Case'!D11*$C293*'Business Case'!D13*$D293-'Business Case'!D14*$E293)-MAX(0,(('Business Case'!D11*$C293*'Business Case'!D12*$B293)-'Business Case'!D11*$C293*'Business Case'!D13*$D293-'Business Case'!D14*$E293))*'Business Case'!$B$7-'Business Case'!$B$8*(('Business Case'!D11*$C293*'Business Case'!D12*$B293)-('Business Case'!C11*$C293*'Business Case'!C12*$B293))-'Business Case'!D15*$F293</f>
        <v>315307551.772342</v>
      </c>
      <c r="K293" s="39" t="n">
        <f aca="false">(('Business Case'!E11*$C293*'Business Case'!E12*$B293)-'Business Case'!E11*$C293*'Business Case'!E13*$D293-'Business Case'!E14*$E293)-MAX(0,(('Business Case'!E11*$C293*'Business Case'!E12*$B293)-'Business Case'!E11*$C293*'Business Case'!E13*$D293-'Business Case'!E14*$E293))*'Business Case'!$B$7-'Business Case'!$B$8*(('Business Case'!E11*$C293*'Business Case'!E12*$B293)-('Business Case'!D11*$C293*'Business Case'!D12*$B293))-'Business Case'!E15*$F293</f>
        <v>666625993.722657</v>
      </c>
      <c r="L293" s="39" t="n">
        <f aca="false">(('Business Case'!F11*$C293*'Business Case'!F12*$B293)-'Business Case'!F11*$C293*'Business Case'!F13*$D293-'Business Case'!F14*$E293)-MAX(0,(('Business Case'!F11*$C293*'Business Case'!F12*$B293)-'Business Case'!F11*$C293*'Business Case'!F13*$D293-'Business Case'!F14*$E293))*'Business Case'!$B$7-'Business Case'!$B$8*(('Business Case'!F11*$C293*'Business Case'!F12*$B293)-('Business Case'!E11*$C293*'Business Case'!E12*$B293))-'Business Case'!F15*$F293</f>
        <v>800626644.801062</v>
      </c>
      <c r="M293" s="39" t="n">
        <f aca="false">(('Business Case'!G11*$C293*'Business Case'!G12*$B293)-'Business Case'!G11*$C293*'Business Case'!G13*$D293-'Business Case'!G14*$E293)-MAX(0,(('Business Case'!G11*$C293*'Business Case'!G12*$B293)-'Business Case'!G11*$C293*'Business Case'!G13*$D293-'Business Case'!G14*$E293))*'Business Case'!$B$7-'Business Case'!$B$8*(('Business Case'!G11*$C293*'Business Case'!G12*$B293)-('Business Case'!F11*$C293*'Business Case'!F12*$B293))-'Business Case'!G15*$F293+'Business Case'!$B$8*('Business Case'!G11*$C293*'Business Case'!G12*$B293)</f>
        <v>983629542.251418</v>
      </c>
      <c r="N293" s="39" t="n">
        <f aca="false">IF(COUNT('Business Case'!B11:G11)=0,"",H293+NPV(G293,I293:M293))</f>
        <v>-61178362.9400389</v>
      </c>
      <c r="P293" s="40" t="n">
        <f aca="true">RAND()</f>
        <v>0.993803945477196</v>
      </c>
      <c r="Q293" s="40" t="n">
        <f aca="true">RAND()</f>
        <v>0.243730206088516</v>
      </c>
      <c r="R293" s="40" t="n">
        <f aca="true">RAND()</f>
        <v>0.664988733680451</v>
      </c>
      <c r="S293" s="40" t="n">
        <f aca="true">RAND()</f>
        <v>0.220629337359161</v>
      </c>
      <c r="T293" s="40" t="n">
        <f aca="true">RAND()</f>
        <v>0.0856741506097772</v>
      </c>
      <c r="U293" s="40" t="n">
        <f aca="true">RAND()</f>
        <v>0.577163232924932</v>
      </c>
    </row>
    <row r="294" customFormat="false" ht="15" hidden="false" customHeight="false" outlineLevel="0" collapsed="false">
      <c r="A294" s="36" t="n">
        <v>214</v>
      </c>
      <c r="B294" s="37" t="n">
        <f aca="false">1+IF($G$6=$E$6,$F$6,IF(P294&lt;($F$6-$E$6)/($G$6-$E$6),$E$6+SQRT(P294*($G$6-$E$6)*($F$6-$E$6)),$G$6-SQRT((1-P294)*($G$6-$E$6)*($G$6-$F$6))))</f>
        <v>0.988771419344686</v>
      </c>
      <c r="C294" s="37" t="n">
        <f aca="false">1+IF($G$7=$E$7,$F$7,IF(Q294&lt;($F$7-$E$7)/($G$7-$E$7),$E$7+SQRT(Q294*($G$7-$E$7)*($F$7-$E$7)),$G$7-SQRT((1-Q294)*($G$7-$E$7)*($G$7-$F$7))))</f>
        <v>1.0631194990983</v>
      </c>
      <c r="D294" s="37" t="n">
        <f aca="false">1+IF($G$8=$E$8,$F$8,IF(R294&lt;($F$8-$E$8)/($G$8-$E$8),$E$8+SQRT(R294*($G$8-$E$8)*($F$8-$E$8)),$G$8-SQRT((1-R294)*($G$8-$E$8)*($G$8-$F$8))))</f>
        <v>0.997777348687534</v>
      </c>
      <c r="E294" s="37" t="n">
        <f aca="false">1+IF($G$9=$E$9,$F$9,IF(S294&lt;($F$9-$E$9)/($G$9-$E$9),$E$9+SQRT(S294*($G$9-$E$9)*($F$9-$E$9)),$G$9-SQRT((1-S294)*($G$9-$E$9)*($G$9-$F$9))))</f>
        <v>0.986693791097031</v>
      </c>
      <c r="F294" s="37" t="n">
        <f aca="false">1+IF($G$10=$E$10,$F$10,IF(T294&lt;($F$10-$E$10)/($G$10-$E$10),$E$10+SQRT(T294*($G$10-$E$10)*($F$10-$E$10)),$G$10-SQRT((1-T294)*($G$10-$E$10)*($G$10-$F$10))))</f>
        <v>0.957672629145777</v>
      </c>
      <c r="G294" s="38" t="n">
        <f aca="false">IF($G$11=$E$11,$F$11,IF(U294&lt;($F$11-$E$11)/($G$11-$E$11),$E$11+SQRT(U294*($G$11-$E$11)*($F$11-$E$11)),$G$11-SQRT((1-U294)*($G$11-$E$11)*($G$11-$F$11))))</f>
        <v>0.102028729902293</v>
      </c>
      <c r="H294" s="39" t="n">
        <f aca="false">(('Business Case'!B11*$C294*'Business Case'!B12*$B294)-'Business Case'!B11*$C294*'Business Case'!B13*$D294-'Business Case'!B14*$E294)-MAX(0,(('Business Case'!B11*$C294*'Business Case'!B12*$B294)-'Business Case'!B11*$C294*'Business Case'!B13*$D294-'Business Case'!B14*$E294))*'Business Case'!$B$7-'Business Case'!$B$8*('Business Case'!B11*$C294*'Business Case'!B12*$B294)-'Business Case'!B15*$F294</f>
        <v>-1915345258.29155</v>
      </c>
      <c r="I294" s="39" t="n">
        <f aca="false">(('Business Case'!C11*$C294*'Business Case'!C12*$B294)-'Business Case'!C11*$C294*'Business Case'!C13*$D294-'Business Case'!C14*$E294)-MAX(0,(('Business Case'!C11*$C294*'Business Case'!C12*$B294)-'Business Case'!C11*$C294*'Business Case'!C13*$D294-'Business Case'!C14*$E294))*'Business Case'!$B$7-'Business Case'!$B$8*(('Business Case'!C11*$C294*'Business Case'!C12*$B294)-('Business Case'!B11*$C294*'Business Case'!B12*$B294))-'Business Case'!C15*$F294</f>
        <v>27402987.5800273</v>
      </c>
      <c r="J294" s="39" t="n">
        <f aca="false">(('Business Case'!D11*$C294*'Business Case'!D12*$B294)-'Business Case'!D11*$C294*'Business Case'!D13*$D294-'Business Case'!D14*$E294)-MAX(0,(('Business Case'!D11*$C294*'Business Case'!D12*$B294)-'Business Case'!D11*$C294*'Business Case'!D13*$D294-'Business Case'!D14*$E294))*'Business Case'!$B$7-'Business Case'!$B$8*(('Business Case'!D11*$C294*'Business Case'!D12*$B294)-('Business Case'!C11*$C294*'Business Case'!C12*$B294))-'Business Case'!D15*$F294</f>
        <v>345374379.175396</v>
      </c>
      <c r="K294" s="39" t="n">
        <f aca="false">(('Business Case'!E11*$C294*'Business Case'!E12*$B294)-'Business Case'!E11*$C294*'Business Case'!E13*$D294-'Business Case'!E14*$E294)-MAX(0,(('Business Case'!E11*$C294*'Business Case'!E12*$B294)-'Business Case'!E11*$C294*'Business Case'!E13*$D294-'Business Case'!E14*$E294))*'Business Case'!$B$7-'Business Case'!$B$8*(('Business Case'!E11*$C294*'Business Case'!E12*$B294)-('Business Case'!D11*$C294*'Business Case'!D12*$B294))-'Business Case'!E15*$F294</f>
        <v>711229402.228053</v>
      </c>
      <c r="L294" s="39" t="n">
        <f aca="false">(('Business Case'!F11*$C294*'Business Case'!F12*$B294)-'Business Case'!F11*$C294*'Business Case'!F13*$D294-'Business Case'!F14*$E294)-MAX(0,(('Business Case'!F11*$C294*'Business Case'!F12*$B294)-'Business Case'!F11*$C294*'Business Case'!F13*$D294-'Business Case'!F14*$E294))*'Business Case'!$B$7-'Business Case'!$B$8*(('Business Case'!F11*$C294*'Business Case'!F12*$B294)-('Business Case'!E11*$C294*'Business Case'!E12*$B294))-'Business Case'!F15*$F294</f>
        <v>853548722.097686</v>
      </c>
      <c r="M294" s="39" t="n">
        <f aca="false">(('Business Case'!G11*$C294*'Business Case'!G12*$B294)-'Business Case'!G11*$C294*'Business Case'!G13*$D294-'Business Case'!G14*$E294)-MAX(0,(('Business Case'!G11*$C294*'Business Case'!G12*$B294)-'Business Case'!G11*$C294*'Business Case'!G13*$D294-'Business Case'!G14*$E294))*'Business Case'!$B$7-'Business Case'!$B$8*(('Business Case'!G11*$C294*'Business Case'!G12*$B294)-('Business Case'!F11*$C294*'Business Case'!F12*$B294))-'Business Case'!G15*$F294+'Business Case'!$B$8*('Business Case'!G11*$C294*'Business Case'!G12*$B294)</f>
        <v>1053357430.12249</v>
      </c>
      <c r="N294" s="39" t="n">
        <f aca="false">IF(COUNT('Business Case'!B11:G11)=0,"",H294+NPV(G294,I294:M294))</f>
        <v>152073815.88759</v>
      </c>
      <c r="P294" s="40" t="n">
        <f aca="true">RAND()</f>
        <v>0.492657095696102</v>
      </c>
      <c r="Q294" s="40" t="n">
        <f aca="true">RAND()</f>
        <v>0.856224353582265</v>
      </c>
      <c r="R294" s="40" t="n">
        <f aca="true">RAND()</f>
        <v>0.351180776555418</v>
      </c>
      <c r="S294" s="40" t="n">
        <f aca="true">RAND()</f>
        <v>0.179524574009674</v>
      </c>
      <c r="T294" s="40" t="n">
        <f aca="true">RAND()</f>
        <v>0.00470953904069002</v>
      </c>
      <c r="U294" s="40" t="n">
        <f aca="true">RAND()</f>
        <v>0.461722418458744</v>
      </c>
    </row>
    <row r="295" customFormat="false" ht="15" hidden="false" customHeight="false" outlineLevel="0" collapsed="false">
      <c r="A295" s="36" t="n">
        <v>215</v>
      </c>
      <c r="B295" s="37" t="n">
        <f aca="false">1+IF($G$6=$E$6,$F$6,IF(P295&lt;($F$6-$E$6)/($G$6-$E$6),$E$6+SQRT(P295*($G$6-$E$6)*($F$6-$E$6)),$G$6-SQRT((1-P295)*($G$6-$E$6)*($G$6-$F$6))))</f>
        <v>0.995713818927702</v>
      </c>
      <c r="C295" s="37" t="n">
        <f aca="false">1+IF($G$7=$E$7,$F$7,IF(Q295&lt;($F$7-$E$7)/($G$7-$E$7),$E$7+SQRT(Q295*($G$7-$E$7)*($F$7-$E$7)),$G$7-SQRT((1-Q295)*($G$7-$E$7)*($G$7-$F$7))))</f>
        <v>1.07528249132995</v>
      </c>
      <c r="D295" s="37" t="n">
        <f aca="false">1+IF($G$8=$E$8,$F$8,IF(R295&lt;($F$8-$E$8)/($G$8-$E$8),$E$8+SQRT(R295*($G$8-$E$8)*($F$8-$E$8)),$G$8-SQRT((1-R295)*($G$8-$E$8)*($G$8-$F$8))))</f>
        <v>0.971387222615947</v>
      </c>
      <c r="E295" s="37" t="n">
        <f aca="false">1+IF($G$9=$E$9,$F$9,IF(S295&lt;($F$9-$E$9)/($G$9-$E$9),$E$9+SQRT(S295*($G$9-$E$9)*($F$9-$E$9)),$G$9-SQRT((1-S295)*($G$9-$E$9)*($G$9-$F$9))))</f>
        <v>0.982728167186974</v>
      </c>
      <c r="F295" s="37" t="n">
        <f aca="false">1+IF($G$10=$E$10,$F$10,IF(T295&lt;($F$10-$E$10)/($G$10-$E$10),$E$10+SQRT(T295*($G$10-$E$10)*($F$10-$E$10)),$G$10-SQRT((1-T295)*($G$10-$E$10)*($G$10-$F$10))))</f>
        <v>1.12651864499161</v>
      </c>
      <c r="G295" s="38" t="n">
        <f aca="false">IF($G$11=$E$11,$F$11,IF(U295&lt;($F$11-$E$11)/($G$11-$E$11),$E$11+SQRT(U295*($G$11-$E$11)*($F$11-$E$11)),$G$11-SQRT((1-U295)*($G$11-$E$11)*($G$11-$F$11))))</f>
        <v>0.105994144735142</v>
      </c>
      <c r="H295" s="39" t="n">
        <f aca="false">(('Business Case'!B11*$C295*'Business Case'!B12*$B295)-'Business Case'!B11*$C295*'Business Case'!B13*$D295-'Business Case'!B14*$E295)-MAX(0,(('Business Case'!B11*$C295*'Business Case'!B12*$B295)-'Business Case'!B11*$C295*'Business Case'!B13*$D295-'Business Case'!B14*$E295))*'Business Case'!$B$7-'Business Case'!$B$8*('Business Case'!B11*$C295*'Business Case'!B12*$B295)-'Business Case'!B15*$F295</f>
        <v>-2253037289.98322</v>
      </c>
      <c r="I295" s="39" t="n">
        <f aca="false">(('Business Case'!C11*$C295*'Business Case'!C12*$B295)-'Business Case'!C11*$C295*'Business Case'!C13*$D295-'Business Case'!C14*$E295)-MAX(0,(('Business Case'!C11*$C295*'Business Case'!C12*$B295)-'Business Case'!C11*$C295*'Business Case'!C13*$D295-'Business Case'!C14*$E295))*'Business Case'!$B$7-'Business Case'!$B$8*(('Business Case'!C11*$C295*'Business Case'!C12*$B295)-('Business Case'!B11*$C295*'Business Case'!B12*$B295))-'Business Case'!C15*$F295</f>
        <v>34350801.9114888</v>
      </c>
      <c r="J295" s="39" t="n">
        <f aca="false">(('Business Case'!D11*$C295*'Business Case'!D12*$B295)-'Business Case'!D11*$C295*'Business Case'!D13*$D295-'Business Case'!D14*$E295)-MAX(0,(('Business Case'!D11*$C295*'Business Case'!D12*$B295)-'Business Case'!D11*$C295*'Business Case'!D13*$D295-'Business Case'!D14*$E295))*'Business Case'!$B$7-'Business Case'!$B$8*(('Business Case'!D11*$C295*'Business Case'!D12*$B295)-('Business Case'!C11*$C295*'Business Case'!C12*$B295))-'Business Case'!D15*$F295</f>
        <v>376601134.979536</v>
      </c>
      <c r="K295" s="39" t="n">
        <f aca="false">(('Business Case'!E11*$C295*'Business Case'!E12*$B295)-'Business Case'!E11*$C295*'Business Case'!E13*$D295-'Business Case'!E14*$E295)-MAX(0,(('Business Case'!E11*$C295*'Business Case'!E12*$B295)-'Business Case'!E11*$C295*'Business Case'!E13*$D295-'Business Case'!E14*$E295))*'Business Case'!$B$7-'Business Case'!$B$8*(('Business Case'!E11*$C295*'Business Case'!E12*$B295)-('Business Case'!D11*$C295*'Business Case'!D12*$B295))-'Business Case'!E15*$F295</f>
        <v>775177400.297163</v>
      </c>
      <c r="L295" s="39" t="n">
        <f aca="false">(('Business Case'!F11*$C295*'Business Case'!F12*$B295)-'Business Case'!F11*$C295*'Business Case'!F13*$D295-'Business Case'!F14*$E295)-MAX(0,(('Business Case'!F11*$C295*'Business Case'!F12*$B295)-'Business Case'!F11*$C295*'Business Case'!F13*$D295-'Business Case'!F14*$E295))*'Business Case'!$B$7-'Business Case'!$B$8*(('Business Case'!F11*$C295*'Business Case'!F12*$B295)-('Business Case'!E11*$C295*'Business Case'!E12*$B295))-'Business Case'!F15*$F295</f>
        <v>926263325.508785</v>
      </c>
      <c r="M295" s="39" t="n">
        <f aca="false">(('Business Case'!G11*$C295*'Business Case'!G12*$B295)-'Business Case'!G11*$C295*'Business Case'!G13*$D295-'Business Case'!G14*$E295)-MAX(0,(('Business Case'!G11*$C295*'Business Case'!G12*$B295)-'Business Case'!G11*$C295*'Business Case'!G13*$D295-'Business Case'!G14*$E295))*'Business Case'!$B$7-'Business Case'!$B$8*(('Business Case'!G11*$C295*'Business Case'!G12*$B295)-('Business Case'!F11*$C295*'Business Case'!F12*$B295))-'Business Case'!G15*$F295+'Business Case'!$B$8*('Business Case'!G11*$C295*'Business Case'!G12*$B295)</f>
        <v>1129776970.21462</v>
      </c>
      <c r="N295" s="39" t="n">
        <f aca="false">IF(COUNT('Business Case'!B11:G11)=0,"",H295+NPV(G295,I295:M295))</f>
        <v>-39374020.132884</v>
      </c>
      <c r="P295" s="40" t="n">
        <f aca="true">RAND()</f>
        <v>0.597143997564257</v>
      </c>
      <c r="Q295" s="40" t="n">
        <f aca="true">RAND()</f>
        <v>0.893662740916969</v>
      </c>
      <c r="R295" s="40" t="n">
        <f aca="true">RAND()</f>
        <v>0.0703712755729368</v>
      </c>
      <c r="S295" s="40" t="n">
        <f aca="true">RAND()</f>
        <v>0.1428177236558</v>
      </c>
      <c r="T295" s="40" t="n">
        <f aca="true">RAND()</f>
        <v>0.892009809322619</v>
      </c>
      <c r="U295" s="40" t="n">
        <f aca="true">RAND()</f>
        <v>0.673060030499761</v>
      </c>
    </row>
    <row r="296" customFormat="false" ht="15" hidden="false" customHeight="false" outlineLevel="0" collapsed="false">
      <c r="A296" s="36" t="n">
        <v>216</v>
      </c>
      <c r="B296" s="37" t="n">
        <f aca="false">1+IF($G$6=$E$6,$F$6,IF(P296&lt;($F$6-$E$6)/($G$6-$E$6),$E$6+SQRT(P296*($G$6-$E$6)*($F$6-$E$6)),$G$6-SQRT((1-P296)*($G$6-$E$6)*($G$6-$F$6))))</f>
        <v>0.961742943497984</v>
      </c>
      <c r="C296" s="37" t="n">
        <f aca="false">1+IF($G$7=$E$7,$F$7,IF(Q296&lt;($F$7-$E$7)/($G$7-$E$7),$E$7+SQRT(Q296*($G$7-$E$7)*($F$7-$E$7)),$G$7-SQRT((1-Q296)*($G$7-$E$7)*($G$7-$F$7))))</f>
        <v>1.02024901387192</v>
      </c>
      <c r="D296" s="37" t="n">
        <f aca="false">1+IF($G$8=$E$8,$F$8,IF(R296&lt;($F$8-$E$8)/($G$8-$E$8),$E$8+SQRT(R296*($G$8-$E$8)*($F$8-$E$8)),$G$8-SQRT((1-R296)*($G$8-$E$8)*($G$8-$F$8))))</f>
        <v>0.986796374593983</v>
      </c>
      <c r="E296" s="37" t="n">
        <f aca="false">1+IF($G$9=$E$9,$F$9,IF(S296&lt;($F$9-$E$9)/($G$9-$E$9),$E$9+SQRT(S296*($G$9-$E$9)*($F$9-$E$9)),$G$9-SQRT((1-S296)*($G$9-$E$9)*($G$9-$F$9))))</f>
        <v>0.982832294636786</v>
      </c>
      <c r="F296" s="37" t="n">
        <f aca="false">1+IF($G$10=$E$10,$F$10,IF(T296&lt;($F$10-$E$10)/($G$10-$E$10),$E$10+SQRT(T296*($G$10-$E$10)*($F$10-$E$10)),$G$10-SQRT((1-T296)*($G$10-$E$10)*($G$10-$F$10))))</f>
        <v>1.08620351071922</v>
      </c>
      <c r="G296" s="38" t="n">
        <f aca="false">IF($G$11=$E$11,$F$11,IF(U296&lt;($F$11-$E$11)/($G$11-$E$11),$E$11+SQRT(U296*($G$11-$E$11)*($F$11-$E$11)),$G$11-SQRT((1-U296)*($G$11-$E$11)*($G$11-$F$11))))</f>
        <v>0.0950198969853165</v>
      </c>
      <c r="H296" s="39" t="n">
        <f aca="false">(('Business Case'!B11*$C296*'Business Case'!B12*$B296)-'Business Case'!B11*$C296*'Business Case'!B13*$D296-'Business Case'!B14*$E296)-MAX(0,(('Business Case'!B11*$C296*'Business Case'!B12*$B296)-'Business Case'!B11*$C296*'Business Case'!B13*$D296-'Business Case'!B14*$E296))*'Business Case'!$B$7-'Business Case'!$B$8*('Business Case'!B11*$C296*'Business Case'!B12*$B296)-'Business Case'!B15*$F296</f>
        <v>-2172407021.43844</v>
      </c>
      <c r="I296" s="39" t="n">
        <f aca="false">(('Business Case'!C11*$C296*'Business Case'!C12*$B296)-'Business Case'!C11*$C296*'Business Case'!C13*$D296-'Business Case'!C14*$E296)-MAX(0,(('Business Case'!C11*$C296*'Business Case'!C12*$B296)-'Business Case'!C11*$C296*'Business Case'!C13*$D296-'Business Case'!C14*$E296))*'Business Case'!$B$7-'Business Case'!$B$8*(('Business Case'!C11*$C296*'Business Case'!C12*$B296)-('Business Case'!B11*$C296*'Business Case'!B12*$B296))-'Business Case'!C15*$F296</f>
        <v>-10947607.8871209</v>
      </c>
      <c r="J296" s="39" t="n">
        <f aca="false">(('Business Case'!D11*$C296*'Business Case'!D12*$B296)-'Business Case'!D11*$C296*'Business Case'!D13*$D296-'Business Case'!D14*$E296)-MAX(0,(('Business Case'!D11*$C296*'Business Case'!D12*$B296)-'Business Case'!D11*$C296*'Business Case'!D13*$D296-'Business Case'!D14*$E296))*'Business Case'!$B$7-'Business Case'!$B$8*(('Business Case'!D11*$C296*'Business Case'!D12*$B296)-('Business Case'!C11*$C296*'Business Case'!C12*$B296))-'Business Case'!D15*$F296</f>
        <v>277350191.893188</v>
      </c>
      <c r="K296" s="39" t="n">
        <f aca="false">(('Business Case'!E11*$C296*'Business Case'!E12*$B296)-'Business Case'!E11*$C296*'Business Case'!E13*$D296-'Business Case'!E14*$E296)-MAX(0,(('Business Case'!E11*$C296*'Business Case'!E12*$B296)-'Business Case'!E11*$C296*'Business Case'!E13*$D296-'Business Case'!E14*$E296))*'Business Case'!$B$7-'Business Case'!$B$8*(('Business Case'!E11*$C296*'Business Case'!E12*$B296)-('Business Case'!D11*$C296*'Business Case'!D12*$B296))-'Business Case'!E15*$F296</f>
        <v>619958167.209457</v>
      </c>
      <c r="L296" s="39" t="n">
        <f aca="false">(('Business Case'!F11*$C296*'Business Case'!F12*$B296)-'Business Case'!F11*$C296*'Business Case'!F13*$D296-'Business Case'!F14*$E296)-MAX(0,(('Business Case'!F11*$C296*'Business Case'!F12*$B296)-'Business Case'!F11*$C296*'Business Case'!F13*$D296-'Business Case'!F14*$E296))*'Business Case'!$B$7-'Business Case'!$B$8*(('Business Case'!F11*$C296*'Business Case'!F12*$B296)-('Business Case'!E11*$C296*'Business Case'!E12*$B296))-'Business Case'!F15*$F296</f>
        <v>749968303.334997</v>
      </c>
      <c r="M296" s="39" t="n">
        <f aca="false">(('Business Case'!G11*$C296*'Business Case'!G12*$B296)-'Business Case'!G11*$C296*'Business Case'!G13*$D296-'Business Case'!G14*$E296)-MAX(0,(('Business Case'!G11*$C296*'Business Case'!G12*$B296)-'Business Case'!G11*$C296*'Business Case'!G13*$D296-'Business Case'!G14*$E296))*'Business Case'!$B$7-'Business Case'!$B$8*(('Business Case'!G11*$C296*'Business Case'!G12*$B296)-('Business Case'!F11*$C296*'Business Case'!F12*$B296))-'Business Case'!G15*$F296+'Business Case'!$B$8*('Business Case'!G11*$C296*'Business Case'!G12*$B296)</f>
        <v>936478085.761571</v>
      </c>
      <c r="N296" s="39" t="n">
        <f aca="false">IF(COUNT('Business Case'!B11:G11)=0,"",H296+NPV(G296,I296:M296))</f>
        <v>-362488670.273402</v>
      </c>
      <c r="P296" s="40" t="n">
        <f aca="true">RAND()</f>
        <v>0.181507638737069</v>
      </c>
      <c r="Q296" s="40" t="n">
        <f aca="true">RAND()</f>
        <v>0.67932726854838</v>
      </c>
      <c r="R296" s="40" t="n">
        <f aca="true">RAND()</f>
        <v>0.208303566655495</v>
      </c>
      <c r="S296" s="40" t="n">
        <f aca="true">RAND()</f>
        <v>0.143727942815561</v>
      </c>
      <c r="T296" s="40" t="n">
        <f aca="true">RAND()</f>
        <v>0.741007180547383</v>
      </c>
      <c r="U296" s="40" t="n">
        <f aca="true">RAND()</f>
        <v>0.0839978858106321</v>
      </c>
    </row>
    <row r="297" customFormat="false" ht="15" hidden="false" customHeight="false" outlineLevel="0" collapsed="false">
      <c r="A297" s="36" t="n">
        <v>217</v>
      </c>
      <c r="B297" s="37" t="n">
        <f aca="false">1+IF($G$6=$E$6,$F$6,IF(P297&lt;($F$6-$E$6)/($G$6-$E$6),$E$6+SQRT(P297*($G$6-$E$6)*($F$6-$E$6)),$G$6-SQRT((1-P297)*($G$6-$E$6)*($G$6-$F$6))))</f>
        <v>1.02109822558972</v>
      </c>
      <c r="C297" s="37" t="n">
        <f aca="false">1+IF($G$7=$E$7,$F$7,IF(Q297&lt;($F$7-$E$7)/($G$7-$E$7),$E$7+SQRT(Q297*($G$7-$E$7)*($F$7-$E$7)),$G$7-SQRT((1-Q297)*($G$7-$E$7)*($G$7-$F$7))))</f>
        <v>0.880436217095487</v>
      </c>
      <c r="D297" s="37" t="n">
        <f aca="false">1+IF($G$8=$E$8,$F$8,IF(R297&lt;($F$8-$E$8)/($G$8-$E$8),$E$8+SQRT(R297*($G$8-$E$8)*($F$8-$E$8)),$G$8-SQRT((1-R297)*($G$8-$E$8)*($G$8-$F$8))))</f>
        <v>1.0150769647858</v>
      </c>
      <c r="E297" s="37" t="n">
        <f aca="false">1+IF($G$9=$E$9,$F$9,IF(S297&lt;($F$9-$E$9)/($G$9-$E$9),$E$9+SQRT(S297*($G$9-$E$9)*($F$9-$E$9)),$G$9-SQRT((1-S297)*($G$9-$E$9)*($G$9-$F$9))))</f>
        <v>0.98252989526277</v>
      </c>
      <c r="F297" s="37" t="n">
        <f aca="false">1+IF($G$10=$E$10,$F$10,IF(T297&lt;($F$10-$E$10)/($G$10-$E$10),$E$10+SQRT(T297*($G$10-$E$10)*($F$10-$E$10)),$G$10-SQRT((1-T297)*($G$10-$E$10)*($G$10-$F$10))))</f>
        <v>0.962359975102832</v>
      </c>
      <c r="G297" s="38" t="n">
        <f aca="false">IF($G$11=$E$11,$F$11,IF(U297&lt;($F$11-$E$11)/($G$11-$E$11),$E$11+SQRT(U297*($G$11-$E$11)*($F$11-$E$11)),$G$11-SQRT((1-U297)*($G$11-$E$11)*($G$11-$F$11))))</f>
        <v>0.0937826060717353</v>
      </c>
      <c r="H297" s="39" t="n">
        <f aca="false">(('Business Case'!B11*$C297*'Business Case'!B12*$B297)-'Business Case'!B11*$C297*'Business Case'!B13*$D297-'Business Case'!B14*$E297)-MAX(0,(('Business Case'!B11*$C297*'Business Case'!B12*$B297)-'Business Case'!B11*$C297*'Business Case'!B13*$D297-'Business Case'!B14*$E297))*'Business Case'!$B$7-'Business Case'!$B$8*('Business Case'!B11*$C297*'Business Case'!B12*$B297)-'Business Case'!B15*$F297</f>
        <v>-1924719950.20566</v>
      </c>
      <c r="I297" s="39" t="n">
        <f aca="false">(('Business Case'!C11*$C297*'Business Case'!C12*$B297)-'Business Case'!C11*$C297*'Business Case'!C13*$D297-'Business Case'!C14*$E297)-MAX(0,(('Business Case'!C11*$C297*'Business Case'!C12*$B297)-'Business Case'!C11*$C297*'Business Case'!C13*$D297-'Business Case'!C14*$E297))*'Business Case'!$B$7-'Business Case'!$B$8*(('Business Case'!C11*$C297*'Business Case'!C12*$B297)-('Business Case'!B11*$C297*'Business Case'!B12*$B297))-'Business Case'!C15*$F297</f>
        <v>-3709372.89794746</v>
      </c>
      <c r="J297" s="39" t="n">
        <f aca="false">(('Business Case'!D11*$C297*'Business Case'!D12*$B297)-'Business Case'!D11*$C297*'Business Case'!D13*$D297-'Business Case'!D14*$E297)-MAX(0,(('Business Case'!D11*$C297*'Business Case'!D12*$B297)-'Business Case'!D11*$C297*'Business Case'!D13*$D297-'Business Case'!D14*$E297))*'Business Case'!$B$7-'Business Case'!$B$8*(('Business Case'!D11*$C297*'Business Case'!D12*$B297)-('Business Case'!C11*$C297*'Business Case'!C12*$B297))-'Business Case'!D15*$F297</f>
        <v>275137777.59241</v>
      </c>
      <c r="K297" s="39" t="n">
        <f aca="false">(('Business Case'!E11*$C297*'Business Case'!E12*$B297)-'Business Case'!E11*$C297*'Business Case'!E13*$D297-'Business Case'!E14*$E297)-MAX(0,(('Business Case'!E11*$C297*'Business Case'!E12*$B297)-'Business Case'!E11*$C297*'Business Case'!E13*$D297-'Business Case'!E14*$E297))*'Business Case'!$B$7-'Business Case'!$B$8*(('Business Case'!E11*$C297*'Business Case'!E12*$B297)-('Business Case'!D11*$C297*'Business Case'!D12*$B297))-'Business Case'!E15*$F297</f>
        <v>602102926.837908</v>
      </c>
      <c r="L297" s="39" t="n">
        <f aca="false">(('Business Case'!F11*$C297*'Business Case'!F12*$B297)-'Business Case'!F11*$C297*'Business Case'!F13*$D297-'Business Case'!F14*$E297)-MAX(0,(('Business Case'!F11*$C297*'Business Case'!F12*$B297)-'Business Case'!F11*$C297*'Business Case'!F13*$D297-'Business Case'!F14*$E297))*'Business Case'!$B$7-'Business Case'!$B$8*(('Business Case'!F11*$C297*'Business Case'!F12*$B297)-('Business Case'!E11*$C297*'Business Case'!E12*$B297))-'Business Case'!F15*$F297</f>
        <v>726121826.849131</v>
      </c>
      <c r="M297" s="39" t="n">
        <f aca="false">(('Business Case'!G11*$C297*'Business Case'!G12*$B297)-'Business Case'!G11*$C297*'Business Case'!G13*$D297-'Business Case'!G14*$E297)-MAX(0,(('Business Case'!G11*$C297*'Business Case'!G12*$B297)-'Business Case'!G11*$C297*'Business Case'!G13*$D297-'Business Case'!G14*$E297))*'Business Case'!$B$7-'Business Case'!$B$8*(('Business Case'!G11*$C297*'Business Case'!G12*$B297)-('Business Case'!F11*$C297*'Business Case'!F12*$B297))-'Business Case'!G15*$F297+'Business Case'!$B$8*('Business Case'!G11*$C297*'Business Case'!G12*$B297)</f>
        <v>897006001.011867</v>
      </c>
      <c r="N297" s="39" t="n">
        <f aca="false">IF(COUNT('Business Case'!B11:G11)=0,"",H297+NPV(G297,I297:M297))</f>
        <v>-157700162.401012</v>
      </c>
      <c r="P297" s="40" t="n">
        <f aca="true">RAND()</f>
        <v>0.925567275863109</v>
      </c>
      <c r="Q297" s="40" t="n">
        <f aca="true">RAND()</f>
        <v>0.0924283574376041</v>
      </c>
      <c r="R297" s="40" t="n">
        <f aca="true">RAND()</f>
        <v>0.594711490247687</v>
      </c>
      <c r="S297" s="40" t="n">
        <f aca="true">RAND()</f>
        <v>0.141092544774237</v>
      </c>
      <c r="T297" s="40" t="n">
        <f aca="true">RAND()</f>
        <v>0.012221518763411</v>
      </c>
      <c r="U297" s="40" t="n">
        <f aca="true">RAND()</f>
        <v>0.047693695646429</v>
      </c>
    </row>
    <row r="298" customFormat="false" ht="15" hidden="false" customHeight="false" outlineLevel="0" collapsed="false">
      <c r="A298" s="36" t="n">
        <v>218</v>
      </c>
      <c r="B298" s="37" t="n">
        <f aca="false">1+IF($G$6=$E$6,$F$6,IF(P298&lt;($F$6-$E$6)/($G$6-$E$6),$E$6+SQRT(P298*($G$6-$E$6)*($F$6-$E$6)),$G$6-SQRT((1-P298)*($G$6-$E$6)*($G$6-$F$6))))</f>
        <v>0.99359145883676</v>
      </c>
      <c r="C298" s="37" t="n">
        <f aca="false">1+IF($G$7=$E$7,$F$7,IF(Q298&lt;($F$7-$E$7)/($G$7-$E$7),$E$7+SQRT(Q298*($G$7-$E$7)*($F$7-$E$7)),$G$7-SQRT((1-Q298)*($G$7-$E$7)*($G$7-$F$7))))</f>
        <v>1.00782850463717</v>
      </c>
      <c r="D298" s="37" t="n">
        <f aca="false">1+IF($G$8=$E$8,$F$8,IF(R298&lt;($F$8-$E$8)/($G$8-$E$8),$E$8+SQRT(R298*($G$8-$E$8)*($F$8-$E$8)),$G$8-SQRT((1-R298)*($G$8-$E$8)*($G$8-$F$8))))</f>
        <v>0.971576778339168</v>
      </c>
      <c r="E298" s="37" t="n">
        <f aca="false">1+IF($G$9=$E$9,$F$9,IF(S298&lt;($F$9-$E$9)/($G$9-$E$9),$E$9+SQRT(S298*($G$9-$E$9)*($F$9-$E$9)),$G$9-SQRT((1-S298)*($G$9-$E$9)*($G$9-$F$9))))</f>
        <v>1.00422936303349</v>
      </c>
      <c r="F298" s="37" t="n">
        <f aca="false">1+IF($G$10=$E$10,$F$10,IF(T298&lt;($F$10-$E$10)/($G$10-$E$10),$E$10+SQRT(T298*($G$10-$E$10)*($F$10-$E$10)),$G$10-SQRT((1-T298)*($G$10-$E$10)*($G$10-$F$10))))</f>
        <v>1.00266038420422</v>
      </c>
      <c r="G298" s="38" t="n">
        <f aca="false">IF($G$11=$E$11,$F$11,IF(U298&lt;($F$11-$E$11)/($G$11-$E$11),$E$11+SQRT(U298*($G$11-$E$11)*($F$11-$E$11)),$G$11-SQRT((1-U298)*($G$11-$E$11)*($G$11-$F$11))))</f>
        <v>0.102038053545146</v>
      </c>
      <c r="H298" s="39" t="n">
        <f aca="false">(('Business Case'!B11*$C298*'Business Case'!B12*$B298)-'Business Case'!B11*$C298*'Business Case'!B13*$D298-'Business Case'!B14*$E298)-MAX(0,(('Business Case'!B11*$C298*'Business Case'!B12*$B298)-'Business Case'!B11*$C298*'Business Case'!B13*$D298-'Business Case'!B14*$E298))*'Business Case'!$B$7-'Business Case'!$B$8*('Business Case'!B11*$C298*'Business Case'!B12*$B298)-'Business Case'!B15*$F298</f>
        <v>-2005320768.40843</v>
      </c>
      <c r="I298" s="39" t="n">
        <f aca="false">(('Business Case'!C11*$C298*'Business Case'!C12*$B298)-'Business Case'!C11*$C298*'Business Case'!C13*$D298-'Business Case'!C14*$E298)-MAX(0,(('Business Case'!C11*$C298*'Business Case'!C12*$B298)-'Business Case'!C11*$C298*'Business Case'!C13*$D298-'Business Case'!C14*$E298))*'Business Case'!$B$7-'Business Case'!$B$8*(('Business Case'!C11*$C298*'Business Case'!C12*$B298)-('Business Case'!B11*$C298*'Business Case'!B12*$B298))-'Business Case'!C15*$F298</f>
        <v>23952251.6193136</v>
      </c>
      <c r="J298" s="39" t="n">
        <f aca="false">(('Business Case'!D11*$C298*'Business Case'!D12*$B298)-'Business Case'!D11*$C298*'Business Case'!D13*$D298-'Business Case'!D14*$E298)-MAX(0,(('Business Case'!D11*$C298*'Business Case'!D12*$B298)-'Business Case'!D11*$C298*'Business Case'!D13*$D298-'Business Case'!D14*$E298))*'Business Case'!$B$7-'Business Case'!$B$8*(('Business Case'!D11*$C298*'Business Case'!D12*$B298)-('Business Case'!C11*$C298*'Business Case'!C12*$B298))-'Business Case'!D15*$F298</f>
        <v>342882967.212688</v>
      </c>
      <c r="K298" s="39" t="n">
        <f aca="false">(('Business Case'!E11*$C298*'Business Case'!E12*$B298)-'Business Case'!E11*$C298*'Business Case'!E13*$D298-'Business Case'!E14*$E298)-MAX(0,(('Business Case'!E11*$C298*'Business Case'!E12*$B298)-'Business Case'!E11*$C298*'Business Case'!E13*$D298-'Business Case'!E14*$E298))*'Business Case'!$B$7-'Business Case'!$B$8*(('Business Case'!E11*$C298*'Business Case'!E12*$B298)-('Business Case'!D11*$C298*'Business Case'!D12*$B298))-'Business Case'!E15*$F298</f>
        <v>711946702.016273</v>
      </c>
      <c r="L298" s="39" t="n">
        <f aca="false">(('Business Case'!F11*$C298*'Business Case'!F12*$B298)-'Business Case'!F11*$C298*'Business Case'!F13*$D298-'Business Case'!F14*$E298)-MAX(0,(('Business Case'!F11*$C298*'Business Case'!F12*$B298)-'Business Case'!F11*$C298*'Business Case'!F13*$D298-'Business Case'!F14*$E298))*'Business Case'!$B$7-'Business Case'!$B$8*(('Business Case'!F11*$C298*'Business Case'!F12*$B298)-('Business Case'!E11*$C298*'Business Case'!E12*$B298))-'Business Case'!F15*$F298</f>
        <v>852864280.634249</v>
      </c>
      <c r="M298" s="39" t="n">
        <f aca="false">(('Business Case'!G11*$C298*'Business Case'!G12*$B298)-'Business Case'!G11*$C298*'Business Case'!G13*$D298-'Business Case'!G14*$E298)-MAX(0,(('Business Case'!G11*$C298*'Business Case'!G12*$B298)-'Business Case'!G11*$C298*'Business Case'!G13*$D298-'Business Case'!G14*$E298))*'Business Case'!$B$7-'Business Case'!$B$8*(('Business Case'!G11*$C298*'Business Case'!G12*$B298)-('Business Case'!F11*$C298*'Business Case'!F12*$B298))-'Business Case'!G15*$F298+'Business Case'!$B$8*('Business Case'!G11*$C298*'Business Case'!G12*$B298)</f>
        <v>1043204651.11193</v>
      </c>
      <c r="N298" s="39" t="n">
        <f aca="false">IF(COUNT('Business Case'!B11:G11)=0,"",H298+NPV(G298,I298:M298))</f>
        <v>50676057.0850825</v>
      </c>
      <c r="P298" s="40" t="n">
        <f aca="true">RAND()</f>
        <v>0.564135709762763</v>
      </c>
      <c r="Q298" s="40" t="n">
        <f aca="true">RAND()</f>
        <v>0.614995541072329</v>
      </c>
      <c r="R298" s="40" t="n">
        <f aca="true">RAND()</f>
        <v>0.0716242097688614</v>
      </c>
      <c r="S298" s="40" t="n">
        <f aca="true">RAND()</f>
        <v>0.388532339668635</v>
      </c>
      <c r="T298" s="40" t="n">
        <f aca="true">RAND()</f>
        <v>0.221141520751443</v>
      </c>
      <c r="U298" s="40" t="n">
        <f aca="true">RAND()</f>
        <v>0.462280799254939</v>
      </c>
    </row>
    <row r="299" customFormat="false" ht="15" hidden="false" customHeight="false" outlineLevel="0" collapsed="false">
      <c r="A299" s="36" t="n">
        <v>219</v>
      </c>
      <c r="B299" s="37" t="n">
        <f aca="false">1+IF($G$6=$E$6,$F$6,IF(P299&lt;($F$6-$E$6)/($G$6-$E$6),$E$6+SQRT(P299*($G$6-$E$6)*($F$6-$E$6)),$G$6-SQRT((1-P299)*($G$6-$E$6)*($G$6-$F$6))))</f>
        <v>0.972071712370586</v>
      </c>
      <c r="C299" s="37" t="n">
        <f aca="false">1+IF($G$7=$E$7,$F$7,IF(Q299&lt;($F$7-$E$7)/($G$7-$E$7),$E$7+SQRT(Q299*($G$7-$E$7)*($F$7-$E$7)),$G$7-SQRT((1-Q299)*($G$7-$E$7)*($G$7-$F$7))))</f>
        <v>1.05014116875195</v>
      </c>
      <c r="D299" s="37" t="n">
        <f aca="false">1+IF($G$8=$E$8,$F$8,IF(R299&lt;($F$8-$E$8)/($G$8-$E$8),$E$8+SQRT(R299*($G$8-$E$8)*($F$8-$E$8)),$G$8-SQRT((1-R299)*($G$8-$E$8)*($G$8-$F$8))))</f>
        <v>1.01774055799208</v>
      </c>
      <c r="E299" s="37" t="n">
        <f aca="false">1+IF($G$9=$E$9,$F$9,IF(S299&lt;($F$9-$E$9)/($G$9-$E$9),$E$9+SQRT(S299*($G$9-$E$9)*($F$9-$E$9)),$G$9-SQRT((1-S299)*($G$9-$E$9)*($G$9-$F$9))))</f>
        <v>1.0671509599219</v>
      </c>
      <c r="F299" s="37" t="n">
        <f aca="false">1+IF($G$10=$E$10,$F$10,IF(T299&lt;($F$10-$E$10)/($G$10-$E$10),$E$10+SQRT(T299*($G$10-$E$10)*($F$10-$E$10)),$G$10-SQRT((1-T299)*($G$10-$E$10)*($G$10-$F$10))))</f>
        <v>1.08422698762764</v>
      </c>
      <c r="G299" s="38" t="n">
        <f aca="false">IF($G$11=$E$11,$F$11,IF(U299&lt;($F$11-$E$11)/($G$11-$E$11),$E$11+SQRT(U299*($G$11-$E$11)*($F$11-$E$11)),$G$11-SQRT((1-U299)*($G$11-$E$11)*($G$11-$F$11))))</f>
        <v>0.107025093832395</v>
      </c>
      <c r="H299" s="39" t="n">
        <f aca="false">(('Business Case'!B11*$C299*'Business Case'!B12*$B299)-'Business Case'!B11*$C299*'Business Case'!B13*$D299-'Business Case'!B14*$E299)-MAX(0,(('Business Case'!B11*$C299*'Business Case'!B12*$B299)-'Business Case'!B11*$C299*'Business Case'!B13*$D299-'Business Case'!B14*$E299))*'Business Case'!$B$7-'Business Case'!$B$8*('Business Case'!B11*$C299*'Business Case'!B12*$B299)-'Business Case'!B15*$F299</f>
        <v>-2168453975.25527</v>
      </c>
      <c r="I299" s="39" t="n">
        <f aca="false">(('Business Case'!C11*$C299*'Business Case'!C12*$B299)-'Business Case'!C11*$C299*'Business Case'!C13*$D299-'Business Case'!C14*$E299)-MAX(0,(('Business Case'!C11*$C299*'Business Case'!C12*$B299)-'Business Case'!C11*$C299*'Business Case'!C13*$D299-'Business Case'!C14*$E299))*'Business Case'!$B$7-'Business Case'!$B$8*(('Business Case'!C11*$C299*'Business Case'!C12*$B299)-('Business Case'!B11*$C299*'Business Case'!B12*$B299))-'Business Case'!C15*$F299</f>
        <v>-24096913.6789983</v>
      </c>
      <c r="J299" s="39" t="n">
        <f aca="false">(('Business Case'!D11*$C299*'Business Case'!D12*$B299)-'Business Case'!D11*$C299*'Business Case'!D13*$D299-'Business Case'!D14*$E299)-MAX(0,(('Business Case'!D11*$C299*'Business Case'!D12*$B299)-'Business Case'!D11*$C299*'Business Case'!D13*$D299-'Business Case'!D14*$E299))*'Business Case'!$B$7-'Business Case'!$B$8*(('Business Case'!D11*$C299*'Business Case'!D12*$B299)-('Business Case'!C11*$C299*'Business Case'!C12*$B299))-'Business Case'!D15*$F299</f>
        <v>264896659.157056</v>
      </c>
      <c r="K299" s="39" t="n">
        <f aca="false">(('Business Case'!E11*$C299*'Business Case'!E12*$B299)-'Business Case'!E11*$C299*'Business Case'!E13*$D299-'Business Case'!E14*$E299)-MAX(0,(('Business Case'!E11*$C299*'Business Case'!E12*$B299)-'Business Case'!E11*$C299*'Business Case'!E13*$D299-'Business Case'!E14*$E299))*'Business Case'!$B$7-'Business Case'!$B$8*(('Business Case'!E11*$C299*'Business Case'!E12*$B299)-('Business Case'!D11*$C299*'Business Case'!D12*$B299))-'Business Case'!E15*$F299</f>
        <v>608101581.374492</v>
      </c>
      <c r="L299" s="39" t="n">
        <f aca="false">(('Business Case'!F11*$C299*'Business Case'!F12*$B299)-'Business Case'!F11*$C299*'Business Case'!F13*$D299-'Business Case'!F14*$E299)-MAX(0,(('Business Case'!F11*$C299*'Business Case'!F12*$B299)-'Business Case'!F11*$C299*'Business Case'!F13*$D299-'Business Case'!F14*$E299))*'Business Case'!$B$7-'Business Case'!$B$8*(('Business Case'!F11*$C299*'Business Case'!F12*$B299)-('Business Case'!E11*$C299*'Business Case'!E12*$B299))-'Business Case'!F15*$F299</f>
        <v>739712053.154107</v>
      </c>
      <c r="M299" s="39" t="n">
        <f aca="false">(('Business Case'!G11*$C299*'Business Case'!G12*$B299)-'Business Case'!G11*$C299*'Business Case'!G13*$D299-'Business Case'!G14*$E299)-MAX(0,(('Business Case'!G11*$C299*'Business Case'!G12*$B299)-'Business Case'!G11*$C299*'Business Case'!G13*$D299-'Business Case'!G14*$E299))*'Business Case'!$B$7-'Business Case'!$B$8*(('Business Case'!G11*$C299*'Business Case'!G12*$B299)-('Business Case'!F11*$C299*'Business Case'!F12*$B299))-'Business Case'!G15*$F299+'Business Case'!$B$8*('Business Case'!G11*$C299*'Business Case'!G12*$B299)</f>
        <v>933748097.742554</v>
      </c>
      <c r="N299" s="39" t="n">
        <f aca="false">IF(COUNT('Business Case'!B11:G11)=0,"",H299+NPV(G299,I299:M299))</f>
        <v>-471685244.002886</v>
      </c>
      <c r="P299" s="40" t="n">
        <f aca="true">RAND()</f>
        <v>0.282444086375529</v>
      </c>
      <c r="Q299" s="40" t="n">
        <f aca="true">RAND()</f>
        <v>0.81006121565283</v>
      </c>
      <c r="R299" s="40" t="n">
        <f aca="true">RAND()</f>
        <v>0.627284796236778</v>
      </c>
      <c r="S299" s="40" t="n">
        <f aca="true">RAND()</f>
        <v>0.9280627043965</v>
      </c>
      <c r="T299" s="40" t="n">
        <f aca="true">RAND()</f>
        <v>0.73193219212457</v>
      </c>
      <c r="U299" s="40" t="n">
        <f aca="true">RAND()</f>
        <v>0.719419683236429</v>
      </c>
    </row>
    <row r="300" customFormat="false" ht="15" hidden="false" customHeight="false" outlineLevel="0" collapsed="false">
      <c r="A300" s="36" t="n">
        <v>220</v>
      </c>
      <c r="B300" s="37" t="n">
        <f aca="false">1+IF($G$6=$E$6,$F$6,IF(P300&lt;($F$6-$E$6)/($G$6-$E$6),$E$6+SQRT(P300*($G$6-$E$6)*($F$6-$E$6)),$G$6-SQRT((1-P300)*($G$6-$E$6)*($G$6-$F$6))))</f>
        <v>1.00267802026509</v>
      </c>
      <c r="C300" s="37" t="n">
        <f aca="false">1+IF($G$7=$E$7,$F$7,IF(Q300&lt;($F$7-$E$7)/($G$7-$E$7),$E$7+SQRT(Q300*($G$7-$E$7)*($F$7-$E$7)),$G$7-SQRT((1-Q300)*($G$7-$E$7)*($G$7-$F$7))))</f>
        <v>0.878738994548738</v>
      </c>
      <c r="D300" s="37" t="n">
        <f aca="false">1+IF($G$8=$E$8,$F$8,IF(R300&lt;($F$8-$E$8)/($G$8-$E$8),$E$8+SQRT(R300*($G$8-$E$8)*($F$8-$E$8)),$G$8-SQRT((1-R300)*($G$8-$E$8)*($G$8-$F$8))))</f>
        <v>1.00945313956419</v>
      </c>
      <c r="E300" s="37" t="n">
        <f aca="false">1+IF($G$9=$E$9,$F$9,IF(S300&lt;($F$9-$E$9)/($G$9-$E$9),$E$9+SQRT(S300*($G$9-$E$9)*($F$9-$E$9)),$G$9-SQRT((1-S300)*($G$9-$E$9)*($G$9-$F$9))))</f>
        <v>0.995574136036652</v>
      </c>
      <c r="F300" s="37" t="n">
        <f aca="false">1+IF($G$10=$E$10,$F$10,IF(T300&lt;($F$10-$E$10)/($G$10-$E$10),$E$10+SQRT(T300*($G$10-$E$10)*($F$10-$E$10)),$G$10-SQRT((1-T300)*($G$10-$E$10)*($G$10-$F$10))))</f>
        <v>1.08308323543425</v>
      </c>
      <c r="G300" s="38" t="n">
        <f aca="false">IF($G$11=$E$11,$F$11,IF(U300&lt;($F$11-$E$11)/($G$11-$E$11),$E$11+SQRT(U300*($G$11-$E$11)*($F$11-$E$11)),$G$11-SQRT((1-U300)*($G$11-$E$11)*($G$11-$F$11))))</f>
        <v>0.11394006255239</v>
      </c>
      <c r="H300" s="39" t="n">
        <f aca="false">(('Business Case'!B11*$C300*'Business Case'!B12*$B300)-'Business Case'!B11*$C300*'Business Case'!B13*$D300-'Business Case'!B14*$E300)-MAX(0,(('Business Case'!B11*$C300*'Business Case'!B12*$B300)-'Business Case'!B11*$C300*'Business Case'!B13*$D300-'Business Case'!B14*$E300))*'Business Case'!$B$7-'Business Case'!$B$8*('Business Case'!B11*$C300*'Business Case'!B12*$B300)-'Business Case'!B15*$F300</f>
        <v>-2166166470.86849</v>
      </c>
      <c r="I300" s="39" t="n">
        <f aca="false">(('Business Case'!C11*$C300*'Business Case'!C12*$B300)-'Business Case'!C11*$C300*'Business Case'!C13*$D300-'Business Case'!C14*$E300)-MAX(0,(('Business Case'!C11*$C300*'Business Case'!C12*$B300)-'Business Case'!C11*$C300*'Business Case'!C13*$D300-'Business Case'!C14*$E300))*'Business Case'!$B$7-'Business Case'!$B$8*(('Business Case'!C11*$C300*'Business Case'!C12*$B300)-('Business Case'!B11*$C300*'Business Case'!B12*$B300))-'Business Case'!C15*$F300</f>
        <v>-27973281.8887836</v>
      </c>
      <c r="J300" s="39" t="n">
        <f aca="false">(('Business Case'!D11*$C300*'Business Case'!D12*$B300)-'Business Case'!D11*$C300*'Business Case'!D13*$D300-'Business Case'!D14*$E300)-MAX(0,(('Business Case'!D11*$C300*'Business Case'!D12*$B300)-'Business Case'!D11*$C300*'Business Case'!D13*$D300-'Business Case'!D14*$E300))*'Business Case'!$B$7-'Business Case'!$B$8*(('Business Case'!D11*$C300*'Business Case'!D12*$B300)-('Business Case'!C11*$C300*'Business Case'!C12*$B300))-'Business Case'!D15*$F300</f>
        <v>239608225.466169</v>
      </c>
      <c r="K300" s="39" t="n">
        <f aca="false">(('Business Case'!E11*$C300*'Business Case'!E12*$B300)-'Business Case'!E11*$C300*'Business Case'!E13*$D300-'Business Case'!E14*$E300)-MAX(0,(('Business Case'!E11*$C300*'Business Case'!E12*$B300)-'Business Case'!E11*$C300*'Business Case'!E13*$D300-'Business Case'!E14*$E300))*'Business Case'!$B$7-'Business Case'!$B$8*(('Business Case'!E11*$C300*'Business Case'!E12*$B300)-('Business Case'!D11*$C300*'Business Case'!D12*$B300))-'Business Case'!E15*$F300</f>
        <v>561343894.592834</v>
      </c>
      <c r="L300" s="39" t="n">
        <f aca="false">(('Business Case'!F11*$C300*'Business Case'!F12*$B300)-'Business Case'!F11*$C300*'Business Case'!F13*$D300-'Business Case'!F14*$E300)-MAX(0,(('Business Case'!F11*$C300*'Business Case'!F12*$B300)-'Business Case'!F11*$C300*'Business Case'!F13*$D300-'Business Case'!F14*$E300))*'Business Case'!$B$7-'Business Case'!$B$8*(('Business Case'!F11*$C300*'Business Case'!F12*$B300)-('Business Case'!E11*$C300*'Business Case'!E12*$B300))-'Business Case'!F15*$F300</f>
        <v>680988279.415084</v>
      </c>
      <c r="M300" s="39" t="n">
        <f aca="false">(('Business Case'!G11*$C300*'Business Case'!G12*$B300)-'Business Case'!G11*$C300*'Business Case'!G13*$D300-'Business Case'!G14*$E300)-MAX(0,(('Business Case'!G11*$C300*'Business Case'!G12*$B300)-'Business Case'!G11*$C300*'Business Case'!G13*$D300-'Business Case'!G14*$E300))*'Business Case'!$B$7-'Business Case'!$B$8*(('Business Case'!G11*$C300*'Business Case'!G12*$B300)-('Business Case'!F11*$C300*'Business Case'!F12*$B300))-'Business Case'!G15*$F300+'Business Case'!$B$8*('Business Case'!G11*$C300*'Business Case'!G12*$B300)</f>
        <v>848466299.120048</v>
      </c>
      <c r="N300" s="39" t="n">
        <f aca="false">IF(COUNT('Business Case'!B11:G11)=0,"",H300+NPV(G300,I300:M300))</f>
        <v>-655114260.270021</v>
      </c>
      <c r="P300" s="40" t="n">
        <f aca="true">RAND()</f>
        <v>0.709806214305567</v>
      </c>
      <c r="Q300" s="40" t="n">
        <f aca="true">RAND()</f>
        <v>0.0885689894649454</v>
      </c>
      <c r="R300" s="40" t="n">
        <f aca="true">RAND()</f>
        <v>0.52145581563952</v>
      </c>
      <c r="S300" s="40" t="n">
        <f aca="true">RAND()</f>
        <v>0.2769335833983</v>
      </c>
      <c r="T300" s="40" t="n">
        <f aca="true">RAND()</f>
        <v>0.726609403269519</v>
      </c>
      <c r="U300" s="40" t="n">
        <f aca="true">RAND()</f>
        <v>0.938795263551766</v>
      </c>
    </row>
    <row r="301" customFormat="false" ht="15" hidden="false" customHeight="false" outlineLevel="0" collapsed="false">
      <c r="A301" s="36" t="n">
        <v>221</v>
      </c>
      <c r="B301" s="37" t="n">
        <f aca="false">1+IF($G$6=$E$6,$F$6,IF(P301&lt;($F$6-$E$6)/($G$6-$E$6),$E$6+SQRT(P301*($G$6-$E$6)*($F$6-$E$6)),$G$6-SQRT((1-P301)*($G$6-$E$6)*($G$6-$F$6))))</f>
        <v>1.0013832951961</v>
      </c>
      <c r="C301" s="37" t="n">
        <f aca="false">1+IF($G$7=$E$7,$F$7,IF(Q301&lt;($F$7-$E$7)/($G$7-$E$7),$E$7+SQRT(Q301*($G$7-$E$7)*($F$7-$E$7)),$G$7-SQRT((1-Q301)*($G$7-$E$7)*($G$7-$F$7))))</f>
        <v>0.99075183041888</v>
      </c>
      <c r="D301" s="37" t="n">
        <f aca="false">1+IF($G$8=$E$8,$F$8,IF(R301&lt;($F$8-$E$8)/($G$8-$E$8),$E$8+SQRT(R301*($G$8-$E$8)*($F$8-$E$8)),$G$8-SQRT((1-R301)*($G$8-$E$8)*($G$8-$F$8))))</f>
        <v>0.986840748166778</v>
      </c>
      <c r="E301" s="37" t="n">
        <f aca="false">1+IF($G$9=$E$9,$F$9,IF(S301&lt;($F$9-$E$9)/($G$9-$E$9),$E$9+SQRT(S301*($G$9-$E$9)*($F$9-$E$9)),$G$9-SQRT((1-S301)*($G$9-$E$9)*($G$9-$F$9))))</f>
        <v>1.03256426996163</v>
      </c>
      <c r="F301" s="37" t="n">
        <f aca="false">1+IF($G$10=$E$10,$F$10,IF(T301&lt;($F$10-$E$10)/($G$10-$E$10),$E$10+SQRT(T301*($G$10-$E$10)*($F$10-$E$10)),$G$10-SQRT((1-T301)*($G$10-$E$10)*($G$10-$F$10))))</f>
        <v>0.965442350591844</v>
      </c>
      <c r="G301" s="38" t="n">
        <f aca="false">IF($G$11=$E$11,$F$11,IF(U301&lt;($F$11-$E$11)/($G$11-$E$11),$E$11+SQRT(U301*($G$11-$E$11)*($F$11-$E$11)),$G$11-SQRT((1-U301)*($G$11-$E$11)*($G$11-$F$11))))</f>
        <v>0.103938683134602</v>
      </c>
      <c r="H301" s="39" t="n">
        <f aca="false">(('Business Case'!B11*$C301*'Business Case'!B12*$B301)-'Business Case'!B11*$C301*'Business Case'!B13*$D301-'Business Case'!B14*$E301)-MAX(0,(('Business Case'!B11*$C301*'Business Case'!B12*$B301)-'Business Case'!B11*$C301*'Business Case'!B13*$D301-'Business Case'!B14*$E301))*'Business Case'!$B$7-'Business Case'!$B$8*('Business Case'!B11*$C301*'Business Case'!B12*$B301)-'Business Case'!B15*$F301</f>
        <v>-1930884701.18369</v>
      </c>
      <c r="I301" s="39" t="n">
        <f aca="false">(('Business Case'!C11*$C301*'Business Case'!C12*$B301)-'Business Case'!C11*$C301*'Business Case'!C13*$D301-'Business Case'!C14*$E301)-MAX(0,(('Business Case'!C11*$C301*'Business Case'!C12*$B301)-'Business Case'!C11*$C301*'Business Case'!C13*$D301-'Business Case'!C14*$E301))*'Business Case'!$B$7-'Business Case'!$B$8*(('Business Case'!C11*$C301*'Business Case'!C12*$B301)-('Business Case'!B11*$C301*'Business Case'!B12*$B301))-'Business Case'!C15*$F301</f>
        <v>17301634.3107799</v>
      </c>
      <c r="J301" s="39" t="n">
        <f aca="false">(('Business Case'!D11*$C301*'Business Case'!D12*$B301)-'Business Case'!D11*$C301*'Business Case'!D13*$D301-'Business Case'!D14*$E301)-MAX(0,(('Business Case'!D11*$C301*'Business Case'!D12*$B301)-'Business Case'!D11*$C301*'Business Case'!D13*$D301-'Business Case'!D14*$E301))*'Business Case'!$B$7-'Business Case'!$B$8*(('Business Case'!D11*$C301*'Business Case'!D12*$B301)-('Business Case'!C11*$C301*'Business Case'!C12*$B301))-'Business Case'!D15*$F301</f>
        <v>329409764.594715</v>
      </c>
      <c r="K301" s="39" t="n">
        <f aca="false">(('Business Case'!E11*$C301*'Business Case'!E12*$B301)-'Business Case'!E11*$C301*'Business Case'!E13*$D301-'Business Case'!E14*$E301)-MAX(0,(('Business Case'!E11*$C301*'Business Case'!E12*$B301)-'Business Case'!E11*$C301*'Business Case'!E13*$D301-'Business Case'!E14*$E301))*'Business Case'!$B$7-'Business Case'!$B$8*(('Business Case'!E11*$C301*'Business Case'!E12*$B301)-('Business Case'!D11*$C301*'Business Case'!D12*$B301))-'Business Case'!E15*$F301</f>
        <v>689790012.408242</v>
      </c>
      <c r="L301" s="39" t="n">
        <f aca="false">(('Business Case'!F11*$C301*'Business Case'!F12*$B301)-'Business Case'!F11*$C301*'Business Case'!F13*$D301-'Business Case'!F14*$E301)-MAX(0,(('Business Case'!F11*$C301*'Business Case'!F12*$B301)-'Business Case'!F11*$C301*'Business Case'!F13*$D301-'Business Case'!F14*$E301))*'Business Case'!$B$7-'Business Case'!$B$8*(('Business Case'!F11*$C301*'Business Case'!F12*$B301)-('Business Case'!E11*$C301*'Business Case'!E12*$B301))-'Business Case'!F15*$F301</f>
        <v>828113803.653173</v>
      </c>
      <c r="M301" s="39" t="n">
        <f aca="false">(('Business Case'!G11*$C301*'Business Case'!G12*$B301)-'Business Case'!G11*$C301*'Business Case'!G13*$D301-'Business Case'!G14*$E301)-MAX(0,(('Business Case'!G11*$C301*'Business Case'!G12*$B301)-'Business Case'!G11*$C301*'Business Case'!G13*$D301-'Business Case'!G14*$E301))*'Business Case'!$B$7-'Business Case'!$B$8*(('Business Case'!G11*$C301*'Business Case'!G12*$B301)-('Business Case'!F11*$C301*'Business Case'!F12*$B301))-'Business Case'!G15*$F301+'Business Case'!$B$8*('Business Case'!G11*$C301*'Business Case'!G12*$B301)</f>
        <v>1016696416.64641</v>
      </c>
      <c r="N301" s="39" t="n">
        <f aca="false">IF(COUNT('Business Case'!B11:G11)=0,"",H301+NPV(G301,I301:M301))</f>
        <v>45501120.9815002</v>
      </c>
      <c r="P301" s="40" t="n">
        <f aca="true">RAND()</f>
        <v>0.689322939601727</v>
      </c>
      <c r="Q301" s="40" t="n">
        <f aca="true">RAND()</f>
        <v>0.519803725830758</v>
      </c>
      <c r="R301" s="40" t="n">
        <f aca="true">RAND()</f>
        <v>0.208806265459681</v>
      </c>
      <c r="S301" s="40" t="n">
        <f aca="true">RAND()</f>
        <v>0.696828154279441</v>
      </c>
      <c r="T301" s="40" t="n">
        <f aca="true">RAND()</f>
        <v>0.0190772953441133</v>
      </c>
      <c r="U301" s="40" t="n">
        <f aca="true">RAND()</f>
        <v>0.570056834248798</v>
      </c>
    </row>
    <row r="302" customFormat="false" ht="15" hidden="false" customHeight="false" outlineLevel="0" collapsed="false">
      <c r="A302" s="36" t="n">
        <v>222</v>
      </c>
      <c r="B302" s="37" t="n">
        <f aca="false">1+IF($G$6=$E$6,$F$6,IF(P302&lt;($F$6-$E$6)/($G$6-$E$6),$E$6+SQRT(P302*($G$6-$E$6)*($F$6-$E$6)),$G$6-SQRT((1-P302)*($G$6-$E$6)*($G$6-$F$6))))</f>
        <v>0.950118998542716</v>
      </c>
      <c r="C302" s="37" t="n">
        <f aca="false">1+IF($G$7=$E$7,$F$7,IF(Q302&lt;($F$7-$E$7)/($G$7-$E$7),$E$7+SQRT(Q302*($G$7-$E$7)*($F$7-$E$7)),$G$7-SQRT((1-Q302)*($G$7-$E$7)*($G$7-$F$7))))</f>
        <v>0.880828023133635</v>
      </c>
      <c r="D302" s="37" t="n">
        <f aca="false">1+IF($G$8=$E$8,$F$8,IF(R302&lt;($F$8-$E$8)/($G$8-$E$8),$E$8+SQRT(R302*($G$8-$E$8)*($F$8-$E$8)),$G$8-SQRT((1-R302)*($G$8-$E$8)*($G$8-$F$8))))</f>
        <v>1.03641645053784</v>
      </c>
      <c r="E302" s="37" t="n">
        <f aca="false">1+IF($G$9=$E$9,$F$9,IF(S302&lt;($F$9-$E$9)/($G$9-$E$9),$E$9+SQRT(S302*($G$9-$E$9)*($F$9-$E$9)),$G$9-SQRT((1-S302)*($G$9-$E$9)*($G$9-$F$9))))</f>
        <v>1.05286183390469</v>
      </c>
      <c r="F302" s="37" t="n">
        <f aca="false">1+IF($G$10=$E$10,$F$10,IF(T302&lt;($F$10-$E$10)/($G$10-$E$10),$E$10+SQRT(T302*($G$10-$E$10)*($F$10-$E$10)),$G$10-SQRT((1-T302)*($G$10-$E$10)*($G$10-$F$10))))</f>
        <v>1.00333484940621</v>
      </c>
      <c r="G302" s="38" t="n">
        <f aca="false">IF($G$11=$E$11,$F$11,IF(U302&lt;($F$11-$E$11)/($G$11-$E$11),$E$11+SQRT(U302*($G$11-$E$11)*($F$11-$E$11)),$G$11-SQRT((1-U302)*($G$11-$E$11)*($G$11-$F$11))))</f>
        <v>0.100227104469242</v>
      </c>
      <c r="H302" s="39" t="n">
        <f aca="false">(('Business Case'!B11*$C302*'Business Case'!B12*$B302)-'Business Case'!B11*$C302*'Business Case'!B13*$D302-'Business Case'!B14*$E302)-MAX(0,(('Business Case'!B11*$C302*'Business Case'!B12*$B302)-'Business Case'!B11*$C302*'Business Case'!B13*$D302-'Business Case'!B14*$E302))*'Business Case'!$B$7-'Business Case'!$B$8*('Business Case'!B11*$C302*'Business Case'!B12*$B302)-'Business Case'!B15*$F302</f>
        <v>-2006669698.81242</v>
      </c>
      <c r="I302" s="39" t="n">
        <f aca="false">(('Business Case'!C11*$C302*'Business Case'!C12*$B302)-'Business Case'!C11*$C302*'Business Case'!C13*$D302-'Business Case'!C14*$E302)-MAX(0,(('Business Case'!C11*$C302*'Business Case'!C12*$B302)-'Business Case'!C11*$C302*'Business Case'!C13*$D302-'Business Case'!C14*$E302))*'Business Case'!$B$7-'Business Case'!$B$8*(('Business Case'!C11*$C302*'Business Case'!C12*$B302)-('Business Case'!B11*$C302*'Business Case'!B12*$B302))-'Business Case'!C15*$F302</f>
        <v>-75294695.1222184</v>
      </c>
      <c r="J302" s="39" t="n">
        <f aca="false">(('Business Case'!D11*$C302*'Business Case'!D12*$B302)-'Business Case'!D11*$C302*'Business Case'!D13*$D302-'Business Case'!D14*$E302)-MAX(0,(('Business Case'!D11*$C302*'Business Case'!D12*$B302)-'Business Case'!D11*$C302*'Business Case'!D13*$D302-'Business Case'!D14*$E302))*'Business Case'!$B$7-'Business Case'!$B$8*(('Business Case'!D11*$C302*'Business Case'!D12*$B302)-('Business Case'!C11*$C302*'Business Case'!C12*$B302))-'Business Case'!D15*$F302</f>
        <v>142845499.687015</v>
      </c>
      <c r="K302" s="39" t="n">
        <f aca="false">(('Business Case'!E11*$C302*'Business Case'!E12*$B302)-'Business Case'!E11*$C302*'Business Case'!E13*$D302-'Business Case'!E14*$E302)-MAX(0,(('Business Case'!E11*$C302*'Business Case'!E12*$B302)-'Business Case'!E11*$C302*'Business Case'!E13*$D302-'Business Case'!E14*$E302))*'Business Case'!$B$7-'Business Case'!$B$8*(('Business Case'!E11*$C302*'Business Case'!E12*$B302)-('Business Case'!D11*$C302*'Business Case'!D12*$B302))-'Business Case'!E15*$F302</f>
        <v>411152436.96656</v>
      </c>
      <c r="L302" s="39" t="n">
        <f aca="false">(('Business Case'!F11*$C302*'Business Case'!F12*$B302)-'Business Case'!F11*$C302*'Business Case'!F13*$D302-'Business Case'!F14*$E302)-MAX(0,(('Business Case'!F11*$C302*'Business Case'!F12*$B302)-'Business Case'!F11*$C302*'Business Case'!F13*$D302-'Business Case'!F14*$E302))*'Business Case'!$B$7-'Business Case'!$B$8*(('Business Case'!F11*$C302*'Business Case'!F12*$B302)-('Business Case'!E11*$C302*'Business Case'!E12*$B302))-'Business Case'!F15*$F302</f>
        <v>512788803.376027</v>
      </c>
      <c r="M302" s="39" t="n">
        <f aca="false">(('Business Case'!G11*$C302*'Business Case'!G12*$B302)-'Business Case'!G11*$C302*'Business Case'!G13*$D302-'Business Case'!G14*$E302)-MAX(0,(('Business Case'!G11*$C302*'Business Case'!G12*$B302)-'Business Case'!G11*$C302*'Business Case'!G13*$D302-'Business Case'!G14*$E302))*'Business Case'!$B$7-'Business Case'!$B$8*(('Business Case'!G11*$C302*'Business Case'!G12*$B302)-('Business Case'!F11*$C302*'Business Case'!F12*$B302))-'Business Case'!G15*$F302+'Business Case'!$B$8*('Business Case'!G11*$C302*'Business Case'!G12*$B302)</f>
        <v>671865128.144503</v>
      </c>
      <c r="N302" s="39" t="n">
        <f aca="false">IF(COUNT('Business Case'!B11:G11)=0,"",H302+NPV(G302,I302:M302))</f>
        <v>-881688666.269758</v>
      </c>
      <c r="P302" s="40" t="n">
        <f aca="true">RAND()</f>
        <v>0.0944952159600123</v>
      </c>
      <c r="Q302" s="40" t="n">
        <f aca="true">RAND()</f>
        <v>0.0933309903384501</v>
      </c>
      <c r="R302" s="40" t="n">
        <f aca="true">RAND()</f>
        <v>0.817353290026875</v>
      </c>
      <c r="S302" s="40" t="n">
        <f aca="true">RAND()</f>
        <v>0.851866219811416</v>
      </c>
      <c r="T302" s="40" t="n">
        <f aca="true">RAND()</f>
        <v>0.226456370838422</v>
      </c>
      <c r="U302" s="40" t="n">
        <f aca="true">RAND()</f>
        <v>0.348387670549576</v>
      </c>
    </row>
    <row r="303" customFormat="false" ht="15" hidden="false" customHeight="false" outlineLevel="0" collapsed="false">
      <c r="A303" s="36" t="n">
        <v>223</v>
      </c>
      <c r="B303" s="37" t="n">
        <f aca="false">1+IF($G$6=$E$6,$F$6,IF(P303&lt;($F$6-$E$6)/($G$6-$E$6),$E$6+SQRT(P303*($G$6-$E$6)*($F$6-$E$6)),$G$6-SQRT((1-P303)*($G$6-$E$6)*($G$6-$F$6))))</f>
        <v>0.934609230984386</v>
      </c>
      <c r="C303" s="37" t="n">
        <f aca="false">1+IF($G$7=$E$7,$F$7,IF(Q303&lt;($F$7-$E$7)/($G$7-$E$7),$E$7+SQRT(Q303*($G$7-$E$7)*($F$7-$E$7)),$G$7-SQRT((1-Q303)*($G$7-$E$7)*($G$7-$F$7))))</f>
        <v>1.04374775322431</v>
      </c>
      <c r="D303" s="37" t="n">
        <f aca="false">1+IF($G$8=$E$8,$F$8,IF(R303&lt;($F$8-$E$8)/($G$8-$E$8),$E$8+SQRT(R303*($G$8-$E$8)*($F$8-$E$8)),$G$8-SQRT((1-R303)*($G$8-$E$8)*($G$8-$F$8))))</f>
        <v>1.00154944292025</v>
      </c>
      <c r="E303" s="37" t="n">
        <f aca="false">1+IF($G$9=$E$9,$F$9,IF(S303&lt;($F$9-$E$9)/($G$9-$E$9),$E$9+SQRT(S303*($G$9-$E$9)*($F$9-$E$9)),$G$9-SQRT((1-S303)*($G$9-$E$9)*($G$9-$F$9))))</f>
        <v>1.01263038897609</v>
      </c>
      <c r="F303" s="37" t="n">
        <f aca="false">1+IF($G$10=$E$10,$F$10,IF(T303&lt;($F$10-$E$10)/($G$10-$E$10),$E$10+SQRT(T303*($G$10-$E$10)*($F$10-$E$10)),$G$10-SQRT((1-T303)*($G$10-$E$10)*($G$10-$F$10))))</f>
        <v>1.02493205900168</v>
      </c>
      <c r="G303" s="38" t="n">
        <f aca="false">IF($G$11=$E$11,$F$11,IF(U303&lt;($F$11-$E$11)/($G$11-$E$11),$E$11+SQRT(U303*($G$11-$E$11)*($F$11-$E$11)),$G$11-SQRT((1-U303)*($G$11-$E$11)*($G$11-$F$11))))</f>
        <v>0.110345105915036</v>
      </c>
      <c r="H303" s="39" t="n">
        <f aca="false">(('Business Case'!B11*$C303*'Business Case'!B12*$B303)-'Business Case'!B11*$C303*'Business Case'!B13*$D303-'Business Case'!B14*$E303)-MAX(0,(('Business Case'!B11*$C303*'Business Case'!B12*$B303)-'Business Case'!B11*$C303*'Business Case'!B13*$D303-'Business Case'!B14*$E303))*'Business Case'!$B$7-'Business Case'!$B$8*('Business Case'!B11*$C303*'Business Case'!B12*$B303)-'Business Case'!B15*$F303</f>
        <v>-2049864118.00336</v>
      </c>
      <c r="I303" s="39" t="n">
        <f aca="false">(('Business Case'!C11*$C303*'Business Case'!C12*$B303)-'Business Case'!C11*$C303*'Business Case'!C13*$D303-'Business Case'!C14*$E303)-MAX(0,(('Business Case'!C11*$C303*'Business Case'!C12*$B303)-'Business Case'!C11*$C303*'Business Case'!C13*$D303-'Business Case'!C14*$E303))*'Business Case'!$B$7-'Business Case'!$B$8*(('Business Case'!C11*$C303*'Business Case'!C12*$B303)-('Business Case'!B11*$C303*'Business Case'!B12*$B303))-'Business Case'!C15*$F303</f>
        <v>-33200522.4593197</v>
      </c>
      <c r="J303" s="39" t="n">
        <f aca="false">(('Business Case'!D11*$C303*'Business Case'!D12*$B303)-'Business Case'!D11*$C303*'Business Case'!D13*$D303-'Business Case'!D14*$E303)-MAX(0,(('Business Case'!D11*$C303*'Business Case'!D12*$B303)-'Business Case'!D11*$C303*'Business Case'!D13*$D303-'Business Case'!D14*$E303))*'Business Case'!$B$7-'Business Case'!$B$8*(('Business Case'!D11*$C303*'Business Case'!D12*$B303)-('Business Case'!C11*$C303*'Business Case'!C12*$B303))-'Business Case'!D15*$F303</f>
        <v>230657929.70743</v>
      </c>
      <c r="K303" s="39" t="n">
        <f aca="false">(('Business Case'!E11*$C303*'Business Case'!E12*$B303)-'Business Case'!E11*$C303*'Business Case'!E13*$D303-'Business Case'!E14*$E303)-MAX(0,(('Business Case'!E11*$C303*'Business Case'!E12*$B303)-'Business Case'!E11*$C303*'Business Case'!E13*$D303-'Business Case'!E14*$E303))*'Business Case'!$B$7-'Business Case'!$B$8*(('Business Case'!E11*$C303*'Business Case'!E12*$B303)-('Business Case'!D11*$C303*'Business Case'!D12*$B303))-'Business Case'!E15*$F303</f>
        <v>545762984.824263</v>
      </c>
      <c r="L303" s="39" t="n">
        <f aca="false">(('Business Case'!F11*$C303*'Business Case'!F12*$B303)-'Business Case'!F11*$C303*'Business Case'!F13*$D303-'Business Case'!F14*$E303)-MAX(0,(('Business Case'!F11*$C303*'Business Case'!F12*$B303)-'Business Case'!F11*$C303*'Business Case'!F13*$D303-'Business Case'!F14*$E303))*'Business Case'!$B$7-'Business Case'!$B$8*(('Business Case'!F11*$C303*'Business Case'!F12*$B303)-('Business Case'!E11*$C303*'Business Case'!E12*$B303))-'Business Case'!F15*$F303</f>
        <v>667428953.82218</v>
      </c>
      <c r="M303" s="39" t="n">
        <f aca="false">(('Business Case'!G11*$C303*'Business Case'!G12*$B303)-'Business Case'!G11*$C303*'Business Case'!G13*$D303-'Business Case'!G14*$E303)-MAX(0,(('Business Case'!G11*$C303*'Business Case'!G12*$B303)-'Business Case'!G11*$C303*'Business Case'!G13*$D303-'Business Case'!G14*$E303))*'Business Case'!$B$7-'Business Case'!$B$8*(('Business Case'!G11*$C303*'Business Case'!G12*$B303)-('Business Case'!F11*$C303*'Business Case'!F12*$B303))-'Business Case'!G15*$F303+'Business Case'!$B$8*('Business Case'!G11*$C303*'Business Case'!G12*$B303)</f>
        <v>852851287.671684</v>
      </c>
      <c r="N303" s="39" t="n">
        <f aca="false">IF(COUNT('Business Case'!B11:G11)=0,"",H303+NPV(G303,I303:M303))</f>
        <v>-549539734.776303</v>
      </c>
      <c r="P303" s="40" t="n">
        <f aca="true">RAND()</f>
        <v>0.0222322531203285</v>
      </c>
      <c r="Q303" s="40" t="n">
        <f aca="true">RAND()</f>
        <v>0.784961143907021</v>
      </c>
      <c r="R303" s="40" t="n">
        <f aca="true">RAND()</f>
        <v>0.408222124411206</v>
      </c>
      <c r="S303" s="40" t="n">
        <f aca="true">RAND()</f>
        <v>0.491103404635361</v>
      </c>
      <c r="T303" s="40" t="n">
        <f aca="true">RAND()</f>
        <v>0.387024320692191</v>
      </c>
      <c r="U303" s="40" t="n">
        <f aca="true">RAND()</f>
        <v>0.844638367013547</v>
      </c>
    </row>
    <row r="304" customFormat="false" ht="15" hidden="false" customHeight="false" outlineLevel="0" collapsed="false">
      <c r="A304" s="36" t="n">
        <v>224</v>
      </c>
      <c r="B304" s="37" t="n">
        <f aca="false">1+IF($G$6=$E$6,$F$6,IF(P304&lt;($F$6-$E$6)/($G$6-$E$6),$E$6+SQRT(P304*($G$6-$E$6)*($F$6-$E$6)),$G$6-SQRT((1-P304)*($G$6-$E$6)*($G$6-$F$6))))</f>
        <v>0.986683656545375</v>
      </c>
      <c r="C304" s="37" t="n">
        <f aca="false">1+IF($G$7=$E$7,$F$7,IF(Q304&lt;($F$7-$E$7)/($G$7-$E$7),$E$7+SQRT(Q304*($G$7-$E$7)*($F$7-$E$7)),$G$7-SQRT((1-Q304)*($G$7-$E$7)*($G$7-$F$7))))</f>
        <v>0.91981485495058</v>
      </c>
      <c r="D304" s="37" t="n">
        <f aca="false">1+IF($G$8=$E$8,$F$8,IF(R304&lt;($F$8-$E$8)/($G$8-$E$8),$E$8+SQRT(R304*($G$8-$E$8)*($F$8-$E$8)),$G$8-SQRT((1-R304)*($G$8-$E$8)*($G$8-$F$8))))</f>
        <v>1.00219384795758</v>
      </c>
      <c r="E304" s="37" t="n">
        <f aca="false">1+IF($G$9=$E$9,$F$9,IF(S304&lt;($F$9-$E$9)/($G$9-$E$9),$E$9+SQRT(S304*($G$9-$E$9)*($F$9-$E$9)),$G$9-SQRT((1-S304)*($G$9-$E$9)*($G$9-$F$9))))</f>
        <v>1.00102540295151</v>
      </c>
      <c r="F304" s="37" t="n">
        <f aca="false">1+IF($G$10=$E$10,$F$10,IF(T304&lt;($F$10-$E$10)/($G$10-$E$10),$E$10+SQRT(T304*($G$10-$E$10)*($F$10-$E$10)),$G$10-SQRT((1-T304)*($G$10-$E$10)*($G$10-$F$10))))</f>
        <v>1.08926210423454</v>
      </c>
      <c r="G304" s="38" t="n">
        <f aca="false">IF($G$11=$E$11,$F$11,IF(U304&lt;($F$11-$E$11)/($G$11-$E$11),$E$11+SQRT(U304*($G$11-$E$11)*($F$11-$E$11)),$G$11-SQRT((1-U304)*($G$11-$E$11)*($G$11-$F$11))))</f>
        <v>0.106287490929282</v>
      </c>
      <c r="H304" s="39" t="n">
        <f aca="false">(('Business Case'!B11*$C304*'Business Case'!B12*$B304)-'Business Case'!B11*$C304*'Business Case'!B13*$D304-'Business Case'!B14*$E304)-MAX(0,(('Business Case'!B11*$C304*'Business Case'!B12*$B304)-'Business Case'!B11*$C304*'Business Case'!B13*$D304-'Business Case'!B14*$E304))*'Business Case'!$B$7-'Business Case'!$B$8*('Business Case'!B11*$C304*'Business Case'!B12*$B304)-'Business Case'!B15*$F304</f>
        <v>-2178524208.46908</v>
      </c>
      <c r="I304" s="39" t="n">
        <f aca="false">(('Business Case'!C11*$C304*'Business Case'!C12*$B304)-'Business Case'!C11*$C304*'Business Case'!C13*$D304-'Business Case'!C14*$E304)-MAX(0,(('Business Case'!C11*$C304*'Business Case'!C12*$B304)-'Business Case'!C11*$C304*'Business Case'!C13*$D304-'Business Case'!C14*$E304))*'Business Case'!$B$7-'Business Case'!$B$8*(('Business Case'!C11*$C304*'Business Case'!C12*$B304)-('Business Case'!B11*$C304*'Business Case'!B12*$B304))-'Business Case'!C15*$F304</f>
        <v>-26862768.4786814</v>
      </c>
      <c r="J304" s="39" t="n">
        <f aca="false">(('Business Case'!D11*$C304*'Business Case'!D12*$B304)-'Business Case'!D11*$C304*'Business Case'!D13*$D304-'Business Case'!D14*$E304)-MAX(0,(('Business Case'!D11*$C304*'Business Case'!D12*$B304)-'Business Case'!D11*$C304*'Business Case'!D13*$D304-'Business Case'!D14*$E304))*'Business Case'!$B$7-'Business Case'!$B$8*(('Business Case'!D11*$C304*'Business Case'!D12*$B304)-('Business Case'!C11*$C304*'Business Case'!C12*$B304))-'Business Case'!D15*$F304</f>
        <v>244594721.950512</v>
      </c>
      <c r="K304" s="39" t="n">
        <f aca="false">(('Business Case'!E11*$C304*'Business Case'!E12*$B304)-'Business Case'!E11*$C304*'Business Case'!E13*$D304-'Business Case'!E14*$E304)-MAX(0,(('Business Case'!E11*$C304*'Business Case'!E12*$B304)-'Business Case'!E11*$C304*'Business Case'!E13*$D304-'Business Case'!E14*$E304))*'Business Case'!$B$7-'Business Case'!$B$8*(('Business Case'!E11*$C304*'Business Case'!E12*$B304)-('Business Case'!D11*$C304*'Business Case'!D12*$B304))-'Business Case'!E15*$F304</f>
        <v>570515317.591433</v>
      </c>
      <c r="L304" s="39" t="n">
        <f aca="false">(('Business Case'!F11*$C304*'Business Case'!F12*$B304)-'Business Case'!F11*$C304*'Business Case'!F13*$D304-'Business Case'!F14*$E304)-MAX(0,(('Business Case'!F11*$C304*'Business Case'!F12*$B304)-'Business Case'!F11*$C304*'Business Case'!F13*$D304-'Business Case'!F14*$E304))*'Business Case'!$B$7-'Business Case'!$B$8*(('Business Case'!F11*$C304*'Business Case'!F12*$B304)-('Business Case'!E11*$C304*'Business Case'!E12*$B304))-'Business Case'!F15*$F304</f>
        <v>692366638.524308</v>
      </c>
      <c r="M304" s="39" t="n">
        <f aca="false">(('Business Case'!G11*$C304*'Business Case'!G12*$B304)-'Business Case'!G11*$C304*'Business Case'!G13*$D304-'Business Case'!G14*$E304)-MAX(0,(('Business Case'!G11*$C304*'Business Case'!G12*$B304)-'Business Case'!G11*$C304*'Business Case'!G13*$D304-'Business Case'!G14*$E304))*'Business Case'!$B$7-'Business Case'!$B$8*(('Business Case'!G11*$C304*'Business Case'!G12*$B304)-('Business Case'!F11*$C304*'Business Case'!F12*$B304))-'Business Case'!G15*$F304+'Business Case'!$B$8*('Business Case'!G11*$C304*'Business Case'!G12*$B304)</f>
        <v>864876837.868267</v>
      </c>
      <c r="N304" s="39" t="n">
        <f aca="false">IF(COUNT('Business Case'!B11:G11)=0,"",H304+NPV(G304,I304:M304))</f>
        <v>-597414442.709098</v>
      </c>
      <c r="P304" s="40" t="n">
        <f aca="true">RAND()</f>
        <v>0.463198963568906</v>
      </c>
      <c r="Q304" s="40" t="n">
        <f aca="true">RAND()</f>
        <v>0.205079992383264</v>
      </c>
      <c r="R304" s="40" t="n">
        <f aca="true">RAND()</f>
        <v>0.417904106187679</v>
      </c>
      <c r="S304" s="40" t="n">
        <f aca="true">RAND()</f>
        <v>0.346935275939304</v>
      </c>
      <c r="T304" s="40" t="n">
        <f aca="true">RAND()</f>
        <v>0.754742368828764</v>
      </c>
      <c r="U304" s="40" t="n">
        <f aca="true">RAND()</f>
        <v>0.68661182497578</v>
      </c>
    </row>
    <row r="305" customFormat="false" ht="15" hidden="false" customHeight="false" outlineLevel="0" collapsed="false">
      <c r="A305" s="36" t="n">
        <v>225</v>
      </c>
      <c r="B305" s="37" t="n">
        <f aca="false">1+IF($G$6=$E$6,$F$6,IF(P305&lt;($F$6-$E$6)/($G$6-$E$6),$E$6+SQRT(P305*($G$6-$E$6)*($F$6-$E$6)),$G$6-SQRT((1-P305)*($G$6-$E$6)*($G$6-$F$6))))</f>
        <v>0.970109254872955</v>
      </c>
      <c r="C305" s="37" t="n">
        <f aca="false">1+IF($G$7=$E$7,$F$7,IF(Q305&lt;($F$7-$E$7)/($G$7-$E$7),$E$7+SQRT(Q305*($G$7-$E$7)*($F$7-$E$7)),$G$7-SQRT((1-Q305)*($G$7-$E$7)*($G$7-$F$7))))</f>
        <v>1.00209383254239</v>
      </c>
      <c r="D305" s="37" t="n">
        <f aca="false">1+IF($G$8=$E$8,$F$8,IF(R305&lt;($F$8-$E$8)/($G$8-$E$8),$E$8+SQRT(R305*($G$8-$E$8)*($F$8-$E$8)),$G$8-SQRT((1-R305)*($G$8-$E$8)*($G$8-$F$8))))</f>
        <v>0.999016045401791</v>
      </c>
      <c r="E305" s="37" t="n">
        <f aca="false">1+IF($G$9=$E$9,$F$9,IF(S305&lt;($F$9-$E$9)/($G$9-$E$9),$E$9+SQRT(S305*($G$9-$E$9)*($F$9-$E$9)),$G$9-SQRT((1-S305)*($G$9-$E$9)*($G$9-$F$9))))</f>
        <v>1.05325442779986</v>
      </c>
      <c r="F305" s="37" t="n">
        <f aca="false">1+IF($G$10=$E$10,$F$10,IF(T305&lt;($F$10-$E$10)/($G$10-$E$10),$E$10+SQRT(T305*($G$10-$E$10)*($F$10-$E$10)),$G$10-SQRT((1-T305)*($G$10-$E$10)*($G$10-$F$10))))</f>
        <v>0.997824587146708</v>
      </c>
      <c r="G305" s="38" t="n">
        <f aca="false">IF($G$11=$E$11,$F$11,IF(U305&lt;($F$11-$E$11)/($G$11-$E$11),$E$11+SQRT(U305*($G$11-$E$11)*($F$11-$E$11)),$G$11-SQRT((1-U305)*($G$11-$E$11)*($G$11-$F$11))))</f>
        <v>0.104725763741264</v>
      </c>
      <c r="H305" s="39" t="n">
        <f aca="false">(('Business Case'!B11*$C305*'Business Case'!B12*$B305)-'Business Case'!B11*$C305*'Business Case'!B13*$D305-'Business Case'!B14*$E305)-MAX(0,(('Business Case'!B11*$C305*'Business Case'!B12*$B305)-'Business Case'!B11*$C305*'Business Case'!B13*$D305-'Business Case'!B14*$E305))*'Business Case'!$B$7-'Business Case'!$B$8*('Business Case'!B11*$C305*'Business Case'!B12*$B305)-'Business Case'!B15*$F305</f>
        <v>-1995649174.29342</v>
      </c>
      <c r="I305" s="39" t="n">
        <f aca="false">(('Business Case'!C11*$C305*'Business Case'!C12*$B305)-'Business Case'!C11*$C305*'Business Case'!C13*$D305-'Business Case'!C14*$E305)-MAX(0,(('Business Case'!C11*$C305*'Business Case'!C12*$B305)-'Business Case'!C11*$C305*'Business Case'!C13*$D305-'Business Case'!C14*$E305))*'Business Case'!$B$7-'Business Case'!$B$8*(('Business Case'!C11*$C305*'Business Case'!C12*$B305)-('Business Case'!B11*$C305*'Business Case'!B12*$B305))-'Business Case'!C15*$F305</f>
        <v>-16185051.3718541</v>
      </c>
      <c r="J305" s="39" t="n">
        <f aca="false">(('Business Case'!D11*$C305*'Business Case'!D12*$B305)-'Business Case'!D11*$C305*'Business Case'!D13*$D305-'Business Case'!D14*$E305)-MAX(0,(('Business Case'!D11*$C305*'Business Case'!D12*$B305)-'Business Case'!D11*$C305*'Business Case'!D13*$D305-'Business Case'!D14*$E305))*'Business Case'!$B$7-'Business Case'!$B$8*(('Business Case'!D11*$C305*'Business Case'!D12*$B305)-('Business Case'!C11*$C305*'Business Case'!C12*$B305))-'Business Case'!D15*$F305</f>
        <v>267580899.186335</v>
      </c>
      <c r="K305" s="39" t="n">
        <f aca="false">(('Business Case'!E11*$C305*'Business Case'!E12*$B305)-'Business Case'!E11*$C305*'Business Case'!E13*$D305-'Business Case'!E14*$E305)-MAX(0,(('Business Case'!E11*$C305*'Business Case'!E12*$B305)-'Business Case'!E11*$C305*'Business Case'!E13*$D305-'Business Case'!E14*$E305))*'Business Case'!$B$7-'Business Case'!$B$8*(('Business Case'!E11*$C305*'Business Case'!E12*$B305)-('Business Case'!D11*$C305*'Business Case'!D12*$B305))-'Business Case'!E15*$F305</f>
        <v>601238079.10186</v>
      </c>
      <c r="L305" s="39" t="n">
        <f aca="false">(('Business Case'!F11*$C305*'Business Case'!F12*$B305)-'Business Case'!F11*$C305*'Business Case'!F13*$D305-'Business Case'!F14*$E305)-MAX(0,(('Business Case'!F11*$C305*'Business Case'!F12*$B305)-'Business Case'!F11*$C305*'Business Case'!F13*$D305-'Business Case'!F14*$E305))*'Business Case'!$B$7-'Business Case'!$B$8*(('Business Case'!F11*$C305*'Business Case'!F12*$B305)-('Business Case'!E11*$C305*'Business Case'!E12*$B305))-'Business Case'!F15*$F305</f>
        <v>729423905.009411</v>
      </c>
      <c r="M305" s="39" t="n">
        <f aca="false">(('Business Case'!G11*$C305*'Business Case'!G12*$B305)-'Business Case'!G11*$C305*'Business Case'!G13*$D305-'Business Case'!G14*$E305)-MAX(0,(('Business Case'!G11*$C305*'Business Case'!G12*$B305)-'Business Case'!G11*$C305*'Business Case'!G13*$D305-'Business Case'!G14*$E305))*'Business Case'!$B$7-'Business Case'!$B$8*(('Business Case'!G11*$C305*'Business Case'!G12*$B305)-('Business Case'!F11*$C305*'Business Case'!F12*$B305))-'Business Case'!G15*$F305+'Business Case'!$B$8*('Business Case'!G11*$C305*'Business Case'!G12*$B305)</f>
        <v>914208371.477599</v>
      </c>
      <c r="N305" s="39" t="n">
        <f aca="false">IF(COUNT('Business Case'!B11:G11)=0,"",H305+NPV(G305,I305:M305))</f>
        <v>-299750307.893165</v>
      </c>
      <c r="P305" s="40" t="n">
        <f aca="true">RAND()</f>
        <v>0.261555981658624</v>
      </c>
      <c r="Q305" s="40" t="n">
        <f aca="true">RAND()</f>
        <v>0.583309821485731</v>
      </c>
      <c r="R305" s="40" t="n">
        <f aca="true">RAND()</f>
        <v>0.369626570281611</v>
      </c>
      <c r="S305" s="40" t="n">
        <f aca="true">RAND()</f>
        <v>0.854323431978754</v>
      </c>
      <c r="T305" s="40" t="n">
        <f aca="true">RAND()</f>
        <v>0.182975290860243</v>
      </c>
      <c r="U305" s="40" t="n">
        <f aca="true">RAND()</f>
        <v>0.6111628445205</v>
      </c>
    </row>
    <row r="306" customFormat="false" ht="15" hidden="false" customHeight="false" outlineLevel="0" collapsed="false">
      <c r="A306" s="36" t="n">
        <v>226</v>
      </c>
      <c r="B306" s="37" t="n">
        <f aca="false">1+IF($G$6=$E$6,$F$6,IF(P306&lt;($F$6-$E$6)/($G$6-$E$6),$E$6+SQRT(P306*($G$6-$E$6)*($F$6-$E$6)),$G$6-SQRT((1-P306)*($G$6-$E$6)*($G$6-$F$6))))</f>
        <v>1.00536312373101</v>
      </c>
      <c r="C306" s="37" t="n">
        <f aca="false">1+IF($G$7=$E$7,$F$7,IF(Q306&lt;($F$7-$E$7)/($G$7-$E$7),$E$7+SQRT(Q306*($G$7-$E$7)*($F$7-$E$7)),$G$7-SQRT((1-Q306)*($G$7-$E$7)*($G$7-$F$7))))</f>
        <v>0.863610074574057</v>
      </c>
      <c r="D306" s="37" t="n">
        <f aca="false">1+IF($G$8=$E$8,$F$8,IF(R306&lt;($F$8-$E$8)/($G$8-$E$8),$E$8+SQRT(R306*($G$8-$E$8)*($F$8-$E$8)),$G$8-SQRT((1-R306)*($G$8-$E$8)*($G$8-$F$8))))</f>
        <v>1.02255963625108</v>
      </c>
      <c r="E306" s="37" t="n">
        <f aca="false">1+IF($G$9=$E$9,$F$9,IF(S306&lt;($F$9-$E$9)/($G$9-$E$9),$E$9+SQRT(S306*($G$9-$E$9)*($F$9-$E$9)),$G$9-SQRT((1-S306)*($G$9-$E$9)*($G$9-$F$9))))</f>
        <v>1.04806664781868</v>
      </c>
      <c r="F306" s="37" t="n">
        <f aca="false">1+IF($G$10=$E$10,$F$10,IF(T306&lt;($F$10-$E$10)/($G$10-$E$10),$E$10+SQRT(T306*($G$10-$E$10)*($F$10-$E$10)),$G$10-SQRT((1-T306)*($G$10-$E$10)*($G$10-$F$10))))</f>
        <v>1.1080177224897</v>
      </c>
      <c r="G306" s="38" t="n">
        <f aca="false">IF($G$11=$E$11,$F$11,IF(U306&lt;($F$11-$E$11)/($G$11-$E$11),$E$11+SQRT(U306*($G$11-$E$11)*($F$11-$E$11)),$G$11-SQRT((1-U306)*($G$11-$E$11)*($G$11-$F$11))))</f>
        <v>0.103455818292499</v>
      </c>
      <c r="H306" s="39" t="n">
        <f aca="false">(('Business Case'!B11*$C306*'Business Case'!B12*$B306)-'Business Case'!B11*$C306*'Business Case'!B13*$D306-'Business Case'!B14*$E306)-MAX(0,(('Business Case'!B11*$C306*'Business Case'!B12*$B306)-'Business Case'!B11*$C306*'Business Case'!B13*$D306-'Business Case'!B14*$E306))*'Business Case'!$B$7-'Business Case'!$B$8*('Business Case'!B11*$C306*'Business Case'!B12*$B306)-'Business Case'!B15*$F306</f>
        <v>-2216035444.9794</v>
      </c>
      <c r="I306" s="39" t="n">
        <f aca="false">(('Business Case'!C11*$C306*'Business Case'!C12*$B306)-'Business Case'!C11*$C306*'Business Case'!C13*$D306-'Business Case'!C14*$E306)-MAX(0,(('Business Case'!C11*$C306*'Business Case'!C12*$B306)-'Business Case'!C11*$C306*'Business Case'!C13*$D306-'Business Case'!C14*$E306))*'Business Case'!$B$7-'Business Case'!$B$8*(('Business Case'!C11*$C306*'Business Case'!C12*$B306)-('Business Case'!B11*$C306*'Business Case'!B12*$B306))-'Business Case'!C15*$F306</f>
        <v>-45766884.5962447</v>
      </c>
      <c r="J306" s="39" t="n">
        <f aca="false">(('Business Case'!D11*$C306*'Business Case'!D12*$B306)-'Business Case'!D11*$C306*'Business Case'!D13*$D306-'Business Case'!D14*$E306)-MAX(0,(('Business Case'!D11*$C306*'Business Case'!D12*$B306)-'Business Case'!D11*$C306*'Business Case'!D13*$D306-'Business Case'!D14*$E306))*'Business Case'!$B$7-'Business Case'!$B$8*(('Business Case'!D11*$C306*'Business Case'!D12*$B306)-('Business Case'!C11*$C306*'Business Case'!C12*$B306))-'Business Case'!D15*$F306</f>
        <v>213312731.258221</v>
      </c>
      <c r="K306" s="39" t="n">
        <f aca="false">(('Business Case'!E11*$C306*'Business Case'!E12*$B306)-'Business Case'!E11*$C306*'Business Case'!E13*$D306-'Business Case'!E14*$E306)-MAX(0,(('Business Case'!E11*$C306*'Business Case'!E12*$B306)-'Business Case'!E11*$C306*'Business Case'!E13*$D306-'Business Case'!E14*$E306))*'Business Case'!$B$7-'Business Case'!$B$8*(('Business Case'!E11*$C306*'Business Case'!E12*$B306)-('Business Case'!D11*$C306*'Business Case'!D12*$B306))-'Business Case'!E15*$F306</f>
        <v>527793233.237171</v>
      </c>
      <c r="L306" s="39" t="n">
        <f aca="false">(('Business Case'!F11*$C306*'Business Case'!F12*$B306)-'Business Case'!F11*$C306*'Business Case'!F13*$D306-'Business Case'!F14*$E306)-MAX(0,(('Business Case'!F11*$C306*'Business Case'!F12*$B306)-'Business Case'!F11*$C306*'Business Case'!F13*$D306-'Business Case'!F14*$E306))*'Business Case'!$B$7-'Business Case'!$B$8*(('Business Case'!F11*$C306*'Business Case'!F12*$B306)-('Business Case'!E11*$C306*'Business Case'!E12*$B306))-'Business Case'!F15*$F306</f>
        <v>644159539.109943</v>
      </c>
      <c r="M306" s="39" t="n">
        <f aca="false">(('Business Case'!G11*$C306*'Business Case'!G12*$B306)-'Business Case'!G11*$C306*'Business Case'!G13*$D306-'Business Case'!G14*$E306)-MAX(0,(('Business Case'!G11*$C306*'Business Case'!G12*$B306)-'Business Case'!G11*$C306*'Business Case'!G13*$D306-'Business Case'!G14*$E306))*'Business Case'!$B$7-'Business Case'!$B$8*(('Business Case'!G11*$C306*'Business Case'!G12*$B306)-('Business Case'!F11*$C306*'Business Case'!F12*$B306))-'Business Case'!G15*$F306+'Business Case'!$B$8*('Business Case'!G11*$C306*'Business Case'!G12*$B306)</f>
        <v>809194925.676999</v>
      </c>
      <c r="N306" s="39" t="n">
        <f aca="false">IF(COUNT('Business Case'!B11:G11)=0,"",H306+NPV(G306,I306:M306))</f>
        <v>-760385989.891562</v>
      </c>
      <c r="P306" s="40" t="n">
        <f aca="true">RAND()</f>
        <v>0.750059750484703</v>
      </c>
      <c r="Q306" s="40" t="n">
        <f aca="true">RAND()</f>
        <v>0.0578034512473869</v>
      </c>
      <c r="R306" s="40" t="n">
        <f aca="true">RAND()</f>
        <v>0.682750443499163</v>
      </c>
      <c r="S306" s="40" t="n">
        <f aca="true">RAND()</f>
        <v>0.820195128747383</v>
      </c>
      <c r="T306" s="40" t="n">
        <f aca="true">RAND()</f>
        <v>0.830785212480356</v>
      </c>
      <c r="U306" s="40" t="n">
        <f aca="true">RAND()</f>
        <v>0.543816752715297</v>
      </c>
    </row>
    <row r="307" customFormat="false" ht="15" hidden="false" customHeight="false" outlineLevel="0" collapsed="false">
      <c r="A307" s="36" t="n">
        <v>227</v>
      </c>
      <c r="B307" s="37" t="n">
        <f aca="false">1+IF($G$6=$E$6,$F$6,IF(P307&lt;($F$6-$E$6)/($G$6-$E$6),$E$6+SQRT(P307*($G$6-$E$6)*($F$6-$E$6)),$G$6-SQRT((1-P307)*($G$6-$E$6)*($G$6-$F$6))))</f>
        <v>1.00373493543396</v>
      </c>
      <c r="C307" s="37" t="n">
        <f aca="false">1+IF($G$7=$E$7,$F$7,IF(Q307&lt;($F$7-$E$7)/($G$7-$E$7),$E$7+SQRT(Q307*($G$7-$E$7)*($F$7-$E$7)),$G$7-SQRT((1-Q307)*($G$7-$E$7)*($G$7-$F$7))))</f>
        <v>0.978297050241281</v>
      </c>
      <c r="D307" s="37" t="n">
        <f aca="false">1+IF($G$8=$E$8,$F$8,IF(R307&lt;($F$8-$E$8)/($G$8-$E$8),$E$8+SQRT(R307*($G$8-$E$8)*($F$8-$E$8)),$G$8-SQRT((1-R307)*($G$8-$E$8)*($G$8-$F$8))))</f>
        <v>1.01310571920957</v>
      </c>
      <c r="E307" s="37" t="n">
        <f aca="false">1+IF($G$9=$E$9,$F$9,IF(S307&lt;($F$9-$E$9)/($G$9-$E$9),$E$9+SQRT(S307*($G$9-$E$9)*($F$9-$E$9)),$G$9-SQRT((1-S307)*($G$9-$E$9)*($G$9-$F$9))))</f>
        <v>0.993374957154132</v>
      </c>
      <c r="F307" s="37" t="n">
        <f aca="false">1+IF($G$10=$E$10,$F$10,IF(T307&lt;($F$10-$E$10)/($G$10-$E$10),$E$10+SQRT(T307*($G$10-$E$10)*($F$10-$E$10)),$G$10-SQRT((1-T307)*($G$10-$E$10)*($G$10-$F$10))))</f>
        <v>1.03613420426188</v>
      </c>
      <c r="G307" s="38" t="n">
        <f aca="false">IF($G$11=$E$11,$F$11,IF(U307&lt;($F$11-$E$11)/($G$11-$E$11),$E$11+SQRT(U307*($G$11-$E$11)*($F$11-$E$11)),$G$11-SQRT((1-U307)*($G$11-$E$11)*($G$11-$F$11))))</f>
        <v>0.101419307886769</v>
      </c>
      <c r="H307" s="39" t="n">
        <f aca="false">(('Business Case'!B11*$C307*'Business Case'!B12*$B307)-'Business Case'!B11*$C307*'Business Case'!B13*$D307-'Business Case'!B14*$E307)-MAX(0,(('Business Case'!B11*$C307*'Business Case'!B12*$B307)-'Business Case'!B11*$C307*'Business Case'!B13*$D307-'Business Case'!B14*$E307))*'Business Case'!$B$7-'Business Case'!$B$8*('Business Case'!B11*$C307*'Business Case'!B12*$B307)-'Business Case'!B15*$F307</f>
        <v>-2072268408.52377</v>
      </c>
      <c r="I307" s="39" t="n">
        <f aca="false">(('Business Case'!C11*$C307*'Business Case'!C12*$B307)-'Business Case'!C11*$C307*'Business Case'!C13*$D307-'Business Case'!C14*$E307)-MAX(0,(('Business Case'!C11*$C307*'Business Case'!C12*$B307)-'Business Case'!C11*$C307*'Business Case'!C13*$D307-'Business Case'!C14*$E307))*'Business Case'!$B$7-'Business Case'!$B$8*(('Business Case'!C11*$C307*'Business Case'!C12*$B307)-('Business Case'!B11*$C307*'Business Case'!B12*$B307))-'Business Case'!C15*$F307</f>
        <v>1139535.03639944</v>
      </c>
      <c r="J307" s="39" t="n">
        <f aca="false">(('Business Case'!D11*$C307*'Business Case'!D12*$B307)-'Business Case'!D11*$C307*'Business Case'!D13*$D307-'Business Case'!D14*$E307)-MAX(0,(('Business Case'!D11*$C307*'Business Case'!D12*$B307)-'Business Case'!D11*$C307*'Business Case'!D13*$D307-'Business Case'!D14*$E307))*'Business Case'!$B$7-'Business Case'!$B$8*(('Business Case'!D11*$C307*'Business Case'!D12*$B307)-('Business Case'!C11*$C307*'Business Case'!C12*$B307))-'Business Case'!D15*$F307</f>
        <v>298054745.439132</v>
      </c>
      <c r="K307" s="39" t="n">
        <f aca="false">(('Business Case'!E11*$C307*'Business Case'!E12*$B307)-'Business Case'!E11*$C307*'Business Case'!E13*$D307-'Business Case'!E14*$E307)-MAX(0,(('Business Case'!E11*$C307*'Business Case'!E12*$B307)-'Business Case'!E11*$C307*'Business Case'!E13*$D307-'Business Case'!E14*$E307))*'Business Case'!$B$7-'Business Case'!$B$8*(('Business Case'!E11*$C307*'Business Case'!E12*$B307)-('Business Case'!D11*$C307*'Business Case'!D12*$B307))-'Business Case'!E15*$F307</f>
        <v>646776666.054959</v>
      </c>
      <c r="L307" s="39" t="n">
        <f aca="false">(('Business Case'!F11*$C307*'Business Case'!F12*$B307)-'Business Case'!F11*$C307*'Business Case'!F13*$D307-'Business Case'!F14*$E307)-MAX(0,(('Business Case'!F11*$C307*'Business Case'!F12*$B307)-'Business Case'!F11*$C307*'Business Case'!F13*$D307-'Business Case'!F14*$E307))*'Business Case'!$B$7-'Business Case'!$B$8*(('Business Case'!F11*$C307*'Business Case'!F12*$B307)-('Business Case'!E11*$C307*'Business Case'!E12*$B307))-'Business Case'!F15*$F307</f>
        <v>779684626.877754</v>
      </c>
      <c r="M307" s="39" t="n">
        <f aca="false">(('Business Case'!G11*$C307*'Business Case'!G12*$B307)-'Business Case'!G11*$C307*'Business Case'!G13*$D307-'Business Case'!G14*$E307)-MAX(0,(('Business Case'!G11*$C307*'Business Case'!G12*$B307)-'Business Case'!G11*$C307*'Business Case'!G13*$D307-'Business Case'!G14*$E307))*'Business Case'!$B$7-'Business Case'!$B$8*(('Business Case'!G11*$C307*'Business Case'!G12*$B307)-('Business Case'!F11*$C307*'Business Case'!F12*$B307))-'Business Case'!G15*$F307+'Business Case'!$B$8*('Business Case'!G11*$C307*'Business Case'!G12*$B307)</f>
        <v>966333858.99812</v>
      </c>
      <c r="N307" s="39" t="n">
        <f aca="false">IF(COUNT('Business Case'!B11:G11)=0,"",H307+NPV(G307,I307:M307))</f>
        <v>-215528498.169768</v>
      </c>
      <c r="P307" s="40" t="n">
        <f aca="true">RAND()</f>
        <v>0.726009394171039</v>
      </c>
      <c r="Q307" s="40" t="n">
        <f aca="true">RAND()</f>
        <v>0.45414054463917</v>
      </c>
      <c r="R307" s="40" t="n">
        <f aca="true">RAND()</f>
        <v>0.569726461301101</v>
      </c>
      <c r="S307" s="40" t="n">
        <f aca="true">RAND()</f>
        <v>0.250851587749699</v>
      </c>
      <c r="T307" s="40" t="n">
        <f aca="true">RAND()</f>
        <v>0.462960019742276</v>
      </c>
      <c r="U307" s="40" t="n">
        <f aca="true">RAND()</f>
        <v>0.424596467655554</v>
      </c>
    </row>
    <row r="308" customFormat="false" ht="15" hidden="false" customHeight="false" outlineLevel="0" collapsed="false">
      <c r="A308" s="36" t="n">
        <v>228</v>
      </c>
      <c r="B308" s="37" t="n">
        <f aca="false">1+IF($G$6=$E$6,$F$6,IF(P308&lt;($F$6-$E$6)/($G$6-$E$6),$E$6+SQRT(P308*($G$6-$E$6)*($F$6-$E$6)),$G$6-SQRT((1-P308)*($G$6-$E$6)*($G$6-$F$6))))</f>
        <v>1.00827096126485</v>
      </c>
      <c r="C308" s="37" t="n">
        <f aca="false">1+IF($G$7=$E$7,$F$7,IF(Q308&lt;($F$7-$E$7)/($G$7-$E$7),$E$7+SQRT(Q308*($G$7-$E$7)*($F$7-$E$7)),$G$7-SQRT((1-Q308)*($G$7-$E$7)*($G$7-$F$7))))</f>
        <v>0.884291688971761</v>
      </c>
      <c r="D308" s="37" t="n">
        <f aca="false">1+IF($G$8=$E$8,$F$8,IF(R308&lt;($F$8-$E$8)/($G$8-$E$8),$E$8+SQRT(R308*($G$8-$E$8)*($F$8-$E$8)),$G$8-SQRT((1-R308)*($G$8-$E$8)*($G$8-$F$8))))</f>
        <v>1.02749664838614</v>
      </c>
      <c r="E308" s="37" t="n">
        <f aca="false">1+IF($G$9=$E$9,$F$9,IF(S308&lt;($F$9-$E$9)/($G$9-$E$9),$E$9+SQRT(S308*($G$9-$E$9)*($F$9-$E$9)),$G$9-SQRT((1-S308)*($G$9-$E$9)*($G$9-$F$9))))</f>
        <v>1.01679052265545</v>
      </c>
      <c r="F308" s="37" t="n">
        <f aca="false">1+IF($G$10=$E$10,$F$10,IF(T308&lt;($F$10-$E$10)/($G$10-$E$10),$E$10+SQRT(T308*($G$10-$E$10)*($F$10-$E$10)),$G$10-SQRT((1-T308)*($G$10-$E$10)*($G$10-$F$10))))</f>
        <v>1.03118235698739</v>
      </c>
      <c r="G308" s="38" t="n">
        <f aca="false">IF($G$11=$E$11,$F$11,IF(U308&lt;($F$11-$E$11)/($G$11-$E$11),$E$11+SQRT(U308*($G$11-$E$11)*($F$11-$E$11)),$G$11-SQRT((1-U308)*($G$11-$E$11)*($G$11-$F$11))))</f>
        <v>0.10344321675421</v>
      </c>
      <c r="H308" s="39" t="n">
        <f aca="false">(('Business Case'!B11*$C308*'Business Case'!B12*$B308)-'Business Case'!B11*$C308*'Business Case'!B13*$D308-'Business Case'!B14*$E308)-MAX(0,(('Business Case'!B11*$C308*'Business Case'!B12*$B308)-'Business Case'!B11*$C308*'Business Case'!B13*$D308-'Business Case'!B14*$E308))*'Business Case'!$B$7-'Business Case'!$B$8*('Business Case'!B11*$C308*'Business Case'!B12*$B308)-'Business Case'!B15*$F308</f>
        <v>-2062364713.97478</v>
      </c>
      <c r="I308" s="39" t="n">
        <f aca="false">(('Business Case'!C11*$C308*'Business Case'!C12*$B308)-'Business Case'!C11*$C308*'Business Case'!C13*$D308-'Business Case'!C14*$E308)-MAX(0,(('Business Case'!C11*$C308*'Business Case'!C12*$B308)-'Business Case'!C11*$C308*'Business Case'!C13*$D308-'Business Case'!C14*$E308))*'Business Case'!$B$7-'Business Case'!$B$8*(('Business Case'!C11*$C308*'Business Case'!C12*$B308)-('Business Case'!B11*$C308*'Business Case'!B12*$B308))-'Business Case'!C15*$F308</f>
        <v>-28771442.0503496</v>
      </c>
      <c r="J308" s="39" t="n">
        <f aca="false">(('Business Case'!D11*$C308*'Business Case'!D12*$B308)-'Business Case'!D11*$C308*'Business Case'!D13*$D308-'Business Case'!D14*$E308)-MAX(0,(('Business Case'!D11*$C308*'Business Case'!D12*$B308)-'Business Case'!D11*$C308*'Business Case'!D13*$D308-'Business Case'!D14*$E308))*'Business Case'!$B$7-'Business Case'!$B$8*(('Business Case'!D11*$C308*'Business Case'!D12*$B308)-('Business Case'!C11*$C308*'Business Case'!C12*$B308))-'Business Case'!D15*$F308</f>
        <v>236383799.8451</v>
      </c>
      <c r="K308" s="39" t="n">
        <f aca="false">(('Business Case'!E11*$C308*'Business Case'!E12*$B308)-'Business Case'!E11*$C308*'Business Case'!E13*$D308-'Business Case'!E14*$E308)-MAX(0,(('Business Case'!E11*$C308*'Business Case'!E12*$B308)-'Business Case'!E11*$C308*'Business Case'!E13*$D308-'Business Case'!E14*$E308))*'Business Case'!$B$7-'Business Case'!$B$8*(('Business Case'!E11*$C308*'Business Case'!E12*$B308)-('Business Case'!D11*$C308*'Business Case'!D12*$B308))-'Business Case'!E15*$F308</f>
        <v>553098159.589919</v>
      </c>
      <c r="L308" s="39" t="n">
        <f aca="false">(('Business Case'!F11*$C308*'Business Case'!F12*$B308)-'Business Case'!F11*$C308*'Business Case'!F13*$D308-'Business Case'!F14*$E308)-MAX(0,(('Business Case'!F11*$C308*'Business Case'!F12*$B308)-'Business Case'!F11*$C308*'Business Case'!F13*$D308-'Business Case'!F14*$E308))*'Business Case'!$B$7-'Business Case'!$B$8*(('Business Case'!F11*$C308*'Business Case'!F12*$B308)-('Business Case'!E11*$C308*'Business Case'!E12*$B308))-'Business Case'!F15*$F308</f>
        <v>672297130.838705</v>
      </c>
      <c r="M308" s="39" t="n">
        <f aca="false">(('Business Case'!G11*$C308*'Business Case'!G12*$B308)-'Business Case'!G11*$C308*'Business Case'!G13*$D308-'Business Case'!G14*$E308)-MAX(0,(('Business Case'!G11*$C308*'Business Case'!G12*$B308)-'Business Case'!G11*$C308*'Business Case'!G13*$D308-'Business Case'!G14*$E308))*'Business Case'!$B$7-'Business Case'!$B$8*(('Business Case'!G11*$C308*'Business Case'!G12*$B308)-('Business Case'!F11*$C308*'Business Case'!F12*$B308))-'Business Case'!G15*$F308+'Business Case'!$B$8*('Business Case'!G11*$C308*'Business Case'!G12*$B308)</f>
        <v>841773529.232041</v>
      </c>
      <c r="N308" s="39" t="n">
        <f aca="false">IF(COUNT('Business Case'!B11:G11)=0,"",H308+NPV(G308,I308:M308))</f>
        <v>-514570558.473056</v>
      </c>
      <c r="P308" s="40" t="n">
        <f aca="true">RAND()</f>
        <v>0.790264187696492</v>
      </c>
      <c r="Q308" s="40" t="n">
        <f aca="true">RAND()</f>
        <v>0.101501268995887</v>
      </c>
      <c r="R308" s="40" t="n">
        <f aca="true">RAND()</f>
        <v>0.734942122049198</v>
      </c>
      <c r="S308" s="40" t="n">
        <f aca="true">RAND()</f>
        <v>0.538412192003078</v>
      </c>
      <c r="T308" s="40" t="n">
        <f aca="true">RAND()</f>
        <v>0.430012068153349</v>
      </c>
      <c r="U308" s="40" t="n">
        <f aca="true">RAND()</f>
        <v>0.543121547586518</v>
      </c>
    </row>
    <row r="309" customFormat="false" ht="15" hidden="false" customHeight="false" outlineLevel="0" collapsed="false">
      <c r="A309" s="36" t="n">
        <v>229</v>
      </c>
      <c r="B309" s="37" t="n">
        <f aca="false">1+IF($G$6=$E$6,$F$6,IF(P309&lt;($F$6-$E$6)/($G$6-$E$6),$E$6+SQRT(P309*($G$6-$E$6)*($F$6-$E$6)),$G$6-SQRT((1-P309)*($G$6-$E$6)*($G$6-$F$6))))</f>
        <v>0.943379667300717</v>
      </c>
      <c r="C309" s="37" t="n">
        <f aca="false">1+IF($G$7=$E$7,$F$7,IF(Q309&lt;($F$7-$E$7)/($G$7-$E$7),$E$7+SQRT(Q309*($G$7-$E$7)*($F$7-$E$7)),$G$7-SQRT((1-Q309)*($G$7-$E$7)*($G$7-$F$7))))</f>
        <v>0.926761882420519</v>
      </c>
      <c r="D309" s="37" t="n">
        <f aca="false">1+IF($G$8=$E$8,$F$8,IF(R309&lt;($F$8-$E$8)/($G$8-$E$8),$E$8+SQRT(R309*($G$8-$E$8)*($F$8-$E$8)),$G$8-SQRT((1-R309)*($G$8-$E$8)*($G$8-$F$8))))</f>
        <v>0.969273776245905</v>
      </c>
      <c r="E309" s="37" t="n">
        <f aca="false">1+IF($G$9=$E$9,$F$9,IF(S309&lt;($F$9-$E$9)/($G$9-$E$9),$E$9+SQRT(S309*($G$9-$E$9)*($F$9-$E$9)),$G$9-SQRT((1-S309)*($G$9-$E$9)*($G$9-$F$9))))</f>
        <v>0.982678982341717</v>
      </c>
      <c r="F309" s="37" t="n">
        <f aca="false">1+IF($G$10=$E$10,$F$10,IF(T309&lt;($F$10-$E$10)/($G$10-$E$10),$E$10+SQRT(T309*($G$10-$E$10)*($F$10-$E$10)),$G$10-SQRT((1-T309)*($G$10-$E$10)*($G$10-$F$10))))</f>
        <v>1.16138733457776</v>
      </c>
      <c r="G309" s="38" t="n">
        <f aca="false">IF($G$11=$E$11,$F$11,IF(U309&lt;($F$11-$E$11)/($G$11-$E$11),$E$11+SQRT(U309*($G$11-$E$11)*($F$11-$E$11)),$G$11-SQRT((1-U309)*($G$11-$E$11)*($G$11-$F$11))))</f>
        <v>0.104314635132716</v>
      </c>
      <c r="H309" s="39" t="n">
        <f aca="false">(('Business Case'!B11*$C309*'Business Case'!B12*$B309)-'Business Case'!B11*$C309*'Business Case'!B13*$D309-'Business Case'!B14*$E309)-MAX(0,(('Business Case'!B11*$C309*'Business Case'!B12*$B309)-'Business Case'!B11*$C309*'Business Case'!B13*$D309-'Business Case'!B14*$E309))*'Business Case'!$B$7-'Business Case'!$B$8*('Business Case'!B11*$C309*'Business Case'!B12*$B309)-'Business Case'!B15*$F309</f>
        <v>-2322774669.15553</v>
      </c>
      <c r="I309" s="39" t="n">
        <f aca="false">(('Business Case'!C11*$C309*'Business Case'!C12*$B309)-'Business Case'!C11*$C309*'Business Case'!C13*$D309-'Business Case'!C14*$E309)-MAX(0,(('Business Case'!C11*$C309*'Business Case'!C12*$B309)-'Business Case'!C11*$C309*'Business Case'!C13*$D309-'Business Case'!C14*$E309))*'Business Case'!$B$7-'Business Case'!$B$8*(('Business Case'!C11*$C309*'Business Case'!C12*$B309)-('Business Case'!B11*$C309*'Business Case'!B12*$B309))-'Business Case'!C15*$F309</f>
        <v>-44944274.9731089</v>
      </c>
      <c r="J309" s="39" t="n">
        <f aca="false">(('Business Case'!D11*$C309*'Business Case'!D12*$B309)-'Business Case'!D11*$C309*'Business Case'!D13*$D309-'Business Case'!D14*$E309)-MAX(0,(('Business Case'!D11*$C309*'Business Case'!D12*$B309)-'Business Case'!D11*$C309*'Business Case'!D13*$D309-'Business Case'!D14*$E309))*'Business Case'!$B$7-'Business Case'!$B$8*(('Business Case'!D11*$C309*'Business Case'!D12*$B309)-('Business Case'!C11*$C309*'Business Case'!C12*$B309))-'Business Case'!D15*$F309</f>
        <v>211310241.117794</v>
      </c>
      <c r="K309" s="39" t="n">
        <f aca="false">(('Business Case'!E11*$C309*'Business Case'!E12*$B309)-'Business Case'!E11*$C309*'Business Case'!E13*$D309-'Business Case'!E14*$E309)-MAX(0,(('Business Case'!E11*$C309*'Business Case'!E12*$B309)-'Business Case'!E11*$C309*'Business Case'!E13*$D309-'Business Case'!E14*$E309))*'Business Case'!$B$7-'Business Case'!$B$8*(('Business Case'!E11*$C309*'Business Case'!E12*$B309)-('Business Case'!D11*$C309*'Business Case'!D12*$B309))-'Business Case'!E15*$F309</f>
        <v>525634123.937586</v>
      </c>
      <c r="L309" s="39" t="n">
        <f aca="false">(('Business Case'!F11*$C309*'Business Case'!F12*$B309)-'Business Case'!F11*$C309*'Business Case'!F13*$D309-'Business Case'!F14*$E309)-MAX(0,(('Business Case'!F11*$C309*'Business Case'!F12*$B309)-'Business Case'!F11*$C309*'Business Case'!F13*$D309-'Business Case'!F14*$E309))*'Business Case'!$B$7-'Business Case'!$B$8*(('Business Case'!F11*$C309*'Business Case'!F12*$B309)-('Business Case'!E11*$C309*'Business Case'!E12*$B309))-'Business Case'!F15*$F309</f>
        <v>641267700.179383</v>
      </c>
      <c r="M309" s="39" t="n">
        <f aca="false">(('Business Case'!G11*$C309*'Business Case'!G12*$B309)-'Business Case'!G11*$C309*'Business Case'!G13*$D309-'Business Case'!G14*$E309)-MAX(0,(('Business Case'!G11*$C309*'Business Case'!G12*$B309)-'Business Case'!G11*$C309*'Business Case'!G13*$D309-'Business Case'!G14*$E309))*'Business Case'!$B$7-'Business Case'!$B$8*(('Business Case'!G11*$C309*'Business Case'!G12*$B309)-('Business Case'!F11*$C309*'Business Case'!F12*$B309))-'Business Case'!G15*$F309+'Business Case'!$B$8*('Business Case'!G11*$C309*'Business Case'!G12*$B309)</f>
        <v>807452423.34261</v>
      </c>
      <c r="N309" s="39" t="n">
        <f aca="false">IF(COUNT('Business Case'!B11:G11)=0,"",H309+NPV(G309,I309:M309))</f>
        <v>-877057302.449922</v>
      </c>
      <c r="P309" s="40" t="n">
        <f aca="true">RAND()</f>
        <v>0.0569384211554397</v>
      </c>
      <c r="Q309" s="40" t="n">
        <f aca="true">RAND()</f>
        <v>0.229551069068478</v>
      </c>
      <c r="R309" s="40" t="n">
        <f aca="true">RAND()</f>
        <v>0.0571505308887993</v>
      </c>
      <c r="S309" s="40" t="n">
        <f aca="true">RAND()</f>
        <v>0.142388784918697</v>
      </c>
      <c r="T309" s="40" t="n">
        <f aca="true">RAND()</f>
        <v>0.970181241379807</v>
      </c>
      <c r="U309" s="40" t="n">
        <f aca="true">RAND()</f>
        <v>0.5899488816336</v>
      </c>
    </row>
    <row r="310" customFormat="false" ht="15" hidden="false" customHeight="false" outlineLevel="0" collapsed="false">
      <c r="A310" s="36" t="n">
        <v>230</v>
      </c>
      <c r="B310" s="37" t="n">
        <f aca="false">1+IF($G$6=$E$6,$F$6,IF(P310&lt;($F$6-$E$6)/($G$6-$E$6),$E$6+SQRT(P310*($G$6-$E$6)*($F$6-$E$6)),$G$6-SQRT((1-P310)*($G$6-$E$6)*($G$6-$F$6))))</f>
        <v>0.948247954059169</v>
      </c>
      <c r="C310" s="37" t="n">
        <f aca="false">1+IF($G$7=$E$7,$F$7,IF(Q310&lt;($F$7-$E$7)/($G$7-$E$7),$E$7+SQRT(Q310*($G$7-$E$7)*($F$7-$E$7)),$G$7-SQRT((1-Q310)*($G$7-$E$7)*($G$7-$F$7))))</f>
        <v>0.925636167527929</v>
      </c>
      <c r="D310" s="37" t="n">
        <f aca="false">1+IF($G$8=$E$8,$F$8,IF(R310&lt;($F$8-$E$8)/($G$8-$E$8),$E$8+SQRT(R310*($G$8-$E$8)*($F$8-$E$8)),$G$8-SQRT((1-R310)*($G$8-$E$8)*($G$8-$F$8))))</f>
        <v>1.00767576375799</v>
      </c>
      <c r="E310" s="37" t="n">
        <f aca="false">1+IF($G$9=$E$9,$F$9,IF(S310&lt;($F$9-$E$9)/($G$9-$E$9),$E$9+SQRT(S310*($G$9-$E$9)*($F$9-$E$9)),$G$9-SQRT((1-S310)*($G$9-$E$9)*($G$9-$F$9))))</f>
        <v>0.961358715558194</v>
      </c>
      <c r="F310" s="37" t="n">
        <f aca="false">1+IF($G$10=$E$10,$F$10,IF(T310&lt;($F$10-$E$10)/($G$10-$E$10),$E$10+SQRT(T310*($G$10-$E$10)*($F$10-$E$10)),$G$10-SQRT((1-T310)*($G$10-$E$10)*($G$10-$F$10))))</f>
        <v>1.13898991303731</v>
      </c>
      <c r="G310" s="38" t="n">
        <f aca="false">IF($G$11=$E$11,$F$11,IF(U310&lt;($F$11-$E$11)/($G$11-$E$11),$E$11+SQRT(U310*($G$11-$E$11)*($F$11-$E$11)),$G$11-SQRT((1-U310)*($G$11-$E$11)*($G$11-$F$11))))</f>
        <v>0.106757828589948</v>
      </c>
      <c r="H310" s="39" t="n">
        <f aca="false">(('Business Case'!B11*$C310*'Business Case'!B12*$B310)-'Business Case'!B11*$C310*'Business Case'!B13*$D310-'Business Case'!B14*$E310)-MAX(0,(('Business Case'!B11*$C310*'Business Case'!B12*$B310)-'Business Case'!B11*$C310*'Business Case'!B13*$D310-'Business Case'!B14*$E310))*'Business Case'!$B$7-'Business Case'!$B$8*('Business Case'!B11*$C310*'Business Case'!B12*$B310)-'Business Case'!B15*$F310</f>
        <v>-2277979826.07462</v>
      </c>
      <c r="I310" s="39" t="n">
        <f aca="false">(('Business Case'!C11*$C310*'Business Case'!C12*$B310)-'Business Case'!C11*$C310*'Business Case'!C13*$D310-'Business Case'!C14*$E310)-MAX(0,(('Business Case'!C11*$C310*'Business Case'!C12*$B310)-'Business Case'!C11*$C310*'Business Case'!C13*$D310-'Business Case'!C14*$E310))*'Business Case'!$B$7-'Business Case'!$B$8*(('Business Case'!C11*$C310*'Business Case'!C12*$B310)-('Business Case'!B11*$C310*'Business Case'!B12*$B310))-'Business Case'!C15*$F310</f>
        <v>-54668501.2434414</v>
      </c>
      <c r="J310" s="39" t="n">
        <f aca="false">(('Business Case'!D11*$C310*'Business Case'!D12*$B310)-'Business Case'!D11*$C310*'Business Case'!D13*$D310-'Business Case'!D14*$E310)-MAX(0,(('Business Case'!D11*$C310*'Business Case'!D12*$B310)-'Business Case'!D11*$C310*'Business Case'!D13*$D310-'Business Case'!D14*$E310))*'Business Case'!$B$7-'Business Case'!$B$8*(('Business Case'!D11*$C310*'Business Case'!D12*$B310)-('Business Case'!C11*$C310*'Business Case'!C12*$B310))-'Business Case'!D15*$F310</f>
        <v>186768856.260093</v>
      </c>
      <c r="K310" s="39" t="n">
        <f aca="false">(('Business Case'!E11*$C310*'Business Case'!E12*$B310)-'Business Case'!E11*$C310*'Business Case'!E13*$D310-'Business Case'!E14*$E310)-MAX(0,(('Business Case'!E11*$C310*'Business Case'!E12*$B310)-'Business Case'!E11*$C310*'Business Case'!E13*$D310-'Business Case'!E14*$E310))*'Business Case'!$B$7-'Business Case'!$B$8*(('Business Case'!E11*$C310*'Business Case'!E12*$B310)-('Business Case'!D11*$C310*'Business Case'!D12*$B310))-'Business Case'!E15*$F310</f>
        <v>485155709.415493</v>
      </c>
      <c r="L310" s="39" t="n">
        <f aca="false">(('Business Case'!F11*$C310*'Business Case'!F12*$B310)-'Business Case'!F11*$C310*'Business Case'!F13*$D310-'Business Case'!F14*$E310)-MAX(0,(('Business Case'!F11*$C310*'Business Case'!F12*$B310)-'Business Case'!F11*$C310*'Business Case'!F13*$D310-'Business Case'!F14*$E310))*'Business Case'!$B$7-'Business Case'!$B$8*(('Business Case'!F11*$C310*'Business Case'!F12*$B310)-('Business Case'!E11*$C310*'Business Case'!E12*$B310))-'Business Case'!F15*$F310</f>
        <v>595969267.310584</v>
      </c>
      <c r="M310" s="39" t="n">
        <f aca="false">(('Business Case'!G11*$C310*'Business Case'!G12*$B310)-'Business Case'!G11*$C310*'Business Case'!G13*$D310-'Business Case'!G14*$E310)-MAX(0,(('Business Case'!G11*$C310*'Business Case'!G12*$B310)-'Business Case'!G11*$C310*'Business Case'!G13*$D310-'Business Case'!G14*$E310))*'Business Case'!$B$7-'Business Case'!$B$8*(('Business Case'!G11*$C310*'Business Case'!G12*$B310)-('Business Case'!F11*$C310*'Business Case'!F12*$B310))-'Business Case'!G15*$F310+'Business Case'!$B$8*('Business Case'!G11*$C310*'Business Case'!G12*$B310)</f>
        <v>762808680.310439</v>
      </c>
      <c r="N310" s="39" t="n">
        <f aca="false">IF(COUNT('Business Case'!B11:G11)=0,"",H310+NPV(G310,I310:M310))</f>
        <v>-960468140.694949</v>
      </c>
      <c r="P310" s="40" t="n">
        <f aca="true">RAND()</f>
        <v>0.0831194696384299</v>
      </c>
      <c r="Q310" s="40" t="n">
        <f aca="true">RAND()</f>
        <v>0.225492094158653</v>
      </c>
      <c r="R310" s="40" t="n">
        <f aca="true">RAND()</f>
        <v>0.497038928077913</v>
      </c>
      <c r="S310" s="40" t="n">
        <f aca="true">RAND()</f>
        <v>0.0172027225509276</v>
      </c>
      <c r="T310" s="40" t="n">
        <f aca="true">RAND()</f>
        <v>0.925555385776099</v>
      </c>
      <c r="U310" s="40" t="n">
        <f aca="true">RAND()</f>
        <v>0.707741493911347</v>
      </c>
    </row>
    <row r="311" customFormat="false" ht="15" hidden="false" customHeight="false" outlineLevel="0" collapsed="false">
      <c r="A311" s="36" t="n">
        <v>231</v>
      </c>
      <c r="B311" s="37" t="n">
        <f aca="false">1+IF($G$6=$E$6,$F$6,IF(P311&lt;($F$6-$E$6)/($G$6-$E$6),$E$6+SQRT(P311*($G$6-$E$6)*($F$6-$E$6)),$G$6-SQRT((1-P311)*($G$6-$E$6)*($G$6-$F$6))))</f>
        <v>0.94990803750547</v>
      </c>
      <c r="C311" s="37" t="n">
        <f aca="false">1+IF($G$7=$E$7,$F$7,IF(Q311&lt;($F$7-$E$7)/($G$7-$E$7),$E$7+SQRT(Q311*($G$7-$E$7)*($F$7-$E$7)),$G$7-SQRT((1-Q311)*($G$7-$E$7)*($G$7-$F$7))))</f>
        <v>1.0626982735764</v>
      </c>
      <c r="D311" s="37" t="n">
        <f aca="false">1+IF($G$8=$E$8,$F$8,IF(R311&lt;($F$8-$E$8)/($G$8-$E$8),$E$8+SQRT(R311*($G$8-$E$8)*($F$8-$E$8)),$G$8-SQRT((1-R311)*($G$8-$E$8)*($G$8-$F$8))))</f>
        <v>1.00659692162657</v>
      </c>
      <c r="E311" s="37" t="n">
        <f aca="false">1+IF($G$9=$E$9,$F$9,IF(S311&lt;($F$9-$E$9)/($G$9-$E$9),$E$9+SQRT(S311*($G$9-$E$9)*($F$9-$E$9)),$G$9-SQRT((1-S311)*($G$9-$E$9)*($G$9-$F$9))))</f>
        <v>1.07069675850313</v>
      </c>
      <c r="F311" s="37" t="n">
        <f aca="false">1+IF($G$10=$E$10,$F$10,IF(T311&lt;($F$10-$E$10)/($G$10-$E$10),$E$10+SQRT(T311*($G$10-$E$10)*($F$10-$E$10)),$G$10-SQRT((1-T311)*($G$10-$E$10)*($G$10-$F$10))))</f>
        <v>0.98974345645071</v>
      </c>
      <c r="G311" s="38" t="n">
        <f aca="false">IF($G$11=$E$11,$F$11,IF(U311&lt;($F$11-$E$11)/($G$11-$E$11),$E$11+SQRT(U311*($G$11-$E$11)*($F$11-$E$11)),$G$11-SQRT((1-U311)*($G$11-$E$11)*($G$11-$F$11))))</f>
        <v>0.103682864699817</v>
      </c>
      <c r="H311" s="39" t="n">
        <f aca="false">(('Business Case'!B11*$C311*'Business Case'!B12*$B311)-'Business Case'!B11*$C311*'Business Case'!B13*$D311-'Business Case'!B14*$E311)-MAX(0,(('Business Case'!B11*$C311*'Business Case'!B12*$B311)-'Business Case'!B11*$C311*'Business Case'!B13*$D311-'Business Case'!B14*$E311))*'Business Case'!$B$7-'Business Case'!$B$8*('Business Case'!B11*$C311*'Business Case'!B12*$B311)-'Business Case'!B15*$F311</f>
        <v>-1979486912.90142</v>
      </c>
      <c r="I311" s="39" t="n">
        <f aca="false">(('Business Case'!C11*$C311*'Business Case'!C12*$B311)-'Business Case'!C11*$C311*'Business Case'!C13*$D311-'Business Case'!C14*$E311)-MAX(0,(('Business Case'!C11*$C311*'Business Case'!C12*$B311)-'Business Case'!C11*$C311*'Business Case'!C13*$D311-'Business Case'!C14*$E311))*'Business Case'!$B$7-'Business Case'!$B$8*(('Business Case'!C11*$C311*'Business Case'!C12*$B311)-('Business Case'!B11*$C311*'Business Case'!B12*$B311))-'Business Case'!C15*$F311</f>
        <v>-24338423.7315944</v>
      </c>
      <c r="J311" s="39" t="n">
        <f aca="false">(('Business Case'!D11*$C311*'Business Case'!D12*$B311)-'Business Case'!D11*$C311*'Business Case'!D13*$D311-'Business Case'!D14*$E311)-MAX(0,(('Business Case'!D11*$C311*'Business Case'!D12*$B311)-'Business Case'!D11*$C311*'Business Case'!D13*$D311-'Business Case'!D14*$E311))*'Business Case'!$B$7-'Business Case'!$B$8*(('Business Case'!D11*$C311*'Business Case'!D12*$B311)-('Business Case'!C11*$C311*'Business Case'!C12*$B311))-'Business Case'!D15*$F311</f>
        <v>254881275.578683</v>
      </c>
      <c r="K311" s="39" t="n">
        <f aca="false">(('Business Case'!E11*$C311*'Business Case'!E12*$B311)-'Business Case'!E11*$C311*'Business Case'!E13*$D311-'Business Case'!E14*$E311)-MAX(0,(('Business Case'!E11*$C311*'Business Case'!E12*$B311)-'Business Case'!E11*$C311*'Business Case'!E13*$D311-'Business Case'!E14*$E311))*'Business Case'!$B$7-'Business Case'!$B$8*(('Business Case'!E11*$C311*'Business Case'!E12*$B311)-('Business Case'!D11*$C311*'Business Case'!D12*$B311))-'Business Case'!E15*$F311</f>
        <v>583588147.711496</v>
      </c>
      <c r="L311" s="39" t="n">
        <f aca="false">(('Business Case'!F11*$C311*'Business Case'!F12*$B311)-'Business Case'!F11*$C311*'Business Case'!F13*$D311-'Business Case'!F14*$E311)-MAX(0,(('Business Case'!F11*$C311*'Business Case'!F12*$B311)-'Business Case'!F11*$C311*'Business Case'!F13*$D311-'Business Case'!F14*$E311))*'Business Case'!$B$7-'Business Case'!$B$8*(('Business Case'!F11*$C311*'Business Case'!F12*$B311)-('Business Case'!E11*$C311*'Business Case'!E12*$B311))-'Business Case'!F15*$F311</f>
        <v>711548513.040025</v>
      </c>
      <c r="M311" s="39" t="n">
        <f aca="false">(('Business Case'!G11*$C311*'Business Case'!G12*$B311)-'Business Case'!G11*$C311*'Business Case'!G13*$D311-'Business Case'!G14*$E311)-MAX(0,(('Business Case'!G11*$C311*'Business Case'!G12*$B311)-'Business Case'!G11*$C311*'Business Case'!G13*$D311-'Business Case'!G14*$E311))*'Business Case'!$B$7-'Business Case'!$B$8*(('Business Case'!G11*$C311*'Business Case'!G12*$B311)-('Business Case'!F11*$C311*'Business Case'!F12*$B311))-'Business Case'!G15*$F311+'Business Case'!$B$8*('Business Case'!G11*$C311*'Business Case'!G12*$B311)</f>
        <v>903427740.278093</v>
      </c>
      <c r="N311" s="39" t="n">
        <f aca="false">IF(COUNT('Business Case'!B11:G11)=0,"",H311+NPV(G311,I311:M311))</f>
        <v>-327009632.923366</v>
      </c>
      <c r="P311" s="40" t="n">
        <f aca="true">RAND()</f>
        <v>0.0931761153571476</v>
      </c>
      <c r="Q311" s="40" t="n">
        <f aca="true">RAND()</f>
        <v>0.854826829780159</v>
      </c>
      <c r="R311" s="40" t="n">
        <f aca="true">RAND()</f>
        <v>0.481921931279273</v>
      </c>
      <c r="S311" s="40" t="n">
        <f aca="true">RAND()</f>
        <v>0.942754669185089</v>
      </c>
      <c r="T311" s="40" t="n">
        <f aca="true">RAND()</f>
        <v>0.126363386451959</v>
      </c>
      <c r="U311" s="40" t="n">
        <f aca="true">RAND()</f>
        <v>0.55625182599252</v>
      </c>
    </row>
    <row r="312" customFormat="false" ht="15" hidden="false" customHeight="false" outlineLevel="0" collapsed="false">
      <c r="A312" s="36" t="n">
        <v>232</v>
      </c>
      <c r="B312" s="37" t="n">
        <f aca="false">1+IF($G$6=$E$6,$F$6,IF(P312&lt;($F$6-$E$6)/($G$6-$E$6),$E$6+SQRT(P312*($G$6-$E$6)*($F$6-$E$6)),$G$6-SQRT((1-P312)*($G$6-$E$6)*($G$6-$F$6))))</f>
        <v>1.02647863771701</v>
      </c>
      <c r="C312" s="37" t="n">
        <f aca="false">1+IF($G$7=$E$7,$F$7,IF(Q312&lt;($F$7-$E$7)/($G$7-$E$7),$E$7+SQRT(Q312*($G$7-$E$7)*($F$7-$E$7)),$G$7-SQRT((1-Q312)*($G$7-$E$7)*($G$7-$F$7))))</f>
        <v>0.866933698699344</v>
      </c>
      <c r="D312" s="37" t="n">
        <f aca="false">1+IF($G$8=$E$8,$F$8,IF(R312&lt;($F$8-$E$8)/($G$8-$E$8),$E$8+SQRT(R312*($G$8-$E$8)*($F$8-$E$8)),$G$8-SQRT((1-R312)*($G$8-$E$8)*($G$8-$F$8))))</f>
        <v>0.983634799818256</v>
      </c>
      <c r="E312" s="37" t="n">
        <f aca="false">1+IF($G$9=$E$9,$F$9,IF(S312&lt;($F$9-$E$9)/($G$9-$E$9),$E$9+SQRT(S312*($G$9-$E$9)*($F$9-$E$9)),$G$9-SQRT((1-S312)*($G$9-$E$9)*($G$9-$F$9))))</f>
        <v>1.0280895828652</v>
      </c>
      <c r="F312" s="37" t="n">
        <f aca="false">1+IF($G$10=$E$10,$F$10,IF(T312&lt;($F$10-$E$10)/($G$10-$E$10),$E$10+SQRT(T312*($G$10-$E$10)*($F$10-$E$10)),$G$10-SQRT((1-T312)*($G$10-$E$10)*($G$10-$F$10))))</f>
        <v>1.1863611095048</v>
      </c>
      <c r="G312" s="38" t="n">
        <f aca="false">IF($G$11=$E$11,$F$11,IF(U312&lt;($F$11-$E$11)/($G$11-$E$11),$E$11+SQRT(U312*($G$11-$E$11)*($F$11-$E$11)),$G$11-SQRT((1-U312)*($G$11-$E$11)*($G$11-$F$11))))</f>
        <v>0.0981922333383725</v>
      </c>
      <c r="H312" s="39" t="n">
        <f aca="false">(('Business Case'!B11*$C312*'Business Case'!B12*$B312)-'Business Case'!B11*$C312*'Business Case'!B13*$D312-'Business Case'!B14*$E312)-MAX(0,(('Business Case'!B11*$C312*'Business Case'!B12*$B312)-'Business Case'!B11*$C312*'Business Case'!B13*$D312-'Business Case'!B14*$E312))*'Business Case'!$B$7-'Business Case'!$B$8*('Business Case'!B11*$C312*'Business Case'!B12*$B312)-'Business Case'!B15*$F312</f>
        <v>-2372722219.0096</v>
      </c>
      <c r="I312" s="39" t="n">
        <f aca="false">(('Business Case'!C11*$C312*'Business Case'!C12*$B312)-'Business Case'!C11*$C312*'Business Case'!C13*$D312-'Business Case'!C14*$E312)-MAX(0,(('Business Case'!C11*$C312*'Business Case'!C12*$B312)-'Business Case'!C11*$C312*'Business Case'!C13*$D312-'Business Case'!C14*$E312))*'Business Case'!$B$7-'Business Case'!$B$8*(('Business Case'!C11*$C312*'Business Case'!C12*$B312)-('Business Case'!B11*$C312*'Business Case'!B12*$B312))-'Business Case'!C15*$F312</f>
        <v>-18617003.963168</v>
      </c>
      <c r="J312" s="39" t="n">
        <f aca="false">(('Business Case'!D11*$C312*'Business Case'!D12*$B312)-'Business Case'!D11*$C312*'Business Case'!D13*$D312-'Business Case'!D14*$E312)-MAX(0,(('Business Case'!D11*$C312*'Business Case'!D12*$B312)-'Business Case'!D11*$C312*'Business Case'!D13*$D312-'Business Case'!D14*$E312))*'Business Case'!$B$7-'Business Case'!$B$8*(('Business Case'!D11*$C312*'Business Case'!D12*$B312)-('Business Case'!C11*$C312*'Business Case'!C12*$B312))-'Business Case'!D15*$F312</f>
        <v>273728283.425707</v>
      </c>
      <c r="K312" s="39" t="n">
        <f aca="false">(('Business Case'!E11*$C312*'Business Case'!E12*$B312)-'Business Case'!E11*$C312*'Business Case'!E13*$D312-'Business Case'!E14*$E312)-MAX(0,(('Business Case'!E11*$C312*'Business Case'!E12*$B312)-'Business Case'!E11*$C312*'Business Case'!E13*$D312-'Business Case'!E14*$E312))*'Business Case'!$B$7-'Business Case'!$B$8*(('Business Case'!E11*$C312*'Business Case'!E12*$B312)-('Business Case'!D11*$C312*'Business Case'!D12*$B312))-'Business Case'!E15*$F312</f>
        <v>625391626.289822</v>
      </c>
      <c r="L312" s="39" t="n">
        <f aca="false">(('Business Case'!F11*$C312*'Business Case'!F12*$B312)-'Business Case'!F11*$C312*'Business Case'!F13*$D312-'Business Case'!F14*$E312)-MAX(0,(('Business Case'!F11*$C312*'Business Case'!F12*$B312)-'Business Case'!F11*$C312*'Business Case'!F13*$D312-'Business Case'!F14*$E312))*'Business Case'!$B$7-'Business Case'!$B$8*(('Business Case'!F11*$C312*'Business Case'!F12*$B312)-('Business Case'!E11*$C312*'Business Case'!E12*$B312))-'Business Case'!F15*$F312</f>
        <v>753594616.564869</v>
      </c>
      <c r="M312" s="39" t="n">
        <f aca="false">(('Business Case'!G11*$C312*'Business Case'!G12*$B312)-'Business Case'!G11*$C312*'Business Case'!G13*$D312-'Business Case'!G14*$E312)-MAX(0,(('Business Case'!G11*$C312*'Business Case'!G12*$B312)-'Business Case'!G11*$C312*'Business Case'!G13*$D312-'Business Case'!G14*$E312))*'Business Case'!$B$7-'Business Case'!$B$8*(('Business Case'!G11*$C312*'Business Case'!G12*$B312)-('Business Case'!F11*$C312*'Business Case'!F12*$B312))-'Business Case'!G15*$F312+'Business Case'!$B$8*('Business Case'!G11*$C312*'Business Case'!G12*$B312)</f>
        <v>922744702.864686</v>
      </c>
      <c r="N312" s="39" t="n">
        <f aca="false">IF(COUNT('Business Case'!B11:G11)=0,"",H312+NPV(G312,I312:M312))</f>
        <v>-594721354.593841</v>
      </c>
      <c r="P312" s="40" t="n">
        <f aca="true">RAND()</f>
        <v>0.961910992085835</v>
      </c>
      <c r="Q312" s="40" t="n">
        <f aca="true">RAND()</f>
        <v>0.0640017145939225</v>
      </c>
      <c r="R312" s="40" t="n">
        <f aca="true">RAND()</f>
        <v>0.17404611674064</v>
      </c>
      <c r="S312" s="40" t="n">
        <f aca="true">RAND()</f>
        <v>0.655259460499891</v>
      </c>
      <c r="T312" s="40" t="n">
        <f aca="true">RAND()</f>
        <v>0.9962796133212</v>
      </c>
      <c r="U312" s="40" t="n">
        <f aca="true">RAND()</f>
        <v>0.223708956901141</v>
      </c>
    </row>
    <row r="313" customFormat="false" ht="15" hidden="false" customHeight="false" outlineLevel="0" collapsed="false">
      <c r="A313" s="36" t="n">
        <v>233</v>
      </c>
      <c r="B313" s="37" t="n">
        <f aca="false">1+IF($G$6=$E$6,$F$6,IF(P313&lt;($F$6-$E$6)/($G$6-$E$6),$E$6+SQRT(P313*($G$6-$E$6)*($F$6-$E$6)),$G$6-SQRT((1-P313)*($G$6-$E$6)*($G$6-$F$6))))</f>
        <v>0.9909111007319</v>
      </c>
      <c r="C313" s="37" t="n">
        <f aca="false">1+IF($G$7=$E$7,$F$7,IF(Q313&lt;($F$7-$E$7)/($G$7-$E$7),$E$7+SQRT(Q313*($G$7-$E$7)*($F$7-$E$7)),$G$7-SQRT((1-Q313)*($G$7-$E$7)*($G$7-$F$7))))</f>
        <v>1.00982059044047</v>
      </c>
      <c r="D313" s="37" t="n">
        <f aca="false">1+IF($G$8=$E$8,$F$8,IF(R313&lt;($F$8-$E$8)/($G$8-$E$8),$E$8+SQRT(R313*($G$8-$E$8)*($F$8-$E$8)),$G$8-SQRT((1-R313)*($G$8-$E$8)*($G$8-$F$8))))</f>
        <v>1.00666854110938</v>
      </c>
      <c r="E313" s="37" t="n">
        <f aca="false">1+IF($G$9=$E$9,$F$9,IF(S313&lt;($F$9-$E$9)/($G$9-$E$9),$E$9+SQRT(S313*($G$9-$E$9)*($F$9-$E$9)),$G$9-SQRT((1-S313)*($G$9-$E$9)*($G$9-$F$9))))</f>
        <v>0.998761315368054</v>
      </c>
      <c r="F313" s="37" t="n">
        <f aca="false">1+IF($G$10=$E$10,$F$10,IF(T313&lt;($F$10-$E$10)/($G$10-$E$10),$E$10+SQRT(T313*($G$10-$E$10)*($F$10-$E$10)),$G$10-SQRT((1-T313)*($G$10-$E$10)*($G$10-$F$10))))</f>
        <v>1.066329980847</v>
      </c>
      <c r="G313" s="38" t="n">
        <f aca="false">IF($G$11=$E$11,$F$11,IF(U313&lt;($F$11-$E$11)/($G$11-$E$11),$E$11+SQRT(U313*($G$11-$E$11)*($F$11-$E$11)),$G$11-SQRT((1-U313)*($G$11-$E$11)*($G$11-$F$11))))</f>
        <v>0.11098838414585</v>
      </c>
      <c r="H313" s="39" t="n">
        <f aca="false">(('Business Case'!B11*$C313*'Business Case'!B12*$B313)-'Business Case'!B11*$C313*'Business Case'!B13*$D313-'Business Case'!B14*$E313)-MAX(0,(('Business Case'!B11*$C313*'Business Case'!B12*$B313)-'Business Case'!B11*$C313*'Business Case'!B13*$D313-'Business Case'!B14*$E313))*'Business Case'!$B$7-'Business Case'!$B$8*('Business Case'!B11*$C313*'Business Case'!B12*$B313)-'Business Case'!B15*$F313</f>
        <v>-2132659961.69399</v>
      </c>
      <c r="I313" s="39" t="n">
        <f aca="false">(('Business Case'!C11*$C313*'Business Case'!C12*$B313)-'Business Case'!C11*$C313*'Business Case'!C13*$D313-'Business Case'!C14*$E313)-MAX(0,(('Business Case'!C11*$C313*'Business Case'!C12*$B313)-'Business Case'!C11*$C313*'Business Case'!C13*$D313-'Business Case'!C14*$E313))*'Business Case'!$B$7-'Business Case'!$B$8*(('Business Case'!C11*$C313*'Business Case'!C12*$B313)-('Business Case'!B11*$C313*'Business Case'!B12*$B313))-'Business Case'!C15*$F313</f>
        <v>-1326603.47398481</v>
      </c>
      <c r="J313" s="39" t="n">
        <f aca="false">(('Business Case'!D11*$C313*'Business Case'!D12*$B313)-'Business Case'!D11*$C313*'Business Case'!D13*$D313-'Business Case'!D14*$E313)-MAX(0,(('Business Case'!D11*$C313*'Business Case'!D12*$B313)-'Business Case'!D11*$C313*'Business Case'!D13*$D313-'Business Case'!D14*$E313))*'Business Case'!$B$7-'Business Case'!$B$8*(('Business Case'!D11*$C313*'Business Case'!D12*$B313)-('Business Case'!C11*$C313*'Business Case'!C12*$B313))-'Business Case'!D15*$F313</f>
        <v>297876953.899202</v>
      </c>
      <c r="K313" s="39" t="n">
        <f aca="false">(('Business Case'!E11*$C313*'Business Case'!E12*$B313)-'Business Case'!E11*$C313*'Business Case'!E13*$D313-'Business Case'!E14*$E313)-MAX(0,(('Business Case'!E11*$C313*'Business Case'!E12*$B313)-'Business Case'!E11*$C313*'Business Case'!E13*$D313-'Business Case'!E14*$E313))*'Business Case'!$B$7-'Business Case'!$B$8*(('Business Case'!E11*$C313*'Business Case'!E12*$B313)-('Business Case'!D11*$C313*'Business Case'!D12*$B313))-'Business Case'!E15*$F313</f>
        <v>650397010.314739</v>
      </c>
      <c r="L313" s="39" t="n">
        <f aca="false">(('Business Case'!F11*$C313*'Business Case'!F12*$B313)-'Business Case'!F11*$C313*'Business Case'!F13*$D313-'Business Case'!F14*$E313)-MAX(0,(('Business Case'!F11*$C313*'Business Case'!F12*$B313)-'Business Case'!F11*$C313*'Business Case'!F13*$D313-'Business Case'!F14*$E313))*'Business Case'!$B$7-'Business Case'!$B$8*(('Business Case'!F11*$C313*'Business Case'!F12*$B313)-('Business Case'!E11*$C313*'Business Case'!E12*$B313))-'Business Case'!F15*$F313</f>
        <v>784713731.917226</v>
      </c>
      <c r="M313" s="39" t="n">
        <f aca="false">(('Business Case'!G11*$C313*'Business Case'!G12*$B313)-'Business Case'!G11*$C313*'Business Case'!G13*$D313-'Business Case'!G14*$E313)-MAX(0,(('Business Case'!G11*$C313*'Business Case'!G12*$B313)-'Business Case'!G11*$C313*'Business Case'!G13*$D313-'Business Case'!G14*$E313))*'Business Case'!$B$7-'Business Case'!$B$8*(('Business Case'!G11*$C313*'Business Case'!G12*$B313)-('Business Case'!F11*$C313*'Business Case'!F12*$B313))-'Business Case'!G15*$F313+'Business Case'!$B$8*('Business Case'!G11*$C313*'Business Case'!G12*$B313)</f>
        <v>974915845.546721</v>
      </c>
      <c r="N313" s="39" t="n">
        <f aca="false">IF(COUNT('Business Case'!B11:G11)=0,"",H313+NPV(G313,I313:M313))</f>
        <v>-327149521.265713</v>
      </c>
      <c r="P313" s="40" t="n">
        <f aca="true">RAND()</f>
        <v>0.523790021563499</v>
      </c>
      <c r="Q313" s="40" t="n">
        <f aca="true">RAND()</f>
        <v>0.625709202581756</v>
      </c>
      <c r="R313" s="40" t="n">
        <f aca="true">RAND()</f>
        <v>0.482932417016633</v>
      </c>
      <c r="S313" s="40" t="n">
        <f aca="true">RAND()</f>
        <v>0.317022116856373</v>
      </c>
      <c r="T313" s="40" t="n">
        <f aca="true">RAND()</f>
        <v>0.642646519592712</v>
      </c>
      <c r="U313" s="40" t="n">
        <f aca="true">RAND()</f>
        <v>0.864651299495391</v>
      </c>
    </row>
    <row r="314" customFormat="false" ht="15" hidden="false" customHeight="false" outlineLevel="0" collapsed="false">
      <c r="A314" s="36" t="n">
        <v>234</v>
      </c>
      <c r="B314" s="37" t="n">
        <f aca="false">1+IF($G$6=$E$6,$F$6,IF(P314&lt;($F$6-$E$6)/($G$6-$E$6),$E$6+SQRT(P314*($G$6-$E$6)*($F$6-$E$6)),$G$6-SQRT((1-P314)*($G$6-$E$6)*($G$6-$F$6))))</f>
        <v>1.00237861175101</v>
      </c>
      <c r="C314" s="37" t="n">
        <f aca="false">1+IF($G$7=$E$7,$F$7,IF(Q314&lt;($F$7-$E$7)/($G$7-$E$7),$E$7+SQRT(Q314*($G$7-$E$7)*($F$7-$E$7)),$G$7-SQRT((1-Q314)*($G$7-$E$7)*($G$7-$F$7))))</f>
        <v>0.950048050123643</v>
      </c>
      <c r="D314" s="37" t="n">
        <f aca="false">1+IF($G$8=$E$8,$F$8,IF(R314&lt;($F$8-$E$8)/($G$8-$E$8),$E$8+SQRT(R314*($G$8-$E$8)*($F$8-$E$8)),$G$8-SQRT((1-R314)*($G$8-$E$8)*($G$8-$F$8))))</f>
        <v>0.9724619304601</v>
      </c>
      <c r="E314" s="37" t="n">
        <f aca="false">1+IF($G$9=$E$9,$F$9,IF(S314&lt;($F$9-$E$9)/($G$9-$E$9),$E$9+SQRT(S314*($G$9-$E$9)*($F$9-$E$9)),$G$9-SQRT((1-S314)*($G$9-$E$9)*($G$9-$F$9))))</f>
        <v>1.03496233447857</v>
      </c>
      <c r="F314" s="37" t="n">
        <f aca="false">1+IF($G$10=$E$10,$F$10,IF(T314&lt;($F$10-$E$10)/($G$10-$E$10),$E$10+SQRT(T314*($G$10-$E$10)*($F$10-$E$10)),$G$10-SQRT((1-T314)*($G$10-$E$10)*($G$10-$F$10))))</f>
        <v>1.10716892670567</v>
      </c>
      <c r="G314" s="38" t="n">
        <f aca="false">IF($G$11=$E$11,$F$11,IF(U314&lt;($F$11-$E$11)/($G$11-$E$11),$E$11+SQRT(U314*($G$11-$E$11)*($F$11-$E$11)),$G$11-SQRT((1-U314)*($G$11-$E$11)*($G$11-$F$11))))</f>
        <v>0.108084951287239</v>
      </c>
      <c r="H314" s="39" t="n">
        <f aca="false">(('Business Case'!B11*$C314*'Business Case'!B12*$B314)-'Business Case'!B11*$C314*'Business Case'!B13*$D314-'Business Case'!B14*$E314)-MAX(0,(('Business Case'!B11*$C314*'Business Case'!B12*$B314)-'Business Case'!B11*$C314*'Business Case'!B13*$D314-'Business Case'!B14*$E314))*'Business Case'!$B$7-'Business Case'!$B$8*('Business Case'!B11*$C314*'Business Case'!B12*$B314)-'Business Case'!B15*$F314</f>
        <v>-2214337853.41135</v>
      </c>
      <c r="I314" s="39" t="n">
        <f aca="false">(('Business Case'!C11*$C314*'Business Case'!C12*$B314)-'Business Case'!C11*$C314*'Business Case'!C13*$D314-'Business Case'!C14*$E314)-MAX(0,(('Business Case'!C11*$C314*'Business Case'!C12*$B314)-'Business Case'!C11*$C314*'Business Case'!C13*$D314-'Business Case'!C14*$E314))*'Business Case'!$B$7-'Business Case'!$B$8*(('Business Case'!C11*$C314*'Business Case'!C12*$B314)-('Business Case'!B11*$C314*'Business Case'!B12*$B314))-'Business Case'!C15*$F314</f>
        <v>-202979.965534851</v>
      </c>
      <c r="J314" s="39" t="n">
        <f aca="false">(('Business Case'!D11*$C314*'Business Case'!D12*$B314)-'Business Case'!D11*$C314*'Business Case'!D13*$D314-'Business Case'!D14*$E314)-MAX(0,(('Business Case'!D11*$C314*'Business Case'!D12*$B314)-'Business Case'!D11*$C314*'Business Case'!D13*$D314-'Business Case'!D14*$E314))*'Business Case'!$B$7-'Business Case'!$B$8*(('Business Case'!D11*$C314*'Business Case'!D12*$B314)-('Business Case'!C11*$C314*'Business Case'!C12*$B314))-'Business Case'!D15*$F314</f>
        <v>306850215.417201</v>
      </c>
      <c r="K314" s="39" t="n">
        <f aca="false">(('Business Case'!E11*$C314*'Business Case'!E12*$B314)-'Business Case'!E11*$C314*'Business Case'!E13*$D314-'Business Case'!E14*$E314)-MAX(0,(('Business Case'!E11*$C314*'Business Case'!E12*$B314)-'Business Case'!E11*$C314*'Business Case'!E13*$D314-'Business Case'!E14*$E314))*'Business Case'!$B$7-'Business Case'!$B$8*(('Business Case'!E11*$C314*'Business Case'!E12*$B314)-('Business Case'!D11*$C314*'Business Case'!D12*$B314))-'Business Case'!E15*$F314</f>
        <v>669261857.135221</v>
      </c>
      <c r="L314" s="39" t="n">
        <f aca="false">(('Business Case'!F11*$C314*'Business Case'!F12*$B314)-'Business Case'!F11*$C314*'Business Case'!F13*$D314-'Business Case'!F14*$E314)-MAX(0,(('Business Case'!F11*$C314*'Business Case'!F12*$B314)-'Business Case'!F11*$C314*'Business Case'!F13*$D314-'Business Case'!F14*$E314))*'Business Case'!$B$7-'Business Case'!$B$8*(('Business Case'!F11*$C314*'Business Case'!F12*$B314)-('Business Case'!E11*$C314*'Business Case'!E12*$B314))-'Business Case'!F15*$F314</f>
        <v>804524681.406034</v>
      </c>
      <c r="M314" s="39" t="n">
        <f aca="false">(('Business Case'!G11*$C314*'Business Case'!G12*$B314)-'Business Case'!G11*$C314*'Business Case'!G13*$D314-'Business Case'!G14*$E314)-MAX(0,(('Business Case'!G11*$C314*'Business Case'!G12*$B314)-'Business Case'!G11*$C314*'Business Case'!G13*$D314-'Business Case'!G14*$E314))*'Business Case'!$B$7-'Business Case'!$B$8*(('Business Case'!G11*$C314*'Business Case'!G12*$B314)-('Business Case'!F11*$C314*'Business Case'!F12*$B314))-'Business Case'!G15*$F314+'Business Case'!$B$8*('Business Case'!G11*$C314*'Business Case'!G12*$B314)</f>
        <v>985539356.693822</v>
      </c>
      <c r="N314" s="39" t="n">
        <f aca="false">IF(COUNT('Business Case'!B11:G11)=0,"",H314+NPV(G314,I314:M314))</f>
        <v>-349133216.082177</v>
      </c>
      <c r="P314" s="40" t="n">
        <f aca="true">RAND()</f>
        <v>0.705131488795612</v>
      </c>
      <c r="Q314" s="40" t="n">
        <f aca="true">RAND()</f>
        <v>0.321634533512961</v>
      </c>
      <c r="R314" s="40" t="n">
        <f aca="true">RAND()</f>
        <v>0.0776212799991322</v>
      </c>
      <c r="S314" s="40" t="n">
        <f aca="true">RAND()</f>
        <v>0.718006804234824</v>
      </c>
      <c r="T314" s="40" t="n">
        <f aca="true">RAND()</f>
        <v>0.827647836620467</v>
      </c>
      <c r="U314" s="40" t="n">
        <f aca="true">RAND()</f>
        <v>0.763386023620886</v>
      </c>
    </row>
    <row r="315" customFormat="false" ht="15" hidden="false" customHeight="false" outlineLevel="0" collapsed="false">
      <c r="A315" s="36" t="n">
        <v>235</v>
      </c>
      <c r="B315" s="37" t="n">
        <f aca="false">1+IF($G$6=$E$6,$F$6,IF(P315&lt;($F$6-$E$6)/($G$6-$E$6),$E$6+SQRT(P315*($G$6-$E$6)*($F$6-$E$6)),$G$6-SQRT((1-P315)*($G$6-$E$6)*($G$6-$F$6))))</f>
        <v>0.986155108827787</v>
      </c>
      <c r="C315" s="37" t="n">
        <f aca="false">1+IF($G$7=$E$7,$F$7,IF(Q315&lt;($F$7-$E$7)/($G$7-$E$7),$E$7+SQRT(Q315*($G$7-$E$7)*($F$7-$E$7)),$G$7-SQRT((1-Q315)*($G$7-$E$7)*($G$7-$F$7))))</f>
        <v>0.983719081820205</v>
      </c>
      <c r="D315" s="37" t="n">
        <f aca="false">1+IF($G$8=$E$8,$F$8,IF(R315&lt;($F$8-$E$8)/($G$8-$E$8),$E$8+SQRT(R315*($G$8-$E$8)*($F$8-$E$8)),$G$8-SQRT((1-R315)*($G$8-$E$8)*($G$8-$F$8))))</f>
        <v>0.978477395960524</v>
      </c>
      <c r="E315" s="37" t="n">
        <f aca="false">1+IF($G$9=$E$9,$F$9,IF(S315&lt;($F$9-$E$9)/($G$9-$E$9),$E$9+SQRT(S315*($G$9-$E$9)*($F$9-$E$9)),$G$9-SQRT((1-S315)*($G$9-$E$9)*($G$9-$F$9))))</f>
        <v>1.04152094336764</v>
      </c>
      <c r="F315" s="37" t="n">
        <f aca="false">1+IF($G$10=$E$10,$F$10,IF(T315&lt;($F$10-$E$10)/($G$10-$E$10),$E$10+SQRT(T315*($G$10-$E$10)*($F$10-$E$10)),$G$10-SQRT((1-T315)*($G$10-$E$10)*($G$10-$F$10))))</f>
        <v>1.06553998391175</v>
      </c>
      <c r="G315" s="38" t="n">
        <f aca="false">IF($G$11=$E$11,$F$11,IF(U315&lt;($F$11-$E$11)/($G$11-$E$11),$E$11+SQRT(U315*($G$11-$E$11)*($F$11-$E$11)),$G$11-SQRT((1-U315)*($G$11-$E$11)*($G$11-$F$11))))</f>
        <v>0.109951973228591</v>
      </c>
      <c r="H315" s="39" t="n">
        <f aca="false">(('Business Case'!B11*$C315*'Business Case'!B12*$B315)-'Business Case'!B11*$C315*'Business Case'!B13*$D315-'Business Case'!B14*$E315)-MAX(0,(('Business Case'!B11*$C315*'Business Case'!B12*$B315)-'Business Case'!B11*$C315*'Business Case'!B13*$D315-'Business Case'!B14*$E315))*'Business Case'!$B$7-'Business Case'!$B$8*('Business Case'!B11*$C315*'Business Case'!B12*$B315)-'Business Case'!B15*$F315</f>
        <v>-2131079967.8235</v>
      </c>
      <c r="I315" s="39" t="n">
        <f aca="false">(('Business Case'!C11*$C315*'Business Case'!C12*$B315)-'Business Case'!C11*$C315*'Business Case'!C13*$D315-'Business Case'!C14*$E315)-MAX(0,(('Business Case'!C11*$C315*'Business Case'!C12*$B315)-'Business Case'!C11*$C315*'Business Case'!C13*$D315-'Business Case'!C14*$E315))*'Business Case'!$B$7-'Business Case'!$B$8*(('Business Case'!C11*$C315*'Business Case'!C12*$B315)-('Business Case'!B11*$C315*'Business Case'!B12*$B315))-'Business Case'!C15*$F315</f>
        <v>-3113823.26443647</v>
      </c>
      <c r="J315" s="39" t="n">
        <f aca="false">(('Business Case'!D11*$C315*'Business Case'!D12*$B315)-'Business Case'!D11*$C315*'Business Case'!D13*$D315-'Business Case'!D14*$E315)-MAX(0,(('Business Case'!D11*$C315*'Business Case'!D12*$B315)-'Business Case'!D11*$C315*'Business Case'!D13*$D315-'Business Case'!D14*$E315))*'Business Case'!$B$7-'Business Case'!$B$8*(('Business Case'!D11*$C315*'Business Case'!D12*$B315)-('Business Case'!C11*$C315*'Business Case'!C12*$B315))-'Business Case'!D15*$F315</f>
        <v>298720593.179266</v>
      </c>
      <c r="K315" s="39" t="n">
        <f aca="false">(('Business Case'!E11*$C315*'Business Case'!E12*$B315)-'Business Case'!E11*$C315*'Business Case'!E13*$D315-'Business Case'!E14*$E315)-MAX(0,(('Business Case'!E11*$C315*'Business Case'!E12*$B315)-'Business Case'!E11*$C315*'Business Case'!E13*$D315-'Business Case'!E14*$E315))*'Business Case'!$B$7-'Business Case'!$B$8*(('Business Case'!E11*$C315*'Business Case'!E12*$B315)-('Business Case'!D11*$C315*'Business Case'!D12*$B315))-'Business Case'!E15*$F315</f>
        <v>653832008.818556</v>
      </c>
      <c r="L315" s="39" t="n">
        <f aca="false">(('Business Case'!F11*$C315*'Business Case'!F12*$B315)-'Business Case'!F11*$C315*'Business Case'!F13*$D315-'Business Case'!F14*$E315)-MAX(0,(('Business Case'!F11*$C315*'Business Case'!F12*$B315)-'Business Case'!F11*$C315*'Business Case'!F13*$D315-'Business Case'!F14*$E315))*'Business Case'!$B$7-'Business Case'!$B$8*(('Business Case'!F11*$C315*'Business Case'!F12*$B315)-('Business Case'!E11*$C315*'Business Case'!E12*$B315))-'Business Case'!F15*$F315</f>
        <v>787970123.079846</v>
      </c>
      <c r="M315" s="39" t="n">
        <f aca="false">(('Business Case'!G11*$C315*'Business Case'!G12*$B315)-'Business Case'!G11*$C315*'Business Case'!G13*$D315-'Business Case'!G14*$E315)-MAX(0,(('Business Case'!G11*$C315*'Business Case'!G12*$B315)-'Business Case'!G11*$C315*'Business Case'!G13*$D315-'Business Case'!G14*$E315))*'Business Case'!$B$7-'Business Case'!$B$8*(('Business Case'!G11*$C315*'Business Case'!G12*$B315)-('Business Case'!F11*$C315*'Business Case'!F12*$B315))-'Business Case'!G15*$F315+'Business Case'!$B$8*('Business Case'!G11*$C315*'Business Case'!G12*$B315)</f>
        <v>972366654.703492</v>
      </c>
      <c r="N315" s="39" t="n">
        <f aca="false">IF(COUNT('Business Case'!B11:G11)=0,"",H315+NPV(G315,I315:M315))</f>
        <v>-316950322.366123</v>
      </c>
      <c r="P315" s="40" t="n">
        <f aca="true">RAND()</f>
        <v>0.455885252501697</v>
      </c>
      <c r="Q315" s="40" t="n">
        <f aca="true">RAND()</f>
        <v>0.482181443212273</v>
      </c>
      <c r="R315" s="40" t="n">
        <f aca="true">RAND()</f>
        <v>0.12476339702961</v>
      </c>
      <c r="S315" s="40" t="n">
        <f aca="true">RAND()</f>
        <v>0.772013329025937</v>
      </c>
      <c r="T315" s="40" t="n">
        <f aca="true">RAND()</f>
        <v>0.638410081470949</v>
      </c>
      <c r="U315" s="40" t="n">
        <f aca="true">RAND()</f>
        <v>0.831728596668411</v>
      </c>
    </row>
    <row r="316" customFormat="false" ht="15" hidden="false" customHeight="false" outlineLevel="0" collapsed="false">
      <c r="A316" s="36" t="n">
        <v>236</v>
      </c>
      <c r="B316" s="37" t="n">
        <f aca="false">1+IF($G$6=$E$6,$F$6,IF(P316&lt;($F$6-$E$6)/($G$6-$E$6),$E$6+SQRT(P316*($G$6-$E$6)*($F$6-$E$6)),$G$6-SQRT((1-P316)*($G$6-$E$6)*($G$6-$F$6))))</f>
        <v>0.996446313001019</v>
      </c>
      <c r="C316" s="37" t="n">
        <f aca="false">1+IF($G$7=$E$7,$F$7,IF(Q316&lt;($F$7-$E$7)/($G$7-$E$7),$E$7+SQRT(Q316*($G$7-$E$7)*($F$7-$E$7)),$G$7-SQRT((1-Q316)*($G$7-$E$7)*($G$7-$F$7))))</f>
        <v>0.931142912728994</v>
      </c>
      <c r="D316" s="37" t="n">
        <f aca="false">1+IF($G$8=$E$8,$F$8,IF(R316&lt;($F$8-$E$8)/($G$8-$E$8),$E$8+SQRT(R316*($G$8-$E$8)*($F$8-$E$8)),$G$8-SQRT((1-R316)*($G$8-$E$8)*($G$8-$F$8))))</f>
        <v>1.00254171164816</v>
      </c>
      <c r="E316" s="37" t="n">
        <f aca="false">1+IF($G$9=$E$9,$F$9,IF(S316&lt;($F$9-$E$9)/($G$9-$E$9),$E$9+SQRT(S316*($G$9-$E$9)*($F$9-$E$9)),$G$9-SQRT((1-S316)*($G$9-$E$9)*($G$9-$F$9))))</f>
        <v>1.03205643986269</v>
      </c>
      <c r="F316" s="37" t="n">
        <f aca="false">1+IF($G$10=$E$10,$F$10,IF(T316&lt;($F$10-$E$10)/($G$10-$E$10),$E$10+SQRT(T316*($G$10-$E$10)*($F$10-$E$10)),$G$10-SQRT((1-T316)*($G$10-$E$10)*($G$10-$F$10))))</f>
        <v>1.01869168625338</v>
      </c>
      <c r="G316" s="38" t="n">
        <f aca="false">IF($G$11=$E$11,$F$11,IF(U316&lt;($F$11-$E$11)/($G$11-$E$11),$E$11+SQRT(U316*($G$11-$E$11)*($F$11-$E$11)),$G$11-SQRT((1-U316)*($G$11-$E$11)*($G$11-$F$11))))</f>
        <v>0.107996018306239</v>
      </c>
      <c r="H316" s="39" t="n">
        <f aca="false">(('Business Case'!B11*$C316*'Business Case'!B12*$B316)-'Business Case'!B11*$C316*'Business Case'!B13*$D316-'Business Case'!B14*$E316)-MAX(0,(('Business Case'!B11*$C316*'Business Case'!B12*$B316)-'Business Case'!B11*$C316*'Business Case'!B13*$D316-'Business Case'!B14*$E316))*'Business Case'!$B$7-'Business Case'!$B$8*('Business Case'!B11*$C316*'Business Case'!B12*$B316)-'Business Case'!B15*$F316</f>
        <v>-2037383372.50676</v>
      </c>
      <c r="I316" s="39" t="n">
        <f aca="false">(('Business Case'!C11*$C316*'Business Case'!C12*$B316)-'Business Case'!C11*$C316*'Business Case'!C13*$D316-'Business Case'!C14*$E316)-MAX(0,(('Business Case'!C11*$C316*'Business Case'!C12*$B316)-'Business Case'!C11*$C316*'Business Case'!C13*$D316-'Business Case'!C14*$E316))*'Business Case'!$B$7-'Business Case'!$B$8*(('Business Case'!C11*$C316*'Business Case'!C12*$B316)-('Business Case'!B11*$C316*'Business Case'!B12*$B316))-'Business Case'!C15*$F316</f>
        <v>-14645957.8295747</v>
      </c>
      <c r="J316" s="39" t="n">
        <f aca="false">(('Business Case'!D11*$C316*'Business Case'!D12*$B316)-'Business Case'!D11*$C316*'Business Case'!D13*$D316-'Business Case'!D14*$E316)-MAX(0,(('Business Case'!D11*$C316*'Business Case'!D12*$B316)-'Business Case'!D11*$C316*'Business Case'!D13*$D316-'Business Case'!D14*$E316))*'Business Case'!$B$7-'Business Case'!$B$8*(('Business Case'!D11*$C316*'Business Case'!D12*$B316)-('Business Case'!C11*$C316*'Business Case'!C12*$B316))-'Business Case'!D15*$F316</f>
        <v>267434589.244924</v>
      </c>
      <c r="K316" s="39" t="n">
        <f aca="false">(('Business Case'!E11*$C316*'Business Case'!E12*$B316)-'Business Case'!E11*$C316*'Business Case'!E13*$D316-'Business Case'!E14*$E316)-MAX(0,(('Business Case'!E11*$C316*'Business Case'!E12*$B316)-'Business Case'!E11*$C316*'Business Case'!E13*$D316-'Business Case'!E14*$E316))*'Business Case'!$B$7-'Business Case'!$B$8*(('Business Case'!E11*$C316*'Business Case'!E12*$B316)-('Business Case'!D11*$C316*'Business Case'!D12*$B316))-'Business Case'!E15*$F316</f>
        <v>600449720.632092</v>
      </c>
      <c r="L316" s="39" t="n">
        <f aca="false">(('Business Case'!F11*$C316*'Business Case'!F12*$B316)-'Business Case'!F11*$C316*'Business Case'!F13*$D316-'Business Case'!F14*$E316)-MAX(0,(('Business Case'!F11*$C316*'Business Case'!F12*$B316)-'Business Case'!F11*$C316*'Business Case'!F13*$D316-'Business Case'!F14*$E316))*'Business Case'!$B$7-'Business Case'!$B$8*(('Business Case'!F11*$C316*'Business Case'!F12*$B316)-('Business Case'!E11*$C316*'Business Case'!E12*$B316))-'Business Case'!F15*$F316</f>
        <v>726542510.010431</v>
      </c>
      <c r="M316" s="39" t="n">
        <f aca="false">(('Business Case'!G11*$C316*'Business Case'!G12*$B316)-'Business Case'!G11*$C316*'Business Case'!G13*$D316-'Business Case'!G14*$E316)-MAX(0,(('Business Case'!G11*$C316*'Business Case'!G12*$B316)-'Business Case'!G11*$C316*'Business Case'!G13*$D316-'Business Case'!G14*$E316))*'Business Case'!$B$7-'Business Case'!$B$8*(('Business Case'!G11*$C316*'Business Case'!G12*$B316)-('Business Case'!F11*$C316*'Business Case'!F12*$B316))-'Business Case'!G15*$F316+'Business Case'!$B$8*('Business Case'!G11*$C316*'Business Case'!G12*$B316)</f>
        <v>902905181.954721</v>
      </c>
      <c r="N316" s="39" t="n">
        <f aca="false">IF(COUNT('Business Case'!B11:G11)=0,"",H316+NPV(G316,I316:M316))</f>
        <v>-368568389.543195</v>
      </c>
      <c r="P316" s="40" t="n">
        <f aca="true">RAND()</f>
        <v>0.608754038692679</v>
      </c>
      <c r="Q316" s="40" t="n">
        <f aca="true">RAND()</f>
        <v>0.245692336557778</v>
      </c>
      <c r="R316" s="40" t="n">
        <f aca="true">RAND()</f>
        <v>0.423097458231046</v>
      </c>
      <c r="S316" s="40" t="n">
        <f aca="true">RAND()</f>
        <v>0.692244842391186</v>
      </c>
      <c r="T316" s="40" t="n">
        <f aca="true">RAND()</f>
        <v>0.342545907327136</v>
      </c>
      <c r="U316" s="40" t="n">
        <f aca="true">RAND()</f>
        <v>0.759840705826431</v>
      </c>
    </row>
    <row r="317" customFormat="false" ht="15" hidden="false" customHeight="false" outlineLevel="0" collapsed="false">
      <c r="A317" s="36" t="n">
        <v>237</v>
      </c>
      <c r="B317" s="37" t="n">
        <f aca="false">1+IF($G$6=$E$6,$F$6,IF(P317&lt;($F$6-$E$6)/($G$6-$E$6),$E$6+SQRT(P317*($G$6-$E$6)*($F$6-$E$6)),$G$6-SQRT((1-P317)*($G$6-$E$6)*($G$6-$F$6))))</f>
        <v>0.972469214633553</v>
      </c>
      <c r="C317" s="37" t="n">
        <f aca="false">1+IF($G$7=$E$7,$F$7,IF(Q317&lt;($F$7-$E$7)/($G$7-$E$7),$E$7+SQRT(Q317*($G$7-$E$7)*($F$7-$E$7)),$G$7-SQRT((1-Q317)*($G$7-$E$7)*($G$7-$F$7))))</f>
        <v>0.987373517311335</v>
      </c>
      <c r="D317" s="37" t="n">
        <f aca="false">1+IF($G$8=$E$8,$F$8,IF(R317&lt;($F$8-$E$8)/($G$8-$E$8),$E$8+SQRT(R317*($G$8-$E$8)*($F$8-$E$8)),$G$8-SQRT((1-R317)*($G$8-$E$8)*($G$8-$F$8))))</f>
        <v>0.993550481086278</v>
      </c>
      <c r="E317" s="37" t="n">
        <f aca="false">1+IF($G$9=$E$9,$F$9,IF(S317&lt;($F$9-$E$9)/($G$9-$E$9),$E$9+SQRT(S317*($G$9-$E$9)*($F$9-$E$9)),$G$9-SQRT((1-S317)*($G$9-$E$9)*($G$9-$F$9))))</f>
        <v>1.00900486813129</v>
      </c>
      <c r="F317" s="37" t="n">
        <f aca="false">1+IF($G$10=$E$10,$F$10,IF(T317&lt;($F$10-$E$10)/($G$10-$E$10),$E$10+SQRT(T317*($G$10-$E$10)*($F$10-$E$10)),$G$10-SQRT((1-T317)*($G$10-$E$10)*($G$10-$F$10))))</f>
        <v>0.974880657063724</v>
      </c>
      <c r="G317" s="38" t="n">
        <f aca="false">IF($G$11=$E$11,$F$11,IF(U317&lt;($F$11-$E$11)/($G$11-$E$11),$E$11+SQRT(U317*($G$11-$E$11)*($F$11-$E$11)),$G$11-SQRT((1-U317)*($G$11-$E$11)*($G$11-$F$11))))</f>
        <v>0.0972575546023959</v>
      </c>
      <c r="H317" s="39" t="n">
        <f aca="false">(('Business Case'!B11*$C317*'Business Case'!B12*$B317)-'Business Case'!B11*$C317*'Business Case'!B13*$D317-'Business Case'!B14*$E317)-MAX(0,(('Business Case'!B11*$C317*'Business Case'!B12*$B317)-'Business Case'!B11*$C317*'Business Case'!B13*$D317-'Business Case'!B14*$E317))*'Business Case'!$B$7-'Business Case'!$B$8*('Business Case'!B11*$C317*'Business Case'!B12*$B317)-'Business Case'!B15*$F317</f>
        <v>-1949761314.12745</v>
      </c>
      <c r="I317" s="39" t="n">
        <f aca="false">(('Business Case'!C11*$C317*'Business Case'!C12*$B317)-'Business Case'!C11*$C317*'Business Case'!C13*$D317-'Business Case'!C14*$E317)-MAX(0,(('Business Case'!C11*$C317*'Business Case'!C12*$B317)-'Business Case'!C11*$C317*'Business Case'!C13*$D317-'Business Case'!C14*$E317))*'Business Case'!$B$7-'Business Case'!$B$8*(('Business Case'!C11*$C317*'Business Case'!C12*$B317)-('Business Case'!B11*$C317*'Business Case'!B12*$B317))-'Business Case'!C15*$F317</f>
        <v>-6476097.49584429</v>
      </c>
      <c r="J317" s="39" t="n">
        <f aca="false">(('Business Case'!D11*$C317*'Business Case'!D12*$B317)-'Business Case'!D11*$C317*'Business Case'!D13*$D317-'Business Case'!D14*$E317)-MAX(0,(('Business Case'!D11*$C317*'Business Case'!D12*$B317)-'Business Case'!D11*$C317*'Business Case'!D13*$D317-'Business Case'!D14*$E317))*'Business Case'!$B$7-'Business Case'!$B$8*(('Business Case'!D11*$C317*'Business Case'!D12*$B317)-('Business Case'!C11*$C317*'Business Case'!C12*$B317))-'Business Case'!D15*$F317</f>
        <v>277792630.651471</v>
      </c>
      <c r="K317" s="39" t="n">
        <f aca="false">(('Business Case'!E11*$C317*'Business Case'!E12*$B317)-'Business Case'!E11*$C317*'Business Case'!E13*$D317-'Business Case'!E14*$E317)-MAX(0,(('Business Case'!E11*$C317*'Business Case'!E12*$B317)-'Business Case'!E11*$C317*'Business Case'!E13*$D317-'Business Case'!E14*$E317))*'Business Case'!$B$7-'Business Case'!$B$8*(('Business Case'!E11*$C317*'Business Case'!E12*$B317)-('Business Case'!D11*$C317*'Business Case'!D12*$B317))-'Business Case'!E15*$F317</f>
        <v>610805391.651972</v>
      </c>
      <c r="L317" s="39" t="n">
        <f aca="false">(('Business Case'!F11*$C317*'Business Case'!F12*$B317)-'Business Case'!F11*$C317*'Business Case'!F13*$D317-'Business Case'!F14*$E317)-MAX(0,(('Business Case'!F11*$C317*'Business Case'!F12*$B317)-'Business Case'!F11*$C317*'Business Case'!F13*$D317-'Business Case'!F14*$E317))*'Business Case'!$B$7-'Business Case'!$B$8*(('Business Case'!F11*$C317*'Business Case'!F12*$B317)-('Business Case'!E11*$C317*'Business Case'!E12*$B317))-'Business Case'!F15*$F317</f>
        <v>738745812.826755</v>
      </c>
      <c r="M317" s="39" t="n">
        <f aca="false">(('Business Case'!G11*$C317*'Business Case'!G12*$B317)-'Business Case'!G11*$C317*'Business Case'!G13*$D317-'Business Case'!G14*$E317)-MAX(0,(('Business Case'!G11*$C317*'Business Case'!G12*$B317)-'Business Case'!G11*$C317*'Business Case'!G13*$D317-'Business Case'!G14*$E317))*'Business Case'!$B$7-'Business Case'!$B$8*(('Business Case'!G11*$C317*'Business Case'!G12*$B317)-('Business Case'!F11*$C317*'Business Case'!F12*$B317))-'Business Case'!G15*$F317+'Business Case'!$B$8*('Business Case'!G11*$C317*'Business Case'!G12*$B317)</f>
        <v>921258794.351316</v>
      </c>
      <c r="N317" s="39" t="n">
        <f aca="false">IF(COUNT('Business Case'!B11:G11)=0,"",H317+NPV(G317,I317:M317))</f>
        <v>-173726673.424639</v>
      </c>
      <c r="P317" s="40" t="n">
        <f aca="true">RAND()</f>
        <v>0.286772758777281</v>
      </c>
      <c r="Q317" s="40" t="n">
        <f aca="true">RAND()</f>
        <v>0.501554785566015</v>
      </c>
      <c r="R317" s="40" t="n">
        <f aca="true">RAND()</f>
        <v>0.291791446591738</v>
      </c>
      <c r="S317" s="40" t="n">
        <f aca="true">RAND()</f>
        <v>0.447992398413113</v>
      </c>
      <c r="T317" s="40" t="n">
        <f aca="true">RAND()</f>
        <v>0.0495237676738109</v>
      </c>
      <c r="U317" s="40" t="n">
        <f aca="true">RAND()</f>
        <v>0.175573662689192</v>
      </c>
    </row>
    <row r="318" customFormat="false" ht="15" hidden="false" customHeight="false" outlineLevel="0" collapsed="false">
      <c r="A318" s="36" t="n">
        <v>238</v>
      </c>
      <c r="B318" s="37" t="n">
        <f aca="false">1+IF($G$6=$E$6,$F$6,IF(P318&lt;($F$6-$E$6)/($G$6-$E$6),$E$6+SQRT(P318*($G$6-$E$6)*($F$6-$E$6)),$G$6-SQRT((1-P318)*($G$6-$E$6)*($G$6-$F$6))))</f>
        <v>0.979684781665601</v>
      </c>
      <c r="C318" s="37" t="n">
        <f aca="false">1+IF($G$7=$E$7,$F$7,IF(Q318&lt;($F$7-$E$7)/($G$7-$E$7),$E$7+SQRT(Q318*($G$7-$E$7)*($F$7-$E$7)),$G$7-SQRT((1-Q318)*($G$7-$E$7)*($G$7-$F$7))))</f>
        <v>0.942282620385133</v>
      </c>
      <c r="D318" s="37" t="n">
        <f aca="false">1+IF($G$8=$E$8,$F$8,IF(R318&lt;($F$8-$E$8)/($G$8-$E$8),$E$8+SQRT(R318*($G$8-$E$8)*($F$8-$E$8)),$G$8-SQRT((1-R318)*($G$8-$E$8)*($G$8-$F$8))))</f>
        <v>0.975335009384508</v>
      </c>
      <c r="E318" s="37" t="n">
        <f aca="false">1+IF($G$9=$E$9,$F$9,IF(S318&lt;($F$9-$E$9)/($G$9-$E$9),$E$9+SQRT(S318*($G$9-$E$9)*($F$9-$E$9)),$G$9-SQRT((1-S318)*($G$9-$E$9)*($G$9-$F$9))))</f>
        <v>1.03705501595487</v>
      </c>
      <c r="F318" s="37" t="n">
        <f aca="false">1+IF($G$10=$E$10,$F$10,IF(T318&lt;($F$10-$E$10)/($G$10-$E$10),$E$10+SQRT(T318*($G$10-$E$10)*($F$10-$E$10)),$G$10-SQRT((1-T318)*($G$10-$E$10)*($G$10-$F$10))))</f>
        <v>1.05217109933036</v>
      </c>
      <c r="G318" s="38" t="n">
        <f aca="false">IF($G$11=$E$11,$F$11,IF(U318&lt;($F$11-$E$11)/($G$11-$E$11),$E$11+SQRT(U318*($G$11-$E$11)*($F$11-$E$11)),$G$11-SQRT((1-U318)*($G$11-$E$11)*($G$11-$F$11))))</f>
        <v>0.104096407110711</v>
      </c>
      <c r="H318" s="39" t="n">
        <f aca="false">(('Business Case'!B11*$C318*'Business Case'!B12*$B318)-'Business Case'!B11*$C318*'Business Case'!B13*$D318-'Business Case'!B14*$E318)-MAX(0,(('Business Case'!B11*$C318*'Business Case'!B12*$B318)-'Business Case'!B11*$C318*'Business Case'!B13*$D318-'Business Case'!B14*$E318))*'Business Case'!$B$7-'Business Case'!$B$8*('Business Case'!B11*$C318*'Business Case'!B12*$B318)-'Business Case'!B15*$F318</f>
        <v>-2104342198.66073</v>
      </c>
      <c r="I318" s="39" t="n">
        <f aca="false">(('Business Case'!C11*$C318*'Business Case'!C12*$B318)-'Business Case'!C11*$C318*'Business Case'!C13*$D318-'Business Case'!C14*$E318)-MAX(0,(('Business Case'!C11*$C318*'Business Case'!C12*$B318)-'Business Case'!C11*$C318*'Business Case'!C13*$D318-'Business Case'!C14*$E318))*'Business Case'!$B$7-'Business Case'!$B$8*(('Business Case'!C11*$C318*'Business Case'!C12*$B318)-('Business Case'!B11*$C318*'Business Case'!B12*$B318))-'Business Case'!C15*$F318</f>
        <v>-14899413.9263684</v>
      </c>
      <c r="J318" s="39" t="n">
        <f aca="false">(('Business Case'!D11*$C318*'Business Case'!D12*$B318)-'Business Case'!D11*$C318*'Business Case'!D13*$D318-'Business Case'!D14*$E318)-MAX(0,(('Business Case'!D11*$C318*'Business Case'!D12*$B318)-'Business Case'!D11*$C318*'Business Case'!D13*$D318-'Business Case'!D14*$E318))*'Business Case'!$B$7-'Business Case'!$B$8*(('Business Case'!D11*$C318*'Business Case'!D12*$B318)-('Business Case'!C11*$C318*'Business Case'!C12*$B318))-'Business Case'!D15*$F318</f>
        <v>270743080.005571</v>
      </c>
      <c r="K318" s="39" t="n">
        <f aca="false">(('Business Case'!E11*$C318*'Business Case'!E12*$B318)-'Business Case'!E11*$C318*'Business Case'!E13*$D318-'Business Case'!E14*$E318)-MAX(0,(('Business Case'!E11*$C318*'Business Case'!E12*$B318)-'Business Case'!E11*$C318*'Business Case'!E13*$D318-'Business Case'!E14*$E318))*'Business Case'!$B$7-'Business Case'!$B$8*(('Business Case'!E11*$C318*'Business Case'!E12*$B318)-('Business Case'!D11*$C318*'Business Case'!D12*$B318))-'Business Case'!E15*$F318</f>
        <v>608994128.904028</v>
      </c>
      <c r="L318" s="39" t="n">
        <f aca="false">(('Business Case'!F11*$C318*'Business Case'!F12*$B318)-'Business Case'!F11*$C318*'Business Case'!F13*$D318-'Business Case'!F14*$E318)-MAX(0,(('Business Case'!F11*$C318*'Business Case'!F12*$B318)-'Business Case'!F11*$C318*'Business Case'!F13*$D318-'Business Case'!F14*$E318))*'Business Case'!$B$7-'Business Case'!$B$8*(('Business Case'!F11*$C318*'Business Case'!F12*$B318)-('Business Case'!E11*$C318*'Business Case'!E12*$B318))-'Business Case'!F15*$F318</f>
        <v>736112009.985666</v>
      </c>
      <c r="M318" s="39" t="n">
        <f aca="false">(('Business Case'!G11*$C318*'Business Case'!G12*$B318)-'Business Case'!G11*$C318*'Business Case'!G13*$D318-'Business Case'!G14*$E318)-MAX(0,(('Business Case'!G11*$C318*'Business Case'!G12*$B318)-'Business Case'!G11*$C318*'Business Case'!G13*$D318-'Business Case'!G14*$E318))*'Business Case'!$B$7-'Business Case'!$B$8*(('Business Case'!G11*$C318*'Business Case'!G12*$B318)-('Business Case'!F11*$C318*'Business Case'!F12*$B318))-'Business Case'!G15*$F318+'Business Case'!$B$8*('Business Case'!G11*$C318*'Business Case'!G12*$B318)</f>
        <v>911582450.392791</v>
      </c>
      <c r="N318" s="39" t="n">
        <f aca="false">IF(COUNT('Business Case'!B11:G11)=0,"",H318+NPV(G318,I318:M318))</f>
        <v>-392314435.874457</v>
      </c>
      <c r="P318" s="40" t="n">
        <f aca="true">RAND()</f>
        <v>0.371070121090668</v>
      </c>
      <c r="Q318" s="40" t="n">
        <f aca="true">RAND()</f>
        <v>0.28920491519514</v>
      </c>
      <c r="R318" s="40" t="n">
        <f aca="true">RAND()</f>
        <v>0.0987481077712429</v>
      </c>
      <c r="S318" s="40" t="n">
        <f aca="true">RAND()</f>
        <v>0.73586193223722</v>
      </c>
      <c r="T318" s="40" t="n">
        <f aca="true">RAND()</f>
        <v>0.56293232253614</v>
      </c>
      <c r="U318" s="40" t="n">
        <f aca="true">RAND()</f>
        <v>0.578459555352915</v>
      </c>
    </row>
    <row r="319" customFormat="false" ht="15" hidden="false" customHeight="false" outlineLevel="0" collapsed="false">
      <c r="A319" s="36" t="n">
        <v>239</v>
      </c>
      <c r="B319" s="37" t="n">
        <f aca="false">1+IF($G$6=$E$6,$F$6,IF(P319&lt;($F$6-$E$6)/($G$6-$E$6),$E$6+SQRT(P319*($G$6-$E$6)*($F$6-$E$6)),$G$6-SQRT((1-P319)*($G$6-$E$6)*($G$6-$F$6))))</f>
        <v>0.975140889028014</v>
      </c>
      <c r="C319" s="37" t="n">
        <f aca="false">1+IF($G$7=$E$7,$F$7,IF(Q319&lt;($F$7-$E$7)/($G$7-$E$7),$E$7+SQRT(Q319*($G$7-$E$7)*($F$7-$E$7)),$G$7-SQRT((1-Q319)*($G$7-$E$7)*($G$7-$F$7))))</f>
        <v>0.997528574030929</v>
      </c>
      <c r="D319" s="37" t="n">
        <f aca="false">1+IF($G$8=$E$8,$F$8,IF(R319&lt;($F$8-$E$8)/($G$8-$E$8),$E$8+SQRT(R319*($G$8-$E$8)*($F$8-$E$8)),$G$8-SQRT((1-R319)*($G$8-$E$8)*($G$8-$F$8))))</f>
        <v>1.02776472808281</v>
      </c>
      <c r="E319" s="37" t="n">
        <f aca="false">1+IF($G$9=$E$9,$F$9,IF(S319&lt;($F$9-$E$9)/($G$9-$E$9),$E$9+SQRT(S319*($G$9-$E$9)*($F$9-$E$9)),$G$9-SQRT((1-S319)*($G$9-$E$9)*($G$9-$F$9))))</f>
        <v>1.02202563404244</v>
      </c>
      <c r="F319" s="37" t="n">
        <f aca="false">1+IF($G$10=$E$10,$F$10,IF(T319&lt;($F$10-$E$10)/($G$10-$E$10),$E$10+SQRT(T319*($G$10-$E$10)*($F$10-$E$10)),$G$10-SQRT((1-T319)*($G$10-$E$10)*($G$10-$F$10))))</f>
        <v>1.10584892538451</v>
      </c>
      <c r="G319" s="38" t="n">
        <f aca="false">IF($G$11=$E$11,$F$11,IF(U319&lt;($F$11-$E$11)/($G$11-$E$11),$E$11+SQRT(U319*($G$11-$E$11)*($F$11-$E$11)),$G$11-SQRT((1-U319)*($G$11-$E$11)*($G$11-$F$11))))</f>
        <v>0.0982253305895777</v>
      </c>
      <c r="H319" s="39" t="n">
        <f aca="false">(('Business Case'!B11*$C319*'Business Case'!B12*$B319)-'Business Case'!B11*$C319*'Business Case'!B13*$D319-'Business Case'!B14*$E319)-MAX(0,(('Business Case'!B11*$C319*'Business Case'!B12*$B319)-'Business Case'!B11*$C319*'Business Case'!B13*$D319-'Business Case'!B14*$E319))*'Business Case'!$B$7-'Business Case'!$B$8*('Business Case'!B11*$C319*'Business Case'!B12*$B319)-'Business Case'!B15*$F319</f>
        <v>-2211697850.76902</v>
      </c>
      <c r="I319" s="39" t="n">
        <f aca="false">(('Business Case'!C11*$C319*'Business Case'!C12*$B319)-'Business Case'!C11*$C319*'Business Case'!C13*$D319-'Business Case'!C14*$E319)-MAX(0,(('Business Case'!C11*$C319*'Business Case'!C12*$B319)-'Business Case'!C11*$C319*'Business Case'!C13*$D319-'Business Case'!C14*$E319))*'Business Case'!$B$7-'Business Case'!$B$8*(('Business Case'!C11*$C319*'Business Case'!C12*$B319)-('Business Case'!B11*$C319*'Business Case'!B12*$B319))-'Business Case'!C15*$F319</f>
        <v>-34439683.4890495</v>
      </c>
      <c r="J319" s="39" t="n">
        <f aca="false">(('Business Case'!D11*$C319*'Business Case'!D12*$B319)-'Business Case'!D11*$C319*'Business Case'!D13*$D319-'Business Case'!D14*$E319)-MAX(0,(('Business Case'!D11*$C319*'Business Case'!D12*$B319)-'Business Case'!D11*$C319*'Business Case'!D13*$D319-'Business Case'!D14*$E319))*'Business Case'!$B$7-'Business Case'!$B$8*(('Business Case'!D11*$C319*'Business Case'!D12*$B319)-('Business Case'!C11*$C319*'Business Case'!C12*$B319))-'Business Case'!D15*$F319</f>
        <v>237463940.603697</v>
      </c>
      <c r="K319" s="39" t="n">
        <f aca="false">(('Business Case'!E11*$C319*'Business Case'!E12*$B319)-'Business Case'!E11*$C319*'Business Case'!E13*$D319-'Business Case'!E14*$E319)-MAX(0,(('Business Case'!E11*$C319*'Business Case'!E12*$B319)-'Business Case'!E11*$C319*'Business Case'!E13*$D319-'Business Case'!E14*$E319))*'Business Case'!$B$7-'Business Case'!$B$8*(('Business Case'!E11*$C319*'Business Case'!E12*$B319)-('Business Case'!D11*$C319*'Business Case'!D12*$B319))-'Business Case'!E15*$F319</f>
        <v>564660010.965668</v>
      </c>
      <c r="L319" s="39" t="n">
        <f aca="false">(('Business Case'!F11*$C319*'Business Case'!F12*$B319)-'Business Case'!F11*$C319*'Business Case'!F13*$D319-'Business Case'!F14*$E319)-MAX(0,(('Business Case'!F11*$C319*'Business Case'!F12*$B319)-'Business Case'!F11*$C319*'Business Case'!F13*$D319-'Business Case'!F14*$E319))*'Business Case'!$B$7-'Business Case'!$B$8*(('Business Case'!F11*$C319*'Business Case'!F12*$B319)-('Business Case'!E11*$C319*'Business Case'!E12*$B319))-'Business Case'!F15*$F319</f>
        <v>688912132.25159</v>
      </c>
      <c r="M319" s="39" t="n">
        <f aca="false">(('Business Case'!G11*$C319*'Business Case'!G12*$B319)-'Business Case'!G11*$C319*'Business Case'!G13*$D319-'Business Case'!G14*$E319)-MAX(0,(('Business Case'!G11*$C319*'Business Case'!G12*$B319)-'Business Case'!G11*$C319*'Business Case'!G13*$D319-'Business Case'!G14*$E319))*'Business Case'!$B$7-'Business Case'!$B$8*(('Business Case'!G11*$C319*'Business Case'!G12*$B319)-('Business Case'!F11*$C319*'Business Case'!F12*$B319))-'Business Case'!G15*$F319+'Business Case'!$B$8*('Business Case'!G11*$C319*'Business Case'!G12*$B319)</f>
        <v>873808821.820791</v>
      </c>
      <c r="N319" s="39" t="n">
        <f aca="false">IF(COUNT('Business Case'!B11:G11)=0,"",H319+NPV(G319,I319:M319))</f>
        <v>-599324325.40768</v>
      </c>
      <c r="P319" s="40" t="n">
        <f aca="true">RAND()</f>
        <v>0.31672058779164</v>
      </c>
      <c r="Q319" s="40" t="n">
        <f aca="true">RAND()</f>
        <v>0.557393393695605</v>
      </c>
      <c r="R319" s="40" t="n">
        <f aca="true">RAND()</f>
        <v>0.737641958436303</v>
      </c>
      <c r="S319" s="40" t="n">
        <f aca="true">RAND()</f>
        <v>0.594666550234473</v>
      </c>
      <c r="T319" s="40" t="n">
        <f aca="true">RAND()</f>
        <v>0.822711502974961</v>
      </c>
      <c r="U319" s="40" t="n">
        <f aca="true">RAND()</f>
        <v>0.22552021102614</v>
      </c>
    </row>
    <row r="320" customFormat="false" ht="15" hidden="false" customHeight="false" outlineLevel="0" collapsed="false">
      <c r="A320" s="36" t="n">
        <v>240</v>
      </c>
      <c r="B320" s="37" t="n">
        <f aca="false">1+IF($G$6=$E$6,$F$6,IF(P320&lt;($F$6-$E$6)/($G$6-$E$6),$E$6+SQRT(P320*($G$6-$E$6)*($F$6-$E$6)),$G$6-SQRT((1-P320)*($G$6-$E$6)*($G$6-$F$6))))</f>
        <v>0.924559501068082</v>
      </c>
      <c r="C320" s="37" t="n">
        <f aca="false">1+IF($G$7=$E$7,$F$7,IF(Q320&lt;($F$7-$E$7)/($G$7-$E$7),$E$7+SQRT(Q320*($G$7-$E$7)*($F$7-$E$7)),$G$7-SQRT((1-Q320)*($G$7-$E$7)*($G$7-$F$7))))</f>
        <v>1.12595079123672</v>
      </c>
      <c r="D320" s="37" t="n">
        <f aca="false">1+IF($G$8=$E$8,$F$8,IF(R320&lt;($F$8-$E$8)/($G$8-$E$8),$E$8+SQRT(R320*($G$8-$E$8)*($F$8-$E$8)),$G$8-SQRT((1-R320)*($G$8-$E$8)*($G$8-$F$8))))</f>
        <v>1.04356653834885</v>
      </c>
      <c r="E320" s="37" t="n">
        <f aca="false">1+IF($G$9=$E$9,$F$9,IF(S320&lt;($F$9-$E$9)/($G$9-$E$9),$E$9+SQRT(S320*($G$9-$E$9)*($F$9-$E$9)),$G$9-SQRT((1-S320)*($G$9-$E$9)*($G$9-$F$9))))</f>
        <v>1.05363106675527</v>
      </c>
      <c r="F320" s="37" t="n">
        <f aca="false">1+IF($G$10=$E$10,$F$10,IF(T320&lt;($F$10-$E$10)/($G$10-$E$10),$E$10+SQRT(T320*($G$10-$E$10)*($F$10-$E$10)),$G$10-SQRT((1-T320)*($G$10-$E$10)*($G$10-$F$10))))</f>
        <v>0.987024881540844</v>
      </c>
      <c r="G320" s="38" t="n">
        <f aca="false">IF($G$11=$E$11,$F$11,IF(U320&lt;($F$11-$E$11)/($G$11-$E$11),$E$11+SQRT(U320*($G$11-$E$11)*($F$11-$E$11)),$G$11-SQRT((1-U320)*($G$11-$E$11)*($G$11-$F$11))))</f>
        <v>0.108359276344788</v>
      </c>
      <c r="H320" s="39" t="n">
        <f aca="false">(('Business Case'!B11*$C320*'Business Case'!B12*$B320)-'Business Case'!B11*$C320*'Business Case'!B13*$D320-'Business Case'!B14*$E320)-MAX(0,(('Business Case'!B11*$C320*'Business Case'!B12*$B320)-'Business Case'!B11*$C320*'Business Case'!B13*$D320-'Business Case'!B14*$E320))*'Business Case'!$B$7-'Business Case'!$B$8*('Business Case'!B11*$C320*'Business Case'!B12*$B320)-'Business Case'!B15*$F320</f>
        <v>-1974049763.08169</v>
      </c>
      <c r="I320" s="39" t="n">
        <f aca="false">(('Business Case'!C11*$C320*'Business Case'!C12*$B320)-'Business Case'!C11*$C320*'Business Case'!C13*$D320-'Business Case'!C14*$E320)-MAX(0,(('Business Case'!C11*$C320*'Business Case'!C12*$B320)-'Business Case'!C11*$C320*'Business Case'!C13*$D320-'Business Case'!C14*$E320))*'Business Case'!$B$7-'Business Case'!$B$8*(('Business Case'!C11*$C320*'Business Case'!C12*$B320)-('Business Case'!B11*$C320*'Business Case'!B12*$B320))-'Business Case'!C15*$F320</f>
        <v>-51342130.2645627</v>
      </c>
      <c r="J320" s="39" t="n">
        <f aca="false">(('Business Case'!D11*$C320*'Business Case'!D12*$B320)-'Business Case'!D11*$C320*'Business Case'!D13*$D320-'Business Case'!D14*$E320)-MAX(0,(('Business Case'!D11*$C320*'Business Case'!D12*$B320)-'Business Case'!D11*$C320*'Business Case'!D13*$D320-'Business Case'!D14*$E320))*'Business Case'!$B$7-'Business Case'!$B$8*(('Business Case'!D11*$C320*'Business Case'!D12*$B320)-('Business Case'!C11*$C320*'Business Case'!C12*$B320))-'Business Case'!D15*$F320</f>
        <v>199810446.049472</v>
      </c>
      <c r="K320" s="39" t="n">
        <f aca="false">(('Business Case'!E11*$C320*'Business Case'!E12*$B320)-'Business Case'!E11*$C320*'Business Case'!E13*$D320-'Business Case'!E14*$E320)-MAX(0,(('Business Case'!E11*$C320*'Business Case'!E12*$B320)-'Business Case'!E11*$C320*'Business Case'!E13*$D320-'Business Case'!E14*$E320))*'Business Case'!$B$7-'Business Case'!$B$8*(('Business Case'!E11*$C320*'Business Case'!E12*$B320)-('Business Case'!D11*$C320*'Business Case'!D12*$B320))-'Business Case'!E15*$F320</f>
        <v>500314266.440549</v>
      </c>
      <c r="L320" s="39" t="n">
        <f aca="false">(('Business Case'!F11*$C320*'Business Case'!F12*$B320)-'Business Case'!F11*$C320*'Business Case'!F13*$D320-'Business Case'!F14*$E320)-MAX(0,(('Business Case'!F11*$C320*'Business Case'!F12*$B320)-'Business Case'!F11*$C320*'Business Case'!F13*$D320-'Business Case'!F14*$E320))*'Business Case'!$B$7-'Business Case'!$B$8*(('Business Case'!F11*$C320*'Business Case'!F12*$B320)-('Business Case'!E11*$C320*'Business Case'!E12*$B320))-'Business Case'!F15*$F320</f>
        <v>620009045.699837</v>
      </c>
      <c r="M320" s="39" t="n">
        <f aca="false">(('Business Case'!G11*$C320*'Business Case'!G12*$B320)-'Business Case'!G11*$C320*'Business Case'!G13*$D320-'Business Case'!G14*$E320)-MAX(0,(('Business Case'!G11*$C320*'Business Case'!G12*$B320)-'Business Case'!G11*$C320*'Business Case'!G13*$D320-'Business Case'!G14*$E320))*'Business Case'!$B$7-'Business Case'!$B$8*(('Business Case'!G11*$C320*'Business Case'!G12*$B320)-('Business Case'!F11*$C320*'Business Case'!F12*$B320))-'Business Case'!G15*$F320+'Business Case'!$B$8*('Business Case'!G11*$C320*'Business Case'!G12*$B320)</f>
        <v>817883941.716856</v>
      </c>
      <c r="N320" s="39" t="n">
        <f aca="false">IF(COUNT('Business Case'!B11:G11)=0,"",H320+NPV(G320,I320:M320))</f>
        <v>-590448380.310534</v>
      </c>
      <c r="P320" s="40" t="n">
        <f aca="true">RAND()</f>
        <v>0.00216552604060792</v>
      </c>
      <c r="Q320" s="40" t="n">
        <f aca="true">RAND()</f>
        <v>0.988983534435434</v>
      </c>
      <c r="R320" s="40" t="n">
        <f aca="true">RAND()</f>
        <v>0.872365660780231</v>
      </c>
      <c r="S320" s="40" t="n">
        <f aca="true">RAND()</f>
        <v>0.856661468649695</v>
      </c>
      <c r="T320" s="40" t="n">
        <f aca="true">RAND()</f>
        <v>0.109667348249085</v>
      </c>
      <c r="U320" s="40" t="n">
        <f aca="true">RAND()</f>
        <v>0.774155921304971</v>
      </c>
    </row>
    <row r="321" customFormat="false" ht="15" hidden="false" customHeight="false" outlineLevel="0" collapsed="false">
      <c r="A321" s="36" t="n">
        <v>241</v>
      </c>
      <c r="B321" s="37" t="n">
        <f aca="false">1+IF($G$6=$E$6,$F$6,IF(P321&lt;($F$6-$E$6)/($G$6-$E$6),$E$6+SQRT(P321*($G$6-$E$6)*($F$6-$E$6)),$G$6-SQRT((1-P321)*($G$6-$E$6)*($G$6-$F$6))))</f>
        <v>1.0100558717597</v>
      </c>
      <c r="C321" s="37" t="n">
        <f aca="false">1+IF($G$7=$E$7,$F$7,IF(Q321&lt;($F$7-$E$7)/($G$7-$E$7),$E$7+SQRT(Q321*($G$7-$E$7)*($F$7-$E$7)),$G$7-SQRT((1-Q321)*($G$7-$E$7)*($G$7-$F$7))))</f>
        <v>0.980609263994825</v>
      </c>
      <c r="D321" s="37" t="n">
        <f aca="false">1+IF($G$8=$E$8,$F$8,IF(R321&lt;($F$8-$E$8)/($G$8-$E$8),$E$8+SQRT(R321*($G$8-$E$8)*($F$8-$E$8)),$G$8-SQRT((1-R321)*($G$8-$E$8)*($G$8-$F$8))))</f>
        <v>1.00210693281583</v>
      </c>
      <c r="E321" s="37" t="n">
        <f aca="false">1+IF($G$9=$E$9,$F$9,IF(S321&lt;($F$9-$E$9)/($G$9-$E$9),$E$9+SQRT(S321*($G$9-$E$9)*($F$9-$E$9)),$G$9-SQRT((1-S321)*($G$9-$E$9)*($G$9-$F$9))))</f>
        <v>1.05392655293485</v>
      </c>
      <c r="F321" s="37" t="n">
        <f aca="false">1+IF($G$10=$E$10,$F$10,IF(T321&lt;($F$10-$E$10)/($G$10-$E$10),$E$10+SQRT(T321*($G$10-$E$10)*($F$10-$E$10)),$G$10-SQRT((1-T321)*($G$10-$E$10)*($G$10-$F$10))))</f>
        <v>1.04974432442226</v>
      </c>
      <c r="G321" s="38" t="n">
        <f aca="false">IF($G$11=$E$11,$F$11,IF(U321&lt;($F$11-$E$11)/($G$11-$E$11),$E$11+SQRT(U321*($G$11-$E$11)*($F$11-$E$11)),$G$11-SQRT((1-U321)*($G$11-$E$11)*($G$11-$F$11))))</f>
        <v>0.10328090770991</v>
      </c>
      <c r="H321" s="39" t="n">
        <f aca="false">(('Business Case'!B11*$C321*'Business Case'!B12*$B321)-'Business Case'!B11*$C321*'Business Case'!B13*$D321-'Business Case'!B14*$E321)-MAX(0,(('Business Case'!B11*$C321*'Business Case'!B12*$B321)-'Business Case'!B11*$C321*'Business Case'!B13*$D321-'Business Case'!B14*$E321))*'Business Case'!$B$7-'Business Case'!$B$8*('Business Case'!B11*$C321*'Business Case'!B12*$B321)-'Business Case'!B15*$F321</f>
        <v>-2099488648.84452</v>
      </c>
      <c r="I321" s="39" t="n">
        <f aca="false">(('Business Case'!C11*$C321*'Business Case'!C12*$B321)-'Business Case'!C11*$C321*'Business Case'!C13*$D321-'Business Case'!C14*$E321)-MAX(0,(('Business Case'!C11*$C321*'Business Case'!C12*$B321)-'Business Case'!C11*$C321*'Business Case'!C13*$D321-'Business Case'!C14*$E321))*'Business Case'!$B$7-'Business Case'!$B$8*(('Business Case'!C11*$C321*'Business Case'!C12*$B321)-('Business Case'!B11*$C321*'Business Case'!B12*$B321))-'Business Case'!C15*$F321</f>
        <v>2026441.02805752</v>
      </c>
      <c r="J321" s="39" t="n">
        <f aca="false">(('Business Case'!D11*$C321*'Business Case'!D12*$B321)-'Business Case'!D11*$C321*'Business Case'!D13*$D321-'Business Case'!D14*$E321)-MAX(0,(('Business Case'!D11*$C321*'Business Case'!D12*$B321)-'Business Case'!D11*$C321*'Business Case'!D13*$D321-'Business Case'!D14*$E321))*'Business Case'!$B$7-'Business Case'!$B$8*(('Business Case'!D11*$C321*'Business Case'!D12*$B321)-('Business Case'!C11*$C321*'Business Case'!C12*$B321))-'Business Case'!D15*$F321</f>
        <v>310241642.642473</v>
      </c>
      <c r="K321" s="39" t="n">
        <f aca="false">(('Business Case'!E11*$C321*'Business Case'!E12*$B321)-'Business Case'!E11*$C321*'Business Case'!E13*$D321-'Business Case'!E14*$E321)-MAX(0,(('Business Case'!E11*$C321*'Business Case'!E12*$B321)-'Business Case'!E11*$C321*'Business Case'!E13*$D321-'Business Case'!E14*$E321))*'Business Case'!$B$7-'Business Case'!$B$8*(('Business Case'!E11*$C321*'Business Case'!E12*$B321)-('Business Case'!D11*$C321*'Business Case'!D12*$B321))-'Business Case'!E15*$F321</f>
        <v>670944060.478002</v>
      </c>
      <c r="L321" s="39" t="n">
        <f aca="false">(('Business Case'!F11*$C321*'Business Case'!F12*$B321)-'Business Case'!F11*$C321*'Business Case'!F13*$D321-'Business Case'!F14*$E321)-MAX(0,(('Business Case'!F11*$C321*'Business Case'!F12*$B321)-'Business Case'!F11*$C321*'Business Case'!F13*$D321-'Business Case'!F14*$E321))*'Business Case'!$B$7-'Business Case'!$B$8*(('Business Case'!F11*$C321*'Business Case'!F12*$B321)-('Business Case'!E11*$C321*'Business Case'!E12*$B321))-'Business Case'!F15*$F321</f>
        <v>807913109.227338</v>
      </c>
      <c r="M321" s="39" t="n">
        <f aca="false">(('Business Case'!G11*$C321*'Business Case'!G12*$B321)-'Business Case'!G11*$C321*'Business Case'!G13*$D321-'Business Case'!G14*$E321)-MAX(0,(('Business Case'!G11*$C321*'Business Case'!G12*$B321)-'Business Case'!G11*$C321*'Business Case'!G13*$D321-'Business Case'!G14*$E321))*'Business Case'!$B$7-'Business Case'!$B$8*(('Business Case'!G11*$C321*'Business Case'!G12*$B321)-('Business Case'!F11*$C321*'Business Case'!F12*$B321))-'Business Case'!G15*$F321+'Business Case'!$B$8*('Business Case'!G11*$C321*'Business Case'!G12*$B321)</f>
        <v>996181674.388925</v>
      </c>
      <c r="N321" s="39" t="n">
        <f aca="false">IF(COUNT('Business Case'!B11:G11)=0,"",H321+NPV(G321,I321:M321))</f>
        <v>-188481431.499906</v>
      </c>
      <c r="P321" s="40" t="n">
        <f aca="true">RAND()</f>
        <v>0.813197746651733</v>
      </c>
      <c r="Q321" s="40" t="n">
        <f aca="true">RAND()</f>
        <v>0.465995803439322</v>
      </c>
      <c r="R321" s="40" t="n">
        <f aca="true">RAND()</f>
        <v>0.416602892754052</v>
      </c>
      <c r="S321" s="40" t="n">
        <f aca="true">RAND()</f>
        <v>0.858482498368991</v>
      </c>
      <c r="T321" s="40" t="n">
        <f aca="true">RAND()</f>
        <v>0.548464639133545</v>
      </c>
      <c r="U321" s="40" t="n">
        <f aca="true">RAND()</f>
        <v>0.534119921659081</v>
      </c>
    </row>
    <row r="322" customFormat="false" ht="15" hidden="false" customHeight="false" outlineLevel="0" collapsed="false">
      <c r="A322" s="36" t="n">
        <v>242</v>
      </c>
      <c r="B322" s="37" t="n">
        <f aca="false">1+IF($G$6=$E$6,$F$6,IF(P322&lt;($F$6-$E$6)/($G$6-$E$6),$E$6+SQRT(P322*($G$6-$E$6)*($F$6-$E$6)),$G$6-SQRT((1-P322)*($G$6-$E$6)*($G$6-$F$6))))</f>
        <v>0.965739191204508</v>
      </c>
      <c r="C322" s="37" t="n">
        <f aca="false">1+IF($G$7=$E$7,$F$7,IF(Q322&lt;($F$7-$E$7)/($G$7-$E$7),$E$7+SQRT(Q322*($G$7-$E$7)*($F$7-$E$7)),$G$7-SQRT((1-Q322)*($G$7-$E$7)*($G$7-$F$7))))</f>
        <v>1.08515988168574</v>
      </c>
      <c r="D322" s="37" t="n">
        <f aca="false">1+IF($G$8=$E$8,$F$8,IF(R322&lt;($F$8-$E$8)/($G$8-$E$8),$E$8+SQRT(R322*($G$8-$E$8)*($F$8-$E$8)),$G$8-SQRT((1-R322)*($G$8-$E$8)*($G$8-$F$8))))</f>
        <v>0.995603618855808</v>
      </c>
      <c r="E322" s="37" t="n">
        <f aca="false">1+IF($G$9=$E$9,$F$9,IF(S322&lt;($F$9-$E$9)/($G$9-$E$9),$E$9+SQRT(S322*($G$9-$E$9)*($F$9-$E$9)),$G$9-SQRT((1-S322)*($G$9-$E$9)*($G$9-$F$9))))</f>
        <v>1.02406208751707</v>
      </c>
      <c r="F322" s="37" t="n">
        <f aca="false">1+IF($G$10=$E$10,$F$10,IF(T322&lt;($F$10-$E$10)/($G$10-$E$10),$E$10+SQRT(T322*($G$10-$E$10)*($F$10-$E$10)),$G$10-SQRT((1-T322)*($G$10-$E$10)*($G$10-$F$10))))</f>
        <v>1.17667415100834</v>
      </c>
      <c r="G322" s="38" t="n">
        <f aca="false">IF($G$11=$E$11,$F$11,IF(U322&lt;($F$11-$E$11)/($G$11-$E$11),$E$11+SQRT(U322*($G$11-$E$11)*($F$11-$E$11)),$G$11-SQRT((1-U322)*($G$11-$E$11)*($G$11-$F$11))))</f>
        <v>0.0956730504710903</v>
      </c>
      <c r="H322" s="39" t="n">
        <f aca="false">(('Business Case'!B11*$C322*'Business Case'!B12*$B322)-'Business Case'!B11*$C322*'Business Case'!B13*$D322-'Business Case'!B14*$E322)-MAX(0,(('Business Case'!B11*$C322*'Business Case'!B12*$B322)-'Business Case'!B11*$C322*'Business Case'!B13*$D322-'Business Case'!B14*$E322))*'Business Case'!$B$7-'Business Case'!$B$8*('Business Case'!B11*$C322*'Business Case'!B12*$B322)-'Business Case'!B15*$F322</f>
        <v>-2353348302.01668</v>
      </c>
      <c r="I322" s="39" t="n">
        <f aca="false">(('Business Case'!C11*$C322*'Business Case'!C12*$B322)-'Business Case'!C11*$C322*'Business Case'!C13*$D322-'Business Case'!C14*$E322)-MAX(0,(('Business Case'!C11*$C322*'Business Case'!C12*$B322)-'Business Case'!C11*$C322*'Business Case'!C13*$D322-'Business Case'!C14*$E322))*'Business Case'!$B$7-'Business Case'!$B$8*(('Business Case'!C11*$C322*'Business Case'!C12*$B322)-('Business Case'!B11*$C322*'Business Case'!B12*$B322))-'Business Case'!C15*$F322</f>
        <v>-12316948.9110436</v>
      </c>
      <c r="J322" s="39" t="n">
        <f aca="false">(('Business Case'!D11*$C322*'Business Case'!D12*$B322)-'Business Case'!D11*$C322*'Business Case'!D13*$D322-'Business Case'!D14*$E322)-MAX(0,(('Business Case'!D11*$C322*'Business Case'!D12*$B322)-'Business Case'!D11*$C322*'Business Case'!D13*$D322-'Business Case'!D14*$E322))*'Business Case'!$B$7-'Business Case'!$B$8*(('Business Case'!D11*$C322*'Business Case'!D12*$B322)-('Business Case'!C11*$C322*'Business Case'!C12*$B322))-'Business Case'!D15*$F322</f>
        <v>292982503.271711</v>
      </c>
      <c r="K322" s="39" t="n">
        <f aca="false">(('Business Case'!E11*$C322*'Business Case'!E12*$B322)-'Business Case'!E11*$C322*'Business Case'!E13*$D322-'Business Case'!E14*$E322)-MAX(0,(('Business Case'!E11*$C322*'Business Case'!E12*$B322)-'Business Case'!E11*$C322*'Business Case'!E13*$D322-'Business Case'!E14*$E322))*'Business Case'!$B$7-'Business Case'!$B$8*(('Business Case'!E11*$C322*'Business Case'!E12*$B322)-('Business Case'!D11*$C322*'Business Case'!D12*$B322))-'Business Case'!E15*$F322</f>
        <v>657115663.004883</v>
      </c>
      <c r="L322" s="39" t="n">
        <f aca="false">(('Business Case'!F11*$C322*'Business Case'!F12*$B322)-'Business Case'!F11*$C322*'Business Case'!F13*$D322-'Business Case'!F14*$E322)-MAX(0,(('Business Case'!F11*$C322*'Business Case'!F12*$B322)-'Business Case'!F11*$C322*'Business Case'!F13*$D322-'Business Case'!F14*$E322))*'Business Case'!$B$7-'Business Case'!$B$8*(('Business Case'!F11*$C322*'Business Case'!F12*$B322)-('Business Case'!E11*$C322*'Business Case'!E12*$B322))-'Business Case'!F15*$F322</f>
        <v>795100385.164493</v>
      </c>
      <c r="M322" s="39" t="n">
        <f aca="false">(('Business Case'!G11*$C322*'Business Case'!G12*$B322)-'Business Case'!G11*$C322*'Business Case'!G13*$D322-'Business Case'!G14*$E322)-MAX(0,(('Business Case'!G11*$C322*'Business Case'!G12*$B322)-'Business Case'!G11*$C322*'Business Case'!G13*$D322-'Business Case'!G14*$E322))*'Business Case'!$B$7-'Business Case'!$B$8*(('Business Case'!G11*$C322*'Business Case'!G12*$B322)-('Business Case'!F11*$C322*'Business Case'!F12*$B322))-'Business Case'!G15*$F322+'Business Case'!$B$8*('Business Case'!G11*$C322*'Business Case'!G12*$B322)</f>
        <v>994300694.707297</v>
      </c>
      <c r="N322" s="39" t="n">
        <f aca="false">IF(COUNT('Business Case'!B11:G11)=0,"",H322+NPV(G322,I322:M322))</f>
        <v>-439602827.623773</v>
      </c>
      <c r="P322" s="40" t="n">
        <f aca="true">RAND()</f>
        <v>0.217924334587765</v>
      </c>
      <c r="Q322" s="40" t="n">
        <f aca="true">RAND()</f>
        <v>0.919919220133207</v>
      </c>
      <c r="R322" s="40" t="n">
        <f aca="true">RAND()</f>
        <v>0.319952315807047</v>
      </c>
      <c r="S322" s="40" t="n">
        <f aca="true">RAND()</f>
        <v>0.615562229848948</v>
      </c>
      <c r="T322" s="40" t="n">
        <f aca="true">RAND()</f>
        <v>0.989118095376368</v>
      </c>
      <c r="U322" s="40" t="n">
        <f aca="true">RAND()</f>
        <v>0.107278338825128</v>
      </c>
    </row>
    <row r="323" customFormat="false" ht="15" hidden="false" customHeight="false" outlineLevel="0" collapsed="false">
      <c r="A323" s="36" t="n">
        <v>243</v>
      </c>
      <c r="B323" s="37" t="n">
        <f aca="false">1+IF($G$6=$E$6,$F$6,IF(P323&lt;($F$6-$E$6)/($G$6-$E$6),$E$6+SQRT(P323*($G$6-$E$6)*($F$6-$E$6)),$G$6-SQRT((1-P323)*($G$6-$E$6)*($G$6-$F$6))))</f>
        <v>1.01207359629498</v>
      </c>
      <c r="C323" s="37" t="n">
        <f aca="false">1+IF($G$7=$E$7,$F$7,IF(Q323&lt;($F$7-$E$7)/($G$7-$E$7),$E$7+SQRT(Q323*($G$7-$E$7)*($F$7-$E$7)),$G$7-SQRT((1-Q323)*($G$7-$E$7)*($G$7-$F$7))))</f>
        <v>0.974650504815725</v>
      </c>
      <c r="D323" s="37" t="n">
        <f aca="false">1+IF($G$8=$E$8,$F$8,IF(R323&lt;($F$8-$E$8)/($G$8-$E$8),$E$8+SQRT(R323*($G$8-$E$8)*($F$8-$E$8)),$G$8-SQRT((1-R323)*($G$8-$E$8)*($G$8-$F$8))))</f>
        <v>1.04114137215492</v>
      </c>
      <c r="E323" s="37" t="n">
        <f aca="false">1+IF($G$9=$E$9,$F$9,IF(S323&lt;($F$9-$E$9)/($G$9-$E$9),$E$9+SQRT(S323*($G$9-$E$9)*($F$9-$E$9)),$G$9-SQRT((1-S323)*($G$9-$E$9)*($G$9-$F$9))))</f>
        <v>0.986567995240041</v>
      </c>
      <c r="F323" s="37" t="n">
        <f aca="false">1+IF($G$10=$E$10,$F$10,IF(T323&lt;($F$10-$E$10)/($G$10-$E$10),$E$10+SQRT(T323*($G$10-$E$10)*($F$10-$E$10)),$G$10-SQRT((1-T323)*($G$10-$E$10)*($G$10-$F$10))))</f>
        <v>1.12372959122873</v>
      </c>
      <c r="G323" s="38" t="n">
        <f aca="false">IF($G$11=$E$11,$F$11,IF(U323&lt;($F$11-$E$11)/($G$11-$E$11),$E$11+SQRT(U323*($G$11-$E$11)*($F$11-$E$11)),$G$11-SQRT((1-U323)*($G$11-$E$11)*($G$11-$F$11))))</f>
        <v>0.104999530322153</v>
      </c>
      <c r="H323" s="39" t="n">
        <f aca="false">(('Business Case'!B11*$C323*'Business Case'!B12*$B323)-'Business Case'!B11*$C323*'Business Case'!B13*$D323-'Business Case'!B14*$E323)-MAX(0,(('Business Case'!B11*$C323*'Business Case'!B12*$B323)-'Business Case'!B11*$C323*'Business Case'!B13*$D323-'Business Case'!B14*$E323))*'Business Case'!$B$7-'Business Case'!$B$8*('Business Case'!B11*$C323*'Business Case'!B12*$B323)-'Business Case'!B15*$F323</f>
        <v>-2247459182.45745</v>
      </c>
      <c r="I323" s="39" t="n">
        <f aca="false">(('Business Case'!C11*$C323*'Business Case'!C12*$B323)-'Business Case'!C11*$C323*'Business Case'!C13*$D323-'Business Case'!C14*$E323)-MAX(0,(('Business Case'!C11*$C323*'Business Case'!C12*$B323)-'Business Case'!C11*$C323*'Business Case'!C13*$D323-'Business Case'!C14*$E323))*'Business Case'!$B$7-'Business Case'!$B$8*(('Business Case'!C11*$C323*'Business Case'!C12*$B323)-('Business Case'!B11*$C323*'Business Case'!B12*$B323))-'Business Case'!C15*$F323</f>
        <v>-15321730.8275339</v>
      </c>
      <c r="J323" s="39" t="n">
        <f aca="false">(('Business Case'!D11*$C323*'Business Case'!D12*$B323)-'Business Case'!D11*$C323*'Business Case'!D13*$D323-'Business Case'!D14*$E323)-MAX(0,(('Business Case'!D11*$C323*'Business Case'!D12*$B323)-'Business Case'!D11*$C323*'Business Case'!D13*$D323-'Business Case'!D14*$E323))*'Business Case'!$B$7-'Business Case'!$B$8*(('Business Case'!D11*$C323*'Business Case'!D12*$B323)-('Business Case'!C11*$C323*'Business Case'!C12*$B323))-'Business Case'!D15*$F323</f>
        <v>273155377.66435</v>
      </c>
      <c r="K323" s="39" t="n">
        <f aca="false">(('Business Case'!E11*$C323*'Business Case'!E12*$B323)-'Business Case'!E11*$C323*'Business Case'!E13*$D323-'Business Case'!E14*$E323)-MAX(0,(('Business Case'!E11*$C323*'Business Case'!E12*$B323)-'Business Case'!E11*$C323*'Business Case'!E13*$D323-'Business Case'!E14*$E323))*'Business Case'!$B$7-'Business Case'!$B$8*(('Business Case'!E11*$C323*'Business Case'!E12*$B323)-('Business Case'!D11*$C323*'Business Case'!D12*$B323))-'Business Case'!E15*$F323</f>
        <v>617818965.71767</v>
      </c>
      <c r="L323" s="39" t="n">
        <f aca="false">(('Business Case'!F11*$C323*'Business Case'!F12*$B323)-'Business Case'!F11*$C323*'Business Case'!F13*$D323-'Business Case'!F14*$E323)-MAX(0,(('Business Case'!F11*$C323*'Business Case'!F12*$B323)-'Business Case'!F11*$C323*'Business Case'!F13*$D323-'Business Case'!F14*$E323))*'Business Case'!$B$7-'Business Case'!$B$8*(('Business Case'!F11*$C323*'Business Case'!F12*$B323)-('Business Case'!E11*$C323*'Business Case'!E12*$B323))-'Business Case'!F15*$F323</f>
        <v>748068609.397238</v>
      </c>
      <c r="M323" s="39" t="n">
        <f aca="false">(('Business Case'!G11*$C323*'Business Case'!G12*$B323)-'Business Case'!G11*$C323*'Business Case'!G13*$D323-'Business Case'!G14*$E323)-MAX(0,(('Business Case'!G11*$C323*'Business Case'!G12*$B323)-'Business Case'!G11*$C323*'Business Case'!G13*$D323-'Business Case'!G14*$E323))*'Business Case'!$B$7-'Business Case'!$B$8*(('Business Case'!G11*$C323*'Business Case'!G12*$B323)-('Business Case'!F11*$C323*'Business Case'!F12*$B323))-'Business Case'!G15*$F323+'Business Case'!$B$8*('Business Case'!G11*$C323*'Business Case'!G12*$B323)</f>
        <v>935566950.733079</v>
      </c>
      <c r="N323" s="39" t="n">
        <f aca="false">IF(COUNT('Business Case'!B11:G11)=0,"",H323+NPV(G323,I323:M323))</f>
        <v>-510063575.827776</v>
      </c>
      <c r="P323" s="40" t="n">
        <f aca="true">RAND()</f>
        <v>0.837524161688346</v>
      </c>
      <c r="Q323" s="40" t="n">
        <f aca="true">RAND()</f>
        <v>0.43575426903411</v>
      </c>
      <c r="R323" s="40" t="n">
        <f aca="true">RAND()</f>
        <v>0.85480836942283</v>
      </c>
      <c r="S323" s="40" t="n">
        <f aca="true">RAND()</f>
        <v>0.178295770116759</v>
      </c>
      <c r="T323" s="40" t="n">
        <f aca="true">RAND()</f>
        <v>0.883656494917256</v>
      </c>
      <c r="U323" s="40" t="n">
        <f aca="true">RAND()</f>
        <v>0.62497651573997</v>
      </c>
    </row>
    <row r="324" customFormat="false" ht="15" hidden="false" customHeight="false" outlineLevel="0" collapsed="false">
      <c r="A324" s="36" t="n">
        <v>244</v>
      </c>
      <c r="B324" s="37" t="n">
        <f aca="false">1+IF($G$6=$E$6,$F$6,IF(P324&lt;($F$6-$E$6)/($G$6-$E$6),$E$6+SQRT(P324*($G$6-$E$6)*($F$6-$E$6)),$G$6-SQRT((1-P324)*($G$6-$E$6)*($G$6-$F$6))))</f>
        <v>0.969108747033865</v>
      </c>
      <c r="C324" s="37" t="n">
        <f aca="false">1+IF($G$7=$E$7,$F$7,IF(Q324&lt;($F$7-$E$7)/($G$7-$E$7),$E$7+SQRT(Q324*($G$7-$E$7)*($F$7-$E$7)),$G$7-SQRT((1-Q324)*($G$7-$E$7)*($G$7-$F$7))))</f>
        <v>0.96017904469288</v>
      </c>
      <c r="D324" s="37" t="n">
        <f aca="false">1+IF($G$8=$E$8,$F$8,IF(R324&lt;($F$8-$E$8)/($G$8-$E$8),$E$8+SQRT(R324*($G$8-$E$8)*($F$8-$E$8)),$G$8-SQRT((1-R324)*($G$8-$E$8)*($G$8-$F$8))))</f>
        <v>1.00746935094652</v>
      </c>
      <c r="E324" s="37" t="n">
        <f aca="false">1+IF($G$9=$E$9,$F$9,IF(S324&lt;($F$9-$E$9)/($G$9-$E$9),$E$9+SQRT(S324*($G$9-$E$9)*($F$9-$E$9)),$G$9-SQRT((1-S324)*($G$9-$E$9)*($G$9-$F$9))))</f>
        <v>1.02108680364989</v>
      </c>
      <c r="F324" s="37" t="n">
        <f aca="false">1+IF($G$10=$E$10,$F$10,IF(T324&lt;($F$10-$E$10)/($G$10-$E$10),$E$10+SQRT(T324*($G$10-$E$10)*($F$10-$E$10)),$G$10-SQRT((1-T324)*($G$10-$E$10)*($G$10-$F$10))))</f>
        <v>1.15280221551975</v>
      </c>
      <c r="G324" s="38" t="n">
        <f aca="false">IF($G$11=$E$11,$F$11,IF(U324&lt;($F$11-$E$11)/($G$11-$E$11),$E$11+SQRT(U324*($G$11-$E$11)*($F$11-$E$11)),$G$11-SQRT((1-U324)*($G$11-$E$11)*($G$11-$F$11))))</f>
        <v>0.103634658941881</v>
      </c>
      <c r="H324" s="39" t="n">
        <f aca="false">(('Business Case'!B11*$C324*'Business Case'!B12*$B324)-'Business Case'!B11*$C324*'Business Case'!B13*$D324-'Business Case'!B14*$E324)-MAX(0,(('Business Case'!B11*$C324*'Business Case'!B12*$B324)-'Business Case'!B11*$C324*'Business Case'!B13*$D324-'Business Case'!B14*$E324))*'Business Case'!$B$7-'Business Case'!$B$8*('Business Case'!B11*$C324*'Business Case'!B12*$B324)-'Business Case'!B15*$F324</f>
        <v>-2305604431.0395</v>
      </c>
      <c r="I324" s="39" t="n">
        <f aca="false">(('Business Case'!C11*$C324*'Business Case'!C12*$B324)-'Business Case'!C11*$C324*'Business Case'!C13*$D324-'Business Case'!C14*$E324)-MAX(0,(('Business Case'!C11*$C324*'Business Case'!C12*$B324)-'Business Case'!C11*$C324*'Business Case'!C13*$D324-'Business Case'!C14*$E324))*'Business Case'!$B$7-'Business Case'!$B$8*(('Business Case'!C11*$C324*'Business Case'!C12*$B324)-('Business Case'!B11*$C324*'Business Case'!B12*$B324))-'Business Case'!C15*$F324</f>
        <v>-41761950.0972353</v>
      </c>
      <c r="J324" s="39" t="n">
        <f aca="false">(('Business Case'!D11*$C324*'Business Case'!D12*$B324)-'Business Case'!D11*$C324*'Business Case'!D13*$D324-'Business Case'!D14*$E324)-MAX(0,(('Business Case'!D11*$C324*'Business Case'!D12*$B324)-'Business Case'!D11*$C324*'Business Case'!D13*$D324-'Business Case'!D14*$E324))*'Business Case'!$B$7-'Business Case'!$B$8*(('Business Case'!D11*$C324*'Business Case'!D12*$B324)-('Business Case'!C11*$C324*'Business Case'!C12*$B324))-'Business Case'!D15*$F324</f>
        <v>225192913.339155</v>
      </c>
      <c r="K324" s="39" t="n">
        <f aca="false">(('Business Case'!E11*$C324*'Business Case'!E12*$B324)-'Business Case'!E11*$C324*'Business Case'!E13*$D324-'Business Case'!E14*$E324)-MAX(0,(('Business Case'!E11*$C324*'Business Case'!E12*$B324)-'Business Case'!E11*$C324*'Business Case'!E13*$D324-'Business Case'!E14*$E324))*'Business Case'!$B$7-'Business Case'!$B$8*(('Business Case'!E11*$C324*'Business Case'!E12*$B324)-('Business Case'!D11*$C324*'Business Case'!D12*$B324))-'Business Case'!E15*$F324</f>
        <v>549787887.551532</v>
      </c>
      <c r="L324" s="39" t="n">
        <f aca="false">(('Business Case'!F11*$C324*'Business Case'!F12*$B324)-'Business Case'!F11*$C324*'Business Case'!F13*$D324-'Business Case'!F14*$E324)-MAX(0,(('Business Case'!F11*$C324*'Business Case'!F12*$B324)-'Business Case'!F11*$C324*'Business Case'!F13*$D324-'Business Case'!F14*$E324))*'Business Case'!$B$7-'Business Case'!$B$8*(('Business Case'!F11*$C324*'Business Case'!F12*$B324)-('Business Case'!E11*$C324*'Business Case'!E12*$B324))-'Business Case'!F15*$F324</f>
        <v>670931541.032087</v>
      </c>
      <c r="M324" s="39" t="n">
        <f aca="false">(('Business Case'!G11*$C324*'Business Case'!G12*$B324)-'Business Case'!G11*$C324*'Business Case'!G13*$D324-'Business Case'!G14*$E324)-MAX(0,(('Business Case'!G11*$C324*'Business Case'!G12*$B324)-'Business Case'!G11*$C324*'Business Case'!G13*$D324-'Business Case'!G14*$E324))*'Business Case'!$B$7-'Business Case'!$B$8*(('Business Case'!G11*$C324*'Business Case'!G12*$B324)-('Business Case'!F11*$C324*'Business Case'!F12*$B324))-'Business Case'!G15*$F324+'Business Case'!$B$8*('Business Case'!G11*$C324*'Business Case'!G12*$B324)</f>
        <v>847804385.541754</v>
      </c>
      <c r="N324" s="39" t="n">
        <f aca="false">IF(COUNT('Business Case'!B11:G11)=0,"",H324+NPV(G324,I324:M324))</f>
        <v>-779506147.924444</v>
      </c>
      <c r="P324" s="40" t="n">
        <f aca="true">RAND()</f>
        <v>0.251215524503767</v>
      </c>
      <c r="Q324" s="40" t="n">
        <f aca="true">RAND()</f>
        <v>0.366533233696052</v>
      </c>
      <c r="R324" s="40" t="n">
        <f aca="true">RAND()</f>
        <v>0.494163937296291</v>
      </c>
      <c r="S324" s="40" t="n">
        <f aca="true">RAND()</f>
        <v>0.584847162787226</v>
      </c>
      <c r="T324" s="40" t="n">
        <f aca="true">RAND()</f>
        <v>0.955447382803114</v>
      </c>
      <c r="U324" s="40" t="n">
        <f aca="true">RAND()</f>
        <v>0.553626020085743</v>
      </c>
    </row>
    <row r="325" customFormat="false" ht="15" hidden="false" customHeight="false" outlineLevel="0" collapsed="false">
      <c r="A325" s="36" t="n">
        <v>245</v>
      </c>
      <c r="B325" s="37" t="n">
        <f aca="false">1+IF($G$6=$E$6,$F$6,IF(P325&lt;($F$6-$E$6)/($G$6-$E$6),$E$6+SQRT(P325*($G$6-$E$6)*($F$6-$E$6)),$G$6-SQRT((1-P325)*($G$6-$E$6)*($G$6-$F$6))))</f>
        <v>0.994018490179806</v>
      </c>
      <c r="C325" s="37" t="n">
        <f aca="false">1+IF($G$7=$E$7,$F$7,IF(Q325&lt;($F$7-$E$7)/($G$7-$E$7),$E$7+SQRT(Q325*($G$7-$E$7)*($F$7-$E$7)),$G$7-SQRT((1-Q325)*($G$7-$E$7)*($G$7-$F$7))))</f>
        <v>0.923929935167061</v>
      </c>
      <c r="D325" s="37" t="n">
        <f aca="false">1+IF($G$8=$E$8,$F$8,IF(R325&lt;($F$8-$E$8)/($G$8-$E$8),$E$8+SQRT(R325*($G$8-$E$8)*($F$8-$E$8)),$G$8-SQRT((1-R325)*($G$8-$E$8)*($G$8-$F$8))))</f>
        <v>1.00001542517255</v>
      </c>
      <c r="E325" s="37" t="n">
        <f aca="false">1+IF($G$9=$E$9,$F$9,IF(S325&lt;($F$9-$E$9)/($G$9-$E$9),$E$9+SQRT(S325*($G$9-$E$9)*($F$9-$E$9)),$G$9-SQRT((1-S325)*($G$9-$E$9)*($G$9-$F$9))))</f>
        <v>1.02154155669488</v>
      </c>
      <c r="F325" s="37" t="n">
        <f aca="false">1+IF($G$10=$E$10,$F$10,IF(T325&lt;($F$10-$E$10)/($G$10-$E$10),$E$10+SQRT(T325*($G$10-$E$10)*($F$10-$E$10)),$G$10-SQRT((1-T325)*($G$10-$E$10)*($G$10-$F$10))))</f>
        <v>1.11970984400276</v>
      </c>
      <c r="G325" s="38" t="n">
        <f aca="false">IF($G$11=$E$11,$F$11,IF(U325&lt;($F$11-$E$11)/($G$11-$E$11),$E$11+SQRT(U325*($G$11-$E$11)*($F$11-$E$11)),$G$11-SQRT((1-U325)*($G$11-$E$11)*($G$11-$F$11))))</f>
        <v>0.106369882051496</v>
      </c>
      <c r="H325" s="39" t="n">
        <f aca="false">(('Business Case'!B11*$C325*'Business Case'!B12*$B325)-'Business Case'!B11*$C325*'Business Case'!B13*$D325-'Business Case'!B14*$E325)-MAX(0,(('Business Case'!B11*$C325*'Business Case'!B12*$B325)-'Business Case'!B11*$C325*'Business Case'!B13*$D325-'Business Case'!B14*$E325))*'Business Case'!$B$7-'Business Case'!$B$8*('Business Case'!B11*$C325*'Business Case'!B12*$B325)-'Business Case'!B15*$F325</f>
        <v>-2239419688.00551</v>
      </c>
      <c r="I325" s="39" t="n">
        <f aca="false">(('Business Case'!C11*$C325*'Business Case'!C12*$B325)-'Business Case'!C11*$C325*'Business Case'!C13*$D325-'Business Case'!C14*$E325)-MAX(0,(('Business Case'!C11*$C325*'Business Case'!C12*$B325)-'Business Case'!C11*$C325*'Business Case'!C13*$D325-'Business Case'!C14*$E325))*'Business Case'!$B$7-'Business Case'!$B$8*(('Business Case'!C11*$C325*'Business Case'!C12*$B325)-('Business Case'!B11*$C325*'Business Case'!B12*$B325))-'Business Case'!C15*$F325</f>
        <v>-25591194.4894687</v>
      </c>
      <c r="J325" s="39" t="n">
        <f aca="false">(('Business Case'!D11*$C325*'Business Case'!D12*$B325)-'Business Case'!D11*$C325*'Business Case'!D13*$D325-'Business Case'!D14*$E325)-MAX(0,(('Business Case'!D11*$C325*'Business Case'!D12*$B325)-'Business Case'!D11*$C325*'Business Case'!D13*$D325-'Business Case'!D14*$E325))*'Business Case'!$B$7-'Business Case'!$B$8*(('Business Case'!D11*$C325*'Business Case'!D12*$B325)-('Business Case'!C11*$C325*'Business Case'!C12*$B325))-'Business Case'!D15*$F325</f>
        <v>253661839.070788</v>
      </c>
      <c r="K325" s="39" t="n">
        <f aca="false">(('Business Case'!E11*$C325*'Business Case'!E12*$B325)-'Business Case'!E11*$C325*'Business Case'!E13*$D325-'Business Case'!E14*$E325)-MAX(0,(('Business Case'!E11*$C325*'Business Case'!E12*$B325)-'Business Case'!E11*$C325*'Business Case'!E13*$D325-'Business Case'!E14*$E325))*'Business Case'!$B$7-'Business Case'!$B$8*(('Business Case'!E11*$C325*'Business Case'!E12*$B325)-('Business Case'!D11*$C325*'Business Case'!D12*$B325))-'Business Case'!E15*$F325</f>
        <v>588900364.831182</v>
      </c>
      <c r="L325" s="39" t="n">
        <f aca="false">(('Business Case'!F11*$C325*'Business Case'!F12*$B325)-'Business Case'!F11*$C325*'Business Case'!F13*$D325-'Business Case'!F14*$E325)-MAX(0,(('Business Case'!F11*$C325*'Business Case'!F12*$B325)-'Business Case'!F11*$C325*'Business Case'!F13*$D325-'Business Case'!F14*$E325))*'Business Case'!$B$7-'Business Case'!$B$8*(('Business Case'!F11*$C325*'Business Case'!F12*$B325)-('Business Case'!E11*$C325*'Business Case'!E12*$B325))-'Business Case'!F15*$F325</f>
        <v>713724732.209559</v>
      </c>
      <c r="M325" s="39" t="n">
        <f aca="false">(('Business Case'!G11*$C325*'Business Case'!G12*$B325)-'Business Case'!G11*$C325*'Business Case'!G13*$D325-'Business Case'!G14*$E325)-MAX(0,(('Business Case'!G11*$C325*'Business Case'!G12*$B325)-'Business Case'!G11*$C325*'Business Case'!G13*$D325-'Business Case'!G14*$E325))*'Business Case'!$B$7-'Business Case'!$B$8*(('Business Case'!G11*$C325*'Business Case'!G12*$B325)-('Business Case'!F11*$C325*'Business Case'!F12*$B325))-'Business Case'!G15*$F325+'Business Case'!$B$8*('Business Case'!G11*$C325*'Business Case'!G12*$B325)</f>
        <v>888294857.930165</v>
      </c>
      <c r="N325" s="39" t="n">
        <f aca="false">IF(COUNT('Business Case'!B11:G11)=0,"",H325+NPV(G325,I325:M325))</f>
        <v>-608249732.382284</v>
      </c>
      <c r="P325" s="40" t="n">
        <f aca="true">RAND()</f>
        <v>0.570701759218546</v>
      </c>
      <c r="Q325" s="40" t="n">
        <f aca="true">RAND()</f>
        <v>0.219408983293027</v>
      </c>
      <c r="R325" s="40" t="n">
        <f aca="true">RAND()</f>
        <v>0.384852672083913</v>
      </c>
      <c r="S325" s="40" t="n">
        <f aca="true">RAND()</f>
        <v>0.589618178275791</v>
      </c>
      <c r="T325" s="40" t="n">
        <f aca="true">RAND()</f>
        <v>0.871069816998764</v>
      </c>
      <c r="U325" s="40" t="n">
        <f aca="true">RAND()</f>
        <v>0.690366474516466</v>
      </c>
    </row>
    <row r="326" customFormat="false" ht="15" hidden="false" customHeight="false" outlineLevel="0" collapsed="false">
      <c r="A326" s="36" t="n">
        <v>246</v>
      </c>
      <c r="B326" s="37" t="n">
        <f aca="false">1+IF($G$6=$E$6,$F$6,IF(P326&lt;($F$6-$E$6)/($G$6-$E$6),$E$6+SQRT(P326*($G$6-$E$6)*($F$6-$E$6)),$G$6-SQRT((1-P326)*($G$6-$E$6)*($G$6-$F$6))))</f>
        <v>0.941220733609877</v>
      </c>
      <c r="C326" s="37" t="n">
        <f aca="false">1+IF($G$7=$E$7,$F$7,IF(Q326&lt;($F$7-$E$7)/($G$7-$E$7),$E$7+SQRT(Q326*($G$7-$E$7)*($F$7-$E$7)),$G$7-SQRT((1-Q326)*($G$7-$E$7)*($G$7-$F$7))))</f>
        <v>1.11662797656911</v>
      </c>
      <c r="D326" s="37" t="n">
        <f aca="false">1+IF($G$8=$E$8,$F$8,IF(R326&lt;($F$8-$E$8)/($G$8-$E$8),$E$8+SQRT(R326*($G$8-$E$8)*($F$8-$E$8)),$G$8-SQRT((1-R326)*($G$8-$E$8)*($G$8-$F$8))))</f>
        <v>0.994883198226047</v>
      </c>
      <c r="E326" s="37" t="n">
        <f aca="false">1+IF($G$9=$E$9,$F$9,IF(S326&lt;($F$9-$E$9)/($G$9-$E$9),$E$9+SQRT(S326*($G$9-$E$9)*($F$9-$E$9)),$G$9-SQRT((1-S326)*($G$9-$E$9)*($G$9-$F$9))))</f>
        <v>1.01358941361214</v>
      </c>
      <c r="F326" s="37" t="n">
        <f aca="false">1+IF($G$10=$E$10,$F$10,IF(T326&lt;($F$10-$E$10)/($G$10-$E$10),$E$10+SQRT(T326*($G$10-$E$10)*($F$10-$E$10)),$G$10-SQRT((1-T326)*($G$10-$E$10)*($G$10-$F$10))))</f>
        <v>1.05295784491772</v>
      </c>
      <c r="G326" s="38" t="n">
        <f aca="false">IF($G$11=$E$11,$F$11,IF(U326&lt;($F$11-$E$11)/($G$11-$E$11),$E$11+SQRT(U326*($G$11-$E$11)*($F$11-$E$11)),$G$11-SQRT((1-U326)*($G$11-$E$11)*($G$11-$F$11))))</f>
        <v>0.102681738508314</v>
      </c>
      <c r="H326" s="39" t="n">
        <f aca="false">(('Business Case'!B11*$C326*'Business Case'!B12*$B326)-'Business Case'!B11*$C326*'Business Case'!B13*$D326-'Business Case'!B14*$E326)-MAX(0,(('Business Case'!B11*$C326*'Business Case'!B12*$B326)-'Business Case'!B11*$C326*'Business Case'!B13*$D326-'Business Case'!B14*$E326))*'Business Case'!$B$7-'Business Case'!$B$8*('Business Case'!B11*$C326*'Business Case'!B12*$B326)-'Business Case'!B15*$F326</f>
        <v>-2105915689.83544</v>
      </c>
      <c r="I326" s="39" t="n">
        <f aca="false">(('Business Case'!C11*$C326*'Business Case'!C12*$B326)-'Business Case'!C11*$C326*'Business Case'!C13*$D326-'Business Case'!C14*$E326)-MAX(0,(('Business Case'!C11*$C326*'Business Case'!C12*$B326)-'Business Case'!C11*$C326*'Business Case'!C13*$D326-'Business Case'!C14*$E326))*'Business Case'!$B$7-'Business Case'!$B$8*(('Business Case'!C11*$C326*'Business Case'!C12*$B326)-('Business Case'!B11*$C326*'Business Case'!B12*$B326))-'Business Case'!C15*$F326</f>
        <v>-11771734.4019701</v>
      </c>
      <c r="J326" s="39" t="n">
        <f aca="false">(('Business Case'!D11*$C326*'Business Case'!D12*$B326)-'Business Case'!D11*$C326*'Business Case'!D13*$D326-'Business Case'!D14*$E326)-MAX(0,(('Business Case'!D11*$C326*'Business Case'!D12*$B326)-'Business Case'!D11*$C326*'Business Case'!D13*$D326-'Business Case'!D14*$E326))*'Business Case'!$B$7-'Business Case'!$B$8*(('Business Case'!D11*$C326*'Business Case'!D12*$B326)-('Business Case'!C11*$C326*'Business Case'!C12*$B326))-'Business Case'!D15*$F326</f>
        <v>280368228.329291</v>
      </c>
      <c r="K326" s="39" t="n">
        <f aca="false">(('Business Case'!E11*$C326*'Business Case'!E12*$B326)-'Business Case'!E11*$C326*'Business Case'!E13*$D326-'Business Case'!E14*$E326)-MAX(0,(('Business Case'!E11*$C326*'Business Case'!E12*$B326)-'Business Case'!E11*$C326*'Business Case'!E13*$D326-'Business Case'!E14*$E326))*'Business Case'!$B$7-'Business Case'!$B$8*(('Business Case'!E11*$C326*'Business Case'!E12*$B326)-('Business Case'!D11*$C326*'Business Case'!D12*$B326))-'Business Case'!E15*$F326</f>
        <v>625156083.306438</v>
      </c>
      <c r="L326" s="39" t="n">
        <f aca="false">(('Business Case'!F11*$C326*'Business Case'!F12*$B326)-'Business Case'!F11*$C326*'Business Case'!F13*$D326-'Business Case'!F14*$E326)-MAX(0,(('Business Case'!F11*$C326*'Business Case'!F12*$B326)-'Business Case'!F11*$C326*'Business Case'!F13*$D326-'Business Case'!F14*$E326))*'Business Case'!$B$7-'Business Case'!$B$8*(('Business Case'!F11*$C326*'Business Case'!F12*$B326)-('Business Case'!E11*$C326*'Business Case'!E12*$B326))-'Business Case'!F15*$F326</f>
        <v>758858402.900733</v>
      </c>
      <c r="M326" s="39" t="n">
        <f aca="false">(('Business Case'!G11*$C326*'Business Case'!G12*$B326)-'Business Case'!G11*$C326*'Business Case'!G13*$D326-'Business Case'!G14*$E326)-MAX(0,(('Business Case'!G11*$C326*'Business Case'!G12*$B326)-'Business Case'!G11*$C326*'Business Case'!G13*$D326-'Business Case'!G14*$E326))*'Business Case'!$B$7-'Business Case'!$B$8*(('Business Case'!G11*$C326*'Business Case'!G12*$B326)-('Business Case'!F11*$C326*'Business Case'!F12*$B326))-'Business Case'!G15*$F326+'Business Case'!$B$8*('Business Case'!G11*$C326*'Business Case'!G12*$B326)</f>
        <v>958631228.995377</v>
      </c>
      <c r="N326" s="39" t="n">
        <f aca="false">IF(COUNT('Business Case'!B11:G11)=0,"",H326+NPV(G326,I326:M326))</f>
        <v>-318418854.175408</v>
      </c>
      <c r="P326" s="40" t="n">
        <f aca="true">RAND()</f>
        <v>0.0469082848897235</v>
      </c>
      <c r="Q326" s="40" t="n">
        <f aca="true">RAND()</f>
        <v>0.978786820040541</v>
      </c>
      <c r="R326" s="40" t="n">
        <f aca="true">RAND()</f>
        <v>0.309923305076705</v>
      </c>
      <c r="S326" s="40" t="n">
        <f aca="true">RAND()</f>
        <v>0.502214037340459</v>
      </c>
      <c r="T326" s="40" t="n">
        <f aca="true">RAND()</f>
        <v>0.567572092575177</v>
      </c>
      <c r="U326" s="40" t="n">
        <f aca="true">RAND()</f>
        <v>0.500129698175982</v>
      </c>
    </row>
    <row r="327" customFormat="false" ht="15" hidden="false" customHeight="false" outlineLevel="0" collapsed="false">
      <c r="A327" s="36" t="n">
        <v>247</v>
      </c>
      <c r="B327" s="37" t="n">
        <f aca="false">1+IF($G$6=$E$6,$F$6,IF(P327&lt;($F$6-$E$6)/($G$6-$E$6),$E$6+SQRT(P327*($G$6-$E$6)*($F$6-$E$6)),$G$6-SQRT((1-P327)*($G$6-$E$6)*($G$6-$F$6))))</f>
        <v>0.964456269773806</v>
      </c>
      <c r="C327" s="37" t="n">
        <f aca="false">1+IF($G$7=$E$7,$F$7,IF(Q327&lt;($F$7-$E$7)/($G$7-$E$7),$E$7+SQRT(Q327*($G$7-$E$7)*($F$7-$E$7)),$G$7-SQRT((1-Q327)*($G$7-$E$7)*($G$7-$F$7))))</f>
        <v>1.01660159065312</v>
      </c>
      <c r="D327" s="37" t="n">
        <f aca="false">1+IF($G$8=$E$8,$F$8,IF(R327&lt;($F$8-$E$8)/($G$8-$E$8),$E$8+SQRT(R327*($G$8-$E$8)*($F$8-$E$8)),$G$8-SQRT((1-R327)*($G$8-$E$8)*($G$8-$F$8))))</f>
        <v>0.98028799546608</v>
      </c>
      <c r="E327" s="37" t="n">
        <f aca="false">1+IF($G$9=$E$9,$F$9,IF(S327&lt;($F$9-$E$9)/($G$9-$E$9),$E$9+SQRT(S327*($G$9-$E$9)*($F$9-$E$9)),$G$9-SQRT((1-S327)*($G$9-$E$9)*($G$9-$F$9))))</f>
        <v>0.960135967627539</v>
      </c>
      <c r="F327" s="37" t="n">
        <f aca="false">1+IF($G$10=$E$10,$F$10,IF(T327&lt;($F$10-$E$10)/($G$10-$E$10),$E$10+SQRT(T327*($G$10-$E$10)*($F$10-$E$10)),$G$10-SQRT((1-T327)*($G$10-$E$10)*($G$10-$F$10))))</f>
        <v>0.968023567729355</v>
      </c>
      <c r="G327" s="38" t="n">
        <f aca="false">IF($G$11=$E$11,$F$11,IF(U327&lt;($F$11-$E$11)/($G$11-$E$11),$E$11+SQRT(U327*($G$11-$E$11)*($F$11-$E$11)),$G$11-SQRT((1-U327)*($G$11-$E$11)*($G$11-$F$11))))</f>
        <v>0.109901801855116</v>
      </c>
      <c r="H327" s="39" t="n">
        <f aca="false">(('Business Case'!B11*$C327*'Business Case'!B12*$B327)-'Business Case'!B11*$C327*'Business Case'!B13*$D327-'Business Case'!B14*$E327)-MAX(0,(('Business Case'!B11*$C327*'Business Case'!B12*$B327)-'Business Case'!B11*$C327*'Business Case'!B13*$D327-'Business Case'!B14*$E327))*'Business Case'!$B$7-'Business Case'!$B$8*('Business Case'!B11*$C327*'Business Case'!B12*$B327)-'Business Case'!B15*$F327</f>
        <v>-1936047135.45871</v>
      </c>
      <c r="I327" s="39" t="n">
        <f aca="false">(('Business Case'!C11*$C327*'Business Case'!C12*$B327)-'Business Case'!C11*$C327*'Business Case'!C13*$D327-'Business Case'!C14*$E327)-MAX(0,(('Business Case'!C11*$C327*'Business Case'!C12*$B327)-'Business Case'!C11*$C327*'Business Case'!C13*$D327-'Business Case'!C14*$E327))*'Business Case'!$B$7-'Business Case'!$B$8*(('Business Case'!C11*$C327*'Business Case'!C12*$B327)-('Business Case'!B11*$C327*'Business Case'!B12*$B327))-'Business Case'!C15*$F327</f>
        <v>8752372.07241626</v>
      </c>
      <c r="J327" s="39" t="n">
        <f aca="false">(('Business Case'!D11*$C327*'Business Case'!D12*$B327)-'Business Case'!D11*$C327*'Business Case'!D13*$D327-'Business Case'!D14*$E327)-MAX(0,(('Business Case'!D11*$C327*'Business Case'!D12*$B327)-'Business Case'!D11*$C327*'Business Case'!D13*$D327-'Business Case'!D14*$E327))*'Business Case'!$B$7-'Business Case'!$B$8*(('Business Case'!D11*$C327*'Business Case'!D12*$B327)-('Business Case'!C11*$C327*'Business Case'!C12*$B327))-'Business Case'!D15*$F327</f>
        <v>301665885.124235</v>
      </c>
      <c r="K327" s="39" t="n">
        <f aca="false">(('Business Case'!E11*$C327*'Business Case'!E12*$B327)-'Business Case'!E11*$C327*'Business Case'!E13*$D327-'Business Case'!E14*$E327)-MAX(0,(('Business Case'!E11*$C327*'Business Case'!E12*$B327)-'Business Case'!E11*$C327*'Business Case'!E13*$D327-'Business Case'!E14*$E327))*'Business Case'!$B$7-'Business Case'!$B$8*(('Business Case'!E11*$C327*'Business Case'!E12*$B327)-('Business Case'!D11*$C327*'Business Case'!D12*$B327))-'Business Case'!E15*$F327</f>
        <v>642980576.562522</v>
      </c>
      <c r="L327" s="39" t="n">
        <f aca="false">(('Business Case'!F11*$C327*'Business Case'!F12*$B327)-'Business Case'!F11*$C327*'Business Case'!F13*$D327-'Business Case'!F14*$E327)-MAX(0,(('Business Case'!F11*$C327*'Business Case'!F12*$B327)-'Business Case'!F11*$C327*'Business Case'!F13*$D327-'Business Case'!F14*$E327))*'Business Case'!$B$7-'Business Case'!$B$8*(('Business Case'!F11*$C327*'Business Case'!F12*$B327)-('Business Case'!E11*$C327*'Business Case'!E12*$B327))-'Business Case'!F15*$F327</f>
        <v>774503380.653016</v>
      </c>
      <c r="M327" s="39" t="n">
        <f aca="false">(('Business Case'!G11*$C327*'Business Case'!G12*$B327)-'Business Case'!G11*$C327*'Business Case'!G13*$D327-'Business Case'!G14*$E327)-MAX(0,(('Business Case'!G11*$C327*'Business Case'!G12*$B327)-'Business Case'!G11*$C327*'Business Case'!G13*$D327-'Business Case'!G14*$E327))*'Business Case'!$B$7-'Business Case'!$B$8*(('Business Case'!G11*$C327*'Business Case'!G12*$B327)-('Business Case'!F11*$C327*'Business Case'!F12*$B327))-'Business Case'!G15*$F327+'Business Case'!$B$8*('Business Case'!G11*$C327*'Business Case'!G12*$B327)</f>
        <v>960870695.889064</v>
      </c>
      <c r="N327" s="39" t="n">
        <f aca="false">IF(COUNT('Business Case'!B11:G11)=0,"",H327+NPV(G327,I327:M327))</f>
        <v>-132160403.182416</v>
      </c>
      <c r="P327" s="40" t="n">
        <f aca="true">RAND()</f>
        <v>0.205870825229318</v>
      </c>
      <c r="Q327" s="40" t="n">
        <f aca="true">RAND()</f>
        <v>0.661045035880414</v>
      </c>
      <c r="R327" s="40" t="n">
        <f aca="true">RAND()</f>
        <v>0.14113271836204</v>
      </c>
      <c r="S327" s="40" t="n">
        <f aca="true">RAND()</f>
        <v>0.0136983786328677</v>
      </c>
      <c r="T327" s="40" t="n">
        <f aca="true">RAND()</f>
        <v>0.0259879194955726</v>
      </c>
      <c r="U327" s="40" t="n">
        <f aca="true">RAND()</f>
        <v>0.830043990377766</v>
      </c>
    </row>
    <row r="328" customFormat="false" ht="15" hidden="false" customHeight="false" outlineLevel="0" collapsed="false">
      <c r="A328" s="36" t="n">
        <v>248</v>
      </c>
      <c r="B328" s="37" t="n">
        <f aca="false">1+IF($G$6=$E$6,$F$6,IF(P328&lt;($F$6-$E$6)/($G$6-$E$6),$E$6+SQRT(P328*($G$6-$E$6)*($F$6-$E$6)),$G$6-SQRT((1-P328)*($G$6-$E$6)*($G$6-$F$6))))</f>
        <v>0.980089085909999</v>
      </c>
      <c r="C328" s="37" t="n">
        <f aca="false">1+IF($G$7=$E$7,$F$7,IF(Q328&lt;($F$7-$E$7)/($G$7-$E$7),$E$7+SQRT(Q328*($G$7-$E$7)*($F$7-$E$7)),$G$7-SQRT((1-Q328)*($G$7-$E$7)*($G$7-$F$7))))</f>
        <v>0.93471298080778</v>
      </c>
      <c r="D328" s="37" t="n">
        <f aca="false">1+IF($G$8=$E$8,$F$8,IF(R328&lt;($F$8-$E$8)/($G$8-$E$8),$E$8+SQRT(R328*($G$8-$E$8)*($F$8-$E$8)),$G$8-SQRT((1-R328)*($G$8-$E$8)*($G$8-$F$8))))</f>
        <v>0.988130794977457</v>
      </c>
      <c r="E328" s="37" t="n">
        <f aca="false">1+IF($G$9=$E$9,$F$9,IF(S328&lt;($F$9-$E$9)/($G$9-$E$9),$E$9+SQRT(S328*($G$9-$E$9)*($F$9-$E$9)),$G$9-SQRT((1-S328)*($G$9-$E$9)*($G$9-$F$9))))</f>
        <v>1.02597705102082</v>
      </c>
      <c r="F328" s="37" t="n">
        <f aca="false">1+IF($G$10=$E$10,$F$10,IF(T328&lt;($F$10-$E$10)/($G$10-$E$10),$E$10+SQRT(T328*($G$10-$E$10)*($F$10-$E$10)),$G$10-SQRT((1-T328)*($G$10-$E$10)*($G$10-$F$10))))</f>
        <v>0.993374398022596</v>
      </c>
      <c r="G328" s="38" t="n">
        <f aca="false">IF($G$11=$E$11,$F$11,IF(U328&lt;($F$11-$E$11)/($G$11-$E$11),$E$11+SQRT(U328*($G$11-$E$11)*($F$11-$E$11)),$G$11-SQRT((1-U328)*($G$11-$E$11)*($G$11-$F$11))))</f>
        <v>0.0992410056064763</v>
      </c>
      <c r="H328" s="39" t="n">
        <f aca="false">(('Business Case'!B11*$C328*'Business Case'!B12*$B328)-'Business Case'!B11*$C328*'Business Case'!B13*$D328-'Business Case'!B14*$E328)-MAX(0,(('Business Case'!B11*$C328*'Business Case'!B12*$B328)-'Business Case'!B11*$C328*'Business Case'!B13*$D328-'Business Case'!B14*$E328))*'Business Case'!$B$7-'Business Case'!$B$8*('Business Case'!B11*$C328*'Business Case'!B12*$B328)-'Business Case'!B15*$F328</f>
        <v>-1986748796.04519</v>
      </c>
      <c r="I328" s="39" t="n">
        <f aca="false">(('Business Case'!C11*$C328*'Business Case'!C12*$B328)-'Business Case'!C11*$C328*'Business Case'!C13*$D328-'Business Case'!C14*$E328)-MAX(0,(('Business Case'!C11*$C328*'Business Case'!C12*$B328)-'Business Case'!C11*$C328*'Business Case'!C13*$D328-'Business Case'!C14*$E328))*'Business Case'!$B$7-'Business Case'!$B$8*(('Business Case'!C11*$C328*'Business Case'!C12*$B328)-('Business Case'!B11*$C328*'Business Case'!B12*$B328))-'Business Case'!C15*$F328</f>
        <v>-15187488.8141442</v>
      </c>
      <c r="J328" s="39" t="n">
        <f aca="false">(('Business Case'!D11*$C328*'Business Case'!D12*$B328)-'Business Case'!D11*$C328*'Business Case'!D13*$D328-'Business Case'!D14*$E328)-MAX(0,(('Business Case'!D11*$C328*'Business Case'!D12*$B328)-'Business Case'!D11*$C328*'Business Case'!D13*$D328-'Business Case'!D14*$E328))*'Business Case'!$B$7-'Business Case'!$B$8*(('Business Case'!D11*$C328*'Business Case'!D12*$B328)-('Business Case'!C11*$C328*'Business Case'!C12*$B328))-'Business Case'!D15*$F328</f>
        <v>262347126.039882</v>
      </c>
      <c r="K328" s="39" t="n">
        <f aca="false">(('Business Case'!E11*$C328*'Business Case'!E12*$B328)-'Business Case'!E11*$C328*'Business Case'!E13*$D328-'Business Case'!E14*$E328)-MAX(0,(('Business Case'!E11*$C328*'Business Case'!E12*$B328)-'Business Case'!E11*$C328*'Business Case'!E13*$D328-'Business Case'!E14*$E328))*'Business Case'!$B$7-'Business Case'!$B$8*(('Business Case'!E11*$C328*'Business Case'!E12*$B328)-('Business Case'!D11*$C328*'Business Case'!D12*$B328))-'Business Case'!E15*$F328</f>
        <v>589550460.795038</v>
      </c>
      <c r="L328" s="39" t="n">
        <f aca="false">(('Business Case'!F11*$C328*'Business Case'!F12*$B328)-'Business Case'!F11*$C328*'Business Case'!F13*$D328-'Business Case'!F14*$E328)-MAX(0,(('Business Case'!F11*$C328*'Business Case'!F12*$B328)-'Business Case'!F11*$C328*'Business Case'!F13*$D328-'Business Case'!F14*$E328))*'Business Case'!$B$7-'Business Case'!$B$8*(('Business Case'!F11*$C328*'Business Case'!F12*$B328)-('Business Case'!E11*$C328*'Business Case'!E12*$B328))-'Business Case'!F15*$F328</f>
        <v>713722483.886881</v>
      </c>
      <c r="M328" s="39" t="n">
        <f aca="false">(('Business Case'!G11*$C328*'Business Case'!G12*$B328)-'Business Case'!G11*$C328*'Business Case'!G13*$D328-'Business Case'!G14*$E328)-MAX(0,(('Business Case'!G11*$C328*'Business Case'!G12*$B328)-'Business Case'!G11*$C328*'Business Case'!G13*$D328-'Business Case'!G14*$E328))*'Business Case'!$B$7-'Business Case'!$B$8*(('Business Case'!G11*$C328*'Business Case'!G12*$B328)-('Business Case'!F11*$C328*'Business Case'!F12*$B328))-'Business Case'!G15*$F328+'Business Case'!$B$8*('Business Case'!G11*$C328*'Business Case'!G12*$B328)</f>
        <v>887855150.326297</v>
      </c>
      <c r="N328" s="39" t="n">
        <f aca="false">IF(COUNT('Business Case'!B11:G11)=0,"",H328+NPV(G328,I328:M328))</f>
        <v>-297569795.713875</v>
      </c>
      <c r="P328" s="40" t="n">
        <f aca="true">RAND()</f>
        <v>0.376114400572842</v>
      </c>
      <c r="Q328" s="40" t="n">
        <f aca="true">RAND()</f>
        <v>0.25925124568739</v>
      </c>
      <c r="R328" s="40" t="n">
        <f aca="true">RAND()</f>
        <v>0.223685773171212</v>
      </c>
      <c r="S328" s="40" t="n">
        <f aca="true">RAND()</f>
        <v>0.634706868295081</v>
      </c>
      <c r="T328" s="40" t="n">
        <f aca="true">RAND()</f>
        <v>0.150507072305809</v>
      </c>
      <c r="U328" s="40" t="n">
        <f aca="true">RAND()</f>
        <v>0.284653948729754</v>
      </c>
    </row>
    <row r="329" customFormat="false" ht="15" hidden="false" customHeight="false" outlineLevel="0" collapsed="false">
      <c r="A329" s="36" t="n">
        <v>249</v>
      </c>
      <c r="B329" s="37" t="n">
        <f aca="false">1+IF($G$6=$E$6,$F$6,IF(P329&lt;($F$6-$E$6)/($G$6-$E$6),$E$6+SQRT(P329*($G$6-$E$6)*($F$6-$E$6)),$G$6-SQRT((1-P329)*($G$6-$E$6)*($G$6-$F$6))))</f>
        <v>1.00770936521706</v>
      </c>
      <c r="C329" s="37" t="n">
        <f aca="false">1+IF($G$7=$E$7,$F$7,IF(Q329&lt;($F$7-$E$7)/($G$7-$E$7),$E$7+SQRT(Q329*($G$7-$E$7)*($F$7-$E$7)),$G$7-SQRT((1-Q329)*($G$7-$E$7)*($G$7-$F$7))))</f>
        <v>0.883137916329843</v>
      </c>
      <c r="D329" s="37" t="n">
        <f aca="false">1+IF($G$8=$E$8,$F$8,IF(R329&lt;($F$8-$E$8)/($G$8-$E$8),$E$8+SQRT(R329*($G$8-$E$8)*($F$8-$E$8)),$G$8-SQRT((1-R329)*($G$8-$E$8)*($G$8-$F$8))))</f>
        <v>0.971992740244278</v>
      </c>
      <c r="E329" s="37" t="n">
        <f aca="false">1+IF($G$9=$E$9,$F$9,IF(S329&lt;($F$9-$E$9)/($G$9-$E$9),$E$9+SQRT(S329*($G$9-$E$9)*($F$9-$E$9)),$G$9-SQRT((1-S329)*($G$9-$E$9)*($G$9-$F$9))))</f>
        <v>1.05662154555278</v>
      </c>
      <c r="F329" s="37" t="n">
        <f aca="false">1+IF($G$10=$E$10,$F$10,IF(T329&lt;($F$10-$E$10)/($G$10-$E$10),$E$10+SQRT(T329*($G$10-$E$10)*($F$10-$E$10)),$G$10-SQRT((1-T329)*($G$10-$E$10)*($G$10-$F$10))))</f>
        <v>1.09632801794192</v>
      </c>
      <c r="G329" s="38" t="n">
        <f aca="false">IF($G$11=$E$11,$F$11,IF(U329&lt;($F$11-$E$11)/($G$11-$E$11),$E$11+SQRT(U329*($G$11-$E$11)*($F$11-$E$11)),$G$11-SQRT((1-U329)*($G$11-$E$11)*($G$11-$F$11))))</f>
        <v>0.0962488819581321</v>
      </c>
      <c r="H329" s="39" t="n">
        <f aca="false">(('Business Case'!B11*$C329*'Business Case'!B12*$B329)-'Business Case'!B11*$C329*'Business Case'!B13*$D329-'Business Case'!B14*$E329)-MAX(0,(('Business Case'!B11*$C329*'Business Case'!B12*$B329)-'Business Case'!B11*$C329*'Business Case'!B13*$D329-'Business Case'!B14*$E329))*'Business Case'!$B$7-'Business Case'!$B$8*('Business Case'!B11*$C329*'Business Case'!B12*$B329)-'Business Case'!B15*$F329</f>
        <v>-2192656035.88385</v>
      </c>
      <c r="I329" s="39" t="n">
        <f aca="false">(('Business Case'!C11*$C329*'Business Case'!C12*$B329)-'Business Case'!C11*$C329*'Business Case'!C13*$D329-'Business Case'!C14*$E329)-MAX(0,(('Business Case'!C11*$C329*'Business Case'!C12*$B329)-'Business Case'!C11*$C329*'Business Case'!C13*$D329-'Business Case'!C14*$E329))*'Business Case'!$B$7-'Business Case'!$B$8*(('Business Case'!C11*$C329*'Business Case'!C12*$B329)-('Business Case'!B11*$C329*'Business Case'!B12*$B329))-'Business Case'!C15*$F329</f>
        <v>-16523061.368584</v>
      </c>
      <c r="J329" s="39" t="n">
        <f aca="false">(('Business Case'!D11*$C329*'Business Case'!D12*$B329)-'Business Case'!D11*$C329*'Business Case'!D13*$D329-'Business Case'!D14*$E329)-MAX(0,(('Business Case'!D11*$C329*'Business Case'!D12*$B329)-'Business Case'!D11*$C329*'Business Case'!D13*$D329-'Business Case'!D14*$E329))*'Business Case'!$B$7-'Business Case'!$B$8*(('Business Case'!D11*$C329*'Business Case'!D12*$B329)-('Business Case'!C11*$C329*'Business Case'!C12*$B329))-'Business Case'!D15*$F329</f>
        <v>272973081.570101</v>
      </c>
      <c r="K329" s="39" t="n">
        <f aca="false">(('Business Case'!E11*$C329*'Business Case'!E12*$B329)-'Business Case'!E11*$C329*'Business Case'!E13*$D329-'Business Case'!E14*$E329)-MAX(0,(('Business Case'!E11*$C329*'Business Case'!E12*$B329)-'Business Case'!E11*$C329*'Business Case'!E13*$D329-'Business Case'!E14*$E329))*'Business Case'!$B$7-'Business Case'!$B$8*(('Business Case'!E11*$C329*'Business Case'!E12*$B329)-('Business Case'!D11*$C329*'Business Case'!D12*$B329))-'Business Case'!E15*$F329</f>
        <v>617285625.405883</v>
      </c>
      <c r="L329" s="39" t="n">
        <f aca="false">(('Business Case'!F11*$C329*'Business Case'!F12*$B329)-'Business Case'!F11*$C329*'Business Case'!F13*$D329-'Business Case'!F14*$E329)-MAX(0,(('Business Case'!F11*$C329*'Business Case'!F12*$B329)-'Business Case'!F11*$C329*'Business Case'!F13*$D329-'Business Case'!F14*$E329))*'Business Case'!$B$7-'Business Case'!$B$8*(('Business Case'!F11*$C329*'Business Case'!F12*$B329)-('Business Case'!E11*$C329*'Business Case'!E12*$B329))-'Business Case'!F15*$F329</f>
        <v>744540885.542425</v>
      </c>
      <c r="M329" s="39" t="n">
        <f aca="false">(('Business Case'!G11*$C329*'Business Case'!G12*$B329)-'Business Case'!G11*$C329*'Business Case'!G13*$D329-'Business Case'!G14*$E329)-MAX(0,(('Business Case'!G11*$C329*'Business Case'!G12*$B329)-'Business Case'!G11*$C329*'Business Case'!G13*$D329-'Business Case'!G14*$E329))*'Business Case'!$B$7-'Business Case'!$B$8*(('Business Case'!G11*$C329*'Business Case'!G12*$B329)-('Business Case'!F11*$C329*'Business Case'!F12*$B329))-'Business Case'!G15*$F329+'Business Case'!$B$8*('Business Case'!G11*$C329*'Business Case'!G12*$B329)</f>
        <v>913701887.572484</v>
      </c>
      <c r="N329" s="39" t="n">
        <f aca="false">IF(COUNT('Business Case'!B11:G11)=0,"",H329+NPV(G329,I329:M329))</f>
        <v>-419393622.38856</v>
      </c>
      <c r="P329" s="40" t="n">
        <f aca="true">RAND()</f>
        <v>0.782773938607279</v>
      </c>
      <c r="Q329" s="40" t="n">
        <f aca="true">RAND()</f>
        <v>0.0987416161666845</v>
      </c>
      <c r="R329" s="40" t="n">
        <f aca="true">RAND()</f>
        <v>0.0744124036080419</v>
      </c>
      <c r="S329" s="40" t="n">
        <f aca="true">RAND()</f>
        <v>0.874553979318045</v>
      </c>
      <c r="T329" s="40" t="n">
        <f aca="true">RAND()</f>
        <v>0.785042402722999</v>
      </c>
      <c r="U329" s="40" t="n">
        <f aca="true">RAND()</f>
        <v>0.130161752422231</v>
      </c>
    </row>
    <row r="330" customFormat="false" ht="15" hidden="false" customHeight="false" outlineLevel="0" collapsed="false">
      <c r="A330" s="36" t="n">
        <v>250</v>
      </c>
      <c r="B330" s="37" t="n">
        <f aca="false">1+IF($G$6=$E$6,$F$6,IF(P330&lt;($F$6-$E$6)/($G$6-$E$6),$E$6+SQRT(P330*($G$6-$E$6)*($F$6-$E$6)),$G$6-SQRT((1-P330)*($G$6-$E$6)*($G$6-$F$6))))</f>
        <v>0.960009125620337</v>
      </c>
      <c r="C330" s="37" t="n">
        <f aca="false">1+IF($G$7=$E$7,$F$7,IF(Q330&lt;($F$7-$E$7)/($G$7-$E$7),$E$7+SQRT(Q330*($G$7-$E$7)*($F$7-$E$7)),$G$7-SQRT((1-Q330)*($G$7-$E$7)*($G$7-$F$7))))</f>
        <v>0.921822955599016</v>
      </c>
      <c r="D330" s="37" t="n">
        <f aca="false">1+IF($G$8=$E$8,$F$8,IF(R330&lt;($F$8-$E$8)/($G$8-$E$8),$E$8+SQRT(R330*($G$8-$E$8)*($F$8-$E$8)),$G$8-SQRT((1-R330)*($G$8-$E$8)*($G$8-$F$8))))</f>
        <v>0.970991953205626</v>
      </c>
      <c r="E330" s="37" t="n">
        <f aca="false">1+IF($G$9=$E$9,$F$9,IF(S330&lt;($F$9-$E$9)/($G$9-$E$9),$E$9+SQRT(S330*($G$9-$E$9)*($F$9-$E$9)),$G$9-SQRT((1-S330)*($G$9-$E$9)*($G$9-$F$9))))</f>
        <v>1.0398317378797</v>
      </c>
      <c r="F330" s="37" t="n">
        <f aca="false">1+IF($G$10=$E$10,$F$10,IF(T330&lt;($F$10-$E$10)/($G$10-$E$10),$E$10+SQRT(T330*($G$10-$E$10)*($F$10-$E$10)),$G$10-SQRT((1-T330)*($G$10-$E$10)*($G$10-$F$10))))</f>
        <v>1.08374041312524</v>
      </c>
      <c r="G330" s="38" t="n">
        <f aca="false">IF($G$11=$E$11,$F$11,IF(U330&lt;($F$11-$E$11)/($G$11-$E$11),$E$11+SQRT(U330*($G$11-$E$11)*($F$11-$E$11)),$G$11-SQRT((1-U330)*($G$11-$E$11)*($G$11-$F$11))))</f>
        <v>0.111214686027543</v>
      </c>
      <c r="H330" s="39" t="n">
        <f aca="false">(('Business Case'!B11*$C330*'Business Case'!B12*$B330)-'Business Case'!B11*$C330*'Business Case'!B13*$D330-'Business Case'!B14*$E330)-MAX(0,(('Business Case'!B11*$C330*'Business Case'!B12*$B330)-'Business Case'!B11*$C330*'Business Case'!B13*$D330-'Business Case'!B14*$E330))*'Business Case'!$B$7-'Business Case'!$B$8*('Business Case'!B11*$C330*'Business Case'!B12*$B330)-'Business Case'!B15*$F330</f>
        <v>-2167480826.25047</v>
      </c>
      <c r="I330" s="39" t="n">
        <f aca="false">(('Business Case'!C11*$C330*'Business Case'!C12*$B330)-'Business Case'!C11*$C330*'Business Case'!C13*$D330-'Business Case'!C14*$E330)-MAX(0,(('Business Case'!C11*$C330*'Business Case'!C12*$B330)-'Business Case'!C11*$C330*'Business Case'!C13*$D330-'Business Case'!C14*$E330))*'Business Case'!$B$7-'Business Case'!$B$8*(('Business Case'!C11*$C330*'Business Case'!C12*$B330)-('Business Case'!B11*$C330*'Business Case'!B12*$B330))-'Business Case'!C15*$F330</f>
        <v>-35480394.785471</v>
      </c>
      <c r="J330" s="39" t="n">
        <f aca="false">(('Business Case'!D11*$C330*'Business Case'!D12*$B330)-'Business Case'!D11*$C330*'Business Case'!D13*$D330-'Business Case'!D14*$E330)-MAX(0,(('Business Case'!D11*$C330*'Business Case'!D12*$B330)-'Business Case'!D11*$C330*'Business Case'!D13*$D330-'Business Case'!D14*$E330))*'Business Case'!$B$7-'Business Case'!$B$8*(('Business Case'!D11*$C330*'Business Case'!D12*$B330)-('Business Case'!C11*$C330*'Business Case'!C12*$B330))-'Business Case'!D15*$F330</f>
        <v>231153570.894372</v>
      </c>
      <c r="K330" s="39" t="n">
        <f aca="false">(('Business Case'!E11*$C330*'Business Case'!E12*$B330)-'Business Case'!E11*$C330*'Business Case'!E13*$D330-'Business Case'!E14*$E330)-MAX(0,(('Business Case'!E11*$C330*'Business Case'!E12*$B330)-'Business Case'!E11*$C330*'Business Case'!E13*$D330-'Business Case'!E14*$E330))*'Business Case'!$B$7-'Business Case'!$B$8*(('Business Case'!E11*$C330*'Business Case'!E12*$B330)-('Business Case'!D11*$C330*'Business Case'!D12*$B330))-'Business Case'!E15*$F330</f>
        <v>551974557.230477</v>
      </c>
      <c r="L330" s="39" t="n">
        <f aca="false">(('Business Case'!F11*$C330*'Business Case'!F12*$B330)-'Business Case'!F11*$C330*'Business Case'!F13*$D330-'Business Case'!F14*$E330)-MAX(0,(('Business Case'!F11*$C330*'Business Case'!F12*$B330)-'Business Case'!F11*$C330*'Business Case'!F13*$D330-'Business Case'!F14*$E330))*'Business Case'!$B$7-'Business Case'!$B$8*(('Business Case'!F11*$C330*'Business Case'!F12*$B330)-('Business Case'!E11*$C330*'Business Case'!E12*$B330))-'Business Case'!F15*$F330</f>
        <v>671436709.807957</v>
      </c>
      <c r="M330" s="39" t="n">
        <f aca="false">(('Business Case'!G11*$C330*'Business Case'!G12*$B330)-'Business Case'!G11*$C330*'Business Case'!G13*$D330-'Business Case'!G14*$E330)-MAX(0,(('Business Case'!G11*$C330*'Business Case'!G12*$B330)-'Business Case'!G11*$C330*'Business Case'!G13*$D330-'Business Case'!G14*$E330))*'Business Case'!$B$7-'Business Case'!$B$8*(('Business Case'!G11*$C330*'Business Case'!G12*$B330)-('Business Case'!F11*$C330*'Business Case'!F12*$B330))-'Business Case'!G15*$F330+'Business Case'!$B$8*('Business Case'!G11*$C330*'Business Case'!G12*$B330)</f>
        <v>839649611.904383</v>
      </c>
      <c r="N330" s="39" t="n">
        <f aca="false">IF(COUNT('Business Case'!B11:G11)=0,"",H330+NPV(G330,I330:M330))</f>
        <v>-673994691.636207</v>
      </c>
      <c r="P330" s="40" t="n">
        <f aca="true">RAND()</f>
        <v>0.166742722177486</v>
      </c>
      <c r="Q330" s="40" t="n">
        <f aca="true">RAND()</f>
        <v>0.212011893012568</v>
      </c>
      <c r="R330" s="40" t="n">
        <f aca="true">RAND()</f>
        <v>0.0677941691364932</v>
      </c>
      <c r="S330" s="40" t="n">
        <f aca="true">RAND()</f>
        <v>0.758652015561485</v>
      </c>
      <c r="T330" s="40" t="n">
        <f aca="true">RAND()</f>
        <v>0.72967416919418</v>
      </c>
      <c r="U330" s="40" t="n">
        <f aca="true">RAND()</f>
        <v>0.87136376400891</v>
      </c>
    </row>
    <row r="331" customFormat="false" ht="15" hidden="false" customHeight="false" outlineLevel="0" collapsed="false">
      <c r="A331" s="36" t="n">
        <v>251</v>
      </c>
      <c r="B331" s="37" t="n">
        <f aca="false">1+IF($G$6=$E$6,$F$6,IF(P331&lt;($F$6-$E$6)/($G$6-$E$6),$E$6+SQRT(P331*($G$6-$E$6)*($F$6-$E$6)),$G$6-SQRT((1-P331)*($G$6-$E$6)*($G$6-$F$6))))</f>
        <v>1.00675332993347</v>
      </c>
      <c r="C331" s="37" t="n">
        <f aca="false">1+IF($G$7=$E$7,$F$7,IF(Q331&lt;($F$7-$E$7)/($G$7-$E$7),$E$7+SQRT(Q331*($G$7-$E$7)*($F$7-$E$7)),$G$7-SQRT((1-Q331)*($G$7-$E$7)*($G$7-$F$7))))</f>
        <v>1.11383382386054</v>
      </c>
      <c r="D331" s="37" t="n">
        <f aca="false">1+IF($G$8=$E$8,$F$8,IF(R331&lt;($F$8-$E$8)/($G$8-$E$8),$E$8+SQRT(R331*($G$8-$E$8)*($F$8-$E$8)),$G$8-SQRT((1-R331)*($G$8-$E$8)*($G$8-$F$8))))</f>
        <v>1.02914227376659</v>
      </c>
      <c r="E331" s="37" t="n">
        <f aca="false">1+IF($G$9=$E$9,$F$9,IF(S331&lt;($F$9-$E$9)/($G$9-$E$9),$E$9+SQRT(S331*($G$9-$E$9)*($F$9-$E$9)),$G$9-SQRT((1-S331)*($G$9-$E$9)*($G$9-$F$9))))</f>
        <v>0.988551199933716</v>
      </c>
      <c r="F331" s="37" t="n">
        <f aca="false">1+IF($G$10=$E$10,$F$10,IF(T331&lt;($F$10-$E$10)/($G$10-$E$10),$E$10+SQRT(T331*($G$10-$E$10)*($F$10-$E$10)),$G$10-SQRT((1-T331)*($G$10-$E$10)*($G$10-$F$10))))</f>
        <v>1.05354772741373</v>
      </c>
      <c r="G331" s="38" t="n">
        <f aca="false">IF($G$11=$E$11,$F$11,IF(U331&lt;($F$11-$E$11)/($G$11-$E$11),$E$11+SQRT(U331*($G$11-$E$11)*($F$11-$E$11)),$G$11-SQRT((1-U331)*($G$11-$E$11)*($G$11-$F$11))))</f>
        <v>0.110066102390665</v>
      </c>
      <c r="H331" s="39" t="n">
        <f aca="false">(('Business Case'!B11*$C331*'Business Case'!B12*$B331)-'Business Case'!B11*$C331*'Business Case'!B13*$D331-'Business Case'!B14*$E331)-MAX(0,(('Business Case'!B11*$C331*'Business Case'!B12*$B331)-'Business Case'!B11*$C331*'Business Case'!B13*$D331-'Business Case'!B14*$E331))*'Business Case'!$B$7-'Business Case'!$B$8*('Business Case'!B11*$C331*'Business Case'!B12*$B331)-'Business Case'!B15*$F331</f>
        <v>-2107095454.82746</v>
      </c>
      <c r="I331" s="39" t="n">
        <f aca="false">(('Business Case'!C11*$C331*'Business Case'!C12*$B331)-'Business Case'!C11*$C331*'Business Case'!C13*$D331-'Business Case'!C14*$E331)-MAX(0,(('Business Case'!C11*$C331*'Business Case'!C12*$B331)-'Business Case'!C11*$C331*'Business Case'!C13*$D331-'Business Case'!C14*$E331))*'Business Case'!$B$7-'Business Case'!$B$8*(('Business Case'!C11*$C331*'Business Case'!C12*$B331)-('Business Case'!B11*$C331*'Business Case'!B12*$B331))-'Business Case'!C15*$F331</f>
        <v>27602829.8082357</v>
      </c>
      <c r="J331" s="39" t="n">
        <f aca="false">(('Business Case'!D11*$C331*'Business Case'!D12*$B331)-'Business Case'!D11*$C331*'Business Case'!D13*$D331-'Business Case'!D14*$E331)-MAX(0,(('Business Case'!D11*$C331*'Business Case'!D12*$B331)-'Business Case'!D11*$C331*'Business Case'!D13*$D331-'Business Case'!D14*$E331))*'Business Case'!$B$7-'Business Case'!$B$8*(('Business Case'!D11*$C331*'Business Case'!D12*$B331)-('Business Case'!C11*$C331*'Business Case'!C12*$B331))-'Business Case'!D15*$F331</f>
        <v>359263503.423167</v>
      </c>
      <c r="K331" s="39" t="n">
        <f aca="false">(('Business Case'!E11*$C331*'Business Case'!E12*$B331)-'Business Case'!E11*$C331*'Business Case'!E13*$D331-'Business Case'!E14*$E331)-MAX(0,(('Business Case'!E11*$C331*'Business Case'!E12*$B331)-'Business Case'!E11*$C331*'Business Case'!E13*$D331-'Business Case'!E14*$E331))*'Business Case'!$B$7-'Business Case'!$B$8*(('Business Case'!E11*$C331*'Business Case'!E12*$B331)-('Business Case'!D11*$C331*'Business Case'!D12*$B331))-'Business Case'!E15*$F331</f>
        <v>743601563.408785</v>
      </c>
      <c r="L331" s="39" t="n">
        <f aca="false">(('Business Case'!F11*$C331*'Business Case'!F12*$B331)-'Business Case'!F11*$C331*'Business Case'!F13*$D331-'Business Case'!F14*$E331)-MAX(0,(('Business Case'!F11*$C331*'Business Case'!F12*$B331)-'Business Case'!F11*$C331*'Business Case'!F13*$D331-'Business Case'!F14*$E331))*'Business Case'!$B$7-'Business Case'!$B$8*(('Business Case'!F11*$C331*'Business Case'!F12*$B331)-('Business Case'!E11*$C331*'Business Case'!E12*$B331))-'Business Case'!F15*$F331</f>
        <v>892909181.570261</v>
      </c>
      <c r="M331" s="39" t="n">
        <f aca="false">(('Business Case'!G11*$C331*'Business Case'!G12*$B331)-'Business Case'!G11*$C331*'Business Case'!G13*$D331-'Business Case'!G14*$E331)-MAX(0,(('Business Case'!G11*$C331*'Business Case'!G12*$B331)-'Business Case'!G11*$C331*'Business Case'!G13*$D331-'Business Case'!G14*$E331))*'Business Case'!$B$7-'Business Case'!$B$8*(('Business Case'!G11*$C331*'Business Case'!G12*$B331)-('Business Case'!F11*$C331*'Business Case'!F12*$B331))-'Business Case'!G15*$F331+'Business Case'!$B$8*('Business Case'!G11*$C331*'Business Case'!G12*$B331)</f>
        <v>1106056513.16434</v>
      </c>
      <c r="N331" s="39" t="n">
        <f aca="false">IF(COUNT('Business Case'!B11:G11)=0,"",H331+NPV(G331,I331:M331))</f>
        <v>-2817858.65525365</v>
      </c>
      <c r="P331" s="40" t="n">
        <f aca="true">RAND()</f>
        <v>0.769720610309839</v>
      </c>
      <c r="Q331" s="40" t="n">
        <f aca="true">RAND()</f>
        <v>0.975085861018087</v>
      </c>
      <c r="R331" s="40" t="n">
        <f aca="true">RAND()</f>
        <v>0.751297277150766</v>
      </c>
      <c r="S331" s="40" t="n">
        <f aca="true">RAND()</f>
        <v>0.19815933551058</v>
      </c>
      <c r="T331" s="40" t="n">
        <f aca="true">RAND()</f>
        <v>0.571034637086329</v>
      </c>
      <c r="U331" s="40" t="n">
        <f aca="true">RAND()</f>
        <v>0.835529463812074</v>
      </c>
    </row>
    <row r="332" customFormat="false" ht="15" hidden="false" customHeight="false" outlineLevel="0" collapsed="false">
      <c r="A332" s="36" t="n">
        <v>252</v>
      </c>
      <c r="B332" s="37" t="n">
        <f aca="false">1+IF($G$6=$E$6,$F$6,IF(P332&lt;($F$6-$E$6)/($G$6-$E$6),$E$6+SQRT(P332*($G$6-$E$6)*($F$6-$E$6)),$G$6-SQRT((1-P332)*($G$6-$E$6)*($G$6-$F$6))))</f>
        <v>1.02211875303839</v>
      </c>
      <c r="C332" s="37" t="n">
        <f aca="false">1+IF($G$7=$E$7,$F$7,IF(Q332&lt;($F$7-$E$7)/($G$7-$E$7),$E$7+SQRT(Q332*($G$7-$E$7)*($F$7-$E$7)),$G$7-SQRT((1-Q332)*($G$7-$E$7)*($G$7-$F$7))))</f>
        <v>1.03118884241787</v>
      </c>
      <c r="D332" s="37" t="n">
        <f aca="false">1+IF($G$8=$E$8,$F$8,IF(R332&lt;($F$8-$E$8)/($G$8-$E$8),$E$8+SQRT(R332*($G$8-$E$8)*($F$8-$E$8)),$G$8-SQRT((1-R332)*($G$8-$E$8)*($G$8-$F$8))))</f>
        <v>0.96344001801511</v>
      </c>
      <c r="E332" s="37" t="n">
        <f aca="false">1+IF($G$9=$E$9,$F$9,IF(S332&lt;($F$9-$E$9)/($G$9-$E$9),$E$9+SQRT(S332*($G$9-$E$9)*($F$9-$E$9)),$G$9-SQRT((1-S332)*($G$9-$E$9)*($G$9-$F$9))))</f>
        <v>1.04715873778</v>
      </c>
      <c r="F332" s="37" t="n">
        <f aca="false">1+IF($G$10=$E$10,$F$10,IF(T332&lt;($F$10-$E$10)/($G$10-$E$10),$E$10+SQRT(T332*($G$10-$E$10)*($F$10-$E$10)),$G$10-SQRT((1-T332)*($G$10-$E$10)*($G$10-$F$10))))</f>
        <v>1.01067305511035</v>
      </c>
      <c r="G332" s="38" t="n">
        <f aca="false">IF($G$11=$E$11,$F$11,IF(U332&lt;($F$11-$E$11)/($G$11-$E$11),$E$11+SQRT(U332*($G$11-$E$11)*($F$11-$E$11)),$G$11-SQRT((1-U332)*($G$11-$E$11)*($G$11-$F$11))))</f>
        <v>0.11093442839245</v>
      </c>
      <c r="H332" s="39" t="n">
        <f aca="false">(('Business Case'!B11*$C332*'Business Case'!B12*$B332)-'Business Case'!B11*$C332*'Business Case'!B13*$D332-'Business Case'!B14*$E332)-MAX(0,(('Business Case'!B11*$C332*'Business Case'!B12*$B332)-'Business Case'!B11*$C332*'Business Case'!B13*$D332-'Business Case'!B14*$E332))*'Business Case'!$B$7-'Business Case'!$B$8*('Business Case'!B11*$C332*'Business Case'!B12*$B332)-'Business Case'!B15*$F332</f>
        <v>-2021346110.2207</v>
      </c>
      <c r="I332" s="39" t="n">
        <f aca="false">(('Business Case'!C11*$C332*'Business Case'!C12*$B332)-'Business Case'!C11*$C332*'Business Case'!C13*$D332-'Business Case'!C14*$E332)-MAX(0,(('Business Case'!C11*$C332*'Business Case'!C12*$B332)-'Business Case'!C11*$C332*'Business Case'!C13*$D332-'Business Case'!C14*$E332))*'Business Case'!$B$7-'Business Case'!$B$8*(('Business Case'!C11*$C332*'Business Case'!C12*$B332)-('Business Case'!B11*$C332*'Business Case'!B12*$B332))-'Business Case'!C15*$F332</f>
        <v>50100613.8860009</v>
      </c>
      <c r="J332" s="39" t="n">
        <f aca="false">(('Business Case'!D11*$C332*'Business Case'!D12*$B332)-'Business Case'!D11*$C332*'Business Case'!D13*$D332-'Business Case'!D14*$E332)-MAX(0,(('Business Case'!D11*$C332*'Business Case'!D12*$B332)-'Business Case'!D11*$C332*'Business Case'!D13*$D332-'Business Case'!D14*$E332))*'Business Case'!$B$7-'Business Case'!$B$8*(('Business Case'!D11*$C332*'Business Case'!D12*$B332)-('Business Case'!C11*$C332*'Business Case'!C12*$B332))-'Business Case'!D15*$F332</f>
        <v>404813733.798233</v>
      </c>
      <c r="K332" s="39" t="n">
        <f aca="false">(('Business Case'!E11*$C332*'Business Case'!E12*$B332)-'Business Case'!E11*$C332*'Business Case'!E13*$D332-'Business Case'!E14*$E332)-MAX(0,(('Business Case'!E11*$C332*'Business Case'!E12*$B332)-'Business Case'!E11*$C332*'Business Case'!E13*$D332-'Business Case'!E14*$E332))*'Business Case'!$B$7-'Business Case'!$B$8*(('Business Case'!E11*$C332*'Business Case'!E12*$B332)-('Business Case'!D11*$C332*'Business Case'!D12*$B332))-'Business Case'!E15*$F332</f>
        <v>810060506.465982</v>
      </c>
      <c r="L332" s="39" t="n">
        <f aca="false">(('Business Case'!F11*$C332*'Business Case'!F12*$B332)-'Business Case'!F11*$C332*'Business Case'!F13*$D332-'Business Case'!F14*$E332)-MAX(0,(('Business Case'!F11*$C332*'Business Case'!F12*$B332)-'Business Case'!F11*$C332*'Business Case'!F13*$D332-'Business Case'!F14*$E332))*'Business Case'!$B$7-'Business Case'!$B$8*(('Business Case'!F11*$C332*'Business Case'!F12*$B332)-('Business Case'!E11*$C332*'Business Case'!E12*$B332))-'Business Case'!F15*$F332</f>
        <v>964724365.105312</v>
      </c>
      <c r="M332" s="39" t="n">
        <f aca="false">(('Business Case'!G11*$C332*'Business Case'!G12*$B332)-'Business Case'!G11*$C332*'Business Case'!G13*$D332-'Business Case'!G14*$E332)-MAX(0,(('Business Case'!G11*$C332*'Business Case'!G12*$B332)-'Business Case'!G11*$C332*'Business Case'!G13*$D332-'Business Case'!G14*$E332))*'Business Case'!$B$7-'Business Case'!$B$8*(('Business Case'!G11*$C332*'Business Case'!G12*$B332)-('Business Case'!F11*$C332*'Business Case'!F12*$B332))-'Business Case'!G15*$F332+'Business Case'!$B$8*('Business Case'!G11*$C332*'Business Case'!G12*$B332)</f>
        <v>1165068201.11587</v>
      </c>
      <c r="N332" s="39" t="n">
        <f aca="false">IF(COUNT('Business Case'!B11:G11)=0,"",H332+NPV(G332,I332:M332))</f>
        <v>264437727.620362</v>
      </c>
      <c r="P332" s="40" t="n">
        <f aca="true">RAND()</f>
        <v>0.933387709812059</v>
      </c>
      <c r="Q332" s="40" t="n">
        <f aca="true">RAND()</f>
        <v>0.731122073028444</v>
      </c>
      <c r="R332" s="40" t="n">
        <f aca="true">RAND()</f>
        <v>0.0277898591148438</v>
      </c>
      <c r="S332" s="40" t="n">
        <f aca="true">RAND()</f>
        <v>0.813853400466502</v>
      </c>
      <c r="T332" s="40" t="n">
        <f aca="true">RAND()</f>
        <v>0.283106158775033</v>
      </c>
      <c r="U332" s="40" t="n">
        <f aca="true">RAND()</f>
        <v>0.863025685713973</v>
      </c>
    </row>
    <row r="333" customFormat="false" ht="15" hidden="false" customHeight="false" outlineLevel="0" collapsed="false">
      <c r="A333" s="36" t="n">
        <v>253</v>
      </c>
      <c r="B333" s="37" t="n">
        <f aca="false">1+IF($G$6=$E$6,$F$6,IF(P333&lt;($F$6-$E$6)/($G$6-$E$6),$E$6+SQRT(P333*($G$6-$E$6)*($F$6-$E$6)),$G$6-SQRT((1-P333)*($G$6-$E$6)*($G$6-$F$6))))</f>
        <v>0.99482628381923</v>
      </c>
      <c r="C333" s="37" t="n">
        <f aca="false">1+IF($G$7=$E$7,$F$7,IF(Q333&lt;($F$7-$E$7)/($G$7-$E$7),$E$7+SQRT(Q333*($G$7-$E$7)*($F$7-$E$7)),$G$7-SQRT((1-Q333)*($G$7-$E$7)*($G$7-$F$7))))</f>
        <v>0.864892763333783</v>
      </c>
      <c r="D333" s="37" t="n">
        <f aca="false">1+IF($G$8=$E$8,$F$8,IF(R333&lt;($F$8-$E$8)/($G$8-$E$8),$E$8+SQRT(R333*($G$8-$E$8)*($F$8-$E$8)),$G$8-SQRT((1-R333)*($G$8-$E$8)*($G$8-$F$8))))</f>
        <v>1.05925818082962</v>
      </c>
      <c r="E333" s="37" t="n">
        <f aca="false">1+IF($G$9=$E$9,$F$9,IF(S333&lt;($F$9-$E$9)/($G$9-$E$9),$E$9+SQRT(S333*($G$9-$E$9)*($F$9-$E$9)),$G$9-SQRT((1-S333)*($G$9-$E$9)*($G$9-$F$9))))</f>
        <v>0.983282053036484</v>
      </c>
      <c r="F333" s="37" t="n">
        <f aca="false">1+IF($G$10=$E$10,$F$10,IF(T333&lt;($F$10-$E$10)/($G$10-$E$10),$E$10+SQRT(T333*($G$10-$E$10)*($F$10-$E$10)),$G$10-SQRT((1-T333)*($G$10-$E$10)*($G$10-$F$10))))</f>
        <v>1.09507934465135</v>
      </c>
      <c r="G333" s="38" t="n">
        <f aca="false">IF($G$11=$E$11,$F$11,IF(U333&lt;($F$11-$E$11)/($G$11-$E$11),$E$11+SQRT(U333*($G$11-$E$11)*($F$11-$E$11)),$G$11-SQRT((1-U333)*($G$11-$E$11)*($G$11-$F$11))))</f>
        <v>0.109448138829824</v>
      </c>
      <c r="H333" s="39" t="n">
        <f aca="false">(('Business Case'!B11*$C333*'Business Case'!B12*$B333)-'Business Case'!B11*$C333*'Business Case'!B13*$D333-'Business Case'!B14*$E333)-MAX(0,(('Business Case'!B11*$C333*'Business Case'!B12*$B333)-'Business Case'!B11*$C333*'Business Case'!B13*$D333-'Business Case'!B14*$E333))*'Business Case'!$B$7-'Business Case'!$B$8*('Business Case'!B11*$C333*'Business Case'!B12*$B333)-'Business Case'!B15*$F333</f>
        <v>-2190158689.3027</v>
      </c>
      <c r="I333" s="39" t="n">
        <f aca="false">(('Business Case'!C11*$C333*'Business Case'!C12*$B333)-'Business Case'!C11*$C333*'Business Case'!C13*$D333-'Business Case'!C14*$E333)-MAX(0,(('Business Case'!C11*$C333*'Business Case'!C12*$B333)-'Business Case'!C11*$C333*'Business Case'!C13*$D333-'Business Case'!C14*$E333))*'Business Case'!$B$7-'Business Case'!$B$8*(('Business Case'!C11*$C333*'Business Case'!C12*$B333)-('Business Case'!B11*$C333*'Business Case'!B12*$B333))-'Business Case'!C15*$F333</f>
        <v>-58183191.0625524</v>
      </c>
      <c r="J333" s="39" t="n">
        <f aca="false">(('Business Case'!D11*$C333*'Business Case'!D12*$B333)-'Business Case'!D11*$C333*'Business Case'!D13*$D333-'Business Case'!D14*$E333)-MAX(0,(('Business Case'!D11*$C333*'Business Case'!D12*$B333)-'Business Case'!D11*$C333*'Business Case'!D13*$D333-'Business Case'!D14*$E333))*'Business Case'!$B$7-'Business Case'!$B$8*(('Business Case'!D11*$C333*'Business Case'!D12*$B333)-('Business Case'!C11*$C333*'Business Case'!C12*$B333))-'Business Case'!D15*$F333</f>
        <v>177568332.183008</v>
      </c>
      <c r="K333" s="39" t="n">
        <f aca="false">(('Business Case'!E11*$C333*'Business Case'!E12*$B333)-'Business Case'!E11*$C333*'Business Case'!E13*$D333-'Business Case'!E14*$E333)-MAX(0,(('Business Case'!E11*$C333*'Business Case'!E12*$B333)-'Business Case'!E11*$C333*'Business Case'!E13*$D333-'Business Case'!E14*$E333))*'Business Case'!$B$7-'Business Case'!$B$8*(('Business Case'!E11*$C333*'Business Case'!E12*$B333)-('Business Case'!D11*$C333*'Business Case'!D12*$B333))-'Business Case'!E15*$F333</f>
        <v>468073822.661136</v>
      </c>
      <c r="L333" s="39" t="n">
        <f aca="false">(('Business Case'!F11*$C333*'Business Case'!F12*$B333)-'Business Case'!F11*$C333*'Business Case'!F13*$D333-'Business Case'!F14*$E333)-MAX(0,(('Business Case'!F11*$C333*'Business Case'!F12*$B333)-'Business Case'!F11*$C333*'Business Case'!F13*$D333-'Business Case'!F14*$E333))*'Business Case'!$B$7-'Business Case'!$B$8*(('Business Case'!F11*$C333*'Business Case'!F12*$B333)-('Business Case'!E11*$C333*'Business Case'!E12*$B333))-'Business Case'!F15*$F333</f>
        <v>576393711.677115</v>
      </c>
      <c r="M333" s="39" t="n">
        <f aca="false">(('Business Case'!G11*$C333*'Business Case'!G12*$B333)-'Business Case'!G11*$C333*'Business Case'!G13*$D333-'Business Case'!G14*$E333)-MAX(0,(('Business Case'!G11*$C333*'Business Case'!G12*$B333)-'Business Case'!G11*$C333*'Business Case'!G13*$D333-'Business Case'!G14*$E333))*'Business Case'!$B$7-'Business Case'!$B$8*(('Business Case'!G11*$C333*'Business Case'!G12*$B333)-('Business Case'!F11*$C333*'Business Case'!F12*$B333))-'Business Case'!G15*$F333+'Business Case'!$B$8*('Business Case'!G11*$C333*'Business Case'!G12*$B333)</f>
        <v>739941975.314811</v>
      </c>
      <c r="N333" s="39" t="n">
        <f aca="false">IF(COUNT('Business Case'!B11:G11)=0,"",H333+NPV(G333,I333:M333))</f>
        <v>-934920492.05861</v>
      </c>
      <c r="P333" s="40" t="n">
        <f aca="true">RAND()</f>
        <v>0.583226328145414</v>
      </c>
      <c r="Q333" s="40" t="n">
        <f aca="true">RAND()</f>
        <v>0.0601581533299203</v>
      </c>
      <c r="R333" s="40" t="n">
        <f aca="true">RAND()</f>
        <v>0.95863239783687</v>
      </c>
      <c r="S333" s="40" t="n">
        <f aca="true">RAND()</f>
        <v>0.147692673909778</v>
      </c>
      <c r="T333" s="40" t="n">
        <f aca="true">RAND()</f>
        <v>0.779833121624196</v>
      </c>
      <c r="U333" s="40" t="n">
        <f aca="true">RAND()</f>
        <v>0.814430376408884</v>
      </c>
    </row>
    <row r="334" customFormat="false" ht="15" hidden="false" customHeight="false" outlineLevel="0" collapsed="false">
      <c r="A334" s="36" t="n">
        <v>254</v>
      </c>
      <c r="B334" s="37" t="n">
        <f aca="false">1+IF($G$6=$E$6,$F$6,IF(P334&lt;($F$6-$E$6)/($G$6-$E$6),$E$6+SQRT(P334*($G$6-$E$6)*($F$6-$E$6)),$G$6-SQRT((1-P334)*($G$6-$E$6)*($G$6-$F$6))))</f>
        <v>0.957397627758448</v>
      </c>
      <c r="C334" s="37" t="n">
        <f aca="false">1+IF($G$7=$E$7,$F$7,IF(Q334&lt;($F$7-$E$7)/($G$7-$E$7),$E$7+SQRT(Q334*($G$7-$E$7)*($F$7-$E$7)),$G$7-SQRT((1-Q334)*($G$7-$E$7)*($G$7-$F$7))))</f>
        <v>1.01839160981905</v>
      </c>
      <c r="D334" s="37" t="n">
        <f aca="false">1+IF($G$8=$E$8,$F$8,IF(R334&lt;($F$8-$E$8)/($G$8-$E$8),$E$8+SQRT(R334*($G$8-$E$8)*($F$8-$E$8)),$G$8-SQRT((1-R334)*($G$8-$E$8)*($G$8-$F$8))))</f>
        <v>1.00280531759644</v>
      </c>
      <c r="E334" s="37" t="n">
        <f aca="false">1+IF($G$9=$E$9,$F$9,IF(S334&lt;($F$9-$E$9)/($G$9-$E$9),$E$9+SQRT(S334*($G$9-$E$9)*($F$9-$E$9)),$G$9-SQRT((1-S334)*($G$9-$E$9)*($G$9-$F$9))))</f>
        <v>0.978098915148833</v>
      </c>
      <c r="F334" s="37" t="n">
        <f aca="false">1+IF($G$10=$E$10,$F$10,IF(T334&lt;($F$10-$E$10)/($G$10-$E$10),$E$10+SQRT(T334*($G$10-$E$10)*($F$10-$E$10)),$G$10-SQRT((1-T334)*($G$10-$E$10)*($G$10-$F$10))))</f>
        <v>0.989825792854565</v>
      </c>
      <c r="G334" s="38" t="n">
        <f aca="false">IF($G$11=$E$11,$F$11,IF(U334&lt;($F$11-$E$11)/($G$11-$E$11),$E$11+SQRT(U334*($G$11-$E$11)*($F$11-$E$11)),$G$11-SQRT((1-U334)*($G$11-$E$11)*($G$11-$F$11))))</f>
        <v>0.0962131748300962</v>
      </c>
      <c r="H334" s="39" t="n">
        <f aca="false">(('Business Case'!B11*$C334*'Business Case'!B12*$B334)-'Business Case'!B11*$C334*'Business Case'!B13*$D334-'Business Case'!B14*$E334)-MAX(0,(('Business Case'!B11*$C334*'Business Case'!B12*$B334)-'Business Case'!B11*$C334*'Business Case'!B13*$D334-'Business Case'!B14*$E334))*'Business Case'!$B$7-'Business Case'!$B$8*('Business Case'!B11*$C334*'Business Case'!B12*$B334)-'Business Case'!B15*$F334</f>
        <v>-1979651585.70913</v>
      </c>
      <c r="I334" s="39" t="n">
        <f aca="false">(('Business Case'!C11*$C334*'Business Case'!C12*$B334)-'Business Case'!C11*$C334*'Business Case'!C13*$D334-'Business Case'!C14*$E334)-MAX(0,(('Business Case'!C11*$C334*'Business Case'!C12*$B334)-'Business Case'!C11*$C334*'Business Case'!C13*$D334-'Business Case'!C14*$E334))*'Business Case'!$B$7-'Business Case'!$B$8*(('Business Case'!C11*$C334*'Business Case'!C12*$B334)-('Business Case'!B11*$C334*'Business Case'!B12*$B334))-'Business Case'!C15*$F334</f>
        <v>-12810206.313892</v>
      </c>
      <c r="J334" s="39" t="n">
        <f aca="false">(('Business Case'!D11*$C334*'Business Case'!D12*$B334)-'Business Case'!D11*$C334*'Business Case'!D13*$D334-'Business Case'!D14*$E334)-MAX(0,(('Business Case'!D11*$C334*'Business Case'!D12*$B334)-'Business Case'!D11*$C334*'Business Case'!D13*$D334-'Business Case'!D14*$E334))*'Business Case'!$B$7-'Business Case'!$B$8*(('Business Case'!D11*$C334*'Business Case'!D12*$B334)-('Business Case'!C11*$C334*'Business Case'!C12*$B334))-'Business Case'!D15*$F334</f>
        <v>262992128.46925</v>
      </c>
      <c r="K334" s="39" t="n">
        <f aca="false">(('Business Case'!E11*$C334*'Business Case'!E12*$B334)-'Business Case'!E11*$C334*'Business Case'!E13*$D334-'Business Case'!E14*$E334)-MAX(0,(('Business Case'!E11*$C334*'Business Case'!E12*$B334)-'Business Case'!E11*$C334*'Business Case'!E13*$D334-'Business Case'!E14*$E334))*'Business Case'!$B$7-'Business Case'!$B$8*(('Business Case'!E11*$C334*'Business Case'!E12*$B334)-('Business Case'!D11*$C334*'Business Case'!D12*$B334))-'Business Case'!E15*$F334</f>
        <v>588285752.895121</v>
      </c>
      <c r="L334" s="39" t="n">
        <f aca="false">(('Business Case'!F11*$C334*'Business Case'!F12*$B334)-'Business Case'!F11*$C334*'Business Case'!F13*$D334-'Business Case'!F14*$E334)-MAX(0,(('Business Case'!F11*$C334*'Business Case'!F12*$B334)-'Business Case'!F11*$C334*'Business Case'!F13*$D334-'Business Case'!F14*$E334))*'Business Case'!$B$7-'Business Case'!$B$8*(('Business Case'!F11*$C334*'Business Case'!F12*$B334)-('Business Case'!E11*$C334*'Business Case'!E12*$B334))-'Business Case'!F15*$F334</f>
        <v>713916061.874444</v>
      </c>
      <c r="M334" s="39" t="n">
        <f aca="false">(('Business Case'!G11*$C334*'Business Case'!G12*$B334)-'Business Case'!G11*$C334*'Business Case'!G13*$D334-'Business Case'!G14*$E334)-MAX(0,(('Business Case'!G11*$C334*'Business Case'!G12*$B334)-'Business Case'!G11*$C334*'Business Case'!G13*$D334-'Business Case'!G14*$E334))*'Business Case'!$B$7-'Business Case'!$B$8*(('Business Case'!G11*$C334*'Business Case'!G12*$B334)-('Business Case'!F11*$C334*'Business Case'!F12*$B334))-'Business Case'!G15*$F334+'Business Case'!$B$8*('Business Case'!G11*$C334*'Business Case'!G12*$B334)</f>
        <v>899245147.491628</v>
      </c>
      <c r="N334" s="39" t="n">
        <f aca="false">IF(COUNT('Business Case'!B11:G11)=0,"",H334+NPV(G334,I334:M334))</f>
        <v>-263441661.578706</v>
      </c>
      <c r="P334" s="40" t="n">
        <f aca="true">RAND()</f>
        <v>0.145685683537444</v>
      </c>
      <c r="Q334" s="40" t="n">
        <f aca="true">RAND()</f>
        <v>0.670080602551986</v>
      </c>
      <c r="R334" s="40" t="n">
        <f aca="true">RAND()</f>
        <v>0.427017404674313</v>
      </c>
      <c r="S334" s="40" t="n">
        <f aca="true">RAND()</f>
        <v>0.105273204338841</v>
      </c>
      <c r="T334" s="40" t="n">
        <f aca="true">RAND()</f>
        <v>0.126887502119575</v>
      </c>
      <c r="U334" s="40" t="n">
        <f aca="true">RAND()</f>
        <v>0.12867847156447</v>
      </c>
    </row>
    <row r="335" customFormat="false" ht="15" hidden="false" customHeight="false" outlineLevel="0" collapsed="false">
      <c r="A335" s="36" t="n">
        <v>255</v>
      </c>
      <c r="B335" s="37" t="n">
        <f aca="false">1+IF($G$6=$E$6,$F$6,IF(P335&lt;($F$6-$E$6)/($G$6-$E$6),$E$6+SQRT(P335*($G$6-$E$6)*($F$6-$E$6)),$G$6-SQRT((1-P335)*($G$6-$E$6)*($G$6-$F$6))))</f>
        <v>0.97685896701848</v>
      </c>
      <c r="C335" s="37" t="n">
        <f aca="false">1+IF($G$7=$E$7,$F$7,IF(Q335&lt;($F$7-$E$7)/($G$7-$E$7),$E$7+SQRT(Q335*($G$7-$E$7)*($F$7-$E$7)),$G$7-SQRT((1-Q335)*($G$7-$E$7)*($G$7-$F$7))))</f>
        <v>0.881662884575642</v>
      </c>
      <c r="D335" s="37" t="n">
        <f aca="false">1+IF($G$8=$E$8,$F$8,IF(R335&lt;($F$8-$E$8)/($G$8-$E$8),$E$8+SQRT(R335*($G$8-$E$8)*($F$8-$E$8)),$G$8-SQRT((1-R335)*($G$8-$E$8)*($G$8-$F$8))))</f>
        <v>1.014975651733</v>
      </c>
      <c r="E335" s="37" t="n">
        <f aca="false">1+IF($G$9=$E$9,$F$9,IF(S335&lt;($F$9-$E$9)/($G$9-$E$9),$E$9+SQRT(S335*($G$9-$E$9)*($F$9-$E$9)),$G$9-SQRT((1-S335)*($G$9-$E$9)*($G$9-$F$9))))</f>
        <v>1.00451933420519</v>
      </c>
      <c r="F335" s="37" t="n">
        <f aca="false">1+IF($G$10=$E$10,$F$10,IF(T335&lt;($F$10-$E$10)/($G$10-$E$10),$E$10+SQRT(T335*($G$10-$E$10)*($F$10-$E$10)),$G$10-SQRT((1-T335)*($G$10-$E$10)*($G$10-$F$10))))</f>
        <v>0.993374540036738</v>
      </c>
      <c r="G335" s="38" t="n">
        <f aca="false">IF($G$11=$E$11,$F$11,IF(U335&lt;($F$11-$E$11)/($G$11-$E$11),$E$11+SQRT(U335*($G$11-$E$11)*($F$11-$E$11)),$G$11-SQRT((1-U335)*($G$11-$E$11)*($G$11-$F$11))))</f>
        <v>0.10056446791038</v>
      </c>
      <c r="H335" s="39" t="n">
        <f aca="false">(('Business Case'!B11*$C335*'Business Case'!B12*$B335)-'Business Case'!B11*$C335*'Business Case'!B13*$D335-'Business Case'!B14*$E335)-MAX(0,(('Business Case'!B11*$C335*'Business Case'!B12*$B335)-'Business Case'!B11*$C335*'Business Case'!B13*$D335-'Business Case'!B14*$E335))*'Business Case'!$B$7-'Business Case'!$B$8*('Business Case'!B11*$C335*'Business Case'!B12*$B335)-'Business Case'!B15*$F335</f>
        <v>-1986749080.07348</v>
      </c>
      <c r="I335" s="39" t="n">
        <f aca="false">(('Business Case'!C11*$C335*'Business Case'!C12*$B335)-'Business Case'!C11*$C335*'Business Case'!C13*$D335-'Business Case'!C14*$E335)-MAX(0,(('Business Case'!C11*$C335*'Business Case'!C12*$B335)-'Business Case'!C11*$C335*'Business Case'!C13*$D335-'Business Case'!C14*$E335))*'Business Case'!$B$7-'Business Case'!$B$8*(('Business Case'!C11*$C335*'Business Case'!C12*$B335)-('Business Case'!B11*$C335*'Business Case'!B12*$B335))-'Business Case'!C15*$F335</f>
        <v>-39493632.3779991</v>
      </c>
      <c r="J335" s="39" t="n">
        <f aca="false">(('Business Case'!D11*$C335*'Business Case'!D12*$B335)-'Business Case'!D11*$C335*'Business Case'!D13*$D335-'Business Case'!D14*$E335)-MAX(0,(('Business Case'!D11*$C335*'Business Case'!D12*$B335)-'Business Case'!D11*$C335*'Business Case'!D13*$D335-'Business Case'!D14*$E335))*'Business Case'!$B$7-'Business Case'!$B$8*(('Business Case'!D11*$C335*'Business Case'!D12*$B335)-('Business Case'!C11*$C335*'Business Case'!C12*$B335))-'Business Case'!D15*$F335</f>
        <v>207840572.24813</v>
      </c>
      <c r="K335" s="39" t="n">
        <f aca="false">(('Business Case'!E11*$C335*'Business Case'!E12*$B335)-'Business Case'!E11*$C335*'Business Case'!E13*$D335-'Business Case'!E14*$E335)-MAX(0,(('Business Case'!E11*$C335*'Business Case'!E12*$B335)-'Business Case'!E11*$C335*'Business Case'!E13*$D335-'Business Case'!E14*$E335))*'Business Case'!$B$7-'Business Case'!$B$8*(('Business Case'!E11*$C335*'Business Case'!E12*$B335)-('Business Case'!D11*$C335*'Business Case'!D12*$B335))-'Business Case'!E15*$F335</f>
        <v>504843503.876096</v>
      </c>
      <c r="L335" s="39" t="n">
        <f aca="false">(('Business Case'!F11*$C335*'Business Case'!F12*$B335)-'Business Case'!F11*$C335*'Business Case'!F13*$D335-'Business Case'!F14*$E335)-MAX(0,(('Business Case'!F11*$C335*'Business Case'!F12*$B335)-'Business Case'!F11*$C335*'Business Case'!F13*$D335-'Business Case'!F14*$E335))*'Business Case'!$B$7-'Business Case'!$B$8*(('Business Case'!F11*$C335*'Business Case'!F12*$B335)-('Business Case'!E11*$C335*'Business Case'!E12*$B335))-'Business Case'!F15*$F335</f>
        <v>617053394.535789</v>
      </c>
      <c r="M335" s="39" t="n">
        <f aca="false">(('Business Case'!G11*$C335*'Business Case'!G12*$B335)-'Business Case'!G11*$C335*'Business Case'!G13*$D335-'Business Case'!G14*$E335)-MAX(0,(('Business Case'!G11*$C335*'Business Case'!G12*$B335)-'Business Case'!G11*$C335*'Business Case'!G13*$D335-'Business Case'!G14*$E335))*'Business Case'!$B$7-'Business Case'!$B$8*(('Business Case'!G11*$C335*'Business Case'!G12*$B335)-('Business Case'!F11*$C335*'Business Case'!F12*$B335))-'Business Case'!G15*$F335+'Business Case'!$B$8*('Business Case'!G11*$C335*'Business Case'!G12*$B335)</f>
        <v>780761751.349532</v>
      </c>
      <c r="N335" s="39" t="n">
        <f aca="false">IF(COUNT('Business Case'!B11:G11)=0,"",H335+NPV(G335,I335:M335))</f>
        <v>-568186500.28313</v>
      </c>
      <c r="P335" s="40" t="n">
        <f aca="true">RAND()</f>
        <v>0.3367648052509</v>
      </c>
      <c r="Q335" s="40" t="n">
        <f aca="true">RAND()</f>
        <v>0.0952689531030664</v>
      </c>
      <c r="R335" s="40" t="n">
        <f aca="true">RAND()</f>
        <v>0.593445589658866</v>
      </c>
      <c r="S335" s="40" t="n">
        <f aca="true">RAND()</f>
        <v>0.392229497292048</v>
      </c>
      <c r="T335" s="40" t="n">
        <f aca="true">RAND()</f>
        <v>0.150508057871888</v>
      </c>
      <c r="U335" s="40" t="n">
        <f aca="true">RAND()</f>
        <v>0.370433487322272</v>
      </c>
    </row>
    <row r="336" customFormat="false" ht="15" hidden="false" customHeight="false" outlineLevel="0" collapsed="false">
      <c r="A336" s="36" t="n">
        <v>256</v>
      </c>
      <c r="B336" s="37" t="n">
        <f aca="false">1+IF($G$6=$E$6,$F$6,IF(P336&lt;($F$6-$E$6)/($G$6-$E$6),$E$6+SQRT(P336*($G$6-$E$6)*($F$6-$E$6)),$G$6-SQRT((1-P336)*($G$6-$E$6)*($G$6-$F$6))))</f>
        <v>0.970340022028008</v>
      </c>
      <c r="C336" s="37" t="n">
        <f aca="false">1+IF($G$7=$E$7,$F$7,IF(Q336&lt;($F$7-$E$7)/($G$7-$E$7),$E$7+SQRT(Q336*($G$7-$E$7)*($F$7-$E$7)),$G$7-SQRT((1-Q336)*($G$7-$E$7)*($G$7-$F$7))))</f>
        <v>1.01905011417914</v>
      </c>
      <c r="D336" s="37" t="n">
        <f aca="false">1+IF($G$8=$E$8,$F$8,IF(R336&lt;($F$8-$E$8)/($G$8-$E$8),$E$8+SQRT(R336*($G$8-$E$8)*($F$8-$E$8)),$G$8-SQRT((1-R336)*($G$8-$E$8)*($G$8-$F$8))))</f>
        <v>0.997668597105846</v>
      </c>
      <c r="E336" s="37" t="n">
        <f aca="false">1+IF($G$9=$E$9,$F$9,IF(S336&lt;($F$9-$E$9)/($G$9-$E$9),$E$9+SQRT(S336*($G$9-$E$9)*($F$9-$E$9)),$G$9-SQRT((1-S336)*($G$9-$E$9)*($G$9-$F$9))))</f>
        <v>0.997464585082163</v>
      </c>
      <c r="F336" s="37" t="n">
        <f aca="false">1+IF($G$10=$E$10,$F$10,IF(T336&lt;($F$10-$E$10)/($G$10-$E$10),$E$10+SQRT(T336*($G$10-$E$10)*($F$10-$E$10)),$G$10-SQRT((1-T336)*($G$10-$E$10)*($G$10-$F$10))))</f>
        <v>1.02148780647776</v>
      </c>
      <c r="G336" s="38" t="n">
        <f aca="false">IF($G$11=$E$11,$F$11,IF(U336&lt;($F$11-$E$11)/($G$11-$E$11),$E$11+SQRT(U336*($G$11-$E$11)*($F$11-$E$11)),$G$11-SQRT((1-U336)*($G$11-$E$11)*($G$11-$F$11))))</f>
        <v>0.10357237962954</v>
      </c>
      <c r="H336" s="39" t="n">
        <f aca="false">(('Business Case'!B11*$C336*'Business Case'!B12*$B336)-'Business Case'!B11*$C336*'Business Case'!B13*$D336-'Business Case'!B14*$E336)-MAX(0,(('Business Case'!B11*$C336*'Business Case'!B12*$B336)-'Business Case'!B11*$C336*'Business Case'!B13*$D336-'Business Case'!B14*$E336))*'Business Case'!$B$7-'Business Case'!$B$8*('Business Case'!B11*$C336*'Business Case'!B12*$B336)-'Business Case'!B15*$F336</f>
        <v>-2042975612.95553</v>
      </c>
      <c r="I336" s="39" t="n">
        <f aca="false">(('Business Case'!C11*$C336*'Business Case'!C12*$B336)-'Business Case'!C11*$C336*'Business Case'!C13*$D336-'Business Case'!C14*$E336)-MAX(0,(('Business Case'!C11*$C336*'Business Case'!C12*$B336)-'Business Case'!C11*$C336*'Business Case'!C13*$D336-'Business Case'!C14*$E336))*'Business Case'!$B$7-'Business Case'!$B$8*(('Business Case'!C11*$C336*'Business Case'!C12*$B336)-('Business Case'!B11*$C336*'Business Case'!B12*$B336))-'Business Case'!C15*$F336</f>
        <v>-5785884.1931546</v>
      </c>
      <c r="J336" s="39" t="n">
        <f aca="false">(('Business Case'!D11*$C336*'Business Case'!D12*$B336)-'Business Case'!D11*$C336*'Business Case'!D13*$D336-'Business Case'!D14*$E336)-MAX(0,(('Business Case'!D11*$C336*'Business Case'!D12*$B336)-'Business Case'!D11*$C336*'Business Case'!D13*$D336-'Business Case'!D14*$E336))*'Business Case'!$B$7-'Business Case'!$B$8*(('Business Case'!D11*$C336*'Business Case'!D12*$B336)-('Business Case'!C11*$C336*'Business Case'!C12*$B336))-'Business Case'!D15*$F336</f>
        <v>283677169.975004</v>
      </c>
      <c r="K336" s="39" t="n">
        <f aca="false">(('Business Case'!E11*$C336*'Business Case'!E12*$B336)-'Business Case'!E11*$C336*'Business Case'!E13*$D336-'Business Case'!E14*$E336)-MAX(0,(('Business Case'!E11*$C336*'Business Case'!E12*$B336)-'Business Case'!E11*$C336*'Business Case'!E13*$D336-'Business Case'!E14*$E336))*'Business Case'!$B$7-'Business Case'!$B$8*(('Business Case'!E11*$C336*'Business Case'!E12*$B336)-('Business Case'!D11*$C336*'Business Case'!D12*$B336))-'Business Case'!E15*$F336</f>
        <v>624214614.467052</v>
      </c>
      <c r="L336" s="39" t="n">
        <f aca="false">(('Business Case'!F11*$C336*'Business Case'!F12*$B336)-'Business Case'!F11*$C336*'Business Case'!F13*$D336-'Business Case'!F14*$E336)-MAX(0,(('Business Case'!F11*$C336*'Business Case'!F12*$B336)-'Business Case'!F11*$C336*'Business Case'!F13*$D336-'Business Case'!F14*$E336))*'Business Case'!$B$7-'Business Case'!$B$8*(('Business Case'!F11*$C336*'Business Case'!F12*$B336)-('Business Case'!E11*$C336*'Business Case'!E12*$B336))-'Business Case'!F15*$F336</f>
        <v>754876094.999674</v>
      </c>
      <c r="M336" s="39" t="n">
        <f aca="false">(('Business Case'!G11*$C336*'Business Case'!G12*$B336)-'Business Case'!G11*$C336*'Business Case'!G13*$D336-'Business Case'!G14*$E336)-MAX(0,(('Business Case'!G11*$C336*'Business Case'!G12*$B336)-'Business Case'!G11*$C336*'Business Case'!G13*$D336-'Business Case'!G14*$E336))*'Business Case'!$B$7-'Business Case'!$B$8*(('Business Case'!G11*$C336*'Business Case'!G12*$B336)-('Business Case'!F11*$C336*'Business Case'!F12*$B336))-'Business Case'!G15*$F336+'Business Case'!$B$8*('Business Case'!G11*$C336*'Business Case'!G12*$B336)</f>
        <v>942831971.954137</v>
      </c>
      <c r="N336" s="39" t="n">
        <f aca="false">IF(COUNT('Business Case'!B11:G11)=0,"",H336+NPV(G336,I336:M336))</f>
        <v>-265890929.253341</v>
      </c>
      <c r="P336" s="40" t="n">
        <f aca="true">RAND()</f>
        <v>0.263970606018782</v>
      </c>
      <c r="Q336" s="40" t="n">
        <f aca="true">RAND()</f>
        <v>0.673373855304844</v>
      </c>
      <c r="R336" s="40" t="n">
        <f aca="true">RAND()</f>
        <v>0.349583869236837</v>
      </c>
      <c r="S336" s="40" t="n">
        <f aca="true">RAND()</f>
        <v>0.300384911602918</v>
      </c>
      <c r="T336" s="40" t="n">
        <f aca="true">RAND()</f>
        <v>0.362667935277595</v>
      </c>
      <c r="U336" s="40" t="n">
        <f aca="true">RAND()</f>
        <v>0.550222148273412</v>
      </c>
    </row>
    <row r="337" customFormat="false" ht="15" hidden="false" customHeight="false" outlineLevel="0" collapsed="false">
      <c r="A337" s="36" t="n">
        <v>257</v>
      </c>
      <c r="B337" s="37" t="n">
        <f aca="false">1+IF($G$6=$E$6,$F$6,IF(P337&lt;($F$6-$E$6)/($G$6-$E$6),$E$6+SQRT(P337*($G$6-$E$6)*($F$6-$E$6)),$G$6-SQRT((1-P337)*($G$6-$E$6)*($G$6-$F$6))))</f>
        <v>1.01333915135753</v>
      </c>
      <c r="C337" s="37" t="n">
        <f aca="false">1+IF($G$7=$E$7,$F$7,IF(Q337&lt;($F$7-$E$7)/($G$7-$E$7),$E$7+SQRT(Q337*($G$7-$E$7)*($F$7-$E$7)),$G$7-SQRT((1-Q337)*($G$7-$E$7)*($G$7-$F$7))))</f>
        <v>1.1017135766359</v>
      </c>
      <c r="D337" s="37" t="n">
        <f aca="false">1+IF($G$8=$E$8,$F$8,IF(R337&lt;($F$8-$E$8)/($G$8-$E$8),$E$8+SQRT(R337*($G$8-$E$8)*($F$8-$E$8)),$G$8-SQRT((1-R337)*($G$8-$E$8)*($G$8-$F$8))))</f>
        <v>1.00406858334391</v>
      </c>
      <c r="E337" s="37" t="n">
        <f aca="false">1+IF($G$9=$E$9,$F$9,IF(S337&lt;($F$9-$E$9)/($G$9-$E$9),$E$9+SQRT(S337*($G$9-$E$9)*($F$9-$E$9)),$G$9-SQRT((1-S337)*($G$9-$E$9)*($G$9-$F$9))))</f>
        <v>1.00295685698928</v>
      </c>
      <c r="F337" s="37" t="n">
        <f aca="false">1+IF($G$10=$E$10,$F$10,IF(T337&lt;($F$10-$E$10)/($G$10-$E$10),$E$10+SQRT(T337*($G$10-$E$10)*($F$10-$E$10)),$G$10-SQRT((1-T337)*($G$10-$E$10)*($G$10-$F$10))))</f>
        <v>1.07063559304824</v>
      </c>
      <c r="G337" s="38" t="n">
        <f aca="false">IF($G$11=$E$11,$F$11,IF(U337&lt;($F$11-$E$11)/($G$11-$E$11),$E$11+SQRT(U337*($G$11-$E$11)*($F$11-$E$11)),$G$11-SQRT((1-U337)*($G$11-$E$11)*($G$11-$F$11))))</f>
        <v>0.104509812304465</v>
      </c>
      <c r="H337" s="39" t="n">
        <f aca="false">(('Business Case'!B11*$C337*'Business Case'!B12*$B337)-'Business Case'!B11*$C337*'Business Case'!B13*$D337-'Business Case'!B14*$E337)-MAX(0,(('Business Case'!B11*$C337*'Business Case'!B12*$B337)-'Business Case'!B11*$C337*'Business Case'!B13*$D337-'Business Case'!B14*$E337))*'Business Case'!$B$7-'Business Case'!$B$8*('Business Case'!B11*$C337*'Business Case'!B12*$B337)-'Business Case'!B15*$F337</f>
        <v>-2141271186.09648</v>
      </c>
      <c r="I337" s="39" t="n">
        <f aca="false">(('Business Case'!C11*$C337*'Business Case'!C12*$B337)-'Business Case'!C11*$C337*'Business Case'!C13*$D337-'Business Case'!C14*$E337)-MAX(0,(('Business Case'!C11*$C337*'Business Case'!C12*$B337)-'Business Case'!C11*$C337*'Business Case'!C13*$D337-'Business Case'!C14*$E337))*'Business Case'!$B$7-'Business Case'!$B$8*(('Business Case'!C11*$C337*'Business Case'!C12*$B337)-('Business Case'!B11*$C337*'Business Case'!B12*$B337))-'Business Case'!C15*$F337</f>
        <v>40577218.465043</v>
      </c>
      <c r="J337" s="39" t="n">
        <f aca="false">(('Business Case'!D11*$C337*'Business Case'!D12*$B337)-'Business Case'!D11*$C337*'Business Case'!D13*$D337-'Business Case'!D14*$E337)-MAX(0,(('Business Case'!D11*$C337*'Business Case'!D12*$B337)-'Business Case'!D11*$C337*'Business Case'!D13*$D337-'Business Case'!D14*$E337))*'Business Case'!$B$7-'Business Case'!$B$8*(('Business Case'!D11*$C337*'Business Case'!D12*$B337)-('Business Case'!C11*$C337*'Business Case'!C12*$B337))-'Business Case'!D15*$F337</f>
        <v>388713129.819599</v>
      </c>
      <c r="K337" s="39" t="n">
        <f aca="false">(('Business Case'!E11*$C337*'Business Case'!E12*$B337)-'Business Case'!E11*$C337*'Business Case'!E13*$D337-'Business Case'!E14*$E337)-MAX(0,(('Business Case'!E11*$C337*'Business Case'!E12*$B337)-'Business Case'!E11*$C337*'Business Case'!E13*$D337-'Business Case'!E14*$E337))*'Business Case'!$B$7-'Business Case'!$B$8*(('Business Case'!E11*$C337*'Business Case'!E12*$B337)-('Business Case'!D11*$C337*'Business Case'!D12*$B337))-'Business Case'!E15*$F337</f>
        <v>790380820.826566</v>
      </c>
      <c r="L337" s="39" t="n">
        <f aca="false">(('Business Case'!F11*$C337*'Business Case'!F12*$B337)-'Business Case'!F11*$C337*'Business Case'!F13*$D337-'Business Case'!F14*$E337)-MAX(0,(('Business Case'!F11*$C337*'Business Case'!F12*$B337)-'Business Case'!F11*$C337*'Business Case'!F13*$D337-'Business Case'!F14*$E337))*'Business Case'!$B$7-'Business Case'!$B$8*(('Business Case'!F11*$C337*'Business Case'!F12*$B337)-('Business Case'!E11*$C337*'Business Case'!E12*$B337))-'Business Case'!F15*$F337</f>
        <v>945009236.958627</v>
      </c>
      <c r="M337" s="39" t="n">
        <f aca="false">(('Business Case'!G11*$C337*'Business Case'!G12*$B337)-'Business Case'!G11*$C337*'Business Case'!G13*$D337-'Business Case'!G14*$E337)-MAX(0,(('Business Case'!G11*$C337*'Business Case'!G12*$B337)-'Business Case'!G11*$C337*'Business Case'!G13*$D337-'Business Case'!G14*$E337))*'Business Case'!$B$7-'Business Case'!$B$8*(('Business Case'!G11*$C337*'Business Case'!G12*$B337)-('Business Case'!F11*$C337*'Business Case'!F12*$B337))-'Business Case'!G15*$F337+'Business Case'!$B$8*('Business Case'!G11*$C337*'Business Case'!G12*$B337)</f>
        <v>1157216354.86827</v>
      </c>
      <c r="N337" s="39" t="n">
        <f aca="false">IF(COUNT('Business Case'!B11:G11)=0,"",H337+NPV(G337,I337:M337))</f>
        <v>139646532.254342</v>
      </c>
      <c r="P337" s="40" t="n">
        <f aca="true">RAND()</f>
        <v>0.851916489513152</v>
      </c>
      <c r="Q337" s="40" t="n">
        <f aca="true">RAND()</f>
        <v>0.955588977499095</v>
      </c>
      <c r="R337" s="40" t="n">
        <f aca="true">RAND()</f>
        <v>0.445617304288327</v>
      </c>
      <c r="S337" s="40" t="n">
        <f aca="true">RAND()</f>
        <v>0.372175226306751</v>
      </c>
      <c r="T337" s="40" t="n">
        <f aca="true">RAND()</f>
        <v>0.665297004280379</v>
      </c>
      <c r="U337" s="40" t="n">
        <f aca="true">RAND()</f>
        <v>0.600090141928511</v>
      </c>
    </row>
    <row r="338" customFormat="false" ht="15" hidden="false" customHeight="false" outlineLevel="0" collapsed="false">
      <c r="A338" s="36" t="n">
        <v>258</v>
      </c>
      <c r="B338" s="37" t="n">
        <f aca="false">1+IF($G$6=$E$6,$F$6,IF(P338&lt;($F$6-$E$6)/($G$6-$E$6),$E$6+SQRT(P338*($G$6-$E$6)*($F$6-$E$6)),$G$6-SQRT((1-P338)*($G$6-$E$6)*($G$6-$F$6))))</f>
        <v>1.00133901414996</v>
      </c>
      <c r="C338" s="37" t="n">
        <f aca="false">1+IF($G$7=$E$7,$F$7,IF(Q338&lt;($F$7-$E$7)/($G$7-$E$7),$E$7+SQRT(Q338*($G$7-$E$7)*($F$7-$E$7)),$G$7-SQRT((1-Q338)*($G$7-$E$7)*($G$7-$F$7))))</f>
        <v>1.0115735640965</v>
      </c>
      <c r="D338" s="37" t="n">
        <f aca="false">1+IF($G$8=$E$8,$F$8,IF(R338&lt;($F$8-$E$8)/($G$8-$E$8),$E$8+SQRT(R338*($G$8-$E$8)*($F$8-$E$8)),$G$8-SQRT((1-R338)*($G$8-$E$8)*($G$8-$F$8))))</f>
        <v>1.01128383773131</v>
      </c>
      <c r="E338" s="37" t="n">
        <f aca="false">1+IF($G$9=$E$9,$F$9,IF(S338&lt;($F$9-$E$9)/($G$9-$E$9),$E$9+SQRT(S338*($G$9-$E$9)*($F$9-$E$9)),$G$9-SQRT((1-S338)*($G$9-$E$9)*($G$9-$F$9))))</f>
        <v>1.06847119803053</v>
      </c>
      <c r="F338" s="37" t="n">
        <f aca="false">1+IF($G$10=$E$10,$F$10,IF(T338&lt;($F$10-$E$10)/($G$10-$E$10),$E$10+SQRT(T338*($G$10-$E$10)*($F$10-$E$10)),$G$10-SQRT((1-T338)*($G$10-$E$10)*($G$10-$F$10))))</f>
        <v>1.03596845491486</v>
      </c>
      <c r="G338" s="38" t="n">
        <f aca="false">IF($G$11=$E$11,$F$11,IF(U338&lt;($F$11-$E$11)/($G$11-$E$11),$E$11+SQRT(U338*($G$11-$E$11)*($F$11-$E$11)),$G$11-SQRT((1-U338)*($G$11-$E$11)*($G$11-$F$11))))</f>
        <v>0.107990610719738</v>
      </c>
      <c r="H338" s="39" t="n">
        <f aca="false">(('Business Case'!B11*$C338*'Business Case'!B12*$B338)-'Business Case'!B11*$C338*'Business Case'!B13*$D338-'Business Case'!B14*$E338)-MAX(0,(('Business Case'!B11*$C338*'Business Case'!B12*$B338)-'Business Case'!B11*$C338*'Business Case'!B13*$D338-'Business Case'!B14*$E338))*'Business Case'!$B$7-'Business Case'!$B$8*('Business Case'!B11*$C338*'Business Case'!B12*$B338)-'Business Case'!B15*$F338</f>
        <v>-2071936909.82973</v>
      </c>
      <c r="I338" s="39" t="n">
        <f aca="false">(('Business Case'!C11*$C338*'Business Case'!C12*$B338)-'Business Case'!C11*$C338*'Business Case'!C13*$D338-'Business Case'!C14*$E338)-MAX(0,(('Business Case'!C11*$C338*'Business Case'!C12*$B338)-'Business Case'!C11*$C338*'Business Case'!C13*$D338-'Business Case'!C14*$E338))*'Business Case'!$B$7-'Business Case'!$B$8*(('Business Case'!C11*$C338*'Business Case'!C12*$B338)-('Business Case'!B11*$C338*'Business Case'!B12*$B338))-'Business Case'!C15*$F338</f>
        <v>-2070631.63291121</v>
      </c>
      <c r="J338" s="39" t="n">
        <f aca="false">(('Business Case'!D11*$C338*'Business Case'!D12*$B338)-'Business Case'!D11*$C338*'Business Case'!D13*$D338-'Business Case'!D14*$E338)-MAX(0,(('Business Case'!D11*$C338*'Business Case'!D12*$B338)-'Business Case'!D11*$C338*'Business Case'!D13*$D338-'Business Case'!D14*$E338))*'Business Case'!$B$7-'Business Case'!$B$8*(('Business Case'!D11*$C338*'Business Case'!D12*$B338)-('Business Case'!C11*$C338*'Business Case'!C12*$B338))-'Business Case'!D15*$F338</f>
        <v>303902378.014992</v>
      </c>
      <c r="K338" s="39" t="n">
        <f aca="false">(('Business Case'!E11*$C338*'Business Case'!E12*$B338)-'Business Case'!E11*$C338*'Business Case'!E13*$D338-'Business Case'!E14*$E338)-MAX(0,(('Business Case'!E11*$C338*'Business Case'!E12*$B338)-'Business Case'!E11*$C338*'Business Case'!E13*$D338-'Business Case'!E14*$E338))*'Business Case'!$B$7-'Business Case'!$B$8*(('Business Case'!E11*$C338*'Business Case'!E12*$B338)-('Business Case'!D11*$C338*'Business Case'!D12*$B338))-'Business Case'!E15*$F338</f>
        <v>661673810.408638</v>
      </c>
      <c r="L338" s="39" t="n">
        <f aca="false">(('Business Case'!F11*$C338*'Business Case'!F12*$B338)-'Business Case'!F11*$C338*'Business Case'!F13*$D338-'Business Case'!F14*$E338)-MAX(0,(('Business Case'!F11*$C338*'Business Case'!F12*$B338)-'Business Case'!F11*$C338*'Business Case'!F13*$D338-'Business Case'!F14*$E338))*'Business Case'!$B$7-'Business Case'!$B$8*(('Business Case'!F11*$C338*'Business Case'!F12*$B338)-('Business Case'!E11*$C338*'Business Case'!E12*$B338))-'Business Case'!F15*$F338</f>
        <v>798671607.910864</v>
      </c>
      <c r="M338" s="39" t="n">
        <f aca="false">(('Business Case'!G11*$C338*'Business Case'!G12*$B338)-'Business Case'!G11*$C338*'Business Case'!G13*$D338-'Business Case'!G14*$E338)-MAX(0,(('Business Case'!G11*$C338*'Business Case'!G12*$B338)-'Business Case'!G11*$C338*'Business Case'!G13*$D338-'Business Case'!G14*$E338))*'Business Case'!$B$7-'Business Case'!$B$8*(('Business Case'!G11*$C338*'Business Case'!G12*$B338)-('Business Case'!F11*$C338*'Business Case'!F12*$B338))-'Business Case'!G15*$F338+'Business Case'!$B$8*('Business Case'!G11*$C338*'Business Case'!G12*$B338)</f>
        <v>991208976.485281</v>
      </c>
      <c r="N338" s="39" t="n">
        <f aca="false">IF(COUNT('Business Case'!B11:G11)=0,"",H338+NPV(G338,I338:M338))</f>
        <v>-216284875.453839</v>
      </c>
      <c r="P338" s="40" t="n">
        <f aca="true">RAND()</f>
        <v>0.688610036063084</v>
      </c>
      <c r="Q338" s="40" t="n">
        <f aca="true">RAND()</f>
        <v>0.635011844629595</v>
      </c>
      <c r="R338" s="40" t="n">
        <f aca="true">RAND()</f>
        <v>0.545970100294479</v>
      </c>
      <c r="S338" s="40" t="n">
        <f aca="true">RAND()</f>
        <v>0.933728976424669</v>
      </c>
      <c r="T338" s="40" t="n">
        <f aca="true">RAND()</f>
        <v>0.461873044339656</v>
      </c>
      <c r="U338" s="40" t="n">
        <f aca="true">RAND()</f>
        <v>0.759624281858546</v>
      </c>
    </row>
    <row r="339" customFormat="false" ht="15" hidden="false" customHeight="false" outlineLevel="0" collapsed="false">
      <c r="A339" s="36" t="n">
        <v>259</v>
      </c>
      <c r="B339" s="37" t="n">
        <f aca="false">1+IF($G$6=$E$6,$F$6,IF(P339&lt;($F$6-$E$6)/($G$6-$E$6),$E$6+SQRT(P339*($G$6-$E$6)*($F$6-$E$6)),$G$6-SQRT((1-P339)*($G$6-$E$6)*($G$6-$F$6))))</f>
        <v>0.963673624246097</v>
      </c>
      <c r="C339" s="37" t="n">
        <f aca="false">1+IF($G$7=$E$7,$F$7,IF(Q339&lt;($F$7-$E$7)/($G$7-$E$7),$E$7+SQRT(Q339*($G$7-$E$7)*($F$7-$E$7)),$G$7-SQRT((1-Q339)*($G$7-$E$7)*($G$7-$F$7))))</f>
        <v>0.973454240239361</v>
      </c>
      <c r="D339" s="37" t="n">
        <f aca="false">1+IF($G$8=$E$8,$F$8,IF(R339&lt;($F$8-$E$8)/($G$8-$E$8),$E$8+SQRT(R339*($G$8-$E$8)*($F$8-$E$8)),$G$8-SQRT((1-R339)*($G$8-$E$8)*($G$8-$F$8))))</f>
        <v>0.988719064928244</v>
      </c>
      <c r="E339" s="37" t="n">
        <f aca="false">1+IF($G$9=$E$9,$F$9,IF(S339&lt;($F$9-$E$9)/($G$9-$E$9),$E$9+SQRT(S339*($G$9-$E$9)*($F$9-$E$9)),$G$9-SQRT((1-S339)*($G$9-$E$9)*($G$9-$F$9))))</f>
        <v>1.02405500758956</v>
      </c>
      <c r="F339" s="37" t="n">
        <f aca="false">1+IF($G$10=$E$10,$F$10,IF(T339&lt;($F$10-$E$10)/($G$10-$E$10),$E$10+SQRT(T339*($G$10-$E$10)*($F$10-$E$10)),$G$10-SQRT((1-T339)*($G$10-$E$10)*($G$10-$F$10))))</f>
        <v>1.04598972964107</v>
      </c>
      <c r="G339" s="38" t="n">
        <f aca="false">IF($G$11=$E$11,$F$11,IF(U339&lt;($F$11-$E$11)/($G$11-$E$11),$E$11+SQRT(U339*($G$11-$E$11)*($F$11-$E$11)),$G$11-SQRT((1-U339)*($G$11-$E$11)*($G$11-$F$11))))</f>
        <v>0.100719240508928</v>
      </c>
      <c r="H339" s="39" t="n">
        <f aca="false">(('Business Case'!B11*$C339*'Business Case'!B12*$B339)-'Business Case'!B11*$C339*'Business Case'!B13*$D339-'Business Case'!B14*$E339)-MAX(0,(('Business Case'!B11*$C339*'Business Case'!B12*$B339)-'Business Case'!B11*$C339*'Business Case'!B13*$D339-'Business Case'!B14*$E339))*'Business Case'!$B$7-'Business Case'!$B$8*('Business Case'!B11*$C339*'Business Case'!B12*$B339)-'Business Case'!B15*$F339</f>
        <v>-2091979459.28214</v>
      </c>
      <c r="I339" s="39" t="n">
        <f aca="false">(('Business Case'!C11*$C339*'Business Case'!C12*$B339)-'Business Case'!C11*$C339*'Business Case'!C13*$D339-'Business Case'!C14*$E339)-MAX(0,(('Business Case'!C11*$C339*'Business Case'!C12*$B339)-'Business Case'!C11*$C339*'Business Case'!C13*$D339-'Business Case'!C14*$E339))*'Business Case'!$B$7-'Business Case'!$B$8*(('Business Case'!C11*$C339*'Business Case'!C12*$B339)-('Business Case'!B11*$C339*'Business Case'!B12*$B339))-'Business Case'!C15*$F339</f>
        <v>-23194317.3268538</v>
      </c>
      <c r="J339" s="39" t="n">
        <f aca="false">(('Business Case'!D11*$C339*'Business Case'!D12*$B339)-'Business Case'!D11*$C339*'Business Case'!D13*$D339-'Business Case'!D14*$E339)-MAX(0,(('Business Case'!D11*$C339*'Business Case'!D12*$B339)-'Business Case'!D11*$C339*'Business Case'!D13*$D339-'Business Case'!D14*$E339))*'Business Case'!$B$7-'Business Case'!$B$8*(('Business Case'!D11*$C339*'Business Case'!D12*$B339)-('Business Case'!C11*$C339*'Business Case'!C12*$B339))-'Business Case'!D15*$F339</f>
        <v>252461658.779437</v>
      </c>
      <c r="K339" s="39" t="n">
        <f aca="false">(('Business Case'!E11*$C339*'Business Case'!E12*$B339)-'Business Case'!E11*$C339*'Business Case'!E13*$D339-'Business Case'!E14*$E339)-MAX(0,(('Business Case'!E11*$C339*'Business Case'!E12*$B339)-'Business Case'!E11*$C339*'Business Case'!E13*$D339-'Business Case'!E14*$E339))*'Business Case'!$B$7-'Business Case'!$B$8*(('Business Case'!E11*$C339*'Business Case'!E12*$B339)-('Business Case'!D11*$C339*'Business Case'!D12*$B339))-'Business Case'!E15*$F339</f>
        <v>580417121.36778</v>
      </c>
      <c r="L339" s="39" t="n">
        <f aca="false">(('Business Case'!F11*$C339*'Business Case'!F12*$B339)-'Business Case'!F11*$C339*'Business Case'!F13*$D339-'Business Case'!F14*$E339)-MAX(0,(('Business Case'!F11*$C339*'Business Case'!F12*$B339)-'Business Case'!F11*$C339*'Business Case'!F13*$D339-'Business Case'!F14*$E339))*'Business Case'!$B$7-'Business Case'!$B$8*(('Business Case'!F11*$C339*'Business Case'!F12*$B339)-('Business Case'!E11*$C339*'Business Case'!E12*$B339))-'Business Case'!F15*$F339</f>
        <v>704722912.329745</v>
      </c>
      <c r="M339" s="39" t="n">
        <f aca="false">(('Business Case'!G11*$C339*'Business Case'!G12*$B339)-'Business Case'!G11*$C339*'Business Case'!G13*$D339-'Business Case'!G14*$E339)-MAX(0,(('Business Case'!G11*$C339*'Business Case'!G12*$B339)-'Business Case'!G11*$C339*'Business Case'!G13*$D339-'Business Case'!G14*$E339))*'Business Case'!$B$7-'Business Case'!$B$8*(('Business Case'!G11*$C339*'Business Case'!G12*$B339)-('Business Case'!F11*$C339*'Business Case'!F12*$B339))-'Business Case'!G15*$F339+'Business Case'!$B$8*('Business Case'!G11*$C339*'Business Case'!G12*$B339)</f>
        <v>883035473.09235</v>
      </c>
      <c r="N339" s="39" t="n">
        <f aca="false">IF(COUNT('Business Case'!B11:G11)=0,"",H339+NPV(G339,I339:M339))</f>
        <v>-442871377.547746</v>
      </c>
      <c r="P339" s="40" t="n">
        <f aca="true">RAND()</f>
        <v>0.198685984873883</v>
      </c>
      <c r="Q339" s="40" t="n">
        <f aca="true">RAND()</f>
        <v>0.4298053351002</v>
      </c>
      <c r="R339" s="40" t="n">
        <f aca="true">RAND()</f>
        <v>0.230640921371938</v>
      </c>
      <c r="S339" s="40" t="n">
        <f aca="true">RAND()</f>
        <v>0.615490541851879</v>
      </c>
      <c r="T339" s="40" t="n">
        <f aca="true">RAND()</f>
        <v>0.525616732479399</v>
      </c>
      <c r="U339" s="40" t="n">
        <f aca="true">RAND()</f>
        <v>0.380420522412369</v>
      </c>
    </row>
    <row r="340" customFormat="false" ht="15" hidden="false" customHeight="false" outlineLevel="0" collapsed="false">
      <c r="A340" s="36" t="n">
        <v>260</v>
      </c>
      <c r="B340" s="37" t="n">
        <f aca="false">1+IF($G$6=$E$6,$F$6,IF(P340&lt;($F$6-$E$6)/($G$6-$E$6),$E$6+SQRT(P340*($G$6-$E$6)*($F$6-$E$6)),$G$6-SQRT((1-P340)*($G$6-$E$6)*($G$6-$F$6))))</f>
        <v>1.00709285311026</v>
      </c>
      <c r="C340" s="37" t="n">
        <f aca="false">1+IF($G$7=$E$7,$F$7,IF(Q340&lt;($F$7-$E$7)/($G$7-$E$7),$E$7+SQRT(Q340*($G$7-$E$7)*($F$7-$E$7)),$G$7-SQRT((1-Q340)*($G$7-$E$7)*($G$7-$F$7))))</f>
        <v>0.895623020760082</v>
      </c>
      <c r="D340" s="37" t="n">
        <f aca="false">1+IF($G$8=$E$8,$F$8,IF(R340&lt;($F$8-$E$8)/($G$8-$E$8),$E$8+SQRT(R340*($G$8-$E$8)*($F$8-$E$8)),$G$8-SQRT((1-R340)*($G$8-$E$8)*($G$8-$F$8))))</f>
        <v>1.0236577288471</v>
      </c>
      <c r="E340" s="37" t="n">
        <f aca="false">1+IF($G$9=$E$9,$F$9,IF(S340&lt;($F$9-$E$9)/($G$9-$E$9),$E$9+SQRT(S340*($G$9-$E$9)*($F$9-$E$9)),$G$9-SQRT((1-S340)*($G$9-$E$9)*($G$9-$F$9))))</f>
        <v>0.997710366902421</v>
      </c>
      <c r="F340" s="37" t="n">
        <f aca="false">1+IF($G$10=$E$10,$F$10,IF(T340&lt;($F$10-$E$10)/($G$10-$E$10),$E$10+SQRT(T340*($G$10-$E$10)*($F$10-$E$10)),$G$10-SQRT((1-T340)*($G$10-$E$10)*($G$10-$F$10))))</f>
        <v>1.08658819270129</v>
      </c>
      <c r="G340" s="38" t="n">
        <f aca="false">IF($G$11=$E$11,$F$11,IF(U340&lt;($F$11-$E$11)/($G$11-$E$11),$E$11+SQRT(U340*($G$11-$E$11)*($F$11-$E$11)),$G$11-SQRT((1-U340)*($G$11-$E$11)*($G$11-$F$11))))</f>
        <v>0.0975709317981476</v>
      </c>
      <c r="H340" s="39" t="n">
        <f aca="false">(('Business Case'!B11*$C340*'Business Case'!B12*$B340)-'Business Case'!B11*$C340*'Business Case'!B13*$D340-'Business Case'!B14*$E340)-MAX(0,(('Business Case'!B11*$C340*'Business Case'!B12*$B340)-'Business Case'!B11*$C340*'Business Case'!B13*$D340-'Business Case'!B14*$E340))*'Business Case'!$B$7-'Business Case'!$B$8*('Business Case'!B11*$C340*'Business Case'!B12*$B340)-'Business Case'!B15*$F340</f>
        <v>-2173176385.40259</v>
      </c>
      <c r="I340" s="39" t="n">
        <f aca="false">(('Business Case'!C11*$C340*'Business Case'!C12*$B340)-'Business Case'!C11*$C340*'Business Case'!C13*$D340-'Business Case'!C14*$E340)-MAX(0,(('Business Case'!C11*$C340*'Business Case'!C12*$B340)-'Business Case'!C11*$C340*'Business Case'!C13*$D340-'Business Case'!C14*$E340))*'Business Case'!$B$7-'Business Case'!$B$8*(('Business Case'!C11*$C340*'Business Case'!C12*$B340)-('Business Case'!B11*$C340*'Business Case'!B12*$B340))-'Business Case'!C15*$F340</f>
        <v>-27842839.2963786</v>
      </c>
      <c r="J340" s="39" t="n">
        <f aca="false">(('Business Case'!D11*$C340*'Business Case'!D12*$B340)-'Business Case'!D11*$C340*'Business Case'!D13*$D340-'Business Case'!D14*$E340)-MAX(0,(('Business Case'!D11*$C340*'Business Case'!D12*$B340)-'Business Case'!D11*$C340*'Business Case'!D13*$D340-'Business Case'!D14*$E340))*'Business Case'!$B$7-'Business Case'!$B$8*(('Business Case'!D11*$C340*'Business Case'!D12*$B340)-('Business Case'!C11*$C340*'Business Case'!C12*$B340))-'Business Case'!D15*$F340</f>
        <v>241605967.014973</v>
      </c>
      <c r="K340" s="39" t="n">
        <f aca="false">(('Business Case'!E11*$C340*'Business Case'!E12*$B340)-'Business Case'!E11*$C340*'Business Case'!E13*$D340-'Business Case'!E14*$E340)-MAX(0,(('Business Case'!E11*$C340*'Business Case'!E12*$B340)-'Business Case'!E11*$C340*'Business Case'!E13*$D340-'Business Case'!E14*$E340))*'Business Case'!$B$7-'Business Case'!$B$8*(('Business Case'!E11*$C340*'Business Case'!E12*$B340)-('Business Case'!D11*$C340*'Business Case'!D12*$B340))-'Business Case'!E15*$F340</f>
        <v>565384182.961389</v>
      </c>
      <c r="L340" s="39" t="n">
        <f aca="false">(('Business Case'!F11*$C340*'Business Case'!F12*$B340)-'Business Case'!F11*$C340*'Business Case'!F13*$D340-'Business Case'!F14*$E340)-MAX(0,(('Business Case'!F11*$C340*'Business Case'!F12*$B340)-'Business Case'!F11*$C340*'Business Case'!F13*$D340-'Business Case'!F14*$E340))*'Business Case'!$B$7-'Business Case'!$B$8*(('Business Case'!F11*$C340*'Business Case'!F12*$B340)-('Business Case'!E11*$C340*'Business Case'!E12*$B340))-'Business Case'!F15*$F340</f>
        <v>686372726.50789</v>
      </c>
      <c r="M340" s="39" t="n">
        <f aca="false">(('Business Case'!G11*$C340*'Business Case'!G12*$B340)-'Business Case'!G11*$C340*'Business Case'!G13*$D340-'Business Case'!G14*$E340)-MAX(0,(('Business Case'!G11*$C340*'Business Case'!G12*$B340)-'Business Case'!G11*$C340*'Business Case'!G13*$D340-'Business Case'!G14*$E340))*'Business Case'!$B$7-'Business Case'!$B$8*(('Business Case'!G11*$C340*'Business Case'!G12*$B340)-('Business Case'!F11*$C340*'Business Case'!F12*$B340))-'Business Case'!G15*$F340+'Business Case'!$B$8*('Business Case'!G11*$C340*'Business Case'!G12*$B340)</f>
        <v>857820237.776168</v>
      </c>
      <c r="N340" s="39" t="n">
        <f aca="false">IF(COUNT('Business Case'!B11:G11)=0,"",H340+NPV(G340,I340:M340))</f>
        <v>-558852186.033087</v>
      </c>
      <c r="P340" s="40" t="n">
        <f aca="true">RAND()</f>
        <v>0.774399934078615</v>
      </c>
      <c r="Q340" s="40" t="n">
        <f aca="true">RAND()</f>
        <v>0.1306251728469</v>
      </c>
      <c r="R340" s="40" t="n">
        <f aca="true">RAND()</f>
        <v>0.694764277051297</v>
      </c>
      <c r="S340" s="40" t="n">
        <f aca="true">RAND()</f>
        <v>0.303503881328483</v>
      </c>
      <c r="T340" s="40" t="n">
        <f aca="true">RAND()</f>
        <v>0.742755239304827</v>
      </c>
      <c r="U340" s="40" t="n">
        <f aca="true">RAND()</f>
        <v>0.191063360974005</v>
      </c>
    </row>
    <row r="341" customFormat="false" ht="15" hidden="false" customHeight="false" outlineLevel="0" collapsed="false">
      <c r="A341" s="36" t="n">
        <v>261</v>
      </c>
      <c r="B341" s="37" t="n">
        <f aca="false">1+IF($G$6=$E$6,$F$6,IF(P341&lt;($F$6-$E$6)/($G$6-$E$6),$E$6+SQRT(P341*($G$6-$E$6)*($F$6-$E$6)),$G$6-SQRT((1-P341)*($G$6-$E$6)*($G$6-$F$6))))</f>
        <v>1.03171191839523</v>
      </c>
      <c r="C341" s="37" t="n">
        <f aca="false">1+IF($G$7=$E$7,$F$7,IF(Q341&lt;($F$7-$E$7)/($G$7-$E$7),$E$7+SQRT(Q341*($G$7-$E$7)*($F$7-$E$7)),$G$7-SQRT((1-Q341)*($G$7-$E$7)*($G$7-$F$7))))</f>
        <v>0.955908043505766</v>
      </c>
      <c r="D341" s="37" t="n">
        <f aca="false">1+IF($G$8=$E$8,$F$8,IF(R341&lt;($F$8-$E$8)/($G$8-$E$8),$E$8+SQRT(R341*($G$8-$E$8)*($F$8-$E$8)),$G$8-SQRT((1-R341)*($G$8-$E$8)*($G$8-$F$8))))</f>
        <v>0.988747831740407</v>
      </c>
      <c r="E341" s="37" t="n">
        <f aca="false">1+IF($G$9=$E$9,$F$9,IF(S341&lt;($F$9-$E$9)/($G$9-$E$9),$E$9+SQRT(S341*($G$9-$E$9)*($F$9-$E$9)),$G$9-SQRT((1-S341)*($G$9-$E$9)*($G$9-$F$9))))</f>
        <v>1.01041157287928</v>
      </c>
      <c r="F341" s="37" t="n">
        <f aca="false">1+IF($G$10=$E$10,$F$10,IF(T341&lt;($F$10-$E$10)/($G$10-$E$10),$E$10+SQRT(T341*($G$10-$E$10)*($F$10-$E$10)),$G$10-SQRT((1-T341)*($G$10-$E$10)*($G$10-$F$10))))</f>
        <v>1.00992842077483</v>
      </c>
      <c r="G341" s="38" t="n">
        <f aca="false">IF($G$11=$E$11,$F$11,IF(U341&lt;($F$11-$E$11)/($G$11-$E$11),$E$11+SQRT(U341*($G$11-$E$11)*($F$11-$E$11)),$G$11-SQRT((1-U341)*($G$11-$E$11)*($G$11-$F$11))))</f>
        <v>0.0966250961826717</v>
      </c>
      <c r="H341" s="39" t="n">
        <f aca="false">(('Business Case'!B11*$C341*'Business Case'!B12*$B341)-'Business Case'!B11*$C341*'Business Case'!B13*$D341-'Business Case'!B14*$E341)-MAX(0,(('Business Case'!B11*$C341*'Business Case'!B12*$B341)-'Business Case'!B11*$C341*'Business Case'!B13*$D341-'Business Case'!B14*$E341))*'Business Case'!$B$7-'Business Case'!$B$8*('Business Case'!B11*$C341*'Business Case'!B12*$B341)-'Business Case'!B15*$F341</f>
        <v>-2019856841.54965</v>
      </c>
      <c r="I341" s="39" t="n">
        <f aca="false">(('Business Case'!C11*$C341*'Business Case'!C12*$B341)-'Business Case'!C11*$C341*'Business Case'!C13*$D341-'Business Case'!C14*$E341)-MAX(0,(('Business Case'!C11*$C341*'Business Case'!C12*$B341)-'Business Case'!C11*$C341*'Business Case'!C13*$D341-'Business Case'!C14*$E341))*'Business Case'!$B$7-'Business Case'!$B$8*(('Business Case'!C11*$C341*'Business Case'!C12*$B341)-('Business Case'!B11*$C341*'Business Case'!B12*$B341))-'Business Case'!C15*$F341</f>
        <v>28145281.4092307</v>
      </c>
      <c r="J341" s="39" t="n">
        <f aca="false">(('Business Case'!D11*$C341*'Business Case'!D12*$B341)-'Business Case'!D11*$C341*'Business Case'!D13*$D341-'Business Case'!D14*$E341)-MAX(0,(('Business Case'!D11*$C341*'Business Case'!D12*$B341)-'Business Case'!D11*$C341*'Business Case'!D13*$D341-'Business Case'!D14*$E341))*'Business Case'!$B$7-'Business Case'!$B$8*(('Business Case'!D11*$C341*'Business Case'!D12*$B341)-('Business Case'!C11*$C341*'Business Case'!C12*$B341))-'Business Case'!D15*$F341</f>
        <v>352089664.595446</v>
      </c>
      <c r="K341" s="39" t="n">
        <f aca="false">(('Business Case'!E11*$C341*'Business Case'!E12*$B341)-'Business Case'!E11*$C341*'Business Case'!E13*$D341-'Business Case'!E14*$E341)-MAX(0,(('Business Case'!E11*$C341*'Business Case'!E12*$B341)-'Business Case'!E11*$C341*'Business Case'!E13*$D341-'Business Case'!E14*$E341))*'Business Case'!$B$7-'Business Case'!$B$8*(('Business Case'!E11*$C341*'Business Case'!E12*$B341)-('Business Case'!D11*$C341*'Business Case'!D12*$B341))-'Business Case'!E15*$F341</f>
        <v>726530468.820402</v>
      </c>
      <c r="L341" s="39" t="n">
        <f aca="false">(('Business Case'!F11*$C341*'Business Case'!F12*$B341)-'Business Case'!F11*$C341*'Business Case'!F13*$D341-'Business Case'!F14*$E341)-MAX(0,(('Business Case'!F11*$C341*'Business Case'!F12*$B341)-'Business Case'!F11*$C341*'Business Case'!F13*$D341-'Business Case'!F14*$E341))*'Business Case'!$B$7-'Business Case'!$B$8*(('Business Case'!F11*$C341*'Business Case'!F12*$B341)-('Business Case'!E11*$C341*'Business Case'!E12*$B341))-'Business Case'!F15*$F341</f>
        <v>868595752.573186</v>
      </c>
      <c r="M341" s="39" t="n">
        <f aca="false">(('Business Case'!G11*$C341*'Business Case'!G12*$B341)-'Business Case'!G11*$C341*'Business Case'!G13*$D341-'Business Case'!G14*$E341)-MAX(0,(('Business Case'!G11*$C341*'Business Case'!G12*$B341)-'Business Case'!G11*$C341*'Business Case'!G13*$D341-'Business Case'!G14*$E341))*'Business Case'!$B$7-'Business Case'!$B$8*(('Business Case'!G11*$C341*'Business Case'!G12*$B341)-('Business Case'!F11*$C341*'Business Case'!F12*$B341))-'Business Case'!G15*$F341+'Business Case'!$B$8*('Business Case'!G11*$C341*'Business Case'!G12*$B341)</f>
        <v>1056056777.3721</v>
      </c>
      <c r="N341" s="39" t="n">
        <f aca="false">IF(COUNT('Business Case'!B11:G11)=0,"",H341+NPV(G341,I341:M341))</f>
        <v>115973886.756134</v>
      </c>
      <c r="P341" s="40" t="n">
        <f aca="true">RAND()</f>
        <v>0.985689104856806</v>
      </c>
      <c r="Q341" s="40" t="n">
        <f aca="true">RAND()</f>
        <v>0.347247400425654</v>
      </c>
      <c r="R341" s="40" t="n">
        <f aca="true">RAND()</f>
        <v>0.230983763781979</v>
      </c>
      <c r="S341" s="40" t="n">
        <f aca="true">RAND()</f>
        <v>0.464927581735736</v>
      </c>
      <c r="T341" s="40" t="n">
        <f aca="true">RAND()</f>
        <v>0.277455895416966</v>
      </c>
      <c r="U341" s="40" t="n">
        <f aca="true">RAND()</f>
        <v>0.14630633143217</v>
      </c>
    </row>
    <row r="342" customFormat="false" ht="15" hidden="false" customHeight="false" outlineLevel="0" collapsed="false">
      <c r="A342" s="36" t="n">
        <v>262</v>
      </c>
      <c r="B342" s="37" t="n">
        <f aca="false">1+IF($G$6=$E$6,$F$6,IF(P342&lt;($F$6-$E$6)/($G$6-$E$6),$E$6+SQRT(P342*($G$6-$E$6)*($F$6-$E$6)),$G$6-SQRT((1-P342)*($G$6-$E$6)*($G$6-$F$6))))</f>
        <v>0.976639322085321</v>
      </c>
      <c r="C342" s="37" t="n">
        <f aca="false">1+IF($G$7=$E$7,$F$7,IF(Q342&lt;($F$7-$E$7)/($G$7-$E$7),$E$7+SQRT(Q342*($G$7-$E$7)*($F$7-$E$7)),$G$7-SQRT((1-Q342)*($G$7-$E$7)*($G$7-$F$7))))</f>
        <v>0.978718430385299</v>
      </c>
      <c r="D342" s="37" t="n">
        <f aca="false">1+IF($G$8=$E$8,$F$8,IF(R342&lt;($F$8-$E$8)/($G$8-$E$8),$E$8+SQRT(R342*($G$8-$E$8)*($F$8-$E$8)),$G$8-SQRT((1-R342)*($G$8-$E$8)*($G$8-$F$8))))</f>
        <v>1.00897450017063</v>
      </c>
      <c r="E342" s="37" t="n">
        <f aca="false">1+IF($G$9=$E$9,$F$9,IF(S342&lt;($F$9-$E$9)/($G$9-$E$9),$E$9+SQRT(S342*($G$9-$E$9)*($F$9-$E$9)),$G$9-SQRT((1-S342)*($G$9-$E$9)*($G$9-$F$9))))</f>
        <v>1.06354701658061</v>
      </c>
      <c r="F342" s="37" t="n">
        <f aca="false">1+IF($G$10=$E$10,$F$10,IF(T342&lt;($F$10-$E$10)/($G$10-$E$10),$E$10+SQRT(T342*($G$10-$E$10)*($F$10-$E$10)),$G$10-SQRT((1-T342)*($G$10-$E$10)*($G$10-$F$10))))</f>
        <v>1.05576451056918</v>
      </c>
      <c r="G342" s="38" t="n">
        <f aca="false">IF($G$11=$E$11,$F$11,IF(U342&lt;($F$11-$E$11)/($G$11-$E$11),$E$11+SQRT(U342*($G$11-$E$11)*($F$11-$E$11)),$G$11-SQRT((1-U342)*($G$11-$E$11)*($G$11-$F$11))))</f>
        <v>0.0961484312527532</v>
      </c>
      <c r="H342" s="39" t="n">
        <f aca="false">(('Business Case'!B11*$C342*'Business Case'!B12*$B342)-'Business Case'!B11*$C342*'Business Case'!B13*$D342-'Business Case'!B14*$E342)-MAX(0,(('Business Case'!B11*$C342*'Business Case'!B12*$B342)-'Business Case'!B11*$C342*'Business Case'!B13*$D342-'Business Case'!B14*$E342))*'Business Case'!$B$7-'Business Case'!$B$8*('Business Case'!B11*$C342*'Business Case'!B12*$B342)-'Business Case'!B15*$F342</f>
        <v>-2111529021.13835</v>
      </c>
      <c r="I342" s="39" t="n">
        <f aca="false">(('Business Case'!C11*$C342*'Business Case'!C12*$B342)-'Business Case'!C11*$C342*'Business Case'!C13*$D342-'Business Case'!C14*$E342)-MAX(0,(('Business Case'!C11*$C342*'Business Case'!C12*$B342)-'Business Case'!C11*$C342*'Business Case'!C13*$D342-'Business Case'!C14*$E342))*'Business Case'!$B$7-'Business Case'!$B$8*(('Business Case'!C11*$C342*'Business Case'!C12*$B342)-('Business Case'!B11*$C342*'Business Case'!B12*$B342))-'Business Case'!C15*$F342</f>
        <v>-28972359.4967874</v>
      </c>
      <c r="J342" s="39" t="n">
        <f aca="false">(('Business Case'!D11*$C342*'Business Case'!D12*$B342)-'Business Case'!D11*$C342*'Business Case'!D13*$D342-'Business Case'!D14*$E342)-MAX(0,(('Business Case'!D11*$C342*'Business Case'!D12*$B342)-'Business Case'!D11*$C342*'Business Case'!D13*$D342-'Business Case'!D14*$E342))*'Business Case'!$B$7-'Business Case'!$B$8*(('Business Case'!D11*$C342*'Business Case'!D12*$B342)-('Business Case'!C11*$C342*'Business Case'!C12*$B342))-'Business Case'!D15*$F342</f>
        <v>248419636.06333</v>
      </c>
      <c r="K342" s="39" t="n">
        <f aca="false">(('Business Case'!E11*$C342*'Business Case'!E12*$B342)-'Business Case'!E11*$C342*'Business Case'!E13*$D342-'Business Case'!E14*$E342)-MAX(0,(('Business Case'!E11*$C342*'Business Case'!E12*$B342)-'Business Case'!E11*$C342*'Business Case'!E13*$D342-'Business Case'!E14*$E342))*'Business Case'!$B$7-'Business Case'!$B$8*(('Business Case'!E11*$C342*'Business Case'!E12*$B342)-('Business Case'!D11*$C342*'Business Case'!D12*$B342))-'Business Case'!E15*$F342</f>
        <v>578599857.151907</v>
      </c>
      <c r="L342" s="39" t="n">
        <f aca="false">(('Business Case'!F11*$C342*'Business Case'!F12*$B342)-'Business Case'!F11*$C342*'Business Case'!F13*$D342-'Business Case'!F14*$E342)-MAX(0,(('Business Case'!F11*$C342*'Business Case'!F12*$B342)-'Business Case'!F11*$C342*'Business Case'!F13*$D342-'Business Case'!F14*$E342))*'Business Case'!$B$7-'Business Case'!$B$8*(('Business Case'!F11*$C342*'Business Case'!F12*$B342)-('Business Case'!E11*$C342*'Business Case'!E12*$B342))-'Business Case'!F15*$F342</f>
        <v>704098201.166763</v>
      </c>
      <c r="M342" s="39" t="n">
        <f aca="false">(('Business Case'!G11*$C342*'Business Case'!G12*$B342)-'Business Case'!G11*$C342*'Business Case'!G13*$D342-'Business Case'!G14*$E342)-MAX(0,(('Business Case'!G11*$C342*'Business Case'!G12*$B342)-'Business Case'!G11*$C342*'Business Case'!G13*$D342-'Business Case'!G14*$E342))*'Business Case'!$B$7-'Business Case'!$B$8*(('Business Case'!G11*$C342*'Business Case'!G12*$B342)-('Business Case'!F11*$C342*'Business Case'!F12*$B342))-'Business Case'!G15*$F342+'Business Case'!$B$8*('Business Case'!G11*$C342*'Business Case'!G12*$B342)</f>
        <v>885787101.388255</v>
      </c>
      <c r="N342" s="39" t="n">
        <f aca="false">IF(COUNT('Business Case'!B11:G11)=0,"",H342+NPV(G342,I342:M342))</f>
        <v>-444461704.983693</v>
      </c>
      <c r="P342" s="40" t="n">
        <f aca="true">RAND()</f>
        <v>0.334168000654655</v>
      </c>
      <c r="Q342" s="40" t="n">
        <f aca="true">RAND()</f>
        <v>0.456289676562644</v>
      </c>
      <c r="R342" s="40" t="n">
        <f aca="true">RAND()</f>
        <v>0.514940228268098</v>
      </c>
      <c r="S342" s="40" t="n">
        <f aca="true">RAND()</f>
        <v>0.911411999988371</v>
      </c>
      <c r="T342" s="40" t="n">
        <f aca="true">RAND()</f>
        <v>0.583922471773021</v>
      </c>
      <c r="U342" s="40" t="n">
        <f aca="true">RAND()</f>
        <v>0.126010689566109</v>
      </c>
    </row>
    <row r="343" customFormat="false" ht="15" hidden="false" customHeight="false" outlineLevel="0" collapsed="false">
      <c r="A343" s="36" t="n">
        <v>263</v>
      </c>
      <c r="B343" s="37" t="n">
        <f aca="false">1+IF($G$6=$E$6,$F$6,IF(P343&lt;($F$6-$E$6)/($G$6-$E$6),$E$6+SQRT(P343*($G$6-$E$6)*($F$6-$E$6)),$G$6-SQRT((1-P343)*($G$6-$E$6)*($G$6-$F$6))))</f>
        <v>0.933006766486021</v>
      </c>
      <c r="C343" s="37" t="n">
        <f aca="false">1+IF($G$7=$E$7,$F$7,IF(Q343&lt;($F$7-$E$7)/($G$7-$E$7),$E$7+SQRT(Q343*($G$7-$E$7)*($F$7-$E$7)),$G$7-SQRT((1-Q343)*($G$7-$E$7)*($G$7-$F$7))))</f>
        <v>0.979459665382597</v>
      </c>
      <c r="D343" s="37" t="n">
        <f aca="false">1+IF($G$8=$E$8,$F$8,IF(R343&lt;($F$8-$E$8)/($G$8-$E$8),$E$8+SQRT(R343*($G$8-$E$8)*($F$8-$E$8)),$G$8-SQRT((1-R343)*($G$8-$E$8)*($G$8-$F$8))))</f>
        <v>0.977503716568077</v>
      </c>
      <c r="E343" s="37" t="n">
        <f aca="false">1+IF($G$9=$E$9,$F$9,IF(S343&lt;($F$9-$E$9)/($G$9-$E$9),$E$9+SQRT(S343*($G$9-$E$9)*($F$9-$E$9)),$G$9-SQRT((1-S343)*($G$9-$E$9)*($G$9-$F$9))))</f>
        <v>0.982602648461168</v>
      </c>
      <c r="F343" s="37" t="n">
        <f aca="false">1+IF($G$10=$E$10,$F$10,IF(T343&lt;($F$10-$E$10)/($G$10-$E$10),$E$10+SQRT(T343*($G$10-$E$10)*($F$10-$E$10)),$G$10-SQRT((1-T343)*($G$10-$E$10)*($G$10-$F$10))))</f>
        <v>1.07656263209228</v>
      </c>
      <c r="G343" s="38" t="n">
        <f aca="false">IF($G$11=$E$11,$F$11,IF(U343&lt;($F$11-$E$11)/($G$11-$E$11),$E$11+SQRT(U343*($G$11-$E$11)*($F$11-$E$11)),$G$11-SQRT((1-U343)*($G$11-$E$11)*($G$11-$F$11))))</f>
        <v>0.0994144556548528</v>
      </c>
      <c r="H343" s="39" t="n">
        <f aca="false">(('Business Case'!B11*$C343*'Business Case'!B12*$B343)-'Business Case'!B11*$C343*'Business Case'!B13*$D343-'Business Case'!B14*$E343)-MAX(0,(('Business Case'!B11*$C343*'Business Case'!B12*$B343)-'Business Case'!B11*$C343*'Business Case'!B13*$D343-'Business Case'!B14*$E343))*'Business Case'!$B$7-'Business Case'!$B$8*('Business Case'!B11*$C343*'Business Case'!B12*$B343)-'Business Case'!B15*$F343</f>
        <v>-2153125264.18455</v>
      </c>
      <c r="I343" s="39" t="n">
        <f aca="false">(('Business Case'!C11*$C343*'Business Case'!C12*$B343)-'Business Case'!C11*$C343*'Business Case'!C13*$D343-'Business Case'!C14*$E343)-MAX(0,(('Business Case'!C11*$C343*'Business Case'!C12*$B343)-'Business Case'!C11*$C343*'Business Case'!C13*$D343-'Business Case'!C14*$E343))*'Business Case'!$B$7-'Business Case'!$B$8*(('Business Case'!C11*$C343*'Business Case'!C12*$B343)-('Business Case'!B11*$C343*'Business Case'!B12*$B343))-'Business Case'!C15*$F343</f>
        <v>-36378397.555423</v>
      </c>
      <c r="J343" s="39" t="n">
        <f aca="false">(('Business Case'!D11*$C343*'Business Case'!D12*$B343)-'Business Case'!D11*$C343*'Business Case'!D13*$D343-'Business Case'!D14*$E343)-MAX(0,(('Business Case'!D11*$C343*'Business Case'!D12*$B343)-'Business Case'!D11*$C343*'Business Case'!D13*$D343-'Business Case'!D14*$E343))*'Business Case'!$B$7-'Business Case'!$B$8*(('Business Case'!D11*$C343*'Business Case'!D12*$B343)-('Business Case'!C11*$C343*'Business Case'!C12*$B343))-'Business Case'!D15*$F343</f>
        <v>221999159.666021</v>
      </c>
      <c r="K343" s="39" t="n">
        <f aca="false">(('Business Case'!E11*$C343*'Business Case'!E12*$B343)-'Business Case'!E11*$C343*'Business Case'!E13*$D343-'Business Case'!E14*$E343)-MAX(0,(('Business Case'!E11*$C343*'Business Case'!E12*$B343)-'Business Case'!E11*$C343*'Business Case'!E13*$D343-'Business Case'!E14*$E343))*'Business Case'!$B$7-'Business Case'!$B$8*(('Business Case'!E11*$C343*'Business Case'!E12*$B343)-('Business Case'!D11*$C343*'Business Case'!D12*$B343))-'Business Case'!E15*$F343</f>
        <v>534204848.492078</v>
      </c>
      <c r="L343" s="39" t="n">
        <f aca="false">(('Business Case'!F11*$C343*'Business Case'!F12*$B343)-'Business Case'!F11*$C343*'Business Case'!F13*$D343-'Business Case'!F14*$E343)-MAX(0,(('Business Case'!F11*$C343*'Business Case'!F12*$B343)-'Business Case'!F11*$C343*'Business Case'!F13*$D343-'Business Case'!F14*$E343))*'Business Case'!$B$7-'Business Case'!$B$8*(('Business Case'!F11*$C343*'Business Case'!F12*$B343)-('Business Case'!E11*$C343*'Business Case'!E12*$B343))-'Business Case'!F15*$F343</f>
        <v>651913097.536866</v>
      </c>
      <c r="M343" s="39" t="n">
        <f aca="false">(('Business Case'!G11*$C343*'Business Case'!G12*$B343)-'Business Case'!G11*$C343*'Business Case'!G13*$D343-'Business Case'!G14*$E343)-MAX(0,(('Business Case'!G11*$C343*'Business Case'!G12*$B343)-'Business Case'!G11*$C343*'Business Case'!G13*$D343-'Business Case'!G14*$E343))*'Business Case'!$B$7-'Business Case'!$B$8*(('Business Case'!G11*$C343*'Business Case'!G12*$B343)-('Business Case'!F11*$C343*'Business Case'!F12*$B343))-'Business Case'!G15*$F343+'Business Case'!$B$8*('Business Case'!G11*$C343*'Business Case'!G12*$B343)</f>
        <v>825616279.043889</v>
      </c>
      <c r="N343" s="39" t="n">
        <f aca="false">IF(COUNT('Business Case'!B11:G11)=0,"",H343+NPV(G343,I343:M343))</f>
        <v>-640326522.756101</v>
      </c>
      <c r="P343" s="40" t="n">
        <f aca="true">RAND()</f>
        <v>0.0176224973356122</v>
      </c>
      <c r="Q343" s="40" t="n">
        <f aca="true">RAND()</f>
        <v>0.460082449989055</v>
      </c>
      <c r="R343" s="40" t="n">
        <f aca="true">RAND()</f>
        <v>0.116377603854938</v>
      </c>
      <c r="S343" s="40" t="n">
        <f aca="true">RAND()</f>
        <v>0.141724358224336</v>
      </c>
      <c r="T343" s="40" t="n">
        <f aca="true">RAND()</f>
        <v>0.695264324080267</v>
      </c>
      <c r="U343" s="40" t="n">
        <f aca="true">RAND()</f>
        <v>0.295439917590632</v>
      </c>
    </row>
    <row r="344" customFormat="false" ht="15" hidden="false" customHeight="false" outlineLevel="0" collapsed="false">
      <c r="A344" s="36" t="n">
        <v>264</v>
      </c>
      <c r="B344" s="37" t="n">
        <f aca="false">1+IF($G$6=$E$6,$F$6,IF(P344&lt;($F$6-$E$6)/($G$6-$E$6),$E$6+SQRT(P344*($G$6-$E$6)*($F$6-$E$6)),$G$6-SQRT((1-P344)*($G$6-$E$6)*($G$6-$F$6))))</f>
        <v>0.926639510287567</v>
      </c>
      <c r="C344" s="37" t="n">
        <f aca="false">1+IF($G$7=$E$7,$F$7,IF(Q344&lt;($F$7-$E$7)/($G$7-$E$7),$E$7+SQRT(Q344*($G$7-$E$7)*($F$7-$E$7)),$G$7-SQRT((1-Q344)*($G$7-$E$7)*($G$7-$F$7))))</f>
        <v>0.903091057227605</v>
      </c>
      <c r="D344" s="37" t="n">
        <f aca="false">1+IF($G$8=$E$8,$F$8,IF(R344&lt;($F$8-$E$8)/($G$8-$E$8),$E$8+SQRT(R344*($G$8-$E$8)*($F$8-$E$8)),$G$8-SQRT((1-R344)*($G$8-$E$8)*($G$8-$F$8))))</f>
        <v>0.97398574467891</v>
      </c>
      <c r="E344" s="37" t="n">
        <f aca="false">1+IF($G$9=$E$9,$F$9,IF(S344&lt;($F$9-$E$9)/($G$9-$E$9),$E$9+SQRT(S344*($G$9-$E$9)*($F$9-$E$9)),$G$9-SQRT((1-S344)*($G$9-$E$9)*($G$9-$F$9))))</f>
        <v>1.03256040245982</v>
      </c>
      <c r="F344" s="37" t="n">
        <f aca="false">1+IF($G$10=$E$10,$F$10,IF(T344&lt;($F$10-$E$10)/($G$10-$E$10),$E$10+SQRT(T344*($G$10-$E$10)*($F$10-$E$10)),$G$10-SQRT((1-T344)*($G$10-$E$10)*($G$10-$F$10))))</f>
        <v>1.08624840064561</v>
      </c>
      <c r="G344" s="38" t="n">
        <f aca="false">IF($G$11=$E$11,$F$11,IF(U344&lt;($F$11-$E$11)/($G$11-$E$11),$E$11+SQRT(U344*($G$11-$E$11)*($F$11-$E$11)),$G$11-SQRT((1-U344)*($G$11-$E$11)*($G$11-$F$11))))</f>
        <v>0.111345494108637</v>
      </c>
      <c r="H344" s="39" t="n">
        <f aca="false">(('Business Case'!B11*$C344*'Business Case'!B12*$B344)-'Business Case'!B11*$C344*'Business Case'!B13*$D344-'Business Case'!B14*$E344)-MAX(0,(('Business Case'!B11*$C344*'Business Case'!B12*$B344)-'Business Case'!B11*$C344*'Business Case'!B13*$D344-'Business Case'!B14*$E344))*'Business Case'!$B$7-'Business Case'!$B$8*('Business Case'!B11*$C344*'Business Case'!B12*$B344)-'Business Case'!B15*$F344</f>
        <v>-2172496801.29122</v>
      </c>
      <c r="I344" s="39" t="n">
        <f aca="false">(('Business Case'!C11*$C344*'Business Case'!C12*$B344)-'Business Case'!C11*$C344*'Business Case'!C13*$D344-'Business Case'!C14*$E344)-MAX(0,(('Business Case'!C11*$C344*'Business Case'!C12*$B344)-'Business Case'!C11*$C344*'Business Case'!C13*$D344-'Business Case'!C14*$E344))*'Business Case'!$B$7-'Business Case'!$B$8*(('Business Case'!C11*$C344*'Business Case'!C12*$B344)-('Business Case'!B11*$C344*'Business Case'!B12*$B344))-'Business Case'!C15*$F344</f>
        <v>-63688327.5606017</v>
      </c>
      <c r="J344" s="39" t="n">
        <f aca="false">(('Business Case'!D11*$C344*'Business Case'!D12*$B344)-'Business Case'!D11*$C344*'Business Case'!D13*$D344-'Business Case'!D14*$E344)-MAX(0,(('Business Case'!D11*$C344*'Business Case'!D12*$B344)-'Business Case'!D11*$C344*'Business Case'!D13*$D344-'Business Case'!D14*$E344))*'Business Case'!$B$7-'Business Case'!$B$8*(('Business Case'!D11*$C344*'Business Case'!D12*$B344)-('Business Case'!C11*$C344*'Business Case'!C12*$B344))-'Business Case'!D15*$F344</f>
        <v>171460052.257094</v>
      </c>
      <c r="K344" s="39" t="n">
        <f aca="false">(('Business Case'!E11*$C344*'Business Case'!E12*$B344)-'Business Case'!E11*$C344*'Business Case'!E13*$D344-'Business Case'!E14*$E344)-MAX(0,(('Business Case'!E11*$C344*'Business Case'!E12*$B344)-'Business Case'!E11*$C344*'Business Case'!E13*$D344-'Business Case'!E14*$E344))*'Business Case'!$B$7-'Business Case'!$B$8*(('Business Case'!E11*$C344*'Business Case'!E12*$B344)-('Business Case'!D11*$C344*'Business Case'!D12*$B344))-'Business Case'!E15*$F344</f>
        <v>460920852.10707</v>
      </c>
      <c r="L344" s="39" t="n">
        <f aca="false">(('Business Case'!F11*$C344*'Business Case'!F12*$B344)-'Business Case'!F11*$C344*'Business Case'!F13*$D344-'Business Case'!F14*$E344)-MAX(0,(('Business Case'!F11*$C344*'Business Case'!F12*$B344)-'Business Case'!F11*$C344*'Business Case'!F13*$D344-'Business Case'!F14*$E344))*'Business Case'!$B$7-'Business Case'!$B$8*(('Business Case'!F11*$C344*'Business Case'!F12*$B344)-('Business Case'!E11*$C344*'Business Case'!E12*$B344))-'Business Case'!F15*$F344</f>
        <v>568224830.768935</v>
      </c>
      <c r="M344" s="39" t="n">
        <f aca="false">(('Business Case'!G11*$C344*'Business Case'!G12*$B344)-'Business Case'!G11*$C344*'Business Case'!G13*$D344-'Business Case'!G14*$E344)-MAX(0,(('Business Case'!G11*$C344*'Business Case'!G12*$B344)-'Business Case'!G11*$C344*'Business Case'!G13*$D344-'Business Case'!G14*$E344))*'Business Case'!$B$7-'Business Case'!$B$8*(('Business Case'!G11*$C344*'Business Case'!G12*$B344)-('Business Case'!F11*$C344*'Business Case'!F12*$B344))-'Business Case'!G15*$F344+'Business Case'!$B$8*('Business Case'!G11*$C344*'Business Case'!G12*$B344)</f>
        <v>727291350.410086</v>
      </c>
      <c r="N344" s="39" t="n">
        <f aca="false">IF(COUNT('Business Case'!B11:G11)=0,"",H344+NPV(G344,I344:M344))</f>
        <v>-953677885.740247</v>
      </c>
      <c r="P344" s="40" t="n">
        <f aca="true">RAND()</f>
        <v>0.00459198925611578</v>
      </c>
      <c r="Q344" s="40" t="n">
        <f aca="true">RAND()</f>
        <v>0.151825229718647</v>
      </c>
      <c r="R344" s="40" t="n">
        <f aca="true">RAND()</f>
        <v>0.0885101458156671</v>
      </c>
      <c r="S344" s="40" t="n">
        <f aca="true">RAND()</f>
        <v>0.696793378907891</v>
      </c>
      <c r="T344" s="40" t="n">
        <f aca="true">RAND()</f>
        <v>0.74121147288637</v>
      </c>
      <c r="U344" s="40" t="n">
        <f aca="true">RAND()</f>
        <v>0.875165879627274</v>
      </c>
    </row>
    <row r="345" customFormat="false" ht="15" hidden="false" customHeight="false" outlineLevel="0" collapsed="false">
      <c r="A345" s="36" t="n">
        <v>265</v>
      </c>
      <c r="B345" s="37" t="n">
        <f aca="false">1+IF($G$6=$E$6,$F$6,IF(P345&lt;($F$6-$E$6)/($G$6-$E$6),$E$6+SQRT(P345*($G$6-$E$6)*($F$6-$E$6)),$G$6-SQRT((1-P345)*($G$6-$E$6)*($G$6-$F$6))))</f>
        <v>1.0145486778208</v>
      </c>
      <c r="C345" s="37" t="n">
        <f aca="false">1+IF($G$7=$E$7,$F$7,IF(Q345&lt;($F$7-$E$7)/($G$7-$E$7),$E$7+SQRT(Q345*($G$7-$E$7)*($F$7-$E$7)),$G$7-SQRT((1-Q345)*($G$7-$E$7)*($G$7-$F$7))))</f>
        <v>1.06282360259585</v>
      </c>
      <c r="D345" s="37" t="n">
        <f aca="false">1+IF($G$8=$E$8,$F$8,IF(R345&lt;($F$8-$E$8)/($G$8-$E$8),$E$8+SQRT(R345*($G$8-$E$8)*($F$8-$E$8)),$G$8-SQRT((1-R345)*($G$8-$E$8)*($G$8-$F$8))))</f>
        <v>1.01668399817094</v>
      </c>
      <c r="E345" s="37" t="n">
        <f aca="false">1+IF($G$9=$E$9,$F$9,IF(S345&lt;($F$9-$E$9)/($G$9-$E$9),$E$9+SQRT(S345*($G$9-$E$9)*($F$9-$E$9)),$G$9-SQRT((1-S345)*($G$9-$E$9)*($G$9-$F$9))))</f>
        <v>1.09007655519469</v>
      </c>
      <c r="F345" s="37" t="n">
        <f aca="false">1+IF($G$10=$E$10,$F$10,IF(T345&lt;($F$10-$E$10)/($G$10-$E$10),$E$10+SQRT(T345*($G$10-$E$10)*($F$10-$E$10)),$G$10-SQRT((1-T345)*($G$10-$E$10)*($G$10-$F$10))))</f>
        <v>1.03238141672744</v>
      </c>
      <c r="G345" s="38" t="n">
        <f aca="false">IF($G$11=$E$11,$F$11,IF(U345&lt;($F$11-$E$11)/($G$11-$E$11),$E$11+SQRT(U345*($G$11-$E$11)*($F$11-$E$11)),$G$11-SQRT((1-U345)*($G$11-$E$11)*($G$11-$F$11))))</f>
        <v>0.0976782527054826</v>
      </c>
      <c r="H345" s="39" t="n">
        <f aca="false">(('Business Case'!B11*$C345*'Business Case'!B12*$B345)-'Business Case'!B11*$C345*'Business Case'!B13*$D345-'Business Case'!B14*$E345)-MAX(0,(('Business Case'!B11*$C345*'Business Case'!B12*$B345)-'Business Case'!B11*$C345*'Business Case'!B13*$D345-'Business Case'!B14*$E345))*'Business Case'!$B$7-'Business Case'!$B$8*('Business Case'!B11*$C345*'Business Case'!B12*$B345)-'Business Case'!B15*$F345</f>
        <v>-2064762833.45489</v>
      </c>
      <c r="I345" s="39" t="n">
        <f aca="false">(('Business Case'!C11*$C345*'Business Case'!C12*$B345)-'Business Case'!C11*$C345*'Business Case'!C13*$D345-'Business Case'!C14*$E345)-MAX(0,(('Business Case'!C11*$C345*'Business Case'!C12*$B345)-'Business Case'!C11*$C345*'Business Case'!C13*$D345-'Business Case'!C14*$E345))*'Business Case'!$B$7-'Business Case'!$B$8*(('Business Case'!C11*$C345*'Business Case'!C12*$B345)-('Business Case'!B11*$C345*'Business Case'!B12*$B345))-'Business Case'!C15*$F345</f>
        <v>15890612.5920981</v>
      </c>
      <c r="J345" s="39" t="n">
        <f aca="false">(('Business Case'!D11*$C345*'Business Case'!D12*$B345)-'Business Case'!D11*$C345*'Business Case'!D13*$D345-'Business Case'!D14*$E345)-MAX(0,(('Business Case'!D11*$C345*'Business Case'!D12*$B345)-'Business Case'!D11*$C345*'Business Case'!D13*$D345-'Business Case'!D14*$E345))*'Business Case'!$B$7-'Business Case'!$B$8*(('Business Case'!D11*$C345*'Business Case'!D12*$B345)-('Business Case'!C11*$C345*'Business Case'!C12*$B345))-'Business Case'!D15*$F345</f>
        <v>345926613.800761</v>
      </c>
      <c r="K345" s="39" t="n">
        <f aca="false">(('Business Case'!E11*$C345*'Business Case'!E12*$B345)-'Business Case'!E11*$C345*'Business Case'!E13*$D345-'Business Case'!E14*$E345)-MAX(0,(('Business Case'!E11*$C345*'Business Case'!E12*$B345)-'Business Case'!E11*$C345*'Business Case'!E13*$D345-'Business Case'!E14*$E345))*'Business Case'!$B$7-'Business Case'!$B$8*(('Business Case'!E11*$C345*'Business Case'!E12*$B345)-('Business Case'!D11*$C345*'Business Case'!D12*$B345))-'Business Case'!E15*$F345</f>
        <v>727581685.845797</v>
      </c>
      <c r="L345" s="39" t="n">
        <f aca="false">(('Business Case'!F11*$C345*'Business Case'!F12*$B345)-'Business Case'!F11*$C345*'Business Case'!F13*$D345-'Business Case'!F14*$E345)-MAX(0,(('Business Case'!F11*$C345*'Business Case'!F12*$B345)-'Business Case'!F11*$C345*'Business Case'!F13*$D345-'Business Case'!F14*$E345))*'Business Case'!$B$7-'Business Case'!$B$8*(('Business Case'!F11*$C345*'Business Case'!F12*$B345)-('Business Case'!E11*$C345*'Business Case'!E12*$B345))-'Business Case'!F15*$F345</f>
        <v>874859260.112108</v>
      </c>
      <c r="M345" s="39" t="n">
        <f aca="false">(('Business Case'!G11*$C345*'Business Case'!G12*$B345)-'Business Case'!G11*$C345*'Business Case'!G13*$D345-'Business Case'!G14*$E345)-MAX(0,(('Business Case'!G11*$C345*'Business Case'!G12*$B345)-'Business Case'!G11*$C345*'Business Case'!G13*$D345-'Business Case'!G14*$E345))*'Business Case'!$B$7-'Business Case'!$B$8*(('Business Case'!G11*$C345*'Business Case'!G12*$B345)-('Business Case'!F11*$C345*'Business Case'!F12*$B345))-'Business Case'!G15*$F345+'Business Case'!$B$8*('Business Case'!G11*$C345*'Business Case'!G12*$B345)</f>
        <v>1079819916.36094</v>
      </c>
      <c r="N345" s="39" t="n">
        <f aca="false">IF(COUNT('Business Case'!B11:G11)=0,"",H345+NPV(G345,I345:M345))</f>
        <v>67149446.9017708</v>
      </c>
      <c r="P345" s="40" t="n">
        <f aca="true">RAND()</f>
        <v>0.865047958193891</v>
      </c>
      <c r="Q345" s="40" t="n">
        <f aca="true">RAND()</f>
        <v>0.855243347345402</v>
      </c>
      <c r="R345" s="40" t="n">
        <f aca="true">RAND()</f>
        <v>0.6145272992676</v>
      </c>
      <c r="S345" s="40" t="n">
        <f aca="true">RAND()</f>
        <v>0.993435016213064</v>
      </c>
      <c r="T345" s="40" t="n">
        <f aca="true">RAND()</f>
        <v>0.438080210834026</v>
      </c>
      <c r="U345" s="40" t="n">
        <f aca="true">RAND()</f>
        <v>0.196518548697502</v>
      </c>
    </row>
    <row r="346" customFormat="false" ht="15" hidden="false" customHeight="false" outlineLevel="0" collapsed="false">
      <c r="A346" s="36" t="n">
        <v>266</v>
      </c>
      <c r="B346" s="37" t="n">
        <f aca="false">1+IF($G$6=$E$6,$F$6,IF(P346&lt;($F$6-$E$6)/($G$6-$E$6),$E$6+SQRT(P346*($G$6-$E$6)*($F$6-$E$6)),$G$6-SQRT((1-P346)*($G$6-$E$6)*($G$6-$F$6))))</f>
        <v>1.0120458147663</v>
      </c>
      <c r="C346" s="37" t="n">
        <f aca="false">1+IF($G$7=$E$7,$F$7,IF(Q346&lt;($F$7-$E$7)/($G$7-$E$7),$E$7+SQRT(Q346*($G$7-$E$7)*($F$7-$E$7)),$G$7-SQRT((1-Q346)*($G$7-$E$7)*($G$7-$F$7))))</f>
        <v>1.0323775613539</v>
      </c>
      <c r="D346" s="37" t="n">
        <f aca="false">1+IF($G$8=$E$8,$F$8,IF(R346&lt;($F$8-$E$8)/($G$8-$E$8),$E$8+SQRT(R346*($G$8-$E$8)*($F$8-$E$8)),$G$8-SQRT((1-R346)*($G$8-$E$8)*($G$8-$F$8))))</f>
        <v>1.00832953266982</v>
      </c>
      <c r="E346" s="37" t="n">
        <f aca="false">1+IF($G$9=$E$9,$F$9,IF(S346&lt;($F$9-$E$9)/($G$9-$E$9),$E$9+SQRT(S346*($G$9-$E$9)*($F$9-$E$9)),$G$9-SQRT((1-S346)*($G$9-$E$9)*($G$9-$F$9))))</f>
        <v>0.996788833222787</v>
      </c>
      <c r="F346" s="37" t="n">
        <f aca="false">1+IF($G$10=$E$10,$F$10,IF(T346&lt;($F$10-$E$10)/($G$10-$E$10),$E$10+SQRT(T346*($G$10-$E$10)*($F$10-$E$10)),$G$10-SQRT((1-T346)*($G$10-$E$10)*($G$10-$F$10))))</f>
        <v>1.02683211390318</v>
      </c>
      <c r="G346" s="38" t="n">
        <f aca="false">IF($G$11=$E$11,$F$11,IF(U346&lt;($F$11-$E$11)/($G$11-$E$11),$E$11+SQRT(U346*($G$11-$E$11)*($F$11-$E$11)),$G$11-SQRT((1-U346)*($G$11-$E$11)*($G$11-$F$11))))</f>
        <v>0.112795320056907</v>
      </c>
      <c r="H346" s="39" t="n">
        <f aca="false">(('Business Case'!B11*$C346*'Business Case'!B12*$B346)-'Business Case'!B11*$C346*'Business Case'!B13*$D346-'Business Case'!B14*$E346)-MAX(0,(('Business Case'!B11*$C346*'Business Case'!B12*$B346)-'Business Case'!B11*$C346*'Business Case'!B13*$D346-'Business Case'!B14*$E346))*'Business Case'!$B$7-'Business Case'!$B$8*('Business Case'!B11*$C346*'Business Case'!B12*$B346)-'Business Case'!B15*$F346</f>
        <v>-2053664227.80637</v>
      </c>
      <c r="I346" s="39" t="n">
        <f aca="false">(('Business Case'!C11*$C346*'Business Case'!C12*$B346)-'Business Case'!C11*$C346*'Business Case'!C13*$D346-'Business Case'!C14*$E346)-MAX(0,(('Business Case'!C11*$C346*'Business Case'!C12*$B346)-'Business Case'!C11*$C346*'Business Case'!C13*$D346-'Business Case'!C14*$E346))*'Business Case'!$B$7-'Business Case'!$B$8*(('Business Case'!C11*$C346*'Business Case'!C12*$B346)-('Business Case'!B11*$C346*'Business Case'!B12*$B346))-'Business Case'!C15*$F346</f>
        <v>24290848.2815161</v>
      </c>
      <c r="J346" s="39" t="n">
        <f aca="false">(('Business Case'!D11*$C346*'Business Case'!D12*$B346)-'Business Case'!D11*$C346*'Business Case'!D13*$D346-'Business Case'!D14*$E346)-MAX(0,(('Business Case'!D11*$C346*'Business Case'!D12*$B346)-'Business Case'!D11*$C346*'Business Case'!D13*$D346-'Business Case'!D14*$E346))*'Business Case'!$B$7-'Business Case'!$B$8*(('Business Case'!D11*$C346*'Business Case'!D12*$B346)-('Business Case'!C11*$C346*'Business Case'!C12*$B346))-'Business Case'!D15*$F346</f>
        <v>347171406.186991</v>
      </c>
      <c r="K346" s="39" t="n">
        <f aca="false">(('Business Case'!E11*$C346*'Business Case'!E12*$B346)-'Business Case'!E11*$C346*'Business Case'!E13*$D346-'Business Case'!E14*$E346)-MAX(0,(('Business Case'!E11*$C346*'Business Case'!E12*$B346)-'Business Case'!E11*$C346*'Business Case'!E13*$D346-'Business Case'!E14*$E346))*'Business Case'!$B$7-'Business Case'!$B$8*(('Business Case'!E11*$C346*'Business Case'!E12*$B346)-('Business Case'!D11*$C346*'Business Case'!D12*$B346))-'Business Case'!E15*$F346</f>
        <v>721393569.787626</v>
      </c>
      <c r="L346" s="39" t="n">
        <f aca="false">(('Business Case'!F11*$C346*'Business Case'!F12*$B346)-'Business Case'!F11*$C346*'Business Case'!F13*$D346-'Business Case'!F14*$E346)-MAX(0,(('Business Case'!F11*$C346*'Business Case'!F12*$B346)-'Business Case'!F11*$C346*'Business Case'!F13*$D346-'Business Case'!F14*$E346))*'Business Case'!$B$7-'Business Case'!$B$8*(('Business Case'!F11*$C346*'Business Case'!F12*$B346)-('Business Case'!E11*$C346*'Business Case'!E12*$B346))-'Business Case'!F15*$F346</f>
        <v>865129173.189024</v>
      </c>
      <c r="M346" s="39" t="n">
        <f aca="false">(('Business Case'!G11*$C346*'Business Case'!G12*$B346)-'Business Case'!G11*$C346*'Business Case'!G13*$D346-'Business Case'!G14*$E346)-MAX(0,(('Business Case'!G11*$C346*'Business Case'!G12*$B346)-'Business Case'!G11*$C346*'Business Case'!G13*$D346-'Business Case'!G14*$E346))*'Business Case'!$B$7-'Business Case'!$B$8*(('Business Case'!G11*$C346*'Business Case'!G12*$B346)-('Business Case'!F11*$C346*'Business Case'!F12*$B346))-'Business Case'!G15*$F346+'Business Case'!$B$8*('Business Case'!G11*$C346*'Business Case'!G12*$B346)</f>
        <v>1063727302.40335</v>
      </c>
      <c r="N346" s="39" t="n">
        <f aca="false">IF(COUNT('Business Case'!B11:G11)=0,"",H346+NPV(G346,I346:M346))</f>
        <v>-40401422.009573</v>
      </c>
      <c r="P346" s="40" t="n">
        <f aca="true">RAND()</f>
        <v>0.837200734983379</v>
      </c>
      <c r="Q346" s="40" t="n">
        <f aca="true">RAND()</f>
        <v>0.736475465275137</v>
      </c>
      <c r="R346" s="40" t="n">
        <f aca="true">RAND()</f>
        <v>0.50609078006471</v>
      </c>
      <c r="S346" s="40" t="n">
        <f aca="true">RAND()</f>
        <v>0.291892655246642</v>
      </c>
      <c r="T346" s="40" t="n">
        <f aca="true">RAND()</f>
        <v>0.400257664495199</v>
      </c>
      <c r="U346" s="40" t="n">
        <f aca="true">RAND()</f>
        <v>0.913487644862658</v>
      </c>
    </row>
    <row r="347" customFormat="false" ht="15" hidden="false" customHeight="false" outlineLevel="0" collapsed="false">
      <c r="A347" s="36" t="n">
        <v>267</v>
      </c>
      <c r="B347" s="37" t="n">
        <f aca="false">1+IF($G$6=$E$6,$F$6,IF(P347&lt;($F$6-$E$6)/($G$6-$E$6),$E$6+SQRT(P347*($G$6-$E$6)*($F$6-$E$6)),$G$6-SQRT((1-P347)*($G$6-$E$6)*($G$6-$F$6))))</f>
        <v>0.951022518082421</v>
      </c>
      <c r="C347" s="37" t="n">
        <f aca="false">1+IF($G$7=$E$7,$F$7,IF(Q347&lt;($F$7-$E$7)/($G$7-$E$7),$E$7+SQRT(Q347*($G$7-$E$7)*($F$7-$E$7)),$G$7-SQRT((1-Q347)*($G$7-$E$7)*($G$7-$F$7))))</f>
        <v>0.984719547376143</v>
      </c>
      <c r="D347" s="37" t="n">
        <f aca="false">1+IF($G$8=$E$8,$F$8,IF(R347&lt;($F$8-$E$8)/($G$8-$E$8),$E$8+SQRT(R347*($G$8-$E$8)*($F$8-$E$8)),$G$8-SQRT((1-R347)*($G$8-$E$8)*($G$8-$F$8))))</f>
        <v>1.0194371721202</v>
      </c>
      <c r="E347" s="37" t="n">
        <f aca="false">1+IF($G$9=$E$9,$F$9,IF(S347&lt;($F$9-$E$9)/($G$9-$E$9),$E$9+SQRT(S347*($G$9-$E$9)*($F$9-$E$9)),$G$9-SQRT((1-S347)*($G$9-$E$9)*($G$9-$F$9))))</f>
        <v>1.07394476106377</v>
      </c>
      <c r="F347" s="37" t="n">
        <f aca="false">1+IF($G$10=$E$10,$F$10,IF(T347&lt;($F$10-$E$10)/($G$10-$E$10),$E$10+SQRT(T347*($G$10-$E$10)*($F$10-$E$10)),$G$10-SQRT((1-T347)*($G$10-$E$10)*($G$10-$F$10))))</f>
        <v>0.99512202522455</v>
      </c>
      <c r="G347" s="38" t="n">
        <f aca="false">IF($G$11=$E$11,$F$11,IF(U347&lt;($F$11-$E$11)/($G$11-$E$11),$E$11+SQRT(U347*($G$11-$E$11)*($F$11-$E$11)),$G$11-SQRT((1-U347)*($G$11-$E$11)*($G$11-$F$11))))</f>
        <v>0.116746781481401</v>
      </c>
      <c r="H347" s="39" t="n">
        <f aca="false">(('Business Case'!B11*$C347*'Business Case'!B12*$B347)-'Business Case'!B11*$C347*'Business Case'!B13*$D347-'Business Case'!B14*$E347)-MAX(0,(('Business Case'!B11*$C347*'Business Case'!B12*$B347)-'Business Case'!B11*$C347*'Business Case'!B13*$D347-'Business Case'!B14*$E347))*'Business Case'!$B$7-'Business Case'!$B$8*('Business Case'!B11*$C347*'Business Case'!B12*$B347)-'Business Case'!B15*$F347</f>
        <v>-1990244050.4491</v>
      </c>
      <c r="I347" s="39" t="n">
        <f aca="false">(('Business Case'!C11*$C347*'Business Case'!C12*$B347)-'Business Case'!C11*$C347*'Business Case'!C13*$D347-'Business Case'!C14*$E347)-MAX(0,(('Business Case'!C11*$C347*'Business Case'!C12*$B347)-'Business Case'!C11*$C347*'Business Case'!C13*$D347-'Business Case'!C14*$E347))*'Business Case'!$B$7-'Business Case'!$B$8*(('Business Case'!C11*$C347*'Business Case'!C12*$B347)-('Business Case'!B11*$C347*'Business Case'!B12*$B347))-'Business Case'!C15*$F347</f>
        <v>-47617559.3207933</v>
      </c>
      <c r="J347" s="39" t="n">
        <f aca="false">(('Business Case'!D11*$C347*'Business Case'!D12*$B347)-'Business Case'!D11*$C347*'Business Case'!D13*$D347-'Business Case'!D14*$E347)-MAX(0,(('Business Case'!D11*$C347*'Business Case'!D12*$B347)-'Business Case'!D11*$C347*'Business Case'!D13*$D347-'Business Case'!D14*$E347))*'Business Case'!$B$7-'Business Case'!$B$8*(('Business Case'!D11*$C347*'Business Case'!D12*$B347)-('Business Case'!C11*$C347*'Business Case'!C12*$B347))-'Business Case'!D15*$F347</f>
        <v>205539694.534601</v>
      </c>
      <c r="K347" s="39" t="n">
        <f aca="false">(('Business Case'!E11*$C347*'Business Case'!E12*$B347)-'Business Case'!E11*$C347*'Business Case'!E13*$D347-'Business Case'!E14*$E347)-MAX(0,(('Business Case'!E11*$C347*'Business Case'!E12*$B347)-'Business Case'!E11*$C347*'Business Case'!E13*$D347-'Business Case'!E14*$E347))*'Business Case'!$B$7-'Business Case'!$B$8*(('Business Case'!E11*$C347*'Business Case'!E12*$B347)-('Business Case'!D11*$C347*'Business Case'!D12*$B347))-'Business Case'!E15*$F347</f>
        <v>508453049.651223</v>
      </c>
      <c r="L347" s="39" t="n">
        <f aca="false">(('Business Case'!F11*$C347*'Business Case'!F12*$B347)-'Business Case'!F11*$C347*'Business Case'!F13*$D347-'Business Case'!F14*$E347)-MAX(0,(('Business Case'!F11*$C347*'Business Case'!F12*$B347)-'Business Case'!F11*$C347*'Business Case'!F13*$D347-'Business Case'!F14*$E347))*'Business Case'!$B$7-'Business Case'!$B$8*(('Business Case'!F11*$C347*'Business Case'!F12*$B347)-('Business Case'!E11*$C347*'Business Case'!E12*$B347))-'Business Case'!F15*$F347</f>
        <v>625203911.356665</v>
      </c>
      <c r="M347" s="39" t="n">
        <f aca="false">(('Business Case'!G11*$C347*'Business Case'!G12*$B347)-'Business Case'!G11*$C347*'Business Case'!G13*$D347-'Business Case'!G14*$E347)-MAX(0,(('Business Case'!G11*$C347*'Business Case'!G12*$B347)-'Business Case'!G11*$C347*'Business Case'!G13*$D347-'Business Case'!G14*$E347))*'Business Case'!$B$7-'Business Case'!$B$8*(('Business Case'!G11*$C347*'Business Case'!G12*$B347)-('Business Case'!F11*$C347*'Business Case'!F12*$B347))-'Business Case'!G15*$F347+'Business Case'!$B$8*('Business Case'!G11*$C347*'Business Case'!G12*$B347)</f>
        <v>803212018.668371</v>
      </c>
      <c r="N347" s="39" t="n">
        <f aca="false">IF(COUNT('Business Case'!B11:G11)=0,"",H347+NPV(G347,I347:M347))</f>
        <v>-638573789.408767</v>
      </c>
      <c r="P347" s="40" t="n">
        <f aca="true">RAND()</f>
        <v>0.100249648768138</v>
      </c>
      <c r="Q347" s="40" t="n">
        <f aca="true">RAND()</f>
        <v>0.4874473026121</v>
      </c>
      <c r="R347" s="40" t="n">
        <f aca="true">RAND()</f>
        <v>0.647321526846323</v>
      </c>
      <c r="S347" s="40" t="n">
        <f aca="true">RAND()</f>
        <v>0.954741634931719</v>
      </c>
      <c r="T347" s="40" t="n">
        <f aca="true">RAND()</f>
        <v>0.162879772829197</v>
      </c>
      <c r="U347" s="40" t="n">
        <f aca="true">RAND()</f>
        <v>0.982360948783738</v>
      </c>
    </row>
    <row r="348" customFormat="false" ht="15" hidden="false" customHeight="false" outlineLevel="0" collapsed="false">
      <c r="A348" s="36" t="n">
        <v>268</v>
      </c>
      <c r="B348" s="37" t="n">
        <f aca="false">1+IF($G$6=$E$6,$F$6,IF(P348&lt;($F$6-$E$6)/($G$6-$E$6),$E$6+SQRT(P348*($G$6-$E$6)*($F$6-$E$6)),$G$6-SQRT((1-P348)*($G$6-$E$6)*($G$6-$F$6))))</f>
        <v>1.02404050670194</v>
      </c>
      <c r="C348" s="37" t="n">
        <f aca="false">1+IF($G$7=$E$7,$F$7,IF(Q348&lt;($F$7-$E$7)/($G$7-$E$7),$E$7+SQRT(Q348*($G$7-$E$7)*($F$7-$E$7)),$G$7-SQRT((1-Q348)*($G$7-$E$7)*($G$7-$F$7))))</f>
        <v>1.03681178971947</v>
      </c>
      <c r="D348" s="37" t="n">
        <f aca="false">1+IF($G$8=$E$8,$F$8,IF(R348&lt;($F$8-$E$8)/($G$8-$E$8),$E$8+SQRT(R348*($G$8-$E$8)*($F$8-$E$8)),$G$8-SQRT((1-R348)*($G$8-$E$8)*($G$8-$F$8))))</f>
        <v>0.987414068852583</v>
      </c>
      <c r="E348" s="37" t="n">
        <f aca="false">1+IF($G$9=$E$9,$F$9,IF(S348&lt;($F$9-$E$9)/($G$9-$E$9),$E$9+SQRT(S348*($G$9-$E$9)*($F$9-$E$9)),$G$9-SQRT((1-S348)*($G$9-$E$9)*($G$9-$F$9))))</f>
        <v>0.983275876461592</v>
      </c>
      <c r="F348" s="37" t="n">
        <f aca="false">1+IF($G$10=$E$10,$F$10,IF(T348&lt;($F$10-$E$10)/($G$10-$E$10),$E$10+SQRT(T348*($G$10-$E$10)*($F$10-$E$10)),$G$10-SQRT((1-T348)*($G$10-$E$10)*($G$10-$F$10))))</f>
        <v>1.13102881555688</v>
      </c>
      <c r="G348" s="38" t="n">
        <f aca="false">IF($G$11=$E$11,$F$11,IF(U348&lt;($F$11-$E$11)/($G$11-$E$11),$E$11+SQRT(U348*($G$11-$E$11)*($F$11-$E$11)),$G$11-SQRT((1-U348)*($G$11-$E$11)*($G$11-$F$11))))</f>
        <v>0.104175784426243</v>
      </c>
      <c r="H348" s="39" t="n">
        <f aca="false">(('Business Case'!B11*$C348*'Business Case'!B12*$B348)-'Business Case'!B11*$C348*'Business Case'!B13*$D348-'Business Case'!B14*$E348)-MAX(0,(('Business Case'!B11*$C348*'Business Case'!B12*$B348)-'Business Case'!B11*$C348*'Business Case'!B13*$D348-'Business Case'!B14*$E348))*'Business Case'!$B$7-'Business Case'!$B$8*('Business Case'!B11*$C348*'Business Case'!B12*$B348)-'Business Case'!B15*$F348</f>
        <v>-2262057631.11376</v>
      </c>
      <c r="I348" s="39" t="n">
        <f aca="false">(('Business Case'!C11*$C348*'Business Case'!C12*$B348)-'Business Case'!C11*$C348*'Business Case'!C13*$D348-'Business Case'!C14*$E348)-MAX(0,(('Business Case'!C11*$C348*'Business Case'!C12*$B348)-'Business Case'!C11*$C348*'Business Case'!C13*$D348-'Business Case'!C14*$E348))*'Business Case'!$B$7-'Business Case'!$B$8*(('Business Case'!C11*$C348*'Business Case'!C12*$B348)-('Business Case'!B11*$C348*'Business Case'!B12*$B348))-'Business Case'!C15*$F348</f>
        <v>37589574.7990263</v>
      </c>
      <c r="J348" s="39" t="n">
        <f aca="false">(('Business Case'!D11*$C348*'Business Case'!D12*$B348)-'Business Case'!D11*$C348*'Business Case'!D13*$D348-'Business Case'!D14*$E348)-MAX(0,(('Business Case'!D11*$C348*'Business Case'!D12*$B348)-'Business Case'!D11*$C348*'Business Case'!D13*$D348-'Business Case'!D14*$E348))*'Business Case'!$B$7-'Business Case'!$B$8*(('Business Case'!D11*$C348*'Business Case'!D12*$B348)-('Business Case'!C11*$C348*'Business Case'!C12*$B348))-'Business Case'!D15*$F348</f>
        <v>383144320.88924</v>
      </c>
      <c r="K348" s="39" t="n">
        <f aca="false">(('Business Case'!E11*$C348*'Business Case'!E12*$B348)-'Business Case'!E11*$C348*'Business Case'!E13*$D348-'Business Case'!E14*$E348)-MAX(0,(('Business Case'!E11*$C348*'Business Case'!E12*$B348)-'Business Case'!E11*$C348*'Business Case'!E13*$D348-'Business Case'!E14*$E348))*'Business Case'!$B$7-'Business Case'!$B$8*(('Business Case'!E11*$C348*'Business Case'!E12*$B348)-('Business Case'!D11*$C348*'Business Case'!D12*$B348))-'Business Case'!E15*$F348</f>
        <v>785250507.757298</v>
      </c>
      <c r="L348" s="39" t="n">
        <f aca="false">(('Business Case'!F11*$C348*'Business Case'!F12*$B348)-'Business Case'!F11*$C348*'Business Case'!F13*$D348-'Business Case'!F14*$E348)-MAX(0,(('Business Case'!F11*$C348*'Business Case'!F12*$B348)-'Business Case'!F11*$C348*'Business Case'!F13*$D348-'Business Case'!F14*$E348))*'Business Case'!$B$7-'Business Case'!$B$8*(('Business Case'!F11*$C348*'Business Case'!F12*$B348)-('Business Case'!E11*$C348*'Business Case'!E12*$B348))-'Business Case'!F15*$F348</f>
        <v>937129063.189143</v>
      </c>
      <c r="M348" s="39" t="n">
        <f aca="false">(('Business Case'!G11*$C348*'Business Case'!G12*$B348)-'Business Case'!G11*$C348*'Business Case'!G13*$D348-'Business Case'!G14*$E348)-MAX(0,(('Business Case'!G11*$C348*'Business Case'!G12*$B348)-'Business Case'!G11*$C348*'Business Case'!G13*$D348-'Business Case'!G14*$E348))*'Business Case'!$B$7-'Business Case'!$B$8*(('Business Case'!G11*$C348*'Business Case'!G12*$B348)-('Business Case'!F11*$C348*'Business Case'!F12*$B348))-'Business Case'!G15*$F348+'Business Case'!$B$8*('Business Case'!G11*$C348*'Business Case'!G12*$B348)</f>
        <v>1138944083.56557</v>
      </c>
      <c r="N348" s="39" t="n">
        <f aca="false">IF(COUNT('Business Case'!B11:G11)=0,"",H348+NPV(G348,I348:M348))</f>
        <v>-6087591.89216423</v>
      </c>
      <c r="P348" s="40" t="n">
        <f aca="true">RAND()</f>
        <v>0.946936369514401</v>
      </c>
      <c r="Q348" s="40" t="n">
        <f aca="true">RAND()</f>
        <v>0.755970077209348</v>
      </c>
      <c r="R348" s="40" t="n">
        <f aca="true">RAND()</f>
        <v>0.21535577663167</v>
      </c>
      <c r="S348" s="40" t="n">
        <f aca="true">RAND()</f>
        <v>0.147637860571614</v>
      </c>
      <c r="T348" s="40" t="n">
        <f aca="true">RAND()</f>
        <v>0.904859514330257</v>
      </c>
      <c r="U348" s="40" t="n">
        <f aca="true">RAND()</f>
        <v>0.582657002458757</v>
      </c>
    </row>
    <row r="349" customFormat="false" ht="15" hidden="false" customHeight="false" outlineLevel="0" collapsed="false">
      <c r="A349" s="36" t="n">
        <v>269</v>
      </c>
      <c r="B349" s="37" t="n">
        <f aca="false">1+IF($G$6=$E$6,$F$6,IF(P349&lt;($F$6-$E$6)/($G$6-$E$6),$E$6+SQRT(P349*($G$6-$E$6)*($F$6-$E$6)),$G$6-SQRT((1-P349)*($G$6-$E$6)*($G$6-$F$6))))</f>
        <v>0.998690534116025</v>
      </c>
      <c r="C349" s="37" t="n">
        <f aca="false">1+IF($G$7=$E$7,$F$7,IF(Q349&lt;($F$7-$E$7)/($G$7-$E$7),$E$7+SQRT(Q349*($G$7-$E$7)*($F$7-$E$7)),$G$7-SQRT((1-Q349)*($G$7-$E$7)*($G$7-$F$7))))</f>
        <v>0.963852965584428</v>
      </c>
      <c r="D349" s="37" t="n">
        <f aca="false">1+IF($G$8=$E$8,$F$8,IF(R349&lt;($F$8-$E$8)/($G$8-$E$8),$E$8+SQRT(R349*($G$8-$E$8)*($F$8-$E$8)),$G$8-SQRT((1-R349)*($G$8-$E$8)*($G$8-$F$8))))</f>
        <v>0.972077199552579</v>
      </c>
      <c r="E349" s="37" t="n">
        <f aca="false">1+IF($G$9=$E$9,$F$9,IF(S349&lt;($F$9-$E$9)/($G$9-$E$9),$E$9+SQRT(S349*($G$9-$E$9)*($F$9-$E$9)),$G$9-SQRT((1-S349)*($G$9-$E$9)*($G$9-$F$9))))</f>
        <v>0.990577439340909</v>
      </c>
      <c r="F349" s="37" t="n">
        <f aca="false">1+IF($G$10=$E$10,$F$10,IF(T349&lt;($F$10-$E$10)/($G$10-$E$10),$E$10+SQRT(T349*($G$10-$E$10)*($F$10-$E$10)),$G$10-SQRT((1-T349)*($G$10-$E$10)*($G$10-$F$10))))</f>
        <v>1.08927708170748</v>
      </c>
      <c r="G349" s="38" t="n">
        <f aca="false">IF($G$11=$E$11,$F$11,IF(U349&lt;($F$11-$E$11)/($G$11-$E$11),$E$11+SQRT(U349*($G$11-$E$11)*($F$11-$E$11)),$G$11-SQRT((1-U349)*($G$11-$E$11)*($G$11-$F$11))))</f>
        <v>0.0991727680796431</v>
      </c>
      <c r="H349" s="39" t="n">
        <f aca="false">(('Business Case'!B11*$C349*'Business Case'!B12*$B349)-'Business Case'!B11*$C349*'Business Case'!B13*$D349-'Business Case'!B14*$E349)-MAX(0,(('Business Case'!B11*$C349*'Business Case'!B12*$B349)-'Business Case'!B11*$C349*'Business Case'!B13*$D349-'Business Case'!B14*$E349))*'Business Case'!$B$7-'Business Case'!$B$8*('Business Case'!B11*$C349*'Business Case'!B12*$B349)-'Business Case'!B15*$F349</f>
        <v>-2178554163.41496</v>
      </c>
      <c r="I349" s="39" t="n">
        <f aca="false">(('Business Case'!C11*$C349*'Business Case'!C12*$B349)-'Business Case'!C11*$C349*'Business Case'!C13*$D349-'Business Case'!C14*$E349)-MAX(0,(('Business Case'!C11*$C349*'Business Case'!C12*$B349)-'Business Case'!C11*$C349*'Business Case'!C13*$D349-'Business Case'!C14*$E349))*'Business Case'!$B$7-'Business Case'!$B$8*(('Business Case'!C11*$C349*'Business Case'!C12*$B349)-('Business Case'!B11*$C349*'Business Case'!B12*$B349))-'Business Case'!C15*$F349</f>
        <v>9104605.42365958</v>
      </c>
      <c r="J349" s="39" t="n">
        <f aca="false">(('Business Case'!D11*$C349*'Business Case'!D12*$B349)-'Business Case'!D11*$C349*'Business Case'!D13*$D349-'Business Case'!D14*$E349)-MAX(0,(('Business Case'!D11*$C349*'Business Case'!D12*$B349)-'Business Case'!D11*$C349*'Business Case'!D13*$D349-'Business Case'!D14*$E349))*'Business Case'!$B$7-'Business Case'!$B$8*(('Business Case'!D11*$C349*'Business Case'!D12*$B349)-('Business Case'!C11*$C349*'Business Case'!C12*$B349))-'Business Case'!D15*$F349</f>
        <v>317897739.675522</v>
      </c>
      <c r="K349" s="39" t="n">
        <f aca="false">(('Business Case'!E11*$C349*'Business Case'!E12*$B349)-'Business Case'!E11*$C349*'Business Case'!E13*$D349-'Business Case'!E14*$E349)-MAX(0,(('Business Case'!E11*$C349*'Business Case'!E12*$B349)-'Business Case'!E11*$C349*'Business Case'!E13*$D349-'Business Case'!E14*$E349))*'Business Case'!$B$7-'Business Case'!$B$8*(('Business Case'!E11*$C349*'Business Case'!E12*$B349)-('Business Case'!D11*$C349*'Business Case'!D12*$B349))-'Business Case'!E15*$F349</f>
        <v>681154728.012758</v>
      </c>
      <c r="L349" s="39" t="n">
        <f aca="false">(('Business Case'!F11*$C349*'Business Case'!F12*$B349)-'Business Case'!F11*$C349*'Business Case'!F13*$D349-'Business Case'!F14*$E349)-MAX(0,(('Business Case'!F11*$C349*'Business Case'!F12*$B349)-'Business Case'!F11*$C349*'Business Case'!F13*$D349-'Business Case'!F14*$E349))*'Business Case'!$B$7-'Business Case'!$B$8*(('Business Case'!F11*$C349*'Business Case'!F12*$B349)-('Business Case'!E11*$C349*'Business Case'!E12*$B349))-'Business Case'!F15*$F349</f>
        <v>817352911.952164</v>
      </c>
      <c r="M349" s="39" t="n">
        <f aca="false">(('Business Case'!G11*$C349*'Business Case'!G12*$B349)-'Business Case'!G11*$C349*'Business Case'!G13*$D349-'Business Case'!G14*$E349)-MAX(0,(('Business Case'!G11*$C349*'Business Case'!G12*$B349)-'Business Case'!G11*$C349*'Business Case'!G13*$D349-'Business Case'!G14*$E349))*'Business Case'!$B$7-'Business Case'!$B$8*(('Business Case'!G11*$C349*'Business Case'!G12*$B349)-('Business Case'!F11*$C349*'Business Case'!F12*$B349))-'Business Case'!G15*$F349+'Business Case'!$B$8*('Business Case'!G11*$C349*'Business Case'!G12*$B349)</f>
        <v>1000322177.49048</v>
      </c>
      <c r="N349" s="39" t="n">
        <f aca="false">IF(COUNT('Business Case'!B11:G11)=0,"",H349+NPV(G349,I349:M349))</f>
        <v>-210824395.277729</v>
      </c>
      <c r="P349" s="40" t="n">
        <f aca="true">RAND()</f>
        <v>0.645020849944299</v>
      </c>
      <c r="Q349" s="40" t="n">
        <f aca="true">RAND()</f>
        <v>0.383539919011597</v>
      </c>
      <c r="R349" s="40" t="n">
        <f aca="true">RAND()</f>
        <v>0.0749850369360626</v>
      </c>
      <c r="S349" s="40" t="n">
        <f aca="true">RAND()</f>
        <v>0.219537144462017</v>
      </c>
      <c r="T349" s="40" t="n">
        <f aca="true">RAND()</f>
        <v>0.754808707295756</v>
      </c>
      <c r="U349" s="40" t="n">
        <f aca="true">RAND()</f>
        <v>0.280465580809731</v>
      </c>
    </row>
    <row r="350" customFormat="false" ht="15" hidden="false" customHeight="false" outlineLevel="0" collapsed="false">
      <c r="A350" s="36" t="n">
        <v>270</v>
      </c>
      <c r="B350" s="37" t="n">
        <f aca="false">1+IF($G$6=$E$6,$F$6,IF(P350&lt;($F$6-$E$6)/($G$6-$E$6),$E$6+SQRT(P350*($G$6-$E$6)*($F$6-$E$6)),$G$6-SQRT((1-P350)*($G$6-$E$6)*($G$6-$F$6))))</f>
        <v>0.999471733891883</v>
      </c>
      <c r="C350" s="37" t="n">
        <f aca="false">1+IF($G$7=$E$7,$F$7,IF(Q350&lt;($F$7-$E$7)/($G$7-$E$7),$E$7+SQRT(Q350*($G$7-$E$7)*($F$7-$E$7)),$G$7-SQRT((1-Q350)*($G$7-$E$7)*($G$7-$F$7))))</f>
        <v>1.0239171046465</v>
      </c>
      <c r="D350" s="37" t="n">
        <f aca="false">1+IF($G$8=$E$8,$F$8,IF(R350&lt;($F$8-$E$8)/($G$8-$E$8),$E$8+SQRT(R350*($G$8-$E$8)*($F$8-$E$8)),$G$8-SQRT((1-R350)*($G$8-$E$8)*($G$8-$F$8))))</f>
        <v>1.00323244813207</v>
      </c>
      <c r="E350" s="37" t="n">
        <f aca="false">1+IF($G$9=$E$9,$F$9,IF(S350&lt;($F$9-$E$9)/($G$9-$E$9),$E$9+SQRT(S350*($G$9-$E$9)*($F$9-$E$9)),$G$9-SQRT((1-S350)*($G$9-$E$9)*($G$9-$F$9))))</f>
        <v>1.04969948271081</v>
      </c>
      <c r="F350" s="37" t="n">
        <f aca="false">1+IF($G$10=$E$10,$F$10,IF(T350&lt;($F$10-$E$10)/($G$10-$E$10),$E$10+SQRT(T350*($G$10-$E$10)*($F$10-$E$10)),$G$10-SQRT((1-T350)*($G$10-$E$10)*($G$10-$F$10))))</f>
        <v>0.985726165809199</v>
      </c>
      <c r="G350" s="38" t="n">
        <f aca="false">IF($G$11=$E$11,$F$11,IF(U350&lt;($F$11-$E$11)/($G$11-$E$11),$E$11+SQRT(U350*($G$11-$E$11)*($F$11-$E$11)),$G$11-SQRT((1-U350)*($G$11-$E$11)*($G$11-$F$11))))</f>
        <v>0.10201613720825</v>
      </c>
      <c r="H350" s="39" t="n">
        <f aca="false">(('Business Case'!B11*$C350*'Business Case'!B12*$B350)-'Business Case'!B11*$C350*'Business Case'!B13*$D350-'Business Case'!B14*$E350)-MAX(0,(('Business Case'!B11*$C350*'Business Case'!B12*$B350)-'Business Case'!B11*$C350*'Business Case'!B13*$D350-'Business Case'!B14*$E350))*'Business Case'!$B$7-'Business Case'!$B$8*('Business Case'!B11*$C350*'Business Case'!B12*$B350)-'Business Case'!B15*$F350</f>
        <v>-1971452331.6184</v>
      </c>
      <c r="I350" s="39" t="n">
        <f aca="false">(('Business Case'!C11*$C350*'Business Case'!C12*$B350)-'Business Case'!C11*$C350*'Business Case'!C13*$D350-'Business Case'!C14*$E350)-MAX(0,(('Business Case'!C11*$C350*'Business Case'!C12*$B350)-'Business Case'!C11*$C350*'Business Case'!C13*$D350-'Business Case'!C14*$E350))*'Business Case'!$B$7-'Business Case'!$B$8*(('Business Case'!C11*$C350*'Business Case'!C12*$B350)-('Business Case'!B11*$C350*'Business Case'!B12*$B350))-'Business Case'!C15*$F350</f>
        <v>11469112.6776234</v>
      </c>
      <c r="J350" s="39" t="n">
        <f aca="false">(('Business Case'!D11*$C350*'Business Case'!D12*$B350)-'Business Case'!D11*$C350*'Business Case'!D13*$D350-'Business Case'!D14*$E350)-MAX(0,(('Business Case'!D11*$C350*'Business Case'!D12*$B350)-'Business Case'!D11*$C350*'Business Case'!D13*$D350-'Business Case'!D14*$E350))*'Business Case'!$B$7-'Business Case'!$B$8*(('Business Case'!D11*$C350*'Business Case'!D12*$B350)-('Business Case'!C11*$C350*'Business Case'!C12*$B350))-'Business Case'!D15*$F350</f>
        <v>323829930.790028</v>
      </c>
      <c r="K350" s="39" t="n">
        <f aca="false">(('Business Case'!E11*$C350*'Business Case'!E12*$B350)-'Business Case'!E11*$C350*'Business Case'!E13*$D350-'Business Case'!E14*$E350)-MAX(0,(('Business Case'!E11*$C350*'Business Case'!E12*$B350)-'Business Case'!E11*$C350*'Business Case'!E13*$D350-'Business Case'!E14*$E350))*'Business Case'!$B$7-'Business Case'!$B$8*(('Business Case'!E11*$C350*'Business Case'!E12*$B350)-('Business Case'!D11*$C350*'Business Case'!D12*$B350))-'Business Case'!E15*$F350</f>
        <v>685477057.192892</v>
      </c>
      <c r="L350" s="39" t="n">
        <f aca="false">(('Business Case'!F11*$C350*'Business Case'!F12*$B350)-'Business Case'!F11*$C350*'Business Case'!F13*$D350-'Business Case'!F14*$E350)-MAX(0,(('Business Case'!F11*$C350*'Business Case'!F12*$B350)-'Business Case'!F11*$C350*'Business Case'!F13*$D350-'Business Case'!F14*$E350))*'Business Case'!$B$7-'Business Case'!$B$8*(('Business Case'!F11*$C350*'Business Case'!F12*$B350)-('Business Case'!E11*$C350*'Business Case'!E12*$B350))-'Business Case'!F15*$F350</f>
        <v>824965211.505283</v>
      </c>
      <c r="M350" s="39" t="n">
        <f aca="false">(('Business Case'!G11*$C350*'Business Case'!G12*$B350)-'Business Case'!G11*$C350*'Business Case'!G13*$D350-'Business Case'!G14*$E350)-MAX(0,(('Business Case'!G11*$C350*'Business Case'!G12*$B350)-'Business Case'!G11*$C350*'Business Case'!G13*$D350-'Business Case'!G14*$E350))*'Business Case'!$B$7-'Business Case'!$B$8*(('Business Case'!G11*$C350*'Business Case'!G12*$B350)-('Business Case'!F11*$C350*'Business Case'!F12*$B350))-'Business Case'!G15*$F350+'Business Case'!$B$8*('Business Case'!G11*$C350*'Business Case'!G12*$B350)</f>
        <v>1019488560.35069</v>
      </c>
      <c r="N350" s="39" t="n">
        <f aca="false">IF(COUNT('Business Case'!B11:G11)=0,"",H350+NPV(G350,I350:M350))</f>
        <v>4395342.99076319</v>
      </c>
      <c r="P350" s="40" t="n">
        <f aca="true">RAND()</f>
        <v>0.657891300810653</v>
      </c>
      <c r="Q350" s="40" t="n">
        <f aca="true">RAND()</f>
        <v>0.697201971414808</v>
      </c>
      <c r="R350" s="40" t="n">
        <f aca="true">RAND()</f>
        <v>0.433340671173493</v>
      </c>
      <c r="S350" s="40" t="n">
        <f aca="true">RAND()</f>
        <v>0.831323864029323</v>
      </c>
      <c r="T350" s="40" t="n">
        <f aca="true">RAND()</f>
        <v>0.102108713874112</v>
      </c>
      <c r="U350" s="40" t="n">
        <f aca="true">RAND()</f>
        <v>0.460967798479207</v>
      </c>
    </row>
    <row r="351" customFormat="false" ht="15" hidden="false" customHeight="false" outlineLevel="0" collapsed="false">
      <c r="A351" s="36" t="n">
        <v>271</v>
      </c>
      <c r="B351" s="37" t="n">
        <f aca="false">1+IF($G$6=$E$6,$F$6,IF(P351&lt;($F$6-$E$6)/($G$6-$E$6),$E$6+SQRT(P351*($G$6-$E$6)*($F$6-$E$6)),$G$6-SQRT((1-P351)*($G$6-$E$6)*($G$6-$F$6))))</f>
        <v>0.957062882057114</v>
      </c>
      <c r="C351" s="37" t="n">
        <f aca="false">1+IF($G$7=$E$7,$F$7,IF(Q351&lt;($F$7-$E$7)/($G$7-$E$7),$E$7+SQRT(Q351*($G$7-$E$7)*($F$7-$E$7)),$G$7-SQRT((1-Q351)*($G$7-$E$7)*($G$7-$F$7))))</f>
        <v>1.08242499707291</v>
      </c>
      <c r="D351" s="37" t="n">
        <f aca="false">1+IF($G$8=$E$8,$F$8,IF(R351&lt;($F$8-$E$8)/($G$8-$E$8),$E$8+SQRT(R351*($G$8-$E$8)*($F$8-$E$8)),$G$8-SQRT((1-R351)*($G$8-$E$8)*($G$8-$F$8))))</f>
        <v>1.00535273748116</v>
      </c>
      <c r="E351" s="37" t="n">
        <f aca="false">1+IF($G$9=$E$9,$F$9,IF(S351&lt;($F$9-$E$9)/($G$9-$E$9),$E$9+SQRT(S351*($G$9-$E$9)*($F$9-$E$9)),$G$9-SQRT((1-S351)*($G$9-$E$9)*($G$9-$F$9))))</f>
        <v>1.00147176837384</v>
      </c>
      <c r="F351" s="37" t="n">
        <f aca="false">1+IF($G$10=$E$10,$F$10,IF(T351&lt;($F$10-$E$10)/($G$10-$E$10),$E$10+SQRT(T351*($G$10-$E$10)*($F$10-$E$10)),$G$10-SQRT((1-T351)*($G$10-$E$10)*($G$10-$F$10))))</f>
        <v>1.19165864916588</v>
      </c>
      <c r="G351" s="38" t="n">
        <f aca="false">IF($G$11=$E$11,$F$11,IF(U351&lt;($F$11-$E$11)/($G$11-$E$11),$E$11+SQRT(U351*($G$11-$E$11)*($F$11-$E$11)),$G$11-SQRT((1-U351)*($G$11-$E$11)*($G$11-$F$11))))</f>
        <v>0.100458001401354</v>
      </c>
      <c r="H351" s="39" t="n">
        <f aca="false">(('Business Case'!B11*$C351*'Business Case'!B12*$B351)-'Business Case'!B11*$C351*'Business Case'!B13*$D351-'Business Case'!B14*$E351)-MAX(0,(('Business Case'!B11*$C351*'Business Case'!B12*$B351)-'Business Case'!B11*$C351*'Business Case'!B13*$D351-'Business Case'!B14*$E351))*'Business Case'!$B$7-'Business Case'!$B$8*('Business Case'!B11*$C351*'Business Case'!B12*$B351)-'Business Case'!B15*$F351</f>
        <v>-2383317298.33176</v>
      </c>
      <c r="I351" s="39" t="n">
        <f aca="false">(('Business Case'!C11*$C351*'Business Case'!C12*$B351)-'Business Case'!C11*$C351*'Business Case'!C13*$D351-'Business Case'!C14*$E351)-MAX(0,(('Business Case'!C11*$C351*'Business Case'!C12*$B351)-'Business Case'!C11*$C351*'Business Case'!C13*$D351-'Business Case'!C14*$E351))*'Business Case'!$B$7-'Business Case'!$B$8*(('Business Case'!C11*$C351*'Business Case'!C12*$B351)-('Business Case'!B11*$C351*'Business Case'!B12*$B351))-'Business Case'!C15*$F351</f>
        <v>-23843127.0495181</v>
      </c>
      <c r="J351" s="39" t="n">
        <f aca="false">(('Business Case'!D11*$C351*'Business Case'!D12*$B351)-'Business Case'!D11*$C351*'Business Case'!D13*$D351-'Business Case'!D14*$E351)-MAX(0,(('Business Case'!D11*$C351*'Business Case'!D12*$B351)-'Business Case'!D11*$C351*'Business Case'!D13*$D351-'Business Case'!D14*$E351))*'Business Case'!$B$7-'Business Case'!$B$8*(('Business Case'!D11*$C351*'Business Case'!D12*$B351)-('Business Case'!C11*$C351*'Business Case'!C12*$B351))-'Business Case'!D15*$F351</f>
        <v>267592481.414424</v>
      </c>
      <c r="K351" s="39" t="n">
        <f aca="false">(('Business Case'!E11*$C351*'Business Case'!E12*$B351)-'Business Case'!E11*$C351*'Business Case'!E13*$D351-'Business Case'!E14*$E351)-MAX(0,(('Business Case'!E11*$C351*'Business Case'!E12*$B351)-'Business Case'!E11*$C351*'Business Case'!E13*$D351-'Business Case'!E14*$E351))*'Business Case'!$B$7-'Business Case'!$B$8*(('Business Case'!E11*$C351*'Business Case'!E12*$B351)-('Business Case'!D11*$C351*'Business Case'!D12*$B351))-'Business Case'!E15*$F351</f>
        <v>618611022.33666</v>
      </c>
      <c r="L351" s="39" t="n">
        <f aca="false">(('Business Case'!F11*$C351*'Business Case'!F12*$B351)-'Business Case'!F11*$C351*'Business Case'!F13*$D351-'Business Case'!F14*$E351)-MAX(0,(('Business Case'!F11*$C351*'Business Case'!F12*$B351)-'Business Case'!F11*$C351*'Business Case'!F13*$D351-'Business Case'!F14*$E351))*'Business Case'!$B$7-'Business Case'!$B$8*(('Business Case'!F11*$C351*'Business Case'!F12*$B351)-('Business Case'!E11*$C351*'Business Case'!E12*$B351))-'Business Case'!F15*$F351</f>
        <v>751558615.247382</v>
      </c>
      <c r="M351" s="39" t="n">
        <f aca="false">(('Business Case'!G11*$C351*'Business Case'!G12*$B351)-'Business Case'!G11*$C351*'Business Case'!G13*$D351-'Business Case'!G14*$E351)-MAX(0,(('Business Case'!G11*$C351*'Business Case'!G12*$B351)-'Business Case'!G11*$C351*'Business Case'!G13*$D351-'Business Case'!G14*$E351))*'Business Case'!$B$7-'Business Case'!$B$8*(('Business Case'!G11*$C351*'Business Case'!G12*$B351)-('Business Case'!F11*$C351*'Business Case'!F12*$B351))-'Business Case'!G15*$F351+'Business Case'!$B$8*('Business Case'!G11*$C351*'Business Case'!G12*$B351)</f>
        <v>948471760.739127</v>
      </c>
      <c r="N351" s="39" t="n">
        <f aca="false">IF(COUNT('Business Case'!B11:G11)=0,"",H351+NPV(G351,I351:M351))</f>
        <v>-619653080.029731</v>
      </c>
      <c r="P351" s="40" t="n">
        <f aca="true">RAND()</f>
        <v>0.143089294414533</v>
      </c>
      <c r="Q351" s="40" t="n">
        <f aca="true">RAND()</f>
        <v>0.913021313893413</v>
      </c>
      <c r="R351" s="40" t="n">
        <f aca="true">RAND()</f>
        <v>0.464210211388734</v>
      </c>
      <c r="S351" s="40" t="n">
        <f aca="true">RAND()</f>
        <v>0.3528125048414</v>
      </c>
      <c r="T351" s="40" t="n">
        <f aca="true">RAND()</f>
        <v>0.998608437325243</v>
      </c>
      <c r="U351" s="40" t="n">
        <f aca="true">RAND()</f>
        <v>0.363517151284165</v>
      </c>
    </row>
    <row r="352" customFormat="false" ht="15" hidden="false" customHeight="false" outlineLevel="0" collapsed="false">
      <c r="A352" s="36" t="n">
        <v>272</v>
      </c>
      <c r="B352" s="37" t="n">
        <f aca="false">1+IF($G$6=$E$6,$F$6,IF(P352&lt;($F$6-$E$6)/($G$6-$E$6),$E$6+SQRT(P352*($G$6-$E$6)*($F$6-$E$6)),$G$6-SQRT((1-P352)*($G$6-$E$6)*($G$6-$F$6))))</f>
        <v>0.925608184594376</v>
      </c>
      <c r="C352" s="37" t="n">
        <f aca="false">1+IF($G$7=$E$7,$F$7,IF(Q352&lt;($F$7-$E$7)/($G$7-$E$7),$E$7+SQRT(Q352*($G$7-$E$7)*($F$7-$E$7)),$G$7-SQRT((1-Q352)*($G$7-$E$7)*($G$7-$F$7))))</f>
        <v>0.819078245238166</v>
      </c>
      <c r="D352" s="37" t="n">
        <f aca="false">1+IF($G$8=$E$8,$F$8,IF(R352&lt;($F$8-$E$8)/($G$8-$E$8),$E$8+SQRT(R352*($G$8-$E$8)*($F$8-$E$8)),$G$8-SQRT((1-R352)*($G$8-$E$8)*($G$8-$F$8))))</f>
        <v>0.979277164795627</v>
      </c>
      <c r="E352" s="37" t="n">
        <f aca="false">1+IF($G$9=$E$9,$F$9,IF(S352&lt;($F$9-$E$9)/($G$9-$E$9),$E$9+SQRT(S352*($G$9-$E$9)*($F$9-$E$9)),$G$9-SQRT((1-S352)*($G$9-$E$9)*($G$9-$F$9))))</f>
        <v>0.995644161335652</v>
      </c>
      <c r="F352" s="37" t="n">
        <f aca="false">1+IF($G$10=$E$10,$F$10,IF(T352&lt;($F$10-$E$10)/($G$10-$E$10),$E$10+SQRT(T352*($G$10-$E$10)*($F$10-$E$10)),$G$10-SQRT((1-T352)*($G$10-$E$10)*($G$10-$F$10))))</f>
        <v>1.0756891547411</v>
      </c>
      <c r="G352" s="38" t="n">
        <f aca="false">IF($G$11=$E$11,$F$11,IF(U352&lt;($F$11-$E$11)/($G$11-$E$11),$E$11+SQRT(U352*($G$11-$E$11)*($F$11-$E$11)),$G$11-SQRT((1-U352)*($G$11-$E$11)*($G$11-$F$11))))</f>
        <v>0.0987439518633399</v>
      </c>
      <c r="H352" s="39" t="n">
        <f aca="false">(('Business Case'!B11*$C352*'Business Case'!B12*$B352)-'Business Case'!B11*$C352*'Business Case'!B13*$D352-'Business Case'!B14*$E352)-MAX(0,(('Business Case'!B11*$C352*'Business Case'!B12*$B352)-'Business Case'!B11*$C352*'Business Case'!B13*$D352-'Business Case'!B14*$E352))*'Business Case'!$B$7-'Business Case'!$B$8*('Business Case'!B11*$C352*'Business Case'!B12*$B352)-'Business Case'!B15*$F352</f>
        <v>-2151378309.4822</v>
      </c>
      <c r="I352" s="39" t="n">
        <f aca="false">(('Business Case'!C11*$C352*'Business Case'!C12*$B352)-'Business Case'!C11*$C352*'Business Case'!C13*$D352-'Business Case'!C14*$E352)-MAX(0,(('Business Case'!C11*$C352*'Business Case'!C12*$B352)-'Business Case'!C11*$C352*'Business Case'!C13*$D352-'Business Case'!C14*$E352))*'Business Case'!$B$7-'Business Case'!$B$8*(('Business Case'!C11*$C352*'Business Case'!C12*$B352)-('Business Case'!B11*$C352*'Business Case'!B12*$B352))-'Business Case'!C15*$F352</f>
        <v>-78089403.7349081</v>
      </c>
      <c r="J352" s="39" t="n">
        <f aca="false">(('Business Case'!D11*$C352*'Business Case'!D12*$B352)-'Business Case'!D11*$C352*'Business Case'!D13*$D352-'Business Case'!D14*$E352)-MAX(0,(('Business Case'!D11*$C352*'Business Case'!D12*$B352)-'Business Case'!D11*$C352*'Business Case'!D13*$D352-'Business Case'!D14*$E352))*'Business Case'!$B$7-'Business Case'!$B$8*(('Business Case'!D11*$C352*'Business Case'!D12*$B352)-('Business Case'!C11*$C352*'Business Case'!C12*$B352))-'Business Case'!D15*$F352</f>
        <v>132272971.897818</v>
      </c>
      <c r="K352" s="39" t="n">
        <f aca="false">(('Business Case'!E11*$C352*'Business Case'!E12*$B352)-'Business Case'!E11*$C352*'Business Case'!E13*$D352-'Business Case'!E14*$E352)-MAX(0,(('Business Case'!E11*$C352*'Business Case'!E12*$B352)-'Business Case'!E11*$C352*'Business Case'!E13*$D352-'Business Case'!E14*$E352))*'Business Case'!$B$7-'Business Case'!$B$8*(('Business Case'!E11*$C352*'Business Case'!E12*$B352)-('Business Case'!D11*$C352*'Business Case'!D12*$B352))-'Business Case'!E15*$F352</f>
        <v>396419805.2676</v>
      </c>
      <c r="L352" s="39" t="n">
        <f aca="false">(('Business Case'!F11*$C352*'Business Case'!F12*$B352)-'Business Case'!F11*$C352*'Business Case'!F13*$D352-'Business Case'!F14*$E352)-MAX(0,(('Business Case'!F11*$C352*'Business Case'!F12*$B352)-'Business Case'!F11*$C352*'Business Case'!F13*$D352-'Business Case'!F14*$E352))*'Business Case'!$B$7-'Business Case'!$B$8*(('Business Case'!F11*$C352*'Business Case'!F12*$B352)-('Business Case'!E11*$C352*'Business Case'!E12*$B352))-'Business Case'!F15*$F352</f>
        <v>492742106.579572</v>
      </c>
      <c r="M352" s="39" t="n">
        <f aca="false">(('Business Case'!G11*$C352*'Business Case'!G12*$B352)-'Business Case'!G11*$C352*'Business Case'!G13*$D352-'Business Case'!G14*$E352)-MAX(0,(('Business Case'!G11*$C352*'Business Case'!G12*$B352)-'Business Case'!G11*$C352*'Business Case'!G13*$D352-'Business Case'!G14*$E352))*'Business Case'!$B$7-'Business Case'!$B$8*(('Business Case'!G11*$C352*'Business Case'!G12*$B352)-('Business Case'!F11*$C352*'Business Case'!F12*$B352))-'Business Case'!G15*$F352+'Business Case'!$B$8*('Business Case'!G11*$C352*'Business Case'!G12*$B352)</f>
        <v>636850408.468754</v>
      </c>
      <c r="N352" s="39" t="n">
        <f aca="false">IF(COUNT('Business Case'!B11:G11)=0,"",H352+NPV(G352,I352:M352))</f>
        <v>-1078234116.19936</v>
      </c>
      <c r="P352" s="40" t="n">
        <f aca="true">RAND()</f>
        <v>0.00327622233797892</v>
      </c>
      <c r="Q352" s="40" t="n">
        <f aca="true">RAND()</f>
        <v>0.00519970630525143</v>
      </c>
      <c r="R352" s="40" t="n">
        <f aca="true">RAND()</f>
        <v>0.131869596687736</v>
      </c>
      <c r="S352" s="40" t="n">
        <f aca="true">RAND()</f>
        <v>0.277785261871334</v>
      </c>
      <c r="T352" s="40" t="n">
        <f aca="true">RAND()</f>
        <v>0.690936275020344</v>
      </c>
      <c r="U352" s="40" t="n">
        <f aca="true">RAND()</f>
        <v>0.254855647294687</v>
      </c>
    </row>
    <row r="353" customFormat="false" ht="15" hidden="false" customHeight="false" outlineLevel="0" collapsed="false">
      <c r="A353" s="36" t="n">
        <v>273</v>
      </c>
      <c r="B353" s="37" t="n">
        <f aca="false">1+IF($G$6=$E$6,$F$6,IF(P353&lt;($F$6-$E$6)/($G$6-$E$6),$E$6+SQRT(P353*($G$6-$E$6)*($F$6-$E$6)),$G$6-SQRT((1-P353)*($G$6-$E$6)*($G$6-$F$6))))</f>
        <v>1.03168880605211</v>
      </c>
      <c r="C353" s="37" t="n">
        <f aca="false">1+IF($G$7=$E$7,$F$7,IF(Q353&lt;($F$7-$E$7)/($G$7-$E$7),$E$7+SQRT(Q353*($G$7-$E$7)*($F$7-$E$7)),$G$7-SQRT((1-Q353)*($G$7-$E$7)*($G$7-$F$7))))</f>
        <v>0.972255826164319</v>
      </c>
      <c r="D353" s="37" t="n">
        <f aca="false">1+IF($G$8=$E$8,$F$8,IF(R353&lt;($F$8-$E$8)/($G$8-$E$8),$E$8+SQRT(R353*($G$8-$E$8)*($F$8-$E$8)),$G$8-SQRT((1-R353)*($G$8-$E$8)*($G$8-$F$8))))</f>
        <v>1.00005143402104</v>
      </c>
      <c r="E353" s="37" t="n">
        <f aca="false">1+IF($G$9=$E$9,$F$9,IF(S353&lt;($F$9-$E$9)/($G$9-$E$9),$E$9+SQRT(S353*($G$9-$E$9)*($F$9-$E$9)),$G$9-SQRT((1-S353)*($G$9-$E$9)*($G$9-$F$9))))</f>
        <v>1.04102001206051</v>
      </c>
      <c r="F353" s="37" t="n">
        <f aca="false">1+IF($G$10=$E$10,$F$10,IF(T353&lt;($F$10-$E$10)/($G$10-$E$10),$E$10+SQRT(T353*($G$10-$E$10)*($F$10-$E$10)),$G$10-SQRT((1-T353)*($G$10-$E$10)*($G$10-$F$10))))</f>
        <v>1.03838700654302</v>
      </c>
      <c r="G353" s="38" t="n">
        <f aca="false">IF($G$11=$E$11,$F$11,IF(U353&lt;($F$11-$E$11)/($G$11-$E$11),$E$11+SQRT(U353*($G$11-$E$11)*($F$11-$E$11)),$G$11-SQRT((1-U353)*($G$11-$E$11)*($G$11-$F$11))))</f>
        <v>0.101605358178795</v>
      </c>
      <c r="H353" s="39" t="n">
        <f aca="false">(('Business Case'!B11*$C353*'Business Case'!B12*$B353)-'Business Case'!B11*$C353*'Business Case'!B13*$D353-'Business Case'!B14*$E353)-MAX(0,(('Business Case'!B11*$C353*'Business Case'!B12*$B353)-'Business Case'!B11*$C353*'Business Case'!B13*$D353-'Business Case'!B14*$E353))*'Business Case'!$B$7-'Business Case'!$B$8*('Business Case'!B11*$C353*'Business Case'!B12*$B353)-'Business Case'!B15*$F353</f>
        <v>-2076774013.08603</v>
      </c>
      <c r="I353" s="39" t="n">
        <f aca="false">(('Business Case'!C11*$C353*'Business Case'!C12*$B353)-'Business Case'!C11*$C353*'Business Case'!C13*$D353-'Business Case'!C14*$E353)-MAX(0,(('Business Case'!C11*$C353*'Business Case'!C12*$B353)-'Business Case'!C11*$C353*'Business Case'!C13*$D353-'Business Case'!C14*$E353))*'Business Case'!$B$7-'Business Case'!$B$8*(('Business Case'!C11*$C353*'Business Case'!C12*$B353)-('Business Case'!B11*$C353*'Business Case'!B12*$B353))-'Business Case'!C15*$F353</f>
        <v>19969364.7351061</v>
      </c>
      <c r="J353" s="39" t="n">
        <f aca="false">(('Business Case'!D11*$C353*'Business Case'!D12*$B353)-'Business Case'!D11*$C353*'Business Case'!D13*$D353-'Business Case'!D14*$E353)-MAX(0,(('Business Case'!D11*$C353*'Business Case'!D12*$B353)-'Business Case'!D11*$C353*'Business Case'!D13*$D353-'Business Case'!D14*$E353))*'Business Case'!$B$7-'Business Case'!$B$8*(('Business Case'!D11*$C353*'Business Case'!D12*$B353)-('Business Case'!C11*$C353*'Business Case'!C12*$B353))-'Business Case'!D15*$F353</f>
        <v>343809388.895702</v>
      </c>
      <c r="K353" s="39" t="n">
        <f aca="false">(('Business Case'!E11*$C353*'Business Case'!E12*$B353)-'Business Case'!E11*$C353*'Business Case'!E13*$D353-'Business Case'!E14*$E353)-MAX(0,(('Business Case'!E11*$C353*'Business Case'!E12*$B353)-'Business Case'!E11*$C353*'Business Case'!E13*$D353-'Business Case'!E14*$E353))*'Business Case'!$B$7-'Business Case'!$B$8*(('Business Case'!E11*$C353*'Business Case'!E12*$B353)-('Business Case'!D11*$C353*'Business Case'!D12*$B353))-'Business Case'!E15*$F353</f>
        <v>719568763.383449</v>
      </c>
      <c r="L353" s="39" t="n">
        <f aca="false">(('Business Case'!F11*$C353*'Business Case'!F12*$B353)-'Business Case'!F11*$C353*'Business Case'!F13*$D353-'Business Case'!F14*$E353)-MAX(0,(('Business Case'!F11*$C353*'Business Case'!F12*$B353)-'Business Case'!F11*$C353*'Business Case'!F13*$D353-'Business Case'!F14*$E353))*'Business Case'!$B$7-'Business Case'!$B$8*(('Business Case'!F11*$C353*'Business Case'!F12*$B353)-('Business Case'!E11*$C353*'Business Case'!E12*$B353))-'Business Case'!F15*$F353</f>
        <v>862181380.141103</v>
      </c>
      <c r="M353" s="39" t="n">
        <f aca="false">(('Business Case'!G11*$C353*'Business Case'!G12*$B353)-'Business Case'!G11*$C353*'Business Case'!G13*$D353-'Business Case'!G14*$E353)-MAX(0,(('Business Case'!G11*$C353*'Business Case'!G12*$B353)-'Business Case'!G11*$C353*'Business Case'!G13*$D353-'Business Case'!G14*$E353))*'Business Case'!$B$7-'Business Case'!$B$8*(('Business Case'!G11*$C353*'Business Case'!G12*$B353)-('Business Case'!F11*$C353*'Business Case'!F12*$B353))-'Business Case'!G15*$F353+'Business Case'!$B$8*('Business Case'!G11*$C353*'Business Case'!G12*$B353)</f>
        <v>1052844061.34711</v>
      </c>
      <c r="N353" s="39" t="n">
        <f aca="false">IF(COUNT('Business Case'!B11:G11)=0,"",H353+NPV(G353,I353:M353))</f>
        <v>-2631389.29947424</v>
      </c>
      <c r="P353" s="40" t="n">
        <f aca="true">RAND()</f>
        <v>0.985609178158455</v>
      </c>
      <c r="Q353" s="40" t="n">
        <f aca="true">RAND()</f>
        <v>0.423886709250743</v>
      </c>
      <c r="R353" s="40" t="n">
        <f aca="true">RAND()</f>
        <v>0.3854064228757</v>
      </c>
      <c r="S353" s="40" t="n">
        <f aca="true">RAND()</f>
        <v>0.768090734843855</v>
      </c>
      <c r="T353" s="40" t="n">
        <f aca="true">RAND()</f>
        <v>0.477624806917459</v>
      </c>
      <c r="U353" s="40" t="n">
        <f aca="true">RAND()</f>
        <v>0.436061920449283</v>
      </c>
    </row>
    <row r="354" customFormat="false" ht="15" hidden="false" customHeight="false" outlineLevel="0" collapsed="false">
      <c r="A354" s="36" t="n">
        <v>274</v>
      </c>
      <c r="B354" s="37" t="n">
        <f aca="false">1+IF($G$6=$E$6,$F$6,IF(P354&lt;($F$6-$E$6)/($G$6-$E$6),$E$6+SQRT(P354*($G$6-$E$6)*($F$6-$E$6)),$G$6-SQRT((1-P354)*($G$6-$E$6)*($G$6-$F$6))))</f>
        <v>0.946477489544359</v>
      </c>
      <c r="C354" s="37" t="n">
        <f aca="false">1+IF($G$7=$E$7,$F$7,IF(Q354&lt;($F$7-$E$7)/($G$7-$E$7),$E$7+SQRT(Q354*($G$7-$E$7)*($F$7-$E$7)),$G$7-SQRT((1-Q354)*($G$7-$E$7)*($G$7-$F$7))))</f>
        <v>0.921462196231474</v>
      </c>
      <c r="D354" s="37" t="n">
        <f aca="false">1+IF($G$8=$E$8,$F$8,IF(R354&lt;($F$8-$E$8)/($G$8-$E$8),$E$8+SQRT(R354*($G$8-$E$8)*($F$8-$E$8)),$G$8-SQRT((1-R354)*($G$8-$E$8)*($G$8-$F$8))))</f>
        <v>0.982448663668234</v>
      </c>
      <c r="E354" s="37" t="n">
        <f aca="false">1+IF($G$9=$E$9,$F$9,IF(S354&lt;($F$9-$E$9)/($G$9-$E$9),$E$9+SQRT(S354*($G$9-$E$9)*($F$9-$E$9)),$G$9-SQRT((1-S354)*($G$9-$E$9)*($G$9-$F$9))))</f>
        <v>1.00521002132605</v>
      </c>
      <c r="F354" s="37" t="n">
        <f aca="false">1+IF($G$10=$E$10,$F$10,IF(T354&lt;($F$10-$E$10)/($G$10-$E$10),$E$10+SQRT(T354*($G$10-$E$10)*($F$10-$E$10)),$G$10-SQRT((1-T354)*($G$10-$E$10)*($G$10-$F$10))))</f>
        <v>1.0380127261959</v>
      </c>
      <c r="G354" s="38" t="n">
        <f aca="false">IF($G$11=$E$11,$F$11,IF(U354&lt;($F$11-$E$11)/($G$11-$E$11),$E$11+SQRT(U354*($G$11-$E$11)*($F$11-$E$11)),$G$11-SQRT((1-U354)*($G$11-$E$11)*($G$11-$F$11))))</f>
        <v>0.107116748670977</v>
      </c>
      <c r="H354" s="39" t="n">
        <f aca="false">(('Business Case'!B11*$C354*'Business Case'!B12*$B354)-'Business Case'!B11*$C354*'Business Case'!B13*$D354-'Business Case'!B14*$E354)-MAX(0,(('Business Case'!B11*$C354*'Business Case'!B12*$B354)-'Business Case'!B11*$C354*'Business Case'!B13*$D354-'Business Case'!B14*$E354))*'Business Case'!$B$7-'Business Case'!$B$8*('Business Case'!B11*$C354*'Business Case'!B12*$B354)-'Business Case'!B15*$F354</f>
        <v>-2076025452.3918</v>
      </c>
      <c r="I354" s="39" t="n">
        <f aca="false">(('Business Case'!C11*$C354*'Business Case'!C12*$B354)-'Business Case'!C11*$C354*'Business Case'!C13*$D354-'Business Case'!C14*$E354)-MAX(0,(('Business Case'!C11*$C354*'Business Case'!C12*$B354)-'Business Case'!C11*$C354*'Business Case'!C13*$D354-'Business Case'!C14*$E354))*'Business Case'!$B$7-'Business Case'!$B$8*(('Business Case'!C11*$C354*'Business Case'!C12*$B354)-('Business Case'!B11*$C354*'Business Case'!B12*$B354))-'Business Case'!C15*$F354</f>
        <v>-41041646.0785316</v>
      </c>
      <c r="J354" s="39" t="n">
        <f aca="false">(('Business Case'!D11*$C354*'Business Case'!D12*$B354)-'Business Case'!D11*$C354*'Business Case'!D13*$D354-'Business Case'!D14*$E354)-MAX(0,(('Business Case'!D11*$C354*'Business Case'!D12*$B354)-'Business Case'!D11*$C354*'Business Case'!D13*$D354-'Business Case'!D14*$E354))*'Business Case'!$B$7-'Business Case'!$B$8*(('Business Case'!D11*$C354*'Business Case'!D12*$B354)-('Business Case'!C11*$C354*'Business Case'!C12*$B354))-'Business Case'!D15*$F354</f>
        <v>209870750.341257</v>
      </c>
      <c r="K354" s="39" t="n">
        <f aca="false">(('Business Case'!E11*$C354*'Business Case'!E12*$B354)-'Business Case'!E11*$C354*'Business Case'!E13*$D354-'Business Case'!E14*$E354)-MAX(0,(('Business Case'!E11*$C354*'Business Case'!E12*$B354)-'Business Case'!E11*$C354*'Business Case'!E13*$D354-'Business Case'!E14*$E354))*'Business Case'!$B$7-'Business Case'!$B$8*(('Business Case'!E11*$C354*'Business Case'!E12*$B354)-('Business Case'!D11*$C354*'Business Case'!D12*$B354))-'Business Case'!E15*$F354</f>
        <v>512683783.070841</v>
      </c>
      <c r="L354" s="39" t="n">
        <f aca="false">(('Business Case'!F11*$C354*'Business Case'!F12*$B354)-'Business Case'!F11*$C354*'Business Case'!F13*$D354-'Business Case'!F14*$E354)-MAX(0,(('Business Case'!F11*$C354*'Business Case'!F12*$B354)-'Business Case'!F11*$C354*'Business Case'!F13*$D354-'Business Case'!F14*$E354))*'Business Case'!$B$7-'Business Case'!$B$8*(('Business Case'!F11*$C354*'Business Case'!F12*$B354)-('Business Case'!E11*$C354*'Business Case'!E12*$B354))-'Business Case'!F15*$F354</f>
        <v>626462518.441548</v>
      </c>
      <c r="M354" s="39" t="n">
        <f aca="false">(('Business Case'!G11*$C354*'Business Case'!G12*$B354)-'Business Case'!G11*$C354*'Business Case'!G13*$D354-'Business Case'!G14*$E354)-MAX(0,(('Business Case'!G11*$C354*'Business Case'!G12*$B354)-'Business Case'!G11*$C354*'Business Case'!G13*$D354-'Business Case'!G14*$E354))*'Business Case'!$B$7-'Business Case'!$B$8*(('Business Case'!G11*$C354*'Business Case'!G12*$B354)-('Business Case'!F11*$C354*'Business Case'!F12*$B354))-'Business Case'!G15*$F354+'Business Case'!$B$8*('Business Case'!G11*$C354*'Business Case'!G12*$B354)</f>
        <v>792239502.877491</v>
      </c>
      <c r="N354" s="39" t="n">
        <f aca="false">IF(COUNT('Business Case'!B11:G11)=0,"",H354+NPV(G354,I354:M354))</f>
        <v>-670770026.465884</v>
      </c>
      <c r="P354" s="40" t="n">
        <f aca="true">RAND()</f>
        <v>0.073026817976212</v>
      </c>
      <c r="Q354" s="40" t="n">
        <f aca="true">RAND()</f>
        <v>0.210758073048187</v>
      </c>
      <c r="R354" s="40" t="n">
        <f aca="true">RAND()</f>
        <v>0.161987042131408</v>
      </c>
      <c r="S354" s="40" t="n">
        <f aca="true">RAND()</f>
        <v>0.400990662866135</v>
      </c>
      <c r="T354" s="40" t="n">
        <f aca="true">RAND()</f>
        <v>0.475202462510298</v>
      </c>
      <c r="U354" s="40" t="n">
        <f aca="true">RAND()</f>
        <v>0.723369725322024</v>
      </c>
    </row>
    <row r="355" customFormat="false" ht="15" hidden="false" customHeight="false" outlineLevel="0" collapsed="false">
      <c r="A355" s="36" t="n">
        <v>275</v>
      </c>
      <c r="B355" s="37" t="n">
        <f aca="false">1+IF($G$6=$E$6,$F$6,IF(P355&lt;($F$6-$E$6)/($G$6-$E$6),$E$6+SQRT(P355*($G$6-$E$6)*($F$6-$E$6)),$G$6-SQRT((1-P355)*($G$6-$E$6)*($G$6-$F$6))))</f>
        <v>0.988920721314615</v>
      </c>
      <c r="C355" s="37" t="n">
        <f aca="false">1+IF($G$7=$E$7,$F$7,IF(Q355&lt;($F$7-$E$7)/($G$7-$E$7),$E$7+SQRT(Q355*($G$7-$E$7)*($F$7-$E$7)),$G$7-SQRT((1-Q355)*($G$7-$E$7)*($G$7-$F$7))))</f>
        <v>0.943650158572513</v>
      </c>
      <c r="D355" s="37" t="n">
        <f aca="false">1+IF($G$8=$E$8,$F$8,IF(R355&lt;($F$8-$E$8)/($G$8-$E$8),$E$8+SQRT(R355*($G$8-$E$8)*($F$8-$E$8)),$G$8-SQRT((1-R355)*($G$8-$E$8)*($G$8-$F$8))))</f>
        <v>0.999973791971826</v>
      </c>
      <c r="E355" s="37" t="n">
        <f aca="false">1+IF($G$9=$E$9,$F$9,IF(S355&lt;($F$9-$E$9)/($G$9-$E$9),$E$9+SQRT(S355*($G$9-$E$9)*($F$9-$E$9)),$G$9-SQRT((1-S355)*($G$9-$E$9)*($G$9-$F$9))))</f>
        <v>1.00076899767512</v>
      </c>
      <c r="F355" s="37" t="n">
        <f aca="false">1+IF($G$10=$E$10,$F$10,IF(T355&lt;($F$10-$E$10)/($G$10-$E$10),$E$10+SQRT(T355*($G$10-$E$10)*($F$10-$E$10)),$G$10-SQRT((1-T355)*($G$10-$E$10)*($G$10-$F$10))))</f>
        <v>0.992741414248762</v>
      </c>
      <c r="G355" s="38" t="n">
        <f aca="false">IF($G$11=$E$11,$F$11,IF(U355&lt;($F$11-$E$11)/($G$11-$E$11),$E$11+SQRT(U355*($G$11-$E$11)*($F$11-$E$11)),$G$11-SQRT((1-U355)*($G$11-$E$11)*($G$11-$F$11))))</f>
        <v>0.0973955355013444</v>
      </c>
      <c r="H355" s="39" t="n">
        <f aca="false">(('Business Case'!B11*$C355*'Business Case'!B12*$B355)-'Business Case'!B11*$C355*'Business Case'!B13*$D355-'Business Case'!B14*$E355)-MAX(0,(('Business Case'!B11*$C355*'Business Case'!B12*$B355)-'Business Case'!B11*$C355*'Business Case'!B13*$D355-'Business Case'!B14*$E355))*'Business Case'!$B$7-'Business Case'!$B$8*('Business Case'!B11*$C355*'Business Case'!B12*$B355)-'Business Case'!B15*$F355</f>
        <v>-1985482828.49752</v>
      </c>
      <c r="I355" s="39" t="n">
        <f aca="false">(('Business Case'!C11*$C355*'Business Case'!C12*$B355)-'Business Case'!C11*$C355*'Business Case'!C13*$D355-'Business Case'!C14*$E355)-MAX(0,(('Business Case'!C11*$C355*'Business Case'!C12*$B355)-'Business Case'!C11*$C355*'Business Case'!C13*$D355-'Business Case'!C14*$E355))*'Business Case'!$B$7-'Business Case'!$B$8*(('Business Case'!C11*$C355*'Business Case'!C12*$B355)-('Business Case'!B11*$C355*'Business Case'!B12*$B355))-'Business Case'!C15*$F355</f>
        <v>-8667005.4480065</v>
      </c>
      <c r="J355" s="39" t="n">
        <f aca="false">(('Business Case'!D11*$C355*'Business Case'!D12*$B355)-'Business Case'!D11*$C355*'Business Case'!D13*$D355-'Business Case'!D14*$E355)-MAX(0,(('Business Case'!D11*$C355*'Business Case'!D12*$B355)-'Business Case'!D11*$C355*'Business Case'!D13*$D355-'Business Case'!D14*$E355))*'Business Case'!$B$7-'Business Case'!$B$8*(('Business Case'!D11*$C355*'Business Case'!D12*$B355)-('Business Case'!C11*$C355*'Business Case'!C12*$B355))-'Business Case'!D15*$F355</f>
        <v>272626320.932165</v>
      </c>
      <c r="K355" s="39" t="n">
        <f aca="false">(('Business Case'!E11*$C355*'Business Case'!E12*$B355)-'Business Case'!E11*$C355*'Business Case'!E13*$D355-'Business Case'!E14*$E355)-MAX(0,(('Business Case'!E11*$C355*'Business Case'!E12*$B355)-'Business Case'!E11*$C355*'Business Case'!E13*$D355-'Business Case'!E14*$E355))*'Business Case'!$B$7-'Business Case'!$B$8*(('Business Case'!E11*$C355*'Business Case'!E12*$B355)-('Business Case'!D11*$C355*'Business Case'!D12*$B355))-'Business Case'!E15*$F355</f>
        <v>603556718.024774</v>
      </c>
      <c r="L355" s="39" t="n">
        <f aca="false">(('Business Case'!F11*$C355*'Business Case'!F12*$B355)-'Business Case'!F11*$C355*'Business Case'!F13*$D355-'Business Case'!F14*$E355)-MAX(0,(('Business Case'!F11*$C355*'Business Case'!F12*$B355)-'Business Case'!F11*$C355*'Business Case'!F13*$D355-'Business Case'!F14*$E355))*'Business Case'!$B$7-'Business Case'!$B$8*(('Business Case'!F11*$C355*'Business Case'!F12*$B355)-('Business Case'!E11*$C355*'Business Case'!E12*$B355))-'Business Case'!F15*$F355</f>
        <v>729572386.107431</v>
      </c>
      <c r="M355" s="39" t="n">
        <f aca="false">(('Business Case'!G11*$C355*'Business Case'!G12*$B355)-'Business Case'!G11*$C355*'Business Case'!G13*$D355-'Business Case'!G14*$E355)-MAX(0,(('Business Case'!G11*$C355*'Business Case'!G12*$B355)-'Business Case'!G11*$C355*'Business Case'!G13*$D355-'Business Case'!G14*$E355))*'Business Case'!$B$7-'Business Case'!$B$8*(('Business Case'!G11*$C355*'Business Case'!G12*$B355)-('Business Case'!F11*$C355*'Business Case'!F12*$B355))-'Business Case'!G15*$F355+'Business Case'!$B$8*('Business Case'!G11*$C355*'Business Case'!G12*$B355)</f>
        <v>906954128.865064</v>
      </c>
      <c r="N355" s="39" t="n">
        <f aca="false">IF(COUNT('Business Case'!B11:G11)=0,"",H355+NPV(G355,I355:M355))</f>
        <v>-237384730.731568</v>
      </c>
      <c r="P355" s="40" t="n">
        <f aca="true">RAND()</f>
        <v>0.49479852359654</v>
      </c>
      <c r="Q355" s="40" t="n">
        <f aca="true">RAND()</f>
        <v>0.294790972255832</v>
      </c>
      <c r="R355" s="40" t="n">
        <f aca="true">RAND()</f>
        <v>0.384212289852826</v>
      </c>
      <c r="S355" s="40" t="n">
        <f aca="true">RAND()</f>
        <v>0.343547211839928</v>
      </c>
      <c r="T355" s="40" t="n">
        <f aca="true">RAND()</f>
        <v>0.146146279358741</v>
      </c>
      <c r="U355" s="40" t="n">
        <f aca="true">RAND()</f>
        <v>0.182313151172149</v>
      </c>
    </row>
    <row r="356" customFormat="false" ht="15" hidden="false" customHeight="false" outlineLevel="0" collapsed="false">
      <c r="A356" s="36" t="n">
        <v>276</v>
      </c>
      <c r="B356" s="37" t="n">
        <f aca="false">1+IF($G$6=$E$6,$F$6,IF(P356&lt;($F$6-$E$6)/($G$6-$E$6),$E$6+SQRT(P356*($G$6-$E$6)*($F$6-$E$6)),$G$6-SQRT((1-P356)*($G$6-$E$6)*($G$6-$F$6))))</f>
        <v>0.962571848081644</v>
      </c>
      <c r="C356" s="37" t="n">
        <f aca="false">1+IF($G$7=$E$7,$F$7,IF(Q356&lt;($F$7-$E$7)/($G$7-$E$7),$E$7+SQRT(Q356*($G$7-$E$7)*($F$7-$E$7)),$G$7-SQRT((1-Q356)*($G$7-$E$7)*($G$7-$F$7))))</f>
        <v>0.809429876713685</v>
      </c>
      <c r="D356" s="37" t="n">
        <f aca="false">1+IF($G$8=$E$8,$F$8,IF(R356&lt;($F$8-$E$8)/($G$8-$E$8),$E$8+SQRT(R356*($G$8-$E$8)*($F$8-$E$8)),$G$8-SQRT((1-R356)*($G$8-$E$8)*($G$8-$F$8))))</f>
        <v>1.0088071014486</v>
      </c>
      <c r="E356" s="37" t="n">
        <f aca="false">1+IF($G$9=$E$9,$F$9,IF(S356&lt;($F$9-$E$9)/($G$9-$E$9),$E$9+SQRT(S356*($G$9-$E$9)*($F$9-$E$9)),$G$9-SQRT((1-S356)*($G$9-$E$9)*($G$9-$F$9))))</f>
        <v>1.0656828862131</v>
      </c>
      <c r="F356" s="37" t="n">
        <f aca="false">1+IF($G$10=$E$10,$F$10,IF(T356&lt;($F$10-$E$10)/($G$10-$E$10),$E$10+SQRT(T356*($G$10-$E$10)*($F$10-$E$10)),$G$10-SQRT((1-T356)*($G$10-$E$10)*($G$10-$F$10))))</f>
        <v>1.00616301796101</v>
      </c>
      <c r="G356" s="38" t="n">
        <f aca="false">IF($G$11=$E$11,$F$11,IF(U356&lt;($F$11-$E$11)/($G$11-$E$11),$E$11+SQRT(U356*($G$11-$E$11)*($F$11-$E$11)),$G$11-SQRT((1-U356)*($G$11-$E$11)*($G$11-$F$11))))</f>
        <v>0.11646845002495</v>
      </c>
      <c r="H356" s="39" t="n">
        <f aca="false">(('Business Case'!B11*$C356*'Business Case'!B12*$B356)-'Business Case'!B11*$C356*'Business Case'!B13*$D356-'Business Case'!B14*$E356)-MAX(0,(('Business Case'!B11*$C356*'Business Case'!B12*$B356)-'Business Case'!B11*$C356*'Business Case'!B13*$D356-'Business Case'!B14*$E356))*'Business Case'!$B$7-'Business Case'!$B$8*('Business Case'!B11*$C356*'Business Case'!B12*$B356)-'Business Case'!B15*$F356</f>
        <v>-2012326035.92202</v>
      </c>
      <c r="I356" s="39" t="n">
        <f aca="false">(('Business Case'!C11*$C356*'Business Case'!C12*$B356)-'Business Case'!C11*$C356*'Business Case'!C13*$D356-'Business Case'!C14*$E356)-MAX(0,(('Business Case'!C11*$C356*'Business Case'!C12*$B356)-'Business Case'!C11*$C356*'Business Case'!C13*$D356-'Business Case'!C14*$E356))*'Business Case'!$B$7-'Business Case'!$B$8*(('Business Case'!C11*$C356*'Business Case'!C12*$B356)-('Business Case'!B11*$C356*'Business Case'!B12*$B356))-'Business Case'!C15*$F356</f>
        <v>-72392237.2630354</v>
      </c>
      <c r="J356" s="39" t="n">
        <f aca="false">(('Business Case'!D11*$C356*'Business Case'!D12*$B356)-'Business Case'!D11*$C356*'Business Case'!D13*$D356-'Business Case'!D14*$E356)-MAX(0,(('Business Case'!D11*$C356*'Business Case'!D12*$B356)-'Business Case'!D11*$C356*'Business Case'!D13*$D356-'Business Case'!D14*$E356))*'Business Case'!$B$7-'Business Case'!$B$8*(('Business Case'!D11*$C356*'Business Case'!D12*$B356)-('Business Case'!C11*$C356*'Business Case'!C12*$B356))-'Business Case'!D15*$F356</f>
        <v>147762261.624243</v>
      </c>
      <c r="K356" s="39" t="n">
        <f aca="false">(('Business Case'!E11*$C356*'Business Case'!E12*$B356)-'Business Case'!E11*$C356*'Business Case'!E13*$D356-'Business Case'!E14*$E356)-MAX(0,(('Business Case'!E11*$C356*'Business Case'!E12*$B356)-'Business Case'!E11*$C356*'Business Case'!E13*$D356-'Business Case'!E14*$E356))*'Business Case'!$B$7-'Business Case'!$B$8*(('Business Case'!E11*$C356*'Business Case'!E12*$B356)-('Business Case'!D11*$C356*'Business Case'!D12*$B356))-'Business Case'!E15*$F356</f>
        <v>418224911.409573</v>
      </c>
      <c r="L356" s="39" t="n">
        <f aca="false">(('Business Case'!F11*$C356*'Business Case'!F12*$B356)-'Business Case'!F11*$C356*'Business Case'!F13*$D356-'Business Case'!F14*$E356)-MAX(0,(('Business Case'!F11*$C356*'Business Case'!F12*$B356)-'Business Case'!F11*$C356*'Business Case'!F13*$D356-'Business Case'!F14*$E356))*'Business Case'!$B$7-'Business Case'!$B$8*(('Business Case'!F11*$C356*'Business Case'!F12*$B356)-('Business Case'!E11*$C356*'Business Case'!E12*$B356))-'Business Case'!F15*$F356</f>
        <v>518536629.661805</v>
      </c>
      <c r="M356" s="39" t="n">
        <f aca="false">(('Business Case'!G11*$C356*'Business Case'!G12*$B356)-'Business Case'!G11*$C356*'Business Case'!G13*$D356-'Business Case'!G14*$E356)-MAX(0,(('Business Case'!G11*$C356*'Business Case'!G12*$B356)-'Business Case'!G11*$C356*'Business Case'!G13*$D356-'Business Case'!G14*$E356))*'Business Case'!$B$7-'Business Case'!$B$8*(('Business Case'!G11*$C356*'Business Case'!G12*$B356)-('Business Case'!F11*$C356*'Business Case'!F12*$B356))-'Business Case'!G15*$F356+'Business Case'!$B$8*('Business Case'!G11*$C356*'Business Case'!G12*$B356)</f>
        <v>666634498.755741</v>
      </c>
      <c r="N356" s="39" t="n">
        <f aca="false">IF(COUNT('Business Case'!B11:G11)=0,"",H356+NPV(G356,I356:M356))</f>
        <v>-940091242.751529</v>
      </c>
      <c r="P356" s="40" t="n">
        <f aca="true">RAND()</f>
        <v>0.188787734279856</v>
      </c>
      <c r="Q356" s="40" t="n">
        <f aca="true">RAND()</f>
        <v>0.00127032249764711</v>
      </c>
      <c r="R356" s="40" t="n">
        <f aca="true">RAND()</f>
        <v>0.512651076524009</v>
      </c>
      <c r="S356" s="40" t="n">
        <f aca="true">RAND()</f>
        <v>0.921489046755818</v>
      </c>
      <c r="T356" s="40" t="n">
        <f aca="true">RAND()</f>
        <v>0.248544487880315</v>
      </c>
      <c r="U356" s="40" t="n">
        <f aca="true">RAND()</f>
        <v>0.979213591289545</v>
      </c>
    </row>
    <row r="357" customFormat="false" ht="15" hidden="false" customHeight="false" outlineLevel="0" collapsed="false">
      <c r="A357" s="36" t="n">
        <v>277</v>
      </c>
      <c r="B357" s="37" t="n">
        <f aca="false">1+IF($G$6=$E$6,$F$6,IF(P357&lt;($F$6-$E$6)/($G$6-$E$6),$E$6+SQRT(P357*($G$6-$E$6)*($F$6-$E$6)),$G$6-SQRT((1-P357)*($G$6-$E$6)*($G$6-$F$6))))</f>
        <v>0.984245237662511</v>
      </c>
      <c r="C357" s="37" t="n">
        <f aca="false">1+IF($G$7=$E$7,$F$7,IF(Q357&lt;($F$7-$E$7)/($G$7-$E$7),$E$7+SQRT(Q357*($G$7-$E$7)*($F$7-$E$7)),$G$7-SQRT((1-Q357)*($G$7-$E$7)*($G$7-$F$7))))</f>
        <v>1.09208113084932</v>
      </c>
      <c r="D357" s="37" t="n">
        <f aca="false">1+IF($G$8=$E$8,$F$8,IF(R357&lt;($F$8-$E$8)/($G$8-$E$8),$E$8+SQRT(R357*($G$8-$E$8)*($F$8-$E$8)),$G$8-SQRT((1-R357)*($G$8-$E$8)*($G$8-$F$8))))</f>
        <v>1.05668593416531</v>
      </c>
      <c r="E357" s="37" t="n">
        <f aca="false">1+IF($G$9=$E$9,$F$9,IF(S357&lt;($F$9-$E$9)/($G$9-$E$9),$E$9+SQRT(S357*($G$9-$E$9)*($F$9-$E$9)),$G$9-SQRT((1-S357)*($G$9-$E$9)*($G$9-$F$9))))</f>
        <v>1.04879013134678</v>
      </c>
      <c r="F357" s="37" t="n">
        <f aca="false">1+IF($G$10=$E$10,$F$10,IF(T357&lt;($F$10-$E$10)/($G$10-$E$10),$E$10+SQRT(T357*($G$10-$E$10)*($F$10-$E$10)),$G$10-SQRT((1-T357)*($G$10-$E$10)*($G$10-$F$10))))</f>
        <v>1.07472670354528</v>
      </c>
      <c r="G357" s="38" t="n">
        <f aca="false">IF($G$11=$E$11,$F$11,IF(U357&lt;($F$11-$E$11)/($G$11-$E$11),$E$11+SQRT(U357*($G$11-$E$11)*($F$11-$E$11)),$G$11-SQRT((1-U357)*($G$11-$E$11)*($G$11-$F$11))))</f>
        <v>0.10130761647439</v>
      </c>
      <c r="H357" s="39" t="n">
        <f aca="false">(('Business Case'!B11*$C357*'Business Case'!B12*$B357)-'Business Case'!B11*$C357*'Business Case'!B13*$D357-'Business Case'!B14*$E357)-MAX(0,(('Business Case'!B11*$C357*'Business Case'!B12*$B357)-'Business Case'!B11*$C357*'Business Case'!B13*$D357-'Business Case'!B14*$E357))*'Business Case'!$B$7-'Business Case'!$B$8*('Business Case'!B11*$C357*'Business Case'!B12*$B357)-'Business Case'!B15*$F357</f>
        <v>-2149453407.09055</v>
      </c>
      <c r="I357" s="39" t="n">
        <f aca="false">(('Business Case'!C11*$C357*'Business Case'!C12*$B357)-'Business Case'!C11*$C357*'Business Case'!C13*$D357-'Business Case'!C14*$E357)-MAX(0,(('Business Case'!C11*$C357*'Business Case'!C12*$B357)-'Business Case'!C11*$C357*'Business Case'!C13*$D357-'Business Case'!C14*$E357))*'Business Case'!$B$7-'Business Case'!$B$8*(('Business Case'!C11*$C357*'Business Case'!C12*$B357)-('Business Case'!B11*$C357*'Business Case'!B12*$B357))-'Business Case'!C15*$F357</f>
        <v>-22680537.9245807</v>
      </c>
      <c r="J357" s="39" t="n">
        <f aca="false">(('Business Case'!D11*$C357*'Business Case'!D12*$B357)-'Business Case'!D11*$C357*'Business Case'!D13*$D357-'Business Case'!D14*$E357)-MAX(0,(('Business Case'!D11*$C357*'Business Case'!D12*$B357)-'Business Case'!D11*$C357*'Business Case'!D13*$D357-'Business Case'!D14*$E357))*'Business Case'!$B$7-'Business Case'!$B$8*(('Business Case'!D11*$C357*'Business Case'!D12*$B357)-('Business Case'!C11*$C357*'Business Case'!C12*$B357))-'Business Case'!D15*$F357</f>
        <v>266971104.991866</v>
      </c>
      <c r="K357" s="39" t="n">
        <f aca="false">(('Business Case'!E11*$C357*'Business Case'!E12*$B357)-'Business Case'!E11*$C357*'Business Case'!E13*$D357-'Business Case'!E14*$E357)-MAX(0,(('Business Case'!E11*$C357*'Business Case'!E12*$B357)-'Business Case'!E11*$C357*'Business Case'!E13*$D357-'Business Case'!E14*$E357))*'Business Case'!$B$7-'Business Case'!$B$8*(('Business Case'!E11*$C357*'Business Case'!E12*$B357)-('Business Case'!D11*$C357*'Business Case'!D12*$B357))-'Business Case'!E15*$F357</f>
        <v>610359083.085575</v>
      </c>
      <c r="L357" s="39" t="n">
        <f aca="false">(('Business Case'!F11*$C357*'Business Case'!F12*$B357)-'Business Case'!F11*$C357*'Business Case'!F13*$D357-'Business Case'!F14*$E357)-MAX(0,(('Business Case'!F11*$C357*'Business Case'!F12*$B357)-'Business Case'!F11*$C357*'Business Case'!F13*$D357-'Business Case'!F14*$E357))*'Business Case'!$B$7-'Business Case'!$B$8*(('Business Case'!F11*$C357*'Business Case'!F12*$B357)-('Business Case'!E11*$C357*'Business Case'!E12*$B357))-'Business Case'!F15*$F357</f>
        <v>744057333.263715</v>
      </c>
      <c r="M357" s="39" t="n">
        <f aca="false">(('Business Case'!G11*$C357*'Business Case'!G12*$B357)-'Business Case'!G11*$C357*'Business Case'!G13*$D357-'Business Case'!G14*$E357)-MAX(0,(('Business Case'!G11*$C357*'Business Case'!G12*$B357)-'Business Case'!G11*$C357*'Business Case'!G13*$D357-'Business Case'!G14*$E357))*'Business Case'!$B$7-'Business Case'!$B$8*(('Business Case'!G11*$C357*'Business Case'!G12*$B357)-('Business Case'!F11*$C357*'Business Case'!F12*$B357))-'Business Case'!G15*$F357+'Business Case'!$B$8*('Business Case'!G11*$C357*'Business Case'!G12*$B357)</f>
        <v>948369697.230001</v>
      </c>
      <c r="N357" s="39" t="n">
        <f aca="false">IF(COUNT('Business Case'!B11:G11)=0,"",H357+NPV(G357,I357:M357))</f>
        <v>-401826388.580753</v>
      </c>
      <c r="P357" s="40" t="n">
        <f aca="true">RAND()</f>
        <v>0.429942766907549</v>
      </c>
      <c r="Q357" s="40" t="n">
        <f aca="true">RAND()</f>
        <v>0.936102944691556</v>
      </c>
      <c r="R357" s="40" t="n">
        <f aca="true">RAND()</f>
        <v>0.947735993678456</v>
      </c>
      <c r="S357" s="40" t="n">
        <f aca="true">RAND()</f>
        <v>0.825169956834676</v>
      </c>
      <c r="T357" s="40" t="n">
        <f aca="true">RAND()</f>
        <v>0.686132023907334</v>
      </c>
      <c r="U357" s="40" t="n">
        <f aca="true">RAND()</f>
        <v>0.417657996885814</v>
      </c>
    </row>
    <row r="358" customFormat="false" ht="15" hidden="false" customHeight="false" outlineLevel="0" collapsed="false">
      <c r="A358" s="36" t="n">
        <v>278</v>
      </c>
      <c r="B358" s="37" t="n">
        <f aca="false">1+IF($G$6=$E$6,$F$6,IF(P358&lt;($F$6-$E$6)/($G$6-$E$6),$E$6+SQRT(P358*($G$6-$E$6)*($F$6-$E$6)),$G$6-SQRT((1-P358)*($G$6-$E$6)*($G$6-$F$6))))</f>
        <v>0.984167653268939</v>
      </c>
      <c r="C358" s="37" t="n">
        <f aca="false">1+IF($G$7=$E$7,$F$7,IF(Q358&lt;($F$7-$E$7)/($G$7-$E$7),$E$7+SQRT(Q358*($G$7-$E$7)*($F$7-$E$7)),$G$7-SQRT((1-Q358)*($G$7-$E$7)*($G$7-$F$7))))</f>
        <v>0.931869490385638</v>
      </c>
      <c r="D358" s="37" t="n">
        <f aca="false">1+IF($G$8=$E$8,$F$8,IF(R358&lt;($F$8-$E$8)/($G$8-$E$8),$E$8+SQRT(R358*($G$8-$E$8)*($F$8-$E$8)),$G$8-SQRT((1-R358)*($G$8-$E$8)*($G$8-$F$8))))</f>
        <v>0.999533793436709</v>
      </c>
      <c r="E358" s="37" t="n">
        <f aca="false">1+IF($G$9=$E$9,$F$9,IF(S358&lt;($F$9-$E$9)/($G$9-$E$9),$E$9+SQRT(S358*($G$9-$E$9)*($F$9-$E$9)),$G$9-SQRT((1-S358)*($G$9-$E$9)*($G$9-$F$9))))</f>
        <v>1.03038162641362</v>
      </c>
      <c r="F358" s="37" t="n">
        <f aca="false">1+IF($G$10=$E$10,$F$10,IF(T358&lt;($F$10-$E$10)/($G$10-$E$10),$E$10+SQRT(T358*($G$10-$E$10)*($F$10-$E$10)),$G$10-SQRT((1-T358)*($G$10-$E$10)*($G$10-$F$10))))</f>
        <v>1.11271141191718</v>
      </c>
      <c r="G358" s="38" t="n">
        <f aca="false">IF($G$11=$E$11,$F$11,IF(U358&lt;($F$11-$E$11)/($G$11-$E$11),$E$11+SQRT(U358*($G$11-$E$11)*($F$11-$E$11)),$G$11-SQRT((1-U358)*($G$11-$E$11)*($G$11-$F$11))))</f>
        <v>0.0961681990511926</v>
      </c>
      <c r="H358" s="39" t="n">
        <f aca="false">(('Business Case'!B11*$C358*'Business Case'!B12*$B358)-'Business Case'!B11*$C358*'Business Case'!B13*$D358-'Business Case'!B14*$E358)-MAX(0,(('Business Case'!B11*$C358*'Business Case'!B12*$B358)-'Business Case'!B11*$C358*'Business Case'!B13*$D358-'Business Case'!B14*$E358))*'Business Case'!$B$7-'Business Case'!$B$8*('Business Case'!B11*$C358*'Business Case'!B12*$B358)-'Business Case'!B15*$F358</f>
        <v>-2225422823.83437</v>
      </c>
      <c r="I358" s="39" t="n">
        <f aca="false">(('Business Case'!C11*$C358*'Business Case'!C12*$B358)-'Business Case'!C11*$C358*'Business Case'!C13*$D358-'Business Case'!C14*$E358)-MAX(0,(('Business Case'!C11*$C358*'Business Case'!C12*$B358)-'Business Case'!C11*$C358*'Business Case'!C13*$D358-'Business Case'!C14*$E358))*'Business Case'!$B$7-'Business Case'!$B$8*(('Business Case'!C11*$C358*'Business Case'!C12*$B358)-('Business Case'!B11*$C358*'Business Case'!B12*$B358))-'Business Case'!C15*$F358</f>
        <v>-30971040.8223798</v>
      </c>
      <c r="J358" s="39" t="n">
        <f aca="false">(('Business Case'!D11*$C358*'Business Case'!D12*$B358)-'Business Case'!D11*$C358*'Business Case'!D13*$D358-'Business Case'!D14*$E358)-MAX(0,(('Business Case'!D11*$C358*'Business Case'!D12*$B358)-'Business Case'!D11*$C358*'Business Case'!D13*$D358-'Business Case'!D14*$E358))*'Business Case'!$B$7-'Business Case'!$B$8*(('Business Case'!D11*$C358*'Business Case'!D12*$B358)-('Business Case'!C11*$C358*'Business Case'!C12*$B358))-'Business Case'!D15*$F358</f>
        <v>243392610.387754</v>
      </c>
      <c r="K358" s="39" t="n">
        <f aca="false">(('Business Case'!E11*$C358*'Business Case'!E12*$B358)-'Business Case'!E11*$C358*'Business Case'!E13*$D358-'Business Case'!E14*$E358)-MAX(0,(('Business Case'!E11*$C358*'Business Case'!E12*$B358)-'Business Case'!E11*$C358*'Business Case'!E13*$D358-'Business Case'!E14*$E358))*'Business Case'!$B$7-'Business Case'!$B$8*(('Business Case'!E11*$C358*'Business Case'!E12*$B358)-('Business Case'!D11*$C358*'Business Case'!D12*$B358))-'Business Case'!E15*$F358</f>
        <v>573391832.193747</v>
      </c>
      <c r="L358" s="39" t="n">
        <f aca="false">(('Business Case'!F11*$C358*'Business Case'!F12*$B358)-'Business Case'!F11*$C358*'Business Case'!F13*$D358-'Business Case'!F14*$E358)-MAX(0,(('Business Case'!F11*$C358*'Business Case'!F12*$B358)-'Business Case'!F11*$C358*'Business Case'!F13*$D358-'Business Case'!F14*$E358))*'Business Case'!$B$7-'Business Case'!$B$8*(('Business Case'!F11*$C358*'Business Case'!F12*$B358)-('Business Case'!E11*$C358*'Business Case'!E12*$B358))-'Business Case'!F15*$F358</f>
        <v>696541904.973644</v>
      </c>
      <c r="M358" s="39" t="n">
        <f aca="false">(('Business Case'!G11*$C358*'Business Case'!G12*$B358)-'Business Case'!G11*$C358*'Business Case'!G13*$D358-'Business Case'!G14*$E358)-MAX(0,(('Business Case'!G11*$C358*'Business Case'!G12*$B358)-'Business Case'!G11*$C358*'Business Case'!G13*$D358-'Business Case'!G14*$E358))*'Business Case'!$B$7-'Business Case'!$B$8*(('Business Case'!G11*$C358*'Business Case'!G12*$B358)-('Business Case'!F11*$C358*'Business Case'!F12*$B358))-'Business Case'!G15*$F358+'Business Case'!$B$8*('Business Case'!G11*$C358*'Business Case'!G12*$B358)</f>
        <v>870867278.044498</v>
      </c>
      <c r="N358" s="39" t="n">
        <f aca="false">IF(COUNT('Business Case'!B11:G11)=0,"",H358+NPV(G358,I358:M358))</f>
        <v>-583093629.556793</v>
      </c>
      <c r="P358" s="40" t="n">
        <f aca="true">RAND()</f>
        <v>0.428904971462791</v>
      </c>
      <c r="Q358" s="40" t="n">
        <f aca="true">RAND()</f>
        <v>0.248422321350971</v>
      </c>
      <c r="R358" s="40" t="n">
        <f aca="true">RAND()</f>
        <v>0.377476414189309</v>
      </c>
      <c r="S358" s="40" t="n">
        <f aca="true">RAND()</f>
        <v>0.676885470612485</v>
      </c>
      <c r="T358" s="40" t="n">
        <f aca="true">RAND()</f>
        <v>0.847614047810172</v>
      </c>
      <c r="U358" s="40" t="n">
        <f aca="true">RAND()</f>
        <v>0.126822265117112</v>
      </c>
    </row>
    <row r="359" customFormat="false" ht="15" hidden="false" customHeight="false" outlineLevel="0" collapsed="false">
      <c r="A359" s="36" t="n">
        <v>279</v>
      </c>
      <c r="B359" s="37" t="n">
        <f aca="false">1+IF($G$6=$E$6,$F$6,IF(P359&lt;($F$6-$E$6)/($G$6-$E$6),$E$6+SQRT(P359*($G$6-$E$6)*($F$6-$E$6)),$G$6-SQRT((1-P359)*($G$6-$E$6)*($G$6-$F$6))))</f>
        <v>0.999041444377245</v>
      </c>
      <c r="C359" s="37" t="n">
        <f aca="false">1+IF($G$7=$E$7,$F$7,IF(Q359&lt;($F$7-$E$7)/($G$7-$E$7),$E$7+SQRT(Q359*($G$7-$E$7)*($F$7-$E$7)),$G$7-SQRT((1-Q359)*($G$7-$E$7)*($G$7-$F$7))))</f>
        <v>1.12098551295996</v>
      </c>
      <c r="D359" s="37" t="n">
        <f aca="false">1+IF($G$8=$E$8,$F$8,IF(R359&lt;($F$8-$E$8)/($G$8-$E$8),$E$8+SQRT(R359*($G$8-$E$8)*($F$8-$E$8)),$G$8-SQRT((1-R359)*($G$8-$E$8)*($G$8-$F$8))))</f>
        <v>1.03955352438505</v>
      </c>
      <c r="E359" s="37" t="n">
        <f aca="false">1+IF($G$9=$E$9,$F$9,IF(S359&lt;($F$9-$E$9)/($G$9-$E$9),$E$9+SQRT(S359*($G$9-$E$9)*($F$9-$E$9)),$G$9-SQRT((1-S359)*($G$9-$E$9)*($G$9-$F$9))))</f>
        <v>0.977777924047706</v>
      </c>
      <c r="F359" s="37" t="n">
        <f aca="false">1+IF($G$10=$E$10,$F$10,IF(T359&lt;($F$10-$E$10)/($G$10-$E$10),$E$10+SQRT(T359*($G$10-$E$10)*($F$10-$E$10)),$G$10-SQRT((1-T359)*($G$10-$E$10)*($G$10-$F$10))))</f>
        <v>1.09431279719671</v>
      </c>
      <c r="G359" s="38" t="n">
        <f aca="false">IF($G$11=$E$11,$F$11,IF(U359&lt;($F$11-$E$11)/($G$11-$E$11),$E$11+SQRT(U359*($G$11-$E$11)*($F$11-$E$11)),$G$11-SQRT((1-U359)*($G$11-$E$11)*($G$11-$F$11))))</f>
        <v>0.0935315382081773</v>
      </c>
      <c r="H359" s="39" t="n">
        <f aca="false">(('Business Case'!B11*$C359*'Business Case'!B12*$B359)-'Business Case'!B11*$C359*'Business Case'!B13*$D359-'Business Case'!B14*$E359)-MAX(0,(('Business Case'!B11*$C359*'Business Case'!B12*$B359)-'Business Case'!B11*$C359*'Business Case'!B13*$D359-'Business Case'!B14*$E359))*'Business Case'!$B$7-'Business Case'!$B$8*('Business Case'!B11*$C359*'Business Case'!B12*$B359)-'Business Case'!B15*$F359</f>
        <v>-2188625594.39343</v>
      </c>
      <c r="I359" s="39" t="n">
        <f aca="false">(('Business Case'!C11*$C359*'Business Case'!C12*$B359)-'Business Case'!C11*$C359*'Business Case'!C13*$D359-'Business Case'!C14*$E359)-MAX(0,(('Business Case'!C11*$C359*'Business Case'!C12*$B359)-'Business Case'!C11*$C359*'Business Case'!C13*$D359-'Business Case'!C14*$E359))*'Business Case'!$B$7-'Business Case'!$B$8*(('Business Case'!C11*$C359*'Business Case'!C12*$B359)-('Business Case'!B11*$C359*'Business Case'!B12*$B359))-'Business Case'!C15*$F359</f>
        <v>14207357.3613215</v>
      </c>
      <c r="J359" s="39" t="n">
        <f aca="false">(('Business Case'!D11*$C359*'Business Case'!D12*$B359)-'Business Case'!D11*$C359*'Business Case'!D13*$D359-'Business Case'!D14*$E359)-MAX(0,(('Business Case'!D11*$C359*'Business Case'!D12*$B359)-'Business Case'!D11*$C359*'Business Case'!D13*$D359-'Business Case'!D14*$E359))*'Business Case'!$B$7-'Business Case'!$B$8*(('Business Case'!D11*$C359*'Business Case'!D12*$B359)-('Business Case'!C11*$C359*'Business Case'!C12*$B359))-'Business Case'!D15*$F359</f>
        <v>334942200.755801</v>
      </c>
      <c r="K359" s="39" t="n">
        <f aca="false">(('Business Case'!E11*$C359*'Business Case'!E12*$B359)-'Business Case'!E11*$C359*'Business Case'!E13*$D359-'Business Case'!E14*$E359)-MAX(0,(('Business Case'!E11*$C359*'Business Case'!E12*$B359)-'Business Case'!E11*$C359*'Business Case'!E13*$D359-'Business Case'!E14*$E359))*'Business Case'!$B$7-'Business Case'!$B$8*(('Business Case'!E11*$C359*'Business Case'!E12*$B359)-('Business Case'!D11*$C359*'Business Case'!D12*$B359))-'Business Case'!E15*$F359</f>
        <v>710392684.010116</v>
      </c>
      <c r="L359" s="39" t="n">
        <f aca="false">(('Business Case'!F11*$C359*'Business Case'!F12*$B359)-'Business Case'!F11*$C359*'Business Case'!F13*$D359-'Business Case'!F14*$E359)-MAX(0,(('Business Case'!F11*$C359*'Business Case'!F12*$B359)-'Business Case'!F11*$C359*'Business Case'!F13*$D359-'Business Case'!F14*$E359))*'Business Case'!$B$7-'Business Case'!$B$8*(('Business Case'!F11*$C359*'Business Case'!F12*$B359)-('Business Case'!E11*$C359*'Business Case'!E12*$B359))-'Business Case'!F15*$F359</f>
        <v>856008422.150878</v>
      </c>
      <c r="M359" s="39" t="n">
        <f aca="false">(('Business Case'!G11*$C359*'Business Case'!G12*$B359)-'Business Case'!G11*$C359*'Business Case'!G13*$D359-'Business Case'!G14*$E359)-MAX(0,(('Business Case'!G11*$C359*'Business Case'!G12*$B359)-'Business Case'!G11*$C359*'Business Case'!G13*$D359-'Business Case'!G14*$E359))*'Business Case'!$B$7-'Business Case'!$B$8*(('Business Case'!G11*$C359*'Business Case'!G12*$B359)-('Business Case'!F11*$C359*'Business Case'!F12*$B359))-'Business Case'!G15*$F359+'Business Case'!$B$8*('Business Case'!G11*$C359*'Business Case'!G12*$B359)</f>
        <v>1068881102.36852</v>
      </c>
      <c r="N359" s="39" t="n">
        <f aca="false">IF(COUNT('Business Case'!B11:G11)=0,"",H359+NPV(G359,I359:M359))</f>
        <v>-70105022.4813492</v>
      </c>
      <c r="P359" s="40" t="n">
        <f aca="true">RAND()</f>
        <v>0.65078645096261</v>
      </c>
      <c r="Q359" s="40" t="n">
        <f aca="true">RAND()</f>
        <v>0.983964943653401</v>
      </c>
      <c r="R359" s="40" t="n">
        <f aca="true">RAND()</f>
        <v>0.842700250993194</v>
      </c>
      <c r="S359" s="40" t="n">
        <f aca="true">RAND()</f>
        <v>0.102881741920017</v>
      </c>
      <c r="T359" s="40" t="n">
        <f aca="true">RAND()</f>
        <v>0.776604303272344</v>
      </c>
      <c r="U359" s="40" t="n">
        <f aca="true">RAND()</f>
        <v>0.0415725403860545</v>
      </c>
    </row>
    <row r="360" customFormat="false" ht="15" hidden="false" customHeight="false" outlineLevel="0" collapsed="false">
      <c r="A360" s="36" t="n">
        <v>280</v>
      </c>
      <c r="B360" s="37" t="n">
        <f aca="false">1+IF($G$6=$E$6,$F$6,IF(P360&lt;($F$6-$E$6)/($G$6-$E$6),$E$6+SQRT(P360*($G$6-$E$6)*($F$6-$E$6)),$G$6-SQRT((1-P360)*($G$6-$E$6)*($G$6-$F$6))))</f>
        <v>1.02548685511355</v>
      </c>
      <c r="C360" s="37" t="n">
        <f aca="false">1+IF($G$7=$E$7,$F$7,IF(Q360&lt;($F$7-$E$7)/($G$7-$E$7),$E$7+SQRT(Q360*($G$7-$E$7)*($F$7-$E$7)),$G$7-SQRT((1-Q360)*($G$7-$E$7)*($G$7-$F$7))))</f>
        <v>1.10272975176824</v>
      </c>
      <c r="D360" s="37" t="n">
        <f aca="false">1+IF($G$8=$E$8,$F$8,IF(R360&lt;($F$8-$E$8)/($G$8-$E$8),$E$8+SQRT(R360*($G$8-$E$8)*($F$8-$E$8)),$G$8-SQRT((1-R360)*($G$8-$E$8)*($G$8-$F$8))))</f>
        <v>1.0425903077024</v>
      </c>
      <c r="E360" s="37" t="n">
        <f aca="false">1+IF($G$9=$E$9,$F$9,IF(S360&lt;($F$9-$E$9)/($G$9-$E$9),$E$9+SQRT(S360*($G$9-$E$9)*($F$9-$E$9)),$G$9-SQRT((1-S360)*($G$9-$E$9)*($G$9-$F$9))))</f>
        <v>1.0283372000961</v>
      </c>
      <c r="F360" s="37" t="n">
        <f aca="false">1+IF($G$10=$E$10,$F$10,IF(T360&lt;($F$10-$E$10)/($G$10-$E$10),$E$10+SQRT(T360*($G$10-$E$10)*($F$10-$E$10)),$G$10-SQRT((1-T360)*($G$10-$E$10)*($G$10-$F$10))))</f>
        <v>1.02709949570216</v>
      </c>
      <c r="G360" s="38" t="n">
        <f aca="false">IF($G$11=$E$11,$F$11,IF(U360&lt;($F$11-$E$11)/($G$11-$E$11),$E$11+SQRT(U360*($G$11-$E$11)*($F$11-$E$11)),$G$11-SQRT((1-U360)*($G$11-$E$11)*($G$11-$F$11))))</f>
        <v>0.0925409739505237</v>
      </c>
      <c r="H360" s="39" t="n">
        <f aca="false">(('Business Case'!B11*$C360*'Business Case'!B12*$B360)-'Business Case'!B11*$C360*'Business Case'!B13*$D360-'Business Case'!B14*$E360)-MAX(0,(('Business Case'!B11*$C360*'Business Case'!B12*$B360)-'Business Case'!B11*$C360*'Business Case'!B13*$D360-'Business Case'!B14*$E360))*'Business Case'!$B$7-'Business Case'!$B$8*('Business Case'!B11*$C360*'Business Case'!B12*$B360)-'Business Case'!B15*$F360</f>
        <v>-2054198991.40433</v>
      </c>
      <c r="I360" s="39" t="n">
        <f aca="false">(('Business Case'!C11*$C360*'Business Case'!C12*$B360)-'Business Case'!C11*$C360*'Business Case'!C13*$D360-'Business Case'!C14*$E360)-MAX(0,(('Business Case'!C11*$C360*'Business Case'!C12*$B360)-'Business Case'!C11*$C360*'Business Case'!C13*$D360-'Business Case'!C14*$E360))*'Business Case'!$B$7-'Business Case'!$B$8*(('Business Case'!C11*$C360*'Business Case'!C12*$B360)-('Business Case'!B11*$C360*'Business Case'!B12*$B360))-'Business Case'!C15*$F360</f>
        <v>30121151.667913</v>
      </c>
      <c r="J360" s="39" t="n">
        <f aca="false">(('Business Case'!D11*$C360*'Business Case'!D12*$B360)-'Business Case'!D11*$C360*'Business Case'!D13*$D360-'Business Case'!D14*$E360)-MAX(0,(('Business Case'!D11*$C360*'Business Case'!D12*$B360)-'Business Case'!D11*$C360*'Business Case'!D13*$D360-'Business Case'!D14*$E360))*'Business Case'!$B$7-'Business Case'!$B$8*(('Business Case'!D11*$C360*'Business Case'!D12*$B360)-('Business Case'!C11*$C360*'Business Case'!C12*$B360))-'Business Case'!D15*$F360</f>
        <v>367804282.170689</v>
      </c>
      <c r="K360" s="39" t="n">
        <f aca="false">(('Business Case'!E11*$C360*'Business Case'!E12*$B360)-'Business Case'!E11*$C360*'Business Case'!E13*$D360-'Business Case'!E14*$E360)-MAX(0,(('Business Case'!E11*$C360*'Business Case'!E12*$B360)-'Business Case'!E11*$C360*'Business Case'!E13*$D360-'Business Case'!E14*$E360))*'Business Case'!$B$7-'Business Case'!$B$8*(('Business Case'!E11*$C360*'Business Case'!E12*$B360)-('Business Case'!D11*$C360*'Business Case'!D12*$B360))-'Business Case'!E15*$F360</f>
        <v>756842387.458573</v>
      </c>
      <c r="L360" s="39" t="n">
        <f aca="false">(('Business Case'!F11*$C360*'Business Case'!F12*$B360)-'Business Case'!F11*$C360*'Business Case'!F13*$D360-'Business Case'!F14*$E360)-MAX(0,(('Business Case'!F11*$C360*'Business Case'!F12*$B360)-'Business Case'!F11*$C360*'Business Case'!F13*$D360-'Business Case'!F14*$E360))*'Business Case'!$B$7-'Business Case'!$B$8*(('Business Case'!F11*$C360*'Business Case'!F12*$B360)-('Business Case'!E11*$C360*'Business Case'!E12*$B360))-'Business Case'!F15*$F360</f>
        <v>908485083.900153</v>
      </c>
      <c r="M360" s="39" t="n">
        <f aca="false">(('Business Case'!G11*$C360*'Business Case'!G12*$B360)-'Business Case'!G11*$C360*'Business Case'!G13*$D360-'Business Case'!G14*$E360)-MAX(0,(('Business Case'!G11*$C360*'Business Case'!G12*$B360)-'Business Case'!G11*$C360*'Business Case'!G13*$D360-'Business Case'!G14*$E360))*'Business Case'!$B$7-'Business Case'!$B$8*(('Business Case'!G11*$C360*'Business Case'!G12*$B360)-('Business Case'!F11*$C360*'Business Case'!F12*$B360))-'Business Case'!G15*$F360+'Business Case'!$B$8*('Business Case'!G11*$C360*'Business Case'!G12*$B360)</f>
        <v>1123434175.07375</v>
      </c>
      <c r="N360" s="39" t="n">
        <f aca="false">IF(COUNT('Business Case'!B11:G11)=0,"",H360+NPV(G360,I360:M360))</f>
        <v>221190041.718354</v>
      </c>
      <c r="P360" s="40" t="n">
        <f aca="true">RAND()</f>
        <v>0.956118463646871</v>
      </c>
      <c r="Q360" s="40" t="n">
        <f aca="true">RAND()</f>
        <v>0.95743854537349</v>
      </c>
      <c r="R360" s="40" t="n">
        <f aca="true">RAND()</f>
        <v>0.865434127134486</v>
      </c>
      <c r="S360" s="40" t="n">
        <f aca="true">RAND()</f>
        <v>0.657629540662237</v>
      </c>
      <c r="T360" s="40" t="n">
        <f aca="true">RAND()</f>
        <v>0.402108312271082</v>
      </c>
      <c r="U360" s="40" t="n">
        <f aca="true">RAND()</f>
        <v>0.0215218287241328</v>
      </c>
    </row>
    <row r="361" customFormat="false" ht="15" hidden="false" customHeight="false" outlineLevel="0" collapsed="false">
      <c r="A361" s="36" t="n">
        <v>281</v>
      </c>
      <c r="B361" s="37" t="n">
        <f aca="false">1+IF($G$6=$E$6,$F$6,IF(P361&lt;($F$6-$E$6)/($G$6-$E$6),$E$6+SQRT(P361*($G$6-$E$6)*($F$6-$E$6)),$G$6-SQRT((1-P361)*($G$6-$E$6)*($G$6-$F$6))))</f>
        <v>0.957271508331801</v>
      </c>
      <c r="C361" s="37" t="n">
        <f aca="false">1+IF($G$7=$E$7,$F$7,IF(Q361&lt;($F$7-$E$7)/($G$7-$E$7),$E$7+SQRT(Q361*($G$7-$E$7)*($F$7-$E$7)),$G$7-SQRT((1-Q361)*($G$7-$E$7)*($G$7-$F$7))))</f>
        <v>0.84107827030503</v>
      </c>
      <c r="D361" s="37" t="n">
        <f aca="false">1+IF($G$8=$E$8,$F$8,IF(R361&lt;($F$8-$E$8)/($G$8-$E$8),$E$8+SQRT(R361*($G$8-$E$8)*($F$8-$E$8)),$G$8-SQRT((1-R361)*($G$8-$E$8)*($G$8-$F$8))))</f>
        <v>1.03111969638861</v>
      </c>
      <c r="E361" s="37" t="n">
        <f aca="false">1+IF($G$9=$E$9,$F$9,IF(S361&lt;($F$9-$E$9)/($G$9-$E$9),$E$9+SQRT(S361*($G$9-$E$9)*($F$9-$E$9)),$G$9-SQRT((1-S361)*($G$9-$E$9)*($G$9-$F$9))))</f>
        <v>1.06831174566734</v>
      </c>
      <c r="F361" s="37" t="n">
        <f aca="false">1+IF($G$10=$E$10,$F$10,IF(T361&lt;($F$10-$E$10)/($G$10-$E$10),$E$10+SQRT(T361*($G$10-$E$10)*($F$10-$E$10)),$G$10-SQRT((1-T361)*($G$10-$E$10)*($G$10-$F$10))))</f>
        <v>0.982527213984517</v>
      </c>
      <c r="G361" s="38" t="n">
        <f aca="false">IF($G$11=$E$11,$F$11,IF(U361&lt;($F$11-$E$11)/($G$11-$E$11),$E$11+SQRT(U361*($G$11-$E$11)*($F$11-$E$11)),$G$11-SQRT((1-U361)*($G$11-$E$11)*($G$11-$F$11))))</f>
        <v>0.110437096926063</v>
      </c>
      <c r="H361" s="39" t="n">
        <f aca="false">(('Business Case'!B11*$C361*'Business Case'!B12*$B361)-'Business Case'!B11*$C361*'Business Case'!B13*$D361-'Business Case'!B14*$E361)-MAX(0,(('Business Case'!B11*$C361*'Business Case'!B12*$B361)-'Business Case'!B11*$C361*'Business Case'!B13*$D361-'Business Case'!B14*$E361))*'Business Case'!$B$7-'Business Case'!$B$8*('Business Case'!B11*$C361*'Business Case'!B12*$B361)-'Business Case'!B15*$F361</f>
        <v>-1965054427.96903</v>
      </c>
      <c r="I361" s="39" t="n">
        <f aca="false">(('Business Case'!C11*$C361*'Business Case'!C12*$B361)-'Business Case'!C11*$C361*'Business Case'!C13*$D361-'Business Case'!C14*$E361)-MAX(0,(('Business Case'!C11*$C361*'Business Case'!C12*$B361)-'Business Case'!C11*$C361*'Business Case'!C13*$D361-'Business Case'!C14*$E361))*'Business Case'!$B$7-'Business Case'!$B$8*(('Business Case'!C11*$C361*'Business Case'!C12*$B361)-('Business Case'!B11*$C361*'Business Case'!B12*$B361))-'Business Case'!C15*$F361</f>
        <v>-76401109.8824424</v>
      </c>
      <c r="J361" s="39" t="n">
        <f aca="false">(('Business Case'!D11*$C361*'Business Case'!D12*$B361)-'Business Case'!D11*$C361*'Business Case'!D13*$D361-'Business Case'!D14*$E361)-MAX(0,(('Business Case'!D11*$C361*'Business Case'!D12*$B361)-'Business Case'!D11*$C361*'Business Case'!D13*$D361-'Business Case'!D14*$E361))*'Business Case'!$B$7-'Business Case'!$B$8*(('Business Case'!D11*$C361*'Business Case'!D12*$B361)-('Business Case'!C11*$C361*'Business Case'!C12*$B361))-'Business Case'!D15*$F361</f>
        <v>139102903.176032</v>
      </c>
      <c r="K361" s="39" t="n">
        <f aca="false">(('Business Case'!E11*$C361*'Business Case'!E12*$B361)-'Business Case'!E11*$C361*'Business Case'!E13*$D361-'Business Case'!E14*$E361)-MAX(0,(('Business Case'!E11*$C361*'Business Case'!E12*$B361)-'Business Case'!E11*$C361*'Business Case'!E13*$D361-'Business Case'!E14*$E361))*'Business Case'!$B$7-'Business Case'!$B$8*(('Business Case'!E11*$C361*'Business Case'!E12*$B361)-('Business Case'!D11*$C361*'Business Case'!D12*$B361))-'Business Case'!E15*$F361</f>
        <v>403733276.933732</v>
      </c>
      <c r="L361" s="39" t="n">
        <f aca="false">(('Business Case'!F11*$C361*'Business Case'!F12*$B361)-'Business Case'!F11*$C361*'Business Case'!F13*$D361-'Business Case'!F14*$E361)-MAX(0,(('Business Case'!F11*$C361*'Business Case'!F12*$B361)-'Business Case'!F11*$C361*'Business Case'!F13*$D361-'Business Case'!F14*$E361))*'Business Case'!$B$7-'Business Case'!$B$8*(('Business Case'!F11*$C361*'Business Case'!F12*$B361)-('Business Case'!E11*$C361*'Business Case'!E12*$B361))-'Business Case'!F15*$F361</f>
        <v>503393595.49227</v>
      </c>
      <c r="M361" s="39" t="n">
        <f aca="false">(('Business Case'!G11*$C361*'Business Case'!G12*$B361)-'Business Case'!G11*$C361*'Business Case'!G13*$D361-'Business Case'!G14*$E361)-MAX(0,(('Business Case'!G11*$C361*'Business Case'!G12*$B361)-'Business Case'!G11*$C361*'Business Case'!G13*$D361-'Business Case'!G14*$E361))*'Business Case'!$B$7-'Business Case'!$B$8*(('Business Case'!G11*$C361*'Business Case'!G12*$B361)-('Business Case'!F11*$C361*'Business Case'!F12*$B361))-'Business Case'!G15*$F361+'Business Case'!$B$8*('Business Case'!G11*$C361*'Business Case'!G12*$B361)</f>
        <v>656434656.957025</v>
      </c>
      <c r="N361" s="39" t="n">
        <f aca="false">IF(COUNT('Business Case'!B11:G11)=0,"",H361+NPV(G361,I361:M361))</f>
        <v>-906314093.948587</v>
      </c>
      <c r="P361" s="40" t="n">
        <f aca="true">RAND()</f>
        <v>0.144704722221618</v>
      </c>
      <c r="Q361" s="40" t="n">
        <f aca="true">RAND()</f>
        <v>0.0241060613036162</v>
      </c>
      <c r="R361" s="40" t="n">
        <f aca="true">RAND()</f>
        <v>0.770261146044069</v>
      </c>
      <c r="S361" s="40" t="n">
        <f aca="true">RAND()</f>
        <v>0.933056969156565</v>
      </c>
      <c r="T361" s="40" t="n">
        <f aca="true">RAND()</f>
        <v>0.0846415719675643</v>
      </c>
      <c r="U361" s="40" t="n">
        <f aca="true">RAND()</f>
        <v>0.847584807997491</v>
      </c>
    </row>
    <row r="362" customFormat="false" ht="15" hidden="false" customHeight="false" outlineLevel="0" collapsed="false">
      <c r="A362" s="36" t="n">
        <v>282</v>
      </c>
      <c r="B362" s="37" t="n">
        <f aca="false">1+IF($G$6=$E$6,$F$6,IF(P362&lt;($F$6-$E$6)/($G$6-$E$6),$E$6+SQRT(P362*($G$6-$E$6)*($F$6-$E$6)),$G$6-SQRT((1-P362)*($G$6-$E$6)*($G$6-$F$6))))</f>
        <v>0.993539056196247</v>
      </c>
      <c r="C362" s="37" t="n">
        <f aca="false">1+IF($G$7=$E$7,$F$7,IF(Q362&lt;($F$7-$E$7)/($G$7-$E$7),$E$7+SQRT(Q362*($G$7-$E$7)*($F$7-$E$7)),$G$7-SQRT((1-Q362)*($G$7-$E$7)*($G$7-$F$7))))</f>
        <v>1.00968911137836</v>
      </c>
      <c r="D362" s="37" t="n">
        <f aca="false">1+IF($G$8=$E$8,$F$8,IF(R362&lt;($F$8-$E$8)/($G$8-$E$8),$E$8+SQRT(R362*($G$8-$E$8)*($F$8-$E$8)),$G$8-SQRT((1-R362)*($G$8-$E$8)*($G$8-$F$8))))</f>
        <v>1.04327924444417</v>
      </c>
      <c r="E362" s="37" t="n">
        <f aca="false">1+IF($G$9=$E$9,$F$9,IF(S362&lt;($F$9-$E$9)/($G$9-$E$9),$E$9+SQRT(S362*($G$9-$E$9)*($F$9-$E$9)),$G$9-SQRT((1-S362)*($G$9-$E$9)*($G$9-$F$9))))</f>
        <v>0.99500635031076</v>
      </c>
      <c r="F362" s="37" t="n">
        <f aca="false">1+IF($G$10=$E$10,$F$10,IF(T362&lt;($F$10-$E$10)/($G$10-$E$10),$E$10+SQRT(T362*($G$10-$E$10)*($F$10-$E$10)),$G$10-SQRT((1-T362)*($G$10-$E$10)*($G$10-$F$10))))</f>
        <v>1.08365869305715</v>
      </c>
      <c r="G362" s="38" t="n">
        <f aca="false">IF($G$11=$E$11,$F$11,IF(U362&lt;($F$11-$E$11)/($G$11-$E$11),$E$11+SQRT(U362*($G$11-$E$11)*($F$11-$E$11)),$G$11-SQRT((1-U362)*($G$11-$E$11)*($G$11-$F$11))))</f>
        <v>0.104939654500645</v>
      </c>
      <c r="H362" s="39" t="n">
        <f aca="false">(('Business Case'!B11*$C362*'Business Case'!B12*$B362)-'Business Case'!B11*$C362*'Business Case'!B13*$D362-'Business Case'!B14*$E362)-MAX(0,(('Business Case'!B11*$C362*'Business Case'!B12*$B362)-'Business Case'!B11*$C362*'Business Case'!B13*$D362-'Business Case'!B14*$E362))*'Business Case'!$B$7-'Business Case'!$B$8*('Business Case'!B11*$C362*'Business Case'!B12*$B362)-'Business Case'!B15*$F362</f>
        <v>-2167317386.11429</v>
      </c>
      <c r="I362" s="39" t="n">
        <f aca="false">(('Business Case'!C11*$C362*'Business Case'!C12*$B362)-'Business Case'!C11*$C362*'Business Case'!C13*$D362-'Business Case'!C14*$E362)-MAX(0,(('Business Case'!C11*$C362*'Business Case'!C12*$B362)-'Business Case'!C11*$C362*'Business Case'!C13*$D362-'Business Case'!C14*$E362))*'Business Case'!$B$7-'Business Case'!$B$8*(('Business Case'!C11*$C362*'Business Case'!C12*$B362)-('Business Case'!B11*$C362*'Business Case'!B12*$B362))-'Business Case'!C15*$F362</f>
        <v>-19445276.1200606</v>
      </c>
      <c r="J362" s="39" t="n">
        <f aca="false">(('Business Case'!D11*$C362*'Business Case'!D12*$B362)-'Business Case'!D11*$C362*'Business Case'!D13*$D362-'Business Case'!D14*$E362)-MAX(0,(('Business Case'!D11*$C362*'Business Case'!D12*$B362)-'Business Case'!D11*$C362*'Business Case'!D13*$D362-'Business Case'!D14*$E362))*'Business Case'!$B$7-'Business Case'!$B$8*(('Business Case'!D11*$C362*'Business Case'!D12*$B362)-('Business Case'!C11*$C362*'Business Case'!C12*$B362))-'Business Case'!D15*$F362</f>
        <v>262969323.061166</v>
      </c>
      <c r="K362" s="39" t="n">
        <f aca="false">(('Business Case'!E11*$C362*'Business Case'!E12*$B362)-'Business Case'!E11*$C362*'Business Case'!E13*$D362-'Business Case'!E14*$E362)-MAX(0,(('Business Case'!E11*$C362*'Business Case'!E12*$B362)-'Business Case'!E11*$C362*'Business Case'!E13*$D362-'Business Case'!E14*$E362))*'Business Case'!$B$7-'Business Case'!$B$8*(('Business Case'!E11*$C362*'Business Case'!E12*$B362)-('Business Case'!D11*$C362*'Business Case'!D12*$B362))-'Business Case'!E15*$F362</f>
        <v>599566856.895249</v>
      </c>
      <c r="L362" s="39" t="n">
        <f aca="false">(('Business Case'!F11*$C362*'Business Case'!F12*$B362)-'Business Case'!F11*$C362*'Business Case'!F13*$D362-'Business Case'!F14*$E362)-MAX(0,(('Business Case'!F11*$C362*'Business Case'!F12*$B362)-'Business Case'!F11*$C362*'Business Case'!F13*$D362-'Business Case'!F14*$E362))*'Business Case'!$B$7-'Business Case'!$B$8*(('Business Case'!F11*$C362*'Business Case'!F12*$B362)-('Business Case'!E11*$C362*'Business Case'!E12*$B362))-'Business Case'!F15*$F362</f>
        <v>728374458.609912</v>
      </c>
      <c r="M362" s="39" t="n">
        <f aca="false">(('Business Case'!G11*$C362*'Business Case'!G12*$B362)-'Business Case'!G11*$C362*'Business Case'!G13*$D362-'Business Case'!G14*$E362)-MAX(0,(('Business Case'!G11*$C362*'Business Case'!G12*$B362)-'Business Case'!G11*$C362*'Business Case'!G13*$D362-'Business Case'!G14*$E362))*'Business Case'!$B$7-'Business Case'!$B$8*(('Business Case'!G11*$C362*'Business Case'!G12*$B362)-('Business Case'!F11*$C362*'Business Case'!F12*$B362))-'Business Case'!G15*$F362+'Business Case'!$B$8*('Business Case'!G11*$C362*'Business Case'!G12*$B362)</f>
        <v>919056169.541646</v>
      </c>
      <c r="N362" s="39" t="n">
        <f aca="false">IF(COUNT('Business Case'!B11:G11)=0,"",H362+NPV(G362,I362:M362))</f>
        <v>-478403440.225725</v>
      </c>
      <c r="P362" s="40" t="n">
        <f aca="true">RAND()</f>
        <v>0.563332581899455</v>
      </c>
      <c r="Q362" s="40" t="n">
        <f aca="true">RAND()</f>
        <v>0.625006753032502</v>
      </c>
      <c r="R362" s="40" t="n">
        <f aca="true">RAND()</f>
        <v>0.870344818404695</v>
      </c>
      <c r="S362" s="40" t="n">
        <f aca="true">RAND()</f>
        <v>0.270076209105981</v>
      </c>
      <c r="T362" s="40" t="n">
        <f aca="true">RAND()</f>
        <v>0.729294005976571</v>
      </c>
      <c r="U362" s="40" t="n">
        <f aca="true">RAND()</f>
        <v>0.621976655733448</v>
      </c>
    </row>
    <row r="363" customFormat="false" ht="15" hidden="false" customHeight="false" outlineLevel="0" collapsed="false">
      <c r="A363" s="36" t="n">
        <v>283</v>
      </c>
      <c r="B363" s="37" t="n">
        <f aca="false">1+IF($G$6=$E$6,$F$6,IF(P363&lt;($F$6-$E$6)/($G$6-$E$6),$E$6+SQRT(P363*($G$6-$E$6)*($F$6-$E$6)),$G$6-SQRT((1-P363)*($G$6-$E$6)*($G$6-$F$6))))</f>
        <v>0.947205314295824</v>
      </c>
      <c r="C363" s="37" t="n">
        <f aca="false">1+IF($G$7=$E$7,$F$7,IF(Q363&lt;($F$7-$E$7)/($G$7-$E$7),$E$7+SQRT(Q363*($G$7-$E$7)*($F$7-$E$7)),$G$7-SQRT((1-Q363)*($G$7-$E$7)*($G$7-$F$7))))</f>
        <v>1.03559788781322</v>
      </c>
      <c r="D363" s="37" t="n">
        <f aca="false">1+IF($G$8=$E$8,$F$8,IF(R363&lt;($F$8-$E$8)/($G$8-$E$8),$E$8+SQRT(R363*($G$8-$E$8)*($F$8-$E$8)),$G$8-SQRT((1-R363)*($G$8-$E$8)*($G$8-$F$8))))</f>
        <v>1.02527281804127</v>
      </c>
      <c r="E363" s="37" t="n">
        <f aca="false">1+IF($G$9=$E$9,$F$9,IF(S363&lt;($F$9-$E$9)/($G$9-$E$9),$E$9+SQRT(S363*($G$9-$E$9)*($F$9-$E$9)),$G$9-SQRT((1-S363)*($G$9-$E$9)*($G$9-$F$9))))</f>
        <v>1.04264550032305</v>
      </c>
      <c r="F363" s="37" t="n">
        <f aca="false">1+IF($G$10=$E$10,$F$10,IF(T363&lt;($F$10-$E$10)/($G$10-$E$10),$E$10+SQRT(T363*($G$10-$E$10)*($F$10-$E$10)),$G$10-SQRT((1-T363)*($G$10-$E$10)*($G$10-$F$10))))</f>
        <v>0.971466387591414</v>
      </c>
      <c r="G363" s="38" t="n">
        <f aca="false">IF($G$11=$E$11,$F$11,IF(U363&lt;($F$11-$E$11)/($G$11-$E$11),$E$11+SQRT(U363*($G$11-$E$11)*($F$11-$E$11)),$G$11-SQRT((1-U363)*($G$11-$E$11)*($G$11-$F$11))))</f>
        <v>0.10025831637958</v>
      </c>
      <c r="H363" s="39" t="n">
        <f aca="false">(('Business Case'!B11*$C363*'Business Case'!B12*$B363)-'Business Case'!B11*$C363*'Business Case'!B13*$D363-'Business Case'!B14*$E363)-MAX(0,(('Business Case'!B11*$C363*'Business Case'!B12*$B363)-'Business Case'!B11*$C363*'Business Case'!B13*$D363-'Business Case'!B14*$E363))*'Business Case'!$B$7-'Business Case'!$B$8*('Business Case'!B11*$C363*'Business Case'!B12*$B363)-'Business Case'!B15*$F363</f>
        <v>-1942932775.18283</v>
      </c>
      <c r="I363" s="39" t="n">
        <f aca="false">(('Business Case'!C11*$C363*'Business Case'!C12*$B363)-'Business Case'!C11*$C363*'Business Case'!C13*$D363-'Business Case'!C14*$E363)-MAX(0,(('Business Case'!C11*$C363*'Business Case'!C12*$B363)-'Business Case'!C11*$C363*'Business Case'!C13*$D363-'Business Case'!C14*$E363))*'Business Case'!$B$7-'Business Case'!$B$8*(('Business Case'!C11*$C363*'Business Case'!C12*$B363)-('Business Case'!B11*$C363*'Business Case'!B12*$B363))-'Business Case'!C15*$F363</f>
        <v>-36356167.6290437</v>
      </c>
      <c r="J363" s="39" t="n">
        <f aca="false">(('Business Case'!D11*$C363*'Business Case'!D12*$B363)-'Business Case'!D11*$C363*'Business Case'!D13*$D363-'Business Case'!D14*$E363)-MAX(0,(('Business Case'!D11*$C363*'Business Case'!D12*$B363)-'Business Case'!D11*$C363*'Business Case'!D13*$D363-'Business Case'!D14*$E363))*'Business Case'!$B$7-'Business Case'!$B$8*(('Business Case'!D11*$C363*'Business Case'!D12*$B363)-('Business Case'!C11*$C363*'Business Case'!C12*$B363))-'Business Case'!D15*$F363</f>
        <v>223549584.621474</v>
      </c>
      <c r="K363" s="39" t="n">
        <f aca="false">(('Business Case'!E11*$C363*'Business Case'!E12*$B363)-'Business Case'!E11*$C363*'Business Case'!E13*$D363-'Business Case'!E14*$E363)-MAX(0,(('Business Case'!E11*$C363*'Business Case'!E12*$B363)-'Business Case'!E11*$C363*'Business Case'!E13*$D363-'Business Case'!E14*$E363))*'Business Case'!$B$7-'Business Case'!$B$8*(('Business Case'!E11*$C363*'Business Case'!E12*$B363)-('Business Case'!D11*$C363*'Business Case'!D12*$B363))-'Business Case'!E15*$F363</f>
        <v>532028656.251562</v>
      </c>
      <c r="L363" s="39" t="n">
        <f aca="false">(('Business Case'!F11*$C363*'Business Case'!F12*$B363)-'Business Case'!F11*$C363*'Business Case'!F13*$D363-'Business Case'!F14*$E363)-MAX(0,(('Business Case'!F11*$C363*'Business Case'!F12*$B363)-'Business Case'!F11*$C363*'Business Case'!F13*$D363-'Business Case'!F14*$E363))*'Business Case'!$B$7-'Business Case'!$B$8*(('Business Case'!F11*$C363*'Business Case'!F12*$B363)-('Business Case'!E11*$C363*'Business Case'!E12*$B363))-'Business Case'!F15*$F363</f>
        <v>652564634.318055</v>
      </c>
      <c r="M363" s="39" t="n">
        <f aca="false">(('Business Case'!G11*$C363*'Business Case'!G12*$B363)-'Business Case'!G11*$C363*'Business Case'!G13*$D363-'Business Case'!G14*$E363)-MAX(0,(('Business Case'!G11*$C363*'Business Case'!G12*$B363)-'Business Case'!G11*$C363*'Business Case'!G13*$D363-'Business Case'!G14*$E363))*'Business Case'!$B$7-'Business Case'!$B$8*(('Business Case'!G11*$C363*'Business Case'!G12*$B363)-('Business Case'!F11*$C363*'Business Case'!F12*$B363))-'Business Case'!G15*$F363+'Business Case'!$B$8*('Business Case'!G11*$C363*'Business Case'!G12*$B363)</f>
        <v>839018634.55782</v>
      </c>
      <c r="N363" s="39" t="n">
        <f aca="false">IF(COUNT('Business Case'!B11:G11)=0,"",H363+NPV(G363,I363:M363))</f>
        <v>-426226268.207837</v>
      </c>
      <c r="P363" s="40" t="n">
        <f aca="true">RAND()</f>
        <v>0.0770967839515194</v>
      </c>
      <c r="Q363" s="40" t="n">
        <f aca="true">RAND()</f>
        <v>0.750707747184826</v>
      </c>
      <c r="R363" s="40" t="n">
        <f aca="true">RAND()</f>
        <v>0.712013034120761</v>
      </c>
      <c r="S363" s="40" t="n">
        <f aca="true">RAND()</f>
        <v>0.780697424453802</v>
      </c>
      <c r="T363" s="40" t="n">
        <f aca="true">RAND()</f>
        <v>0.036864463697985</v>
      </c>
      <c r="U363" s="40" t="n">
        <f aca="true">RAND()</f>
        <v>0.350443213052093</v>
      </c>
    </row>
    <row r="364" customFormat="false" ht="15" hidden="false" customHeight="false" outlineLevel="0" collapsed="false">
      <c r="A364" s="36" t="n">
        <v>284</v>
      </c>
      <c r="B364" s="37" t="n">
        <f aca="false">1+IF($G$6=$E$6,$F$6,IF(P364&lt;($F$6-$E$6)/($G$6-$E$6),$E$6+SQRT(P364*($G$6-$E$6)*($F$6-$E$6)),$G$6-SQRT((1-P364)*($G$6-$E$6)*($G$6-$F$6))))</f>
        <v>1.00505958059716</v>
      </c>
      <c r="C364" s="37" t="n">
        <f aca="false">1+IF($G$7=$E$7,$F$7,IF(Q364&lt;($F$7-$E$7)/($G$7-$E$7),$E$7+SQRT(Q364*($G$7-$E$7)*($F$7-$E$7)),$G$7-SQRT((1-Q364)*($G$7-$E$7)*($G$7-$F$7))))</f>
        <v>1.08986792873415</v>
      </c>
      <c r="D364" s="37" t="n">
        <f aca="false">1+IF($G$8=$E$8,$F$8,IF(R364&lt;($F$8-$E$8)/($G$8-$E$8),$E$8+SQRT(R364*($G$8-$E$8)*($F$8-$E$8)),$G$8-SQRT((1-R364)*($G$8-$E$8)*($G$8-$F$8))))</f>
        <v>1.03263976949826</v>
      </c>
      <c r="E364" s="37" t="n">
        <f aca="false">1+IF($G$9=$E$9,$F$9,IF(S364&lt;($F$9-$E$9)/($G$9-$E$9),$E$9+SQRT(S364*($G$9-$E$9)*($F$9-$E$9)),$G$9-SQRT((1-S364)*($G$9-$E$9)*($G$9-$F$9))))</f>
        <v>0.997187895778996</v>
      </c>
      <c r="F364" s="37" t="n">
        <f aca="false">1+IF($G$10=$E$10,$F$10,IF(T364&lt;($F$10-$E$10)/($G$10-$E$10),$E$10+SQRT(T364*($G$10-$E$10)*($F$10-$E$10)),$G$10-SQRT((1-T364)*($G$10-$E$10)*($G$10-$F$10))))</f>
        <v>1.14634335473836</v>
      </c>
      <c r="G364" s="38" t="n">
        <f aca="false">IF($G$11=$E$11,$F$11,IF(U364&lt;($F$11-$E$11)/($G$11-$E$11),$E$11+SQRT(U364*($G$11-$E$11)*($F$11-$E$11)),$G$11-SQRT((1-U364)*($G$11-$E$11)*($G$11-$F$11))))</f>
        <v>0.095341251956288</v>
      </c>
      <c r="H364" s="39" t="n">
        <f aca="false">(('Business Case'!B11*$C364*'Business Case'!B12*$B364)-'Business Case'!B11*$C364*'Business Case'!B13*$D364-'Business Case'!B14*$E364)-MAX(0,(('Business Case'!B11*$C364*'Business Case'!B12*$B364)-'Business Case'!B11*$C364*'Business Case'!B13*$D364-'Business Case'!B14*$E364))*'Business Case'!$B$7-'Business Case'!$B$8*('Business Case'!B11*$C364*'Business Case'!B12*$B364)-'Business Case'!B15*$F364</f>
        <v>-2292686709.47672</v>
      </c>
      <c r="I364" s="39" t="n">
        <f aca="false">(('Business Case'!C11*$C364*'Business Case'!C12*$B364)-'Business Case'!C11*$C364*'Business Case'!C13*$D364-'Business Case'!C14*$E364)-MAX(0,(('Business Case'!C11*$C364*'Business Case'!C12*$B364)-'Business Case'!C11*$C364*'Business Case'!C13*$D364-'Business Case'!C14*$E364))*'Business Case'!$B$7-'Business Case'!$B$8*(('Business Case'!C11*$C364*'Business Case'!C12*$B364)-('Business Case'!B11*$C364*'Business Case'!B12*$B364))-'Business Case'!C15*$F364</f>
        <v>7842084.71557593</v>
      </c>
      <c r="J364" s="39" t="n">
        <f aca="false">(('Business Case'!D11*$C364*'Business Case'!D12*$B364)-'Business Case'!D11*$C364*'Business Case'!D13*$D364-'Business Case'!D14*$E364)-MAX(0,(('Business Case'!D11*$C364*'Business Case'!D12*$B364)-'Business Case'!D11*$C364*'Business Case'!D13*$D364-'Business Case'!D14*$E364))*'Business Case'!$B$7-'Business Case'!$B$8*(('Business Case'!D11*$C364*'Business Case'!D12*$B364)-('Business Case'!C11*$C364*'Business Case'!C12*$B364))-'Business Case'!D15*$F364</f>
        <v>328903237.106935</v>
      </c>
      <c r="K364" s="39" t="n">
        <f aca="false">(('Business Case'!E11*$C364*'Business Case'!E12*$B364)-'Business Case'!E11*$C364*'Business Case'!E13*$D364-'Business Case'!E14*$E364)-MAX(0,(('Business Case'!E11*$C364*'Business Case'!E12*$B364)-'Business Case'!E11*$C364*'Business Case'!E13*$D364-'Business Case'!E14*$E364))*'Business Case'!$B$7-'Business Case'!$B$8*(('Business Case'!E11*$C364*'Business Case'!E12*$B364)-('Business Case'!D11*$C364*'Business Case'!D12*$B364))-'Business Case'!E15*$F364</f>
        <v>707281557.235212</v>
      </c>
      <c r="L364" s="39" t="n">
        <f aca="false">(('Business Case'!F11*$C364*'Business Case'!F12*$B364)-'Business Case'!F11*$C364*'Business Case'!F13*$D364-'Business Case'!F14*$E364)-MAX(0,(('Business Case'!F11*$C364*'Business Case'!F12*$B364)-'Business Case'!F11*$C364*'Business Case'!F13*$D364-'Business Case'!F14*$E364))*'Business Case'!$B$7-'Business Case'!$B$8*(('Business Case'!F11*$C364*'Business Case'!F12*$B364)-('Business Case'!E11*$C364*'Business Case'!E12*$B364))-'Business Case'!F15*$F364</f>
        <v>852158350.313782</v>
      </c>
      <c r="M364" s="39" t="n">
        <f aca="false">(('Business Case'!G11*$C364*'Business Case'!G12*$B364)-'Business Case'!G11*$C364*'Business Case'!G13*$D364-'Business Case'!G14*$E364)-MAX(0,(('Business Case'!G11*$C364*'Business Case'!G12*$B364)-'Business Case'!G11*$C364*'Business Case'!G13*$D364-'Business Case'!G14*$E364))*'Business Case'!$B$7-'Business Case'!$B$8*(('Business Case'!G11*$C364*'Business Case'!G12*$B364)-('Business Case'!F11*$C364*'Business Case'!F12*$B364))-'Business Case'!G15*$F364+'Business Case'!$B$8*('Business Case'!G11*$C364*'Business Case'!G12*$B364)</f>
        <v>1060368599.52842</v>
      </c>
      <c r="N364" s="39" t="n">
        <f aca="false">IF(COUNT('Business Case'!B11:G11)=0,"",H364+NPV(G364,I364:M364))</f>
        <v>-208660839.839494</v>
      </c>
      <c r="P364" s="40" t="n">
        <f aca="true">RAND()</f>
        <v>0.745659810823721</v>
      </c>
      <c r="Q364" s="40" t="n">
        <f aca="true">RAND()</f>
        <v>0.931126362005302</v>
      </c>
      <c r="R364" s="40" t="n">
        <f aca="true">RAND()</f>
        <v>0.784327746809852</v>
      </c>
      <c r="S364" s="40" t="n">
        <f aca="true">RAND()</f>
        <v>0.29689300107325</v>
      </c>
      <c r="T364" s="40" t="n">
        <f aca="true">RAND()</f>
        <v>0.94241928838533</v>
      </c>
      <c r="U364" s="40" t="n">
        <f aca="true">RAND()</f>
        <v>0.0950965748685019</v>
      </c>
    </row>
    <row r="365" customFormat="false" ht="15" hidden="false" customHeight="false" outlineLevel="0" collapsed="false">
      <c r="A365" s="36" t="n">
        <v>285</v>
      </c>
      <c r="B365" s="37" t="n">
        <f aca="false">1+IF($G$6=$E$6,$F$6,IF(P365&lt;($F$6-$E$6)/($G$6-$E$6),$E$6+SQRT(P365*($G$6-$E$6)*($F$6-$E$6)),$G$6-SQRT((1-P365)*($G$6-$E$6)*($G$6-$F$6))))</f>
        <v>0.995423905550756</v>
      </c>
      <c r="C365" s="37" t="n">
        <f aca="false">1+IF($G$7=$E$7,$F$7,IF(Q365&lt;($F$7-$E$7)/($G$7-$E$7),$E$7+SQRT(Q365*($G$7-$E$7)*($F$7-$E$7)),$G$7-SQRT((1-Q365)*($G$7-$E$7)*($G$7-$F$7))))</f>
        <v>0.890356144945528</v>
      </c>
      <c r="D365" s="37" t="n">
        <f aca="false">1+IF($G$8=$E$8,$F$8,IF(R365&lt;($F$8-$E$8)/($G$8-$E$8),$E$8+SQRT(R365*($G$8-$E$8)*($F$8-$E$8)),$G$8-SQRT((1-R365)*($G$8-$E$8)*($G$8-$F$8))))</f>
        <v>0.986506368999213</v>
      </c>
      <c r="E365" s="37" t="n">
        <f aca="false">1+IF($G$9=$E$9,$F$9,IF(S365&lt;($F$9-$E$9)/($G$9-$E$9),$E$9+SQRT(S365*($G$9-$E$9)*($F$9-$E$9)),$G$9-SQRT((1-S365)*($G$9-$E$9)*($G$9-$F$9))))</f>
        <v>1.06529703939887</v>
      </c>
      <c r="F365" s="37" t="n">
        <f aca="false">1+IF($G$10=$E$10,$F$10,IF(T365&lt;($F$10-$E$10)/($G$10-$E$10),$E$10+SQRT(T365*($G$10-$E$10)*($F$10-$E$10)),$G$10-SQRT((1-T365)*($G$10-$E$10)*($G$10-$F$10))))</f>
        <v>1.12830152954699</v>
      </c>
      <c r="G365" s="38" t="n">
        <f aca="false">IF($G$11=$E$11,$F$11,IF(U365&lt;($F$11-$E$11)/($G$11-$E$11),$E$11+SQRT(U365*($G$11-$E$11)*($F$11-$E$11)),$G$11-SQRT((1-U365)*($G$11-$E$11)*($G$11-$F$11))))</f>
        <v>0.0976324006881974</v>
      </c>
      <c r="H365" s="39" t="n">
        <f aca="false">(('Business Case'!B11*$C365*'Business Case'!B12*$B365)-'Business Case'!B11*$C365*'Business Case'!B13*$D365-'Business Case'!B14*$E365)-MAX(0,(('Business Case'!B11*$C365*'Business Case'!B12*$B365)-'Business Case'!B11*$C365*'Business Case'!B13*$D365-'Business Case'!B14*$E365))*'Business Case'!$B$7-'Business Case'!$B$8*('Business Case'!B11*$C365*'Business Case'!B12*$B365)-'Business Case'!B15*$F365</f>
        <v>-2256603059.09398</v>
      </c>
      <c r="I365" s="39" t="n">
        <f aca="false">(('Business Case'!C11*$C365*'Business Case'!C12*$B365)-'Business Case'!C11*$C365*'Business Case'!C13*$D365-'Business Case'!C14*$E365)-MAX(0,(('Business Case'!C11*$C365*'Business Case'!C12*$B365)-'Business Case'!C11*$C365*'Business Case'!C13*$D365-'Business Case'!C14*$E365))*'Business Case'!$B$7-'Business Case'!$B$8*(('Business Case'!C11*$C365*'Business Case'!C12*$B365)-('Business Case'!B11*$C365*'Business Case'!B12*$B365))-'Business Case'!C15*$F365</f>
        <v>-33972481.3473822</v>
      </c>
      <c r="J365" s="39" t="n">
        <f aca="false">(('Business Case'!D11*$C365*'Business Case'!D12*$B365)-'Business Case'!D11*$C365*'Business Case'!D13*$D365-'Business Case'!D14*$E365)-MAX(0,(('Business Case'!D11*$C365*'Business Case'!D12*$B365)-'Business Case'!D11*$C365*'Business Case'!D13*$D365-'Business Case'!D14*$E365))*'Business Case'!$B$7-'Business Case'!$B$8*(('Business Case'!D11*$C365*'Business Case'!D12*$B365)-('Business Case'!C11*$C365*'Business Case'!C12*$B365))-'Business Case'!D15*$F365</f>
        <v>242315277.314778</v>
      </c>
      <c r="K365" s="39" t="n">
        <f aca="false">(('Business Case'!E11*$C365*'Business Case'!E12*$B365)-'Business Case'!E11*$C365*'Business Case'!E13*$D365-'Business Case'!E14*$E365)-MAX(0,(('Business Case'!E11*$C365*'Business Case'!E12*$B365)-'Business Case'!E11*$C365*'Business Case'!E13*$D365-'Business Case'!E14*$E365))*'Business Case'!$B$7-'Business Case'!$B$8*(('Business Case'!E11*$C365*'Business Case'!E12*$B365)-('Business Case'!D11*$C365*'Business Case'!D12*$B365))-'Business Case'!E15*$F365</f>
        <v>575018112.454289</v>
      </c>
      <c r="L365" s="39" t="n">
        <f aca="false">(('Business Case'!F11*$C365*'Business Case'!F12*$B365)-'Business Case'!F11*$C365*'Business Case'!F13*$D365-'Business Case'!F14*$E365)-MAX(0,(('Business Case'!F11*$C365*'Business Case'!F12*$B365)-'Business Case'!F11*$C365*'Business Case'!F13*$D365-'Business Case'!F14*$E365))*'Business Case'!$B$7-'Business Case'!$B$8*(('Business Case'!F11*$C365*'Business Case'!F12*$B365)-('Business Case'!E11*$C365*'Business Case'!E12*$B365))-'Business Case'!F15*$F365</f>
        <v>697743930.709892</v>
      </c>
      <c r="M365" s="39" t="n">
        <f aca="false">(('Business Case'!G11*$C365*'Business Case'!G12*$B365)-'Business Case'!G11*$C365*'Business Case'!G13*$D365-'Business Case'!G14*$E365)-MAX(0,(('Business Case'!G11*$C365*'Business Case'!G12*$B365)-'Business Case'!G11*$C365*'Business Case'!G13*$D365-'Business Case'!G14*$E365))*'Business Case'!$B$7-'Business Case'!$B$8*(('Business Case'!G11*$C365*'Business Case'!G12*$B365)-('Business Case'!F11*$C365*'Business Case'!F12*$B365))-'Business Case'!G15*$F365+'Business Case'!$B$8*('Business Case'!G11*$C365*'Business Case'!G12*$B365)</f>
        <v>866208373.568413</v>
      </c>
      <c r="N365" s="39" t="n">
        <f aca="false">IF(COUNT('Business Case'!B11:G11)=0,"",H365+NPV(G365,I365:M365))</f>
        <v>-627240387.490079</v>
      </c>
      <c r="P365" s="40" t="n">
        <f aca="true">RAND()</f>
        <v>0.592579742555139</v>
      </c>
      <c r="Q365" s="40" t="n">
        <f aca="true">RAND()</f>
        <v>0.116631898991674</v>
      </c>
      <c r="R365" s="40" t="n">
        <f aca="true">RAND()</f>
        <v>0.205033073462565</v>
      </c>
      <c r="S365" s="40" t="n">
        <f aca="true">RAND()</f>
        <v>0.919713635034445</v>
      </c>
      <c r="T365" s="40" t="n">
        <f aca="true">RAND()</f>
        <v>0.897186586693979</v>
      </c>
      <c r="U365" s="40" t="n">
        <f aca="true">RAND()</f>
        <v>0.194178467550652</v>
      </c>
    </row>
    <row r="366" customFormat="false" ht="15" hidden="false" customHeight="false" outlineLevel="0" collapsed="false">
      <c r="A366" s="36" t="n">
        <v>286</v>
      </c>
      <c r="B366" s="37" t="n">
        <f aca="false">1+IF($G$6=$E$6,$F$6,IF(P366&lt;($F$6-$E$6)/($G$6-$E$6),$E$6+SQRT(P366*($G$6-$E$6)*($F$6-$E$6)),$G$6-SQRT((1-P366)*($G$6-$E$6)*($G$6-$F$6))))</f>
        <v>1.01281871965228</v>
      </c>
      <c r="C366" s="37" t="n">
        <f aca="false">1+IF($G$7=$E$7,$F$7,IF(Q366&lt;($F$7-$E$7)/($G$7-$E$7),$E$7+SQRT(Q366*($G$7-$E$7)*($F$7-$E$7)),$G$7-SQRT((1-Q366)*($G$7-$E$7)*($G$7-$F$7))))</f>
        <v>0.915466222450415</v>
      </c>
      <c r="D366" s="37" t="n">
        <f aca="false">1+IF($G$8=$E$8,$F$8,IF(R366&lt;($F$8-$E$8)/($G$8-$E$8),$E$8+SQRT(R366*($G$8-$E$8)*($F$8-$E$8)),$G$8-SQRT((1-R366)*($G$8-$E$8)*($G$8-$F$8))))</f>
        <v>0.97372679047604</v>
      </c>
      <c r="E366" s="37" t="n">
        <f aca="false">1+IF($G$9=$E$9,$F$9,IF(S366&lt;($F$9-$E$9)/($G$9-$E$9),$E$9+SQRT(S366*($G$9-$E$9)*($F$9-$E$9)),$G$9-SQRT((1-S366)*($G$9-$E$9)*($G$9-$F$9))))</f>
        <v>1.05774020051563</v>
      </c>
      <c r="F366" s="37" t="n">
        <f aca="false">1+IF($G$10=$E$10,$F$10,IF(T366&lt;($F$10-$E$10)/($G$10-$E$10),$E$10+SQRT(T366*($G$10-$E$10)*($F$10-$E$10)),$G$10-SQRT((1-T366)*($G$10-$E$10)*($G$10-$F$10))))</f>
        <v>1.09825940610102</v>
      </c>
      <c r="G366" s="38" t="n">
        <f aca="false">IF($G$11=$E$11,$F$11,IF(U366&lt;($F$11-$E$11)/($G$11-$E$11),$E$11+SQRT(U366*($G$11-$E$11)*($F$11-$E$11)),$G$11-SQRT((1-U366)*($G$11-$E$11)*($G$11-$F$11))))</f>
        <v>0.117450480822819</v>
      </c>
      <c r="H366" s="39" t="n">
        <f aca="false">(('Business Case'!B11*$C366*'Business Case'!B12*$B366)-'Business Case'!B11*$C366*'Business Case'!B13*$D366-'Business Case'!B14*$E366)-MAX(0,(('Business Case'!B11*$C366*'Business Case'!B12*$B366)-'Business Case'!B11*$C366*'Business Case'!B13*$D366-'Business Case'!B14*$E366))*'Business Case'!$B$7-'Business Case'!$B$8*('Business Case'!B11*$C366*'Business Case'!B12*$B366)-'Business Case'!B15*$F366</f>
        <v>-2196518812.20205</v>
      </c>
      <c r="I366" s="39" t="n">
        <f aca="false">(('Business Case'!C11*$C366*'Business Case'!C12*$B366)-'Business Case'!C11*$C366*'Business Case'!C13*$D366-'Business Case'!C14*$E366)-MAX(0,(('Business Case'!C11*$C366*'Business Case'!C12*$B366)-'Business Case'!C11*$C366*'Business Case'!C13*$D366-'Business Case'!C14*$E366))*'Business Case'!$B$7-'Business Case'!$B$8*(('Business Case'!C11*$C366*'Business Case'!C12*$B366)-('Business Case'!B11*$C366*'Business Case'!B12*$B366))-'Business Case'!C15*$F366</f>
        <v>-5190716.37883595</v>
      </c>
      <c r="J366" s="39" t="n">
        <f aca="false">(('Business Case'!D11*$C366*'Business Case'!D12*$B366)-'Business Case'!D11*$C366*'Business Case'!D13*$D366-'Business Case'!D14*$E366)-MAX(0,(('Business Case'!D11*$C366*'Business Case'!D12*$B366)-'Business Case'!D11*$C366*'Business Case'!D13*$D366-'Business Case'!D14*$E366))*'Business Case'!$B$7-'Business Case'!$B$8*(('Business Case'!D11*$C366*'Business Case'!D12*$B366)-('Business Case'!C11*$C366*'Business Case'!C12*$B366))-'Business Case'!D15*$F366</f>
        <v>297921281.173355</v>
      </c>
      <c r="K366" s="39" t="n">
        <f aca="false">(('Business Case'!E11*$C366*'Business Case'!E12*$B366)-'Business Case'!E11*$C366*'Business Case'!E13*$D366-'Business Case'!E14*$E366)-MAX(0,(('Business Case'!E11*$C366*'Business Case'!E12*$B366)-'Business Case'!E11*$C366*'Business Case'!E13*$D366-'Business Case'!E14*$E366))*'Business Case'!$B$7-'Business Case'!$B$8*(('Business Case'!E11*$C366*'Business Case'!E12*$B366)-('Business Case'!D11*$C366*'Business Case'!D12*$B366))-'Business Case'!E15*$F366</f>
        <v>655946249.030598</v>
      </c>
      <c r="L366" s="39" t="n">
        <f aca="false">(('Business Case'!F11*$C366*'Business Case'!F12*$B366)-'Business Case'!F11*$C366*'Business Case'!F13*$D366-'Business Case'!F14*$E366)-MAX(0,(('Business Case'!F11*$C366*'Business Case'!F12*$B366)-'Business Case'!F11*$C366*'Business Case'!F13*$D366-'Business Case'!F14*$E366))*'Business Case'!$B$7-'Business Case'!$B$8*(('Business Case'!F11*$C366*'Business Case'!F12*$B366)-('Business Case'!E11*$C366*'Business Case'!E12*$B366))-'Business Case'!F15*$F366</f>
        <v>789027659.41973</v>
      </c>
      <c r="M366" s="39" t="n">
        <f aca="false">(('Business Case'!G11*$C366*'Business Case'!G12*$B366)-'Business Case'!G11*$C366*'Business Case'!G13*$D366-'Business Case'!G14*$E366)-MAX(0,(('Business Case'!G11*$C366*'Business Case'!G12*$B366)-'Business Case'!G11*$C366*'Business Case'!G13*$D366-'Business Case'!G14*$E366))*'Business Case'!$B$7-'Business Case'!$B$8*(('Business Case'!G11*$C366*'Business Case'!G12*$B366)-('Business Case'!F11*$C366*'Business Case'!F12*$B366))-'Business Case'!G15*$F366+'Business Case'!$B$8*('Business Case'!G11*$C366*'Business Case'!G12*$B366)</f>
        <v>965270087.71427</v>
      </c>
      <c r="N366" s="39" t="n">
        <f aca="false">IF(COUNT('Business Case'!B11:G11)=0,"",H366+NPV(G366,I366:M366))</f>
        <v>-432455096.216228</v>
      </c>
      <c r="P366" s="40" t="n">
        <f aca="true">RAND()</f>
        <v>0.846078749720498</v>
      </c>
      <c r="Q366" s="40" t="n">
        <f aca="true">RAND()</f>
        <v>0.190463550385268</v>
      </c>
      <c r="R366" s="40" t="n">
        <f aca="true">RAND()</f>
        <v>0.0866093209682935</v>
      </c>
      <c r="S366" s="40" t="n">
        <f aca="true">RAND()</f>
        <v>0.880940623169406</v>
      </c>
      <c r="T366" s="40" t="n">
        <f aca="true">RAND()</f>
        <v>0.792977031061675</v>
      </c>
      <c r="U366" s="40" t="n">
        <f aca="true">RAND()</f>
        <v>0.989166586608642</v>
      </c>
    </row>
    <row r="367" customFormat="false" ht="15" hidden="false" customHeight="false" outlineLevel="0" collapsed="false">
      <c r="A367" s="36" t="n">
        <v>287</v>
      </c>
      <c r="B367" s="37" t="n">
        <f aca="false">1+IF($G$6=$E$6,$F$6,IF(P367&lt;($F$6-$E$6)/($G$6-$E$6),$E$6+SQRT(P367*($G$6-$E$6)*($F$6-$E$6)),$G$6-SQRT((1-P367)*($G$6-$E$6)*($G$6-$F$6))))</f>
        <v>0.989393579388029</v>
      </c>
      <c r="C367" s="37" t="n">
        <f aca="false">1+IF($G$7=$E$7,$F$7,IF(Q367&lt;($F$7-$E$7)/($G$7-$E$7),$E$7+SQRT(Q367*($G$7-$E$7)*($F$7-$E$7)),$G$7-SQRT((1-Q367)*($G$7-$E$7)*($G$7-$F$7))))</f>
        <v>0.967671125431019</v>
      </c>
      <c r="D367" s="37" t="n">
        <f aca="false">1+IF($G$8=$E$8,$F$8,IF(R367&lt;($F$8-$E$8)/($G$8-$E$8),$E$8+SQRT(R367*($G$8-$E$8)*($F$8-$E$8)),$G$8-SQRT((1-R367)*($G$8-$E$8)*($G$8-$F$8))))</f>
        <v>1.05046252200764</v>
      </c>
      <c r="E367" s="37" t="n">
        <f aca="false">1+IF($G$9=$E$9,$F$9,IF(S367&lt;($F$9-$E$9)/($G$9-$E$9),$E$9+SQRT(S367*($G$9-$E$9)*($F$9-$E$9)),$G$9-SQRT((1-S367)*($G$9-$E$9)*($G$9-$F$9))))</f>
        <v>1.07946996745108</v>
      </c>
      <c r="F367" s="37" t="n">
        <f aca="false">1+IF($G$10=$E$10,$F$10,IF(T367&lt;($F$10-$E$10)/($G$10-$E$10),$E$10+SQRT(T367*($G$10-$E$10)*($F$10-$E$10)),$G$10-SQRT((1-T367)*($G$10-$E$10)*($G$10-$F$10))))</f>
        <v>1.04644038136413</v>
      </c>
      <c r="G367" s="38" t="n">
        <f aca="false">IF($G$11=$E$11,$F$11,IF(U367&lt;($F$11-$E$11)/($G$11-$E$11),$E$11+SQRT(U367*($G$11-$E$11)*($F$11-$E$11)),$G$11-SQRT((1-U367)*($G$11-$E$11)*($G$11-$F$11))))</f>
        <v>0.112950882530544</v>
      </c>
      <c r="H367" s="39" t="n">
        <f aca="false">(('Business Case'!B11*$C367*'Business Case'!B12*$B367)-'Business Case'!B11*$C367*'Business Case'!B13*$D367-'Business Case'!B14*$E367)-MAX(0,(('Business Case'!B11*$C367*'Business Case'!B12*$B367)-'Business Case'!B11*$C367*'Business Case'!B13*$D367-'Business Case'!B14*$E367))*'Business Case'!$B$7-'Business Case'!$B$8*('Business Case'!B11*$C367*'Business Case'!B12*$B367)-'Business Case'!B15*$F367</f>
        <v>-2092880762.72825</v>
      </c>
      <c r="I367" s="39" t="n">
        <f aca="false">(('Business Case'!C11*$C367*'Business Case'!C12*$B367)-'Business Case'!C11*$C367*'Business Case'!C13*$D367-'Business Case'!C14*$E367)-MAX(0,(('Business Case'!C11*$C367*'Business Case'!C12*$B367)-'Business Case'!C11*$C367*'Business Case'!C13*$D367-'Business Case'!C14*$E367))*'Business Case'!$B$7-'Business Case'!$B$8*(('Business Case'!C11*$C367*'Business Case'!C12*$B367)-('Business Case'!B11*$C367*'Business Case'!B12*$B367))-'Business Case'!C15*$F367</f>
        <v>-43958753.2035822</v>
      </c>
      <c r="J367" s="39" t="n">
        <f aca="false">(('Business Case'!D11*$C367*'Business Case'!D12*$B367)-'Business Case'!D11*$C367*'Business Case'!D13*$D367-'Business Case'!D14*$E367)-MAX(0,(('Business Case'!D11*$C367*'Business Case'!D12*$B367)-'Business Case'!D11*$C367*'Business Case'!D13*$D367-'Business Case'!D14*$E367))*'Business Case'!$B$7-'Business Case'!$B$8*(('Business Case'!D11*$C367*'Business Case'!D12*$B367)-('Business Case'!C11*$C367*'Business Case'!C12*$B367))-'Business Case'!D15*$F367</f>
        <v>219859171.004991</v>
      </c>
      <c r="K367" s="39" t="n">
        <f aca="false">(('Business Case'!E11*$C367*'Business Case'!E12*$B367)-'Business Case'!E11*$C367*'Business Case'!E13*$D367-'Business Case'!E14*$E367)-MAX(0,(('Business Case'!E11*$C367*'Business Case'!E12*$B367)-'Business Case'!E11*$C367*'Business Case'!E13*$D367-'Business Case'!E14*$E367))*'Business Case'!$B$7-'Business Case'!$B$8*(('Business Case'!E11*$C367*'Business Case'!E12*$B367)-('Business Case'!D11*$C367*'Business Case'!D12*$B367))-'Business Case'!E15*$F367</f>
        <v>535999114.281771</v>
      </c>
      <c r="L367" s="39" t="n">
        <f aca="false">(('Business Case'!F11*$C367*'Business Case'!F12*$B367)-'Business Case'!F11*$C367*'Business Case'!F13*$D367-'Business Case'!F14*$E367)-MAX(0,(('Business Case'!F11*$C367*'Business Case'!F12*$B367)-'Business Case'!F11*$C367*'Business Case'!F13*$D367-'Business Case'!F14*$E367))*'Business Case'!$B$7-'Business Case'!$B$8*(('Business Case'!F11*$C367*'Business Case'!F12*$B367)-('Business Case'!E11*$C367*'Business Case'!E12*$B367))-'Business Case'!F15*$F367</f>
        <v>657026428.954095</v>
      </c>
      <c r="M367" s="39" t="n">
        <f aca="false">(('Business Case'!G11*$C367*'Business Case'!G12*$B367)-'Business Case'!G11*$C367*'Business Case'!G13*$D367-'Business Case'!G14*$E367)-MAX(0,(('Business Case'!G11*$C367*'Business Case'!G12*$B367)-'Business Case'!G11*$C367*'Business Case'!G13*$D367-'Business Case'!G14*$E367))*'Business Case'!$B$7-'Business Case'!$B$8*(('Business Case'!G11*$C367*'Business Case'!G12*$B367)-('Business Case'!F11*$C367*'Business Case'!F12*$B367))-'Business Case'!G15*$F367+'Business Case'!$B$8*('Business Case'!G11*$C367*'Business Case'!G12*$B367)</f>
        <v>839010465.269493</v>
      </c>
      <c r="N367" s="39" t="n">
        <f aca="false">IF(COUNT('Business Case'!B11:G11)=0,"",H367+NPV(G367,I367:M367))</f>
        <v>-646494115.265618</v>
      </c>
      <c r="P367" s="40" t="n">
        <f aca="true">RAND()</f>
        <v>0.501611339612778</v>
      </c>
      <c r="Q367" s="40" t="n">
        <f aca="true">RAND()</f>
        <v>0.401622947190064</v>
      </c>
      <c r="R367" s="40" t="n">
        <f aca="true">RAND()</f>
        <v>0.916109364793344</v>
      </c>
      <c r="S367" s="40" t="n">
        <f aca="true">RAND()</f>
        <v>0.971901184236016</v>
      </c>
      <c r="T367" s="40" t="n">
        <f aca="true">RAND()</f>
        <v>0.528388870488097</v>
      </c>
      <c r="U367" s="40" t="n">
        <f aca="true">RAND()</f>
        <v>0.917183238169686</v>
      </c>
    </row>
    <row r="368" customFormat="false" ht="15" hidden="false" customHeight="false" outlineLevel="0" collapsed="false">
      <c r="A368" s="36" t="n">
        <v>288</v>
      </c>
      <c r="B368" s="37" t="n">
        <f aca="false">1+IF($G$6=$E$6,$F$6,IF(P368&lt;($F$6-$E$6)/($G$6-$E$6),$E$6+SQRT(P368*($G$6-$E$6)*($F$6-$E$6)),$G$6-SQRT((1-P368)*($G$6-$E$6)*($G$6-$F$6))))</f>
        <v>0.965522312936994</v>
      </c>
      <c r="C368" s="37" t="n">
        <f aca="false">1+IF($G$7=$E$7,$F$7,IF(Q368&lt;($F$7-$E$7)/($G$7-$E$7),$E$7+SQRT(Q368*($G$7-$E$7)*($F$7-$E$7)),$G$7-SQRT((1-Q368)*($G$7-$E$7)*($G$7-$F$7))))</f>
        <v>1.00140266040913</v>
      </c>
      <c r="D368" s="37" t="n">
        <f aca="false">1+IF($G$8=$E$8,$F$8,IF(R368&lt;($F$8-$E$8)/($G$8-$E$8),$E$8+SQRT(R368*($G$8-$E$8)*($F$8-$E$8)),$G$8-SQRT((1-R368)*($G$8-$E$8)*($G$8-$F$8))))</f>
        <v>0.996932330839844</v>
      </c>
      <c r="E368" s="37" t="n">
        <f aca="false">1+IF($G$9=$E$9,$F$9,IF(S368&lt;($F$9-$E$9)/($G$9-$E$9),$E$9+SQRT(S368*($G$9-$E$9)*($F$9-$E$9)),$G$9-SQRT((1-S368)*($G$9-$E$9)*($G$9-$F$9))))</f>
        <v>1.03346507697887</v>
      </c>
      <c r="F368" s="37" t="n">
        <f aca="false">1+IF($G$10=$E$10,$F$10,IF(T368&lt;($F$10-$E$10)/($G$10-$E$10),$E$10+SQRT(T368*($G$10-$E$10)*($F$10-$E$10)),$G$10-SQRT((1-T368)*($G$10-$E$10)*($G$10-$F$10))))</f>
        <v>0.980417953893883</v>
      </c>
      <c r="G368" s="38" t="n">
        <f aca="false">IF($G$11=$E$11,$F$11,IF(U368&lt;($F$11-$E$11)/($G$11-$E$11),$E$11+SQRT(U368*($G$11-$E$11)*($F$11-$E$11)),$G$11-SQRT((1-U368)*($G$11-$E$11)*($G$11-$F$11))))</f>
        <v>0.102756407388917</v>
      </c>
      <c r="H368" s="39" t="n">
        <f aca="false">(('Business Case'!B11*$C368*'Business Case'!B12*$B368)-'Business Case'!B11*$C368*'Business Case'!B13*$D368-'Business Case'!B14*$E368)-MAX(0,(('Business Case'!B11*$C368*'Business Case'!B12*$B368)-'Business Case'!B11*$C368*'Business Case'!B13*$D368-'Business Case'!B14*$E368))*'Business Case'!$B$7-'Business Case'!$B$8*('Business Case'!B11*$C368*'Business Case'!B12*$B368)-'Business Case'!B15*$F368</f>
        <v>-1960835907.78777</v>
      </c>
      <c r="I368" s="39" t="n">
        <f aca="false">(('Business Case'!C11*$C368*'Business Case'!C12*$B368)-'Business Case'!C11*$C368*'Business Case'!C13*$D368-'Business Case'!C14*$E368)-MAX(0,(('Business Case'!C11*$C368*'Business Case'!C12*$B368)-'Business Case'!C11*$C368*'Business Case'!C13*$D368-'Business Case'!C14*$E368))*'Business Case'!$B$7-'Business Case'!$B$8*(('Business Case'!C11*$C368*'Business Case'!C12*$B368)-('Business Case'!B11*$C368*'Business Case'!B12*$B368))-'Business Case'!C15*$F368</f>
        <v>-14247297.8789673</v>
      </c>
      <c r="J368" s="39" t="n">
        <f aca="false">(('Business Case'!D11*$C368*'Business Case'!D12*$B368)-'Business Case'!D11*$C368*'Business Case'!D13*$D368-'Business Case'!D14*$E368)-MAX(0,(('Business Case'!D11*$C368*'Business Case'!D12*$B368)-'Business Case'!D11*$C368*'Business Case'!D13*$D368-'Business Case'!D14*$E368))*'Business Case'!$B$7-'Business Case'!$B$8*(('Business Case'!D11*$C368*'Business Case'!D12*$B368)-('Business Case'!C11*$C368*'Business Case'!C12*$B368))-'Business Case'!D15*$F368</f>
        <v>266628817.188485</v>
      </c>
      <c r="K368" s="39" t="n">
        <f aca="false">(('Business Case'!E11*$C368*'Business Case'!E12*$B368)-'Business Case'!E11*$C368*'Business Case'!E13*$D368-'Business Case'!E14*$E368)-MAX(0,(('Business Case'!E11*$C368*'Business Case'!E12*$B368)-'Business Case'!E11*$C368*'Business Case'!E13*$D368-'Business Case'!E14*$E368))*'Business Case'!$B$7-'Business Case'!$B$8*(('Business Case'!E11*$C368*'Business Case'!E12*$B368)-('Business Case'!D11*$C368*'Business Case'!D12*$B368))-'Business Case'!E15*$F368</f>
        <v>596525829.950632</v>
      </c>
      <c r="L368" s="39" t="n">
        <f aca="false">(('Business Case'!F11*$C368*'Business Case'!F12*$B368)-'Business Case'!F11*$C368*'Business Case'!F13*$D368-'Business Case'!F14*$E368)-MAX(0,(('Business Case'!F11*$C368*'Business Case'!F12*$B368)-'Business Case'!F11*$C368*'Business Case'!F13*$D368-'Business Case'!F14*$E368))*'Business Case'!$B$7-'Business Case'!$B$8*(('Business Case'!F11*$C368*'Business Case'!F12*$B368)-('Business Case'!E11*$C368*'Business Case'!E12*$B368))-'Business Case'!F15*$F368</f>
        <v>723566457.380206</v>
      </c>
      <c r="M368" s="39" t="n">
        <f aca="false">(('Business Case'!G11*$C368*'Business Case'!G12*$B368)-'Business Case'!G11*$C368*'Business Case'!G13*$D368-'Business Case'!G14*$E368)-MAX(0,(('Business Case'!G11*$C368*'Business Case'!G12*$B368)-'Business Case'!G11*$C368*'Business Case'!G13*$D368-'Business Case'!G14*$E368))*'Business Case'!$B$7-'Business Case'!$B$8*(('Business Case'!G11*$C368*'Business Case'!G12*$B368)-('Business Case'!F11*$C368*'Business Case'!F12*$B368))-'Business Case'!G15*$F368+'Business Case'!$B$8*('Business Case'!G11*$C368*'Business Case'!G12*$B368)</f>
        <v>907350363.952537</v>
      </c>
      <c r="N368" s="39" t="n">
        <f aca="false">IF(COUNT('Business Case'!B11:G11)=0,"",H368+NPV(G368,I368:M368))</f>
        <v>-264005048.549399</v>
      </c>
      <c r="P368" s="40" t="n">
        <f aca="true">RAND()</f>
        <v>0.215862601576418</v>
      </c>
      <c r="Q368" s="40" t="n">
        <f aca="true">RAND()</f>
        <v>0.579406298409834</v>
      </c>
      <c r="R368" s="40" t="n">
        <f aca="true">RAND()</f>
        <v>0.338868258163171</v>
      </c>
      <c r="S368" s="40" t="n">
        <f aca="true">RAND()</f>
        <v>0.704873601238179</v>
      </c>
      <c r="T368" s="40" t="n">
        <f aca="true">RAND()</f>
        <v>0.0740201535272313</v>
      </c>
      <c r="U368" s="40" t="n">
        <f aca="true">RAND()</f>
        <v>0.504430856438352</v>
      </c>
    </row>
    <row r="369" customFormat="false" ht="15" hidden="false" customHeight="false" outlineLevel="0" collapsed="false">
      <c r="A369" s="36" t="n">
        <v>289</v>
      </c>
      <c r="B369" s="37" t="n">
        <f aca="false">1+IF($G$6=$E$6,$F$6,IF(P369&lt;($F$6-$E$6)/($G$6-$E$6),$E$6+SQRT(P369*($G$6-$E$6)*($F$6-$E$6)),$G$6-SQRT((1-P369)*($G$6-$E$6)*($G$6-$F$6))))</f>
        <v>0.978815790380588</v>
      </c>
      <c r="C369" s="37" t="n">
        <f aca="false">1+IF($G$7=$E$7,$F$7,IF(Q369&lt;($F$7-$E$7)/($G$7-$E$7),$E$7+SQRT(Q369*($G$7-$E$7)*($F$7-$E$7)),$G$7-SQRT((1-Q369)*($G$7-$E$7)*($G$7-$F$7))))</f>
        <v>0.919679087858392</v>
      </c>
      <c r="D369" s="37" t="n">
        <f aca="false">1+IF($G$8=$E$8,$F$8,IF(R369&lt;($F$8-$E$8)/($G$8-$E$8),$E$8+SQRT(R369*($G$8-$E$8)*($F$8-$E$8)),$G$8-SQRT((1-R369)*($G$8-$E$8)*($G$8-$F$8))))</f>
        <v>0.999774111175656</v>
      </c>
      <c r="E369" s="37" t="n">
        <f aca="false">1+IF($G$9=$E$9,$F$9,IF(S369&lt;($F$9-$E$9)/($G$9-$E$9),$E$9+SQRT(S369*($G$9-$E$9)*($F$9-$E$9)),$G$9-SQRT((1-S369)*($G$9-$E$9)*($G$9-$F$9))))</f>
        <v>1.03542792579014</v>
      </c>
      <c r="F369" s="37" t="n">
        <f aca="false">1+IF($G$10=$E$10,$F$10,IF(T369&lt;($F$10-$E$10)/($G$10-$E$10),$E$10+SQRT(T369*($G$10-$E$10)*($F$10-$E$10)),$G$10-SQRT((1-T369)*($G$10-$E$10)*($G$10-$F$10))))</f>
        <v>0.991856110547524</v>
      </c>
      <c r="G369" s="38" t="n">
        <f aca="false">IF($G$11=$E$11,$F$11,IF(U369&lt;($F$11-$E$11)/($G$11-$E$11),$E$11+SQRT(U369*($G$11-$E$11)*($F$11-$E$11)),$G$11-SQRT((1-U369)*($G$11-$E$11)*($G$11-$F$11))))</f>
        <v>0.116046183974108</v>
      </c>
      <c r="H369" s="39" t="n">
        <f aca="false">(('Business Case'!B11*$C369*'Business Case'!B12*$B369)-'Business Case'!B11*$C369*'Business Case'!B13*$D369-'Business Case'!B14*$E369)-MAX(0,(('Business Case'!B11*$C369*'Business Case'!B12*$B369)-'Business Case'!B11*$C369*'Business Case'!B13*$D369-'Business Case'!B14*$E369))*'Business Case'!$B$7-'Business Case'!$B$8*('Business Case'!B11*$C369*'Business Case'!B12*$B369)-'Business Case'!B15*$F369</f>
        <v>-1983712221.09505</v>
      </c>
      <c r="I369" s="39" t="n">
        <f aca="false">(('Business Case'!C11*$C369*'Business Case'!C12*$B369)-'Business Case'!C11*$C369*'Business Case'!C13*$D369-'Business Case'!C14*$E369)-MAX(0,(('Business Case'!C11*$C369*'Business Case'!C12*$B369)-'Business Case'!C11*$C369*'Business Case'!C13*$D369-'Business Case'!C14*$E369))*'Business Case'!$B$7-'Business Case'!$B$8*(('Business Case'!C11*$C369*'Business Case'!C12*$B369)-('Business Case'!B11*$C369*'Business Case'!B12*$B369))-'Business Case'!C15*$F369</f>
        <v>-26459737.268922</v>
      </c>
      <c r="J369" s="39" t="n">
        <f aca="false">(('Business Case'!D11*$C369*'Business Case'!D12*$B369)-'Business Case'!D11*$C369*'Business Case'!D13*$D369-'Business Case'!D14*$E369)-MAX(0,(('Business Case'!D11*$C369*'Business Case'!D12*$B369)-'Business Case'!D11*$C369*'Business Case'!D13*$D369-'Business Case'!D14*$E369))*'Business Case'!$B$7-'Business Case'!$B$8*(('Business Case'!D11*$C369*'Business Case'!D12*$B369)-('Business Case'!C11*$C369*'Business Case'!C12*$B369))-'Business Case'!D15*$F369</f>
        <v>240170169.628629</v>
      </c>
      <c r="K369" s="39" t="n">
        <f aca="false">(('Business Case'!E11*$C369*'Business Case'!E12*$B369)-'Business Case'!E11*$C369*'Business Case'!E13*$D369-'Business Case'!E14*$E369)-MAX(0,(('Business Case'!E11*$C369*'Business Case'!E12*$B369)-'Business Case'!E11*$C369*'Business Case'!E13*$D369-'Business Case'!E14*$E369))*'Business Case'!$B$7-'Business Case'!$B$8*(('Business Case'!E11*$C369*'Business Case'!E12*$B369)-('Business Case'!D11*$C369*'Business Case'!D12*$B369))-'Business Case'!E15*$F369</f>
        <v>556392882.053557</v>
      </c>
      <c r="L369" s="39" t="n">
        <f aca="false">(('Business Case'!F11*$C369*'Business Case'!F12*$B369)-'Business Case'!F11*$C369*'Business Case'!F13*$D369-'Business Case'!F14*$E369)-MAX(0,(('Business Case'!F11*$C369*'Business Case'!F12*$B369)-'Business Case'!F11*$C369*'Business Case'!F13*$D369-'Business Case'!F14*$E369))*'Business Case'!$B$7-'Business Case'!$B$8*(('Business Case'!F11*$C369*'Business Case'!F12*$B369)-('Business Case'!E11*$C369*'Business Case'!E12*$B369))-'Business Case'!F15*$F369</f>
        <v>676380305.728982</v>
      </c>
      <c r="M369" s="39" t="n">
        <f aca="false">(('Business Case'!G11*$C369*'Business Case'!G12*$B369)-'Business Case'!G11*$C369*'Business Case'!G13*$D369-'Business Case'!G14*$E369)-MAX(0,(('Business Case'!G11*$C369*'Business Case'!G12*$B369)-'Business Case'!G11*$C369*'Business Case'!G13*$D369-'Business Case'!G14*$E369))*'Business Case'!$B$7-'Business Case'!$B$8*(('Business Case'!G11*$C369*'Business Case'!G12*$B369)-('Business Case'!F11*$C369*'Business Case'!F12*$B369))-'Business Case'!G15*$F369+'Business Case'!$B$8*('Business Case'!G11*$C369*'Business Case'!G12*$B369)</f>
        <v>847489639.964981</v>
      </c>
      <c r="N369" s="39" t="n">
        <f aca="false">IF(COUNT('Business Case'!B11:G11)=0,"",H369+NPV(G369,I369:M369))</f>
        <v>-488903203.8072</v>
      </c>
      <c r="P369" s="40" t="n">
        <f aca="true">RAND()</f>
        <v>0.360343458134712</v>
      </c>
      <c r="Q369" s="40" t="n">
        <f aca="true">RAND()</f>
        <v>0.204615486723095</v>
      </c>
      <c r="R369" s="40" t="n">
        <f aca="true">RAND()</f>
        <v>0.381148022050245</v>
      </c>
      <c r="S369" s="40" t="n">
        <f aca="true">RAND()</f>
        <v>0.72202981548241</v>
      </c>
      <c r="T369" s="40" t="n">
        <f aca="true">RAND()</f>
        <v>0.140154719213323</v>
      </c>
      <c r="U369" s="40" t="n">
        <f aca="true">RAND()</f>
        <v>0.973945564722326</v>
      </c>
    </row>
    <row r="370" customFormat="false" ht="15" hidden="false" customHeight="false" outlineLevel="0" collapsed="false">
      <c r="A370" s="36" t="n">
        <v>290</v>
      </c>
      <c r="B370" s="37" t="n">
        <f aca="false">1+IF($G$6=$E$6,$F$6,IF(P370&lt;($F$6-$E$6)/($G$6-$E$6),$E$6+SQRT(P370*($G$6-$E$6)*($F$6-$E$6)),$G$6-SQRT((1-P370)*($G$6-$E$6)*($G$6-$F$6))))</f>
        <v>1.01859936203436</v>
      </c>
      <c r="C370" s="37" t="n">
        <f aca="false">1+IF($G$7=$E$7,$F$7,IF(Q370&lt;($F$7-$E$7)/($G$7-$E$7),$E$7+SQRT(Q370*($G$7-$E$7)*($F$7-$E$7)),$G$7-SQRT((1-Q370)*($G$7-$E$7)*($G$7-$F$7))))</f>
        <v>0.9705208806538</v>
      </c>
      <c r="D370" s="37" t="n">
        <f aca="false">1+IF($G$8=$E$8,$F$8,IF(R370&lt;($F$8-$E$8)/($G$8-$E$8),$E$8+SQRT(R370*($G$8-$E$8)*($F$8-$E$8)),$G$8-SQRT((1-R370)*($G$8-$E$8)*($G$8-$F$8))))</f>
        <v>1.00056283221569</v>
      </c>
      <c r="E370" s="37" t="n">
        <f aca="false">1+IF($G$9=$E$9,$F$9,IF(S370&lt;($F$9-$E$9)/($G$9-$E$9),$E$9+SQRT(S370*($G$9-$E$9)*($F$9-$E$9)),$G$9-SQRT((1-S370)*($G$9-$E$9)*($G$9-$F$9))))</f>
        <v>1.01769059646123</v>
      </c>
      <c r="F370" s="37" t="n">
        <f aca="false">1+IF($G$10=$E$10,$F$10,IF(T370&lt;($F$10-$E$10)/($G$10-$E$10),$E$10+SQRT(T370*($G$10-$E$10)*($F$10-$E$10)),$G$10-SQRT((1-T370)*($G$10-$E$10)*($G$10-$F$10))))</f>
        <v>1.01931096410451</v>
      </c>
      <c r="G370" s="38" t="n">
        <f aca="false">IF($G$11=$E$11,$F$11,IF(U370&lt;($F$11-$E$11)/($G$11-$E$11),$E$11+SQRT(U370*($G$11-$E$11)*($F$11-$E$11)),$G$11-SQRT((1-U370)*($G$11-$E$11)*($G$11-$F$11))))</f>
        <v>0.102571635066876</v>
      </c>
      <c r="H370" s="39" t="n">
        <f aca="false">(('Business Case'!B11*$C370*'Business Case'!B12*$B370)-'Business Case'!B11*$C370*'Business Case'!B13*$D370-'Business Case'!B14*$E370)-MAX(0,(('Business Case'!B11*$C370*'Business Case'!B12*$B370)-'Business Case'!B11*$C370*'Business Case'!B13*$D370-'Business Case'!B14*$E370))*'Business Case'!$B$7-'Business Case'!$B$8*('Business Case'!B11*$C370*'Business Case'!B12*$B370)-'Business Case'!B15*$F370</f>
        <v>-2038621928.20902</v>
      </c>
      <c r="I370" s="39" t="n">
        <f aca="false">(('Business Case'!C11*$C370*'Business Case'!C12*$B370)-'Business Case'!C11*$C370*'Business Case'!C13*$D370-'Business Case'!C14*$E370)-MAX(0,(('Business Case'!C11*$C370*'Business Case'!C12*$B370)-'Business Case'!C11*$C370*'Business Case'!C13*$D370-'Business Case'!C14*$E370))*'Business Case'!$B$7-'Business Case'!$B$8*(('Business Case'!C11*$C370*'Business Case'!C12*$B370)-('Business Case'!B11*$C370*'Business Case'!B12*$B370))-'Business Case'!C15*$F370</f>
        <v>14708654.4003585</v>
      </c>
      <c r="J370" s="39" t="n">
        <f aca="false">(('Business Case'!D11*$C370*'Business Case'!D12*$B370)-'Business Case'!D11*$C370*'Business Case'!D13*$D370-'Business Case'!D14*$E370)-MAX(0,(('Business Case'!D11*$C370*'Business Case'!D12*$B370)-'Business Case'!D11*$C370*'Business Case'!D13*$D370-'Business Case'!D14*$E370))*'Business Case'!$B$7-'Business Case'!$B$8*(('Business Case'!D11*$C370*'Business Case'!D12*$B370)-('Business Case'!C11*$C370*'Business Case'!C12*$B370))-'Business Case'!D15*$F370</f>
        <v>327311577.909474</v>
      </c>
      <c r="K370" s="39" t="n">
        <f aca="false">(('Business Case'!E11*$C370*'Business Case'!E12*$B370)-'Business Case'!E11*$C370*'Business Case'!E13*$D370-'Business Case'!E14*$E370)-MAX(0,(('Business Case'!E11*$C370*'Business Case'!E12*$B370)-'Business Case'!E11*$C370*'Business Case'!E13*$D370-'Business Case'!E14*$E370))*'Business Case'!$B$7-'Business Case'!$B$8*(('Business Case'!E11*$C370*'Business Case'!E12*$B370)-('Business Case'!D11*$C370*'Business Case'!D12*$B370))-'Business Case'!E15*$F370</f>
        <v>690880049.623815</v>
      </c>
      <c r="L370" s="39" t="n">
        <f aca="false">(('Business Case'!F11*$C370*'Business Case'!F12*$B370)-'Business Case'!F11*$C370*'Business Case'!F13*$D370-'Business Case'!F14*$E370)-MAX(0,(('Business Case'!F11*$C370*'Business Case'!F12*$B370)-'Business Case'!F11*$C370*'Business Case'!F13*$D370-'Business Case'!F14*$E370))*'Business Case'!$B$7-'Business Case'!$B$8*(('Business Case'!F11*$C370*'Business Case'!F12*$B370)-('Business Case'!E11*$C370*'Business Case'!E12*$B370))-'Business Case'!F15*$F370</f>
        <v>829246070.714533</v>
      </c>
      <c r="M370" s="39" t="n">
        <f aca="false">(('Business Case'!G11*$C370*'Business Case'!G12*$B370)-'Business Case'!G11*$C370*'Business Case'!G13*$D370-'Business Case'!G14*$E370)-MAX(0,(('Business Case'!G11*$C370*'Business Case'!G12*$B370)-'Business Case'!G11*$C370*'Business Case'!G13*$D370-'Business Case'!G14*$E370))*'Business Case'!$B$7-'Business Case'!$B$8*(('Business Case'!G11*$C370*'Business Case'!G12*$B370)-('Business Case'!F11*$C370*'Business Case'!F12*$B370))-'Business Case'!G15*$F370+'Business Case'!$B$8*('Business Case'!G11*$C370*'Business Case'!G12*$B370)</f>
        <v>1017153826.94677</v>
      </c>
      <c r="N370" s="39" t="n">
        <f aca="false">IF(COUNT('Business Case'!B11:G11)=0,"",H370+NPV(G370,I370:M370))</f>
        <v>-55229785.9548578</v>
      </c>
      <c r="P370" s="40" t="n">
        <f aca="true">RAND()</f>
        <v>0.904585978054895</v>
      </c>
      <c r="Q370" s="40" t="n">
        <f aca="true">RAND()</f>
        <v>0.415391010556394</v>
      </c>
      <c r="R370" s="40" t="n">
        <f aca="true">RAND()</f>
        <v>0.393243882154549</v>
      </c>
      <c r="S370" s="40" t="n">
        <f aca="true">RAND()</f>
        <v>0.548344139272782</v>
      </c>
      <c r="T370" s="40" t="n">
        <f aca="true">RAND()</f>
        <v>0.347029446143167</v>
      </c>
      <c r="U370" s="40" t="n">
        <f aca="true">RAND()</f>
        <v>0.493753492929775</v>
      </c>
    </row>
    <row r="371" customFormat="false" ht="15" hidden="false" customHeight="false" outlineLevel="0" collapsed="false">
      <c r="A371" s="36" t="n">
        <v>291</v>
      </c>
      <c r="B371" s="37" t="n">
        <f aca="false">1+IF($G$6=$E$6,$F$6,IF(P371&lt;($F$6-$E$6)/($G$6-$E$6),$E$6+SQRT(P371*($G$6-$E$6)*($F$6-$E$6)),$G$6-SQRT((1-P371)*($G$6-$E$6)*($G$6-$F$6))))</f>
        <v>0.978723845270211</v>
      </c>
      <c r="C371" s="37" t="n">
        <f aca="false">1+IF($G$7=$E$7,$F$7,IF(Q371&lt;($F$7-$E$7)/($G$7-$E$7),$E$7+SQRT(Q371*($G$7-$E$7)*($F$7-$E$7)),$G$7-SQRT((1-Q371)*($G$7-$E$7)*($G$7-$F$7))))</f>
        <v>0.956281164838498</v>
      </c>
      <c r="D371" s="37" t="n">
        <f aca="false">1+IF($G$8=$E$8,$F$8,IF(R371&lt;($F$8-$E$8)/($G$8-$E$8),$E$8+SQRT(R371*($G$8-$E$8)*($F$8-$E$8)),$G$8-SQRT((1-R371)*($G$8-$E$8)*($G$8-$F$8))))</f>
        <v>1.05184358071556</v>
      </c>
      <c r="E371" s="37" t="n">
        <f aca="false">1+IF($G$9=$E$9,$F$9,IF(S371&lt;($F$9-$E$9)/($G$9-$E$9),$E$9+SQRT(S371*($G$9-$E$9)*($F$9-$E$9)),$G$9-SQRT((1-S371)*($G$9-$E$9)*($G$9-$F$9))))</f>
        <v>1.01047130629995</v>
      </c>
      <c r="F371" s="37" t="n">
        <f aca="false">1+IF($G$10=$E$10,$F$10,IF(T371&lt;($F$10-$E$10)/($G$10-$E$10),$E$10+SQRT(T371*($G$10-$E$10)*($F$10-$E$10)),$G$10-SQRT((1-T371)*($G$10-$E$10)*($G$10-$F$10))))</f>
        <v>1.03236159385809</v>
      </c>
      <c r="G371" s="38" t="n">
        <f aca="false">IF($G$11=$E$11,$F$11,IF(U371&lt;($F$11-$E$11)/($G$11-$E$11),$E$11+SQRT(U371*($G$11-$E$11)*($F$11-$E$11)),$G$11-SQRT((1-U371)*($G$11-$E$11)*($G$11-$F$11))))</f>
        <v>0.100760820180584</v>
      </c>
      <c r="H371" s="39" t="n">
        <f aca="false">(('Business Case'!B11*$C371*'Business Case'!B12*$B371)-'Business Case'!B11*$C371*'Business Case'!B13*$D371-'Business Case'!B14*$E371)-MAX(0,(('Business Case'!B11*$C371*'Business Case'!B12*$B371)-'Business Case'!B11*$C371*'Business Case'!B13*$D371-'Business Case'!B14*$E371))*'Business Case'!$B$7-'Business Case'!$B$8*('Business Case'!B11*$C371*'Business Case'!B12*$B371)-'Business Case'!B15*$F371</f>
        <v>-2064723187.71617</v>
      </c>
      <c r="I371" s="39" t="n">
        <f aca="false">(('Business Case'!C11*$C371*'Business Case'!C12*$B371)-'Business Case'!C11*$C371*'Business Case'!C13*$D371-'Business Case'!C14*$E371)-MAX(0,(('Business Case'!C11*$C371*'Business Case'!C12*$B371)-'Business Case'!C11*$C371*'Business Case'!C13*$D371-'Business Case'!C14*$E371))*'Business Case'!$B$7-'Business Case'!$B$8*(('Business Case'!C11*$C371*'Business Case'!C12*$B371)-('Business Case'!B11*$C371*'Business Case'!B12*$B371))-'Business Case'!C15*$F371</f>
        <v>-43764692.1288003</v>
      </c>
      <c r="J371" s="39" t="n">
        <f aca="false">(('Business Case'!D11*$C371*'Business Case'!D12*$B371)-'Business Case'!D11*$C371*'Business Case'!D13*$D371-'Business Case'!D14*$E371)-MAX(0,(('Business Case'!D11*$C371*'Business Case'!D12*$B371)-'Business Case'!D11*$C371*'Business Case'!D13*$D371-'Business Case'!D14*$E371))*'Business Case'!$B$7-'Business Case'!$B$8*(('Business Case'!D11*$C371*'Business Case'!D12*$B371)-('Business Case'!C11*$C371*'Business Case'!C12*$B371))-'Business Case'!D15*$F371</f>
        <v>207914674.553582</v>
      </c>
      <c r="K371" s="39" t="n">
        <f aca="false">(('Business Case'!E11*$C371*'Business Case'!E12*$B371)-'Business Case'!E11*$C371*'Business Case'!E13*$D371-'Business Case'!E14*$E371)-MAX(0,(('Business Case'!E11*$C371*'Business Case'!E12*$B371)-'Business Case'!E11*$C371*'Business Case'!E13*$D371-'Business Case'!E14*$E371))*'Business Case'!$B$7-'Business Case'!$B$8*(('Business Case'!E11*$C371*'Business Case'!E12*$B371)-('Business Case'!D11*$C371*'Business Case'!D12*$B371))-'Business Case'!E15*$F371</f>
        <v>511212120.928869</v>
      </c>
      <c r="L371" s="39" t="n">
        <f aca="false">(('Business Case'!F11*$C371*'Business Case'!F12*$B371)-'Business Case'!F11*$C371*'Business Case'!F13*$D371-'Business Case'!F14*$E371)-MAX(0,(('Business Case'!F11*$C371*'Business Case'!F12*$B371)-'Business Case'!F11*$C371*'Business Case'!F13*$D371-'Business Case'!F14*$E371))*'Business Case'!$B$7-'Business Case'!$B$8*(('Business Case'!F11*$C371*'Business Case'!F12*$B371)-('Business Case'!E11*$C371*'Business Case'!E12*$B371))-'Business Case'!F15*$F371</f>
        <v>627451162.936011</v>
      </c>
      <c r="M371" s="39" t="n">
        <f aca="false">(('Business Case'!G11*$C371*'Business Case'!G12*$B371)-'Business Case'!G11*$C371*'Business Case'!G13*$D371-'Business Case'!G14*$E371)-MAX(0,(('Business Case'!G11*$C371*'Business Case'!G12*$B371)-'Business Case'!G11*$C371*'Business Case'!G13*$D371-'Business Case'!G14*$E371))*'Business Case'!$B$7-'Business Case'!$B$8*(('Business Case'!G11*$C371*'Business Case'!G12*$B371)-('Business Case'!F11*$C371*'Business Case'!F12*$B371))-'Business Case'!G15*$F371+'Business Case'!$B$8*('Business Case'!G11*$C371*'Business Case'!G12*$B371)</f>
        <v>805353721.724256</v>
      </c>
      <c r="N371" s="39" t="n">
        <f aca="false">IF(COUNT('Business Case'!B11:G11)=0,"",H371+NPV(G371,I371:M371))</f>
        <v>-623894020.658279</v>
      </c>
      <c r="P371" s="40" t="n">
        <f aca="true">RAND()</f>
        <v>0.359217708679134</v>
      </c>
      <c r="Q371" s="40" t="n">
        <f aca="true">RAND()</f>
        <v>0.348911464046826</v>
      </c>
      <c r="R371" s="40" t="n">
        <f aca="true">RAND()</f>
        <v>0.923770774334517</v>
      </c>
      <c r="S371" s="40" t="n">
        <f aca="true">RAND()</f>
        <v>0.465640866957486</v>
      </c>
      <c r="T371" s="40" t="n">
        <f aca="true">RAND()</f>
        <v>0.43794729572398</v>
      </c>
      <c r="U371" s="40" t="n">
        <f aca="true">RAND()</f>
        <v>0.383089933126968</v>
      </c>
    </row>
    <row r="372" customFormat="false" ht="15" hidden="false" customHeight="false" outlineLevel="0" collapsed="false">
      <c r="A372" s="36" t="n">
        <v>292</v>
      </c>
      <c r="B372" s="37" t="n">
        <f aca="false">1+IF($G$6=$E$6,$F$6,IF(P372&lt;($F$6-$E$6)/($G$6-$E$6),$E$6+SQRT(P372*($G$6-$E$6)*($F$6-$E$6)),$G$6-SQRT((1-P372)*($G$6-$E$6)*($G$6-$F$6))))</f>
        <v>1.01018425737428</v>
      </c>
      <c r="C372" s="37" t="n">
        <f aca="false">1+IF($G$7=$E$7,$F$7,IF(Q372&lt;($F$7-$E$7)/($G$7-$E$7),$E$7+SQRT(Q372*($G$7-$E$7)*($F$7-$E$7)),$G$7-SQRT((1-Q372)*($G$7-$E$7)*($G$7-$F$7))))</f>
        <v>0.957631273034856</v>
      </c>
      <c r="D372" s="37" t="n">
        <f aca="false">1+IF($G$8=$E$8,$F$8,IF(R372&lt;($F$8-$E$8)/($G$8-$E$8),$E$8+SQRT(R372*($G$8-$E$8)*($F$8-$E$8)),$G$8-SQRT((1-R372)*($G$8-$E$8)*($G$8-$F$8))))</f>
        <v>1.02101208313967</v>
      </c>
      <c r="E372" s="37" t="n">
        <f aca="false">1+IF($G$9=$E$9,$F$9,IF(S372&lt;($F$9-$E$9)/($G$9-$E$9),$E$9+SQRT(S372*($G$9-$E$9)*($F$9-$E$9)),$G$9-SQRT((1-S372)*($G$9-$E$9)*($G$9-$F$9))))</f>
        <v>1.02019001742335</v>
      </c>
      <c r="F372" s="37" t="n">
        <f aca="false">1+IF($G$10=$E$10,$F$10,IF(T372&lt;($F$10-$E$10)/($G$10-$E$10),$E$10+SQRT(T372*($G$10-$E$10)*($F$10-$E$10)),$G$10-SQRT((1-T372)*($G$10-$E$10)*($G$10-$F$10))))</f>
        <v>1.04215526838694</v>
      </c>
      <c r="G372" s="38" t="n">
        <f aca="false">IF($G$11=$E$11,$F$11,IF(U372&lt;($F$11-$E$11)/($G$11-$E$11),$E$11+SQRT(U372*($G$11-$E$11)*($F$11-$E$11)),$G$11-SQRT((1-U372)*($G$11-$E$11)*($G$11-$F$11))))</f>
        <v>0.104301908693835</v>
      </c>
      <c r="H372" s="39" t="n">
        <f aca="false">(('Business Case'!B11*$C372*'Business Case'!B12*$B372)-'Business Case'!B11*$C372*'Business Case'!B13*$D372-'Business Case'!B14*$E372)-MAX(0,(('Business Case'!B11*$C372*'Business Case'!B12*$B372)-'Business Case'!B11*$C372*'Business Case'!B13*$D372-'Business Case'!B14*$E372))*'Business Case'!$B$7-'Business Case'!$B$8*('Business Case'!B11*$C372*'Business Case'!B12*$B372)-'Business Case'!B15*$F372</f>
        <v>-2084310536.77388</v>
      </c>
      <c r="I372" s="39" t="n">
        <f aca="false">(('Business Case'!C11*$C372*'Business Case'!C12*$B372)-'Business Case'!C11*$C372*'Business Case'!C13*$D372-'Business Case'!C14*$E372)-MAX(0,(('Business Case'!C11*$C372*'Business Case'!C12*$B372)-'Business Case'!C11*$C372*'Business Case'!C13*$D372-'Business Case'!C14*$E372))*'Business Case'!$B$7-'Business Case'!$B$8*(('Business Case'!C11*$C372*'Business Case'!C12*$B372)-('Business Case'!B11*$C372*'Business Case'!B12*$B372))-'Business Case'!C15*$F372</f>
        <v>-7609925.75336853</v>
      </c>
      <c r="J372" s="39" t="n">
        <f aca="false">(('Business Case'!D11*$C372*'Business Case'!D12*$B372)-'Business Case'!D11*$C372*'Business Case'!D13*$D372-'Business Case'!D14*$E372)-MAX(0,(('Business Case'!D11*$C372*'Business Case'!D12*$B372)-'Business Case'!D11*$C372*'Business Case'!D13*$D372-'Business Case'!D14*$E372))*'Business Case'!$B$7-'Business Case'!$B$8*(('Business Case'!D11*$C372*'Business Case'!D12*$B372)-('Business Case'!C11*$C372*'Business Case'!C12*$B372))-'Business Case'!D15*$F372</f>
        <v>284215884.255969</v>
      </c>
      <c r="K372" s="39" t="n">
        <f aca="false">(('Business Case'!E11*$C372*'Business Case'!E12*$B372)-'Business Case'!E11*$C372*'Business Case'!E13*$D372-'Business Case'!E14*$E372)-MAX(0,(('Business Case'!E11*$C372*'Business Case'!E12*$B372)-'Business Case'!E11*$C372*'Business Case'!E13*$D372-'Business Case'!E14*$E372))*'Business Case'!$B$7-'Business Case'!$B$8*(('Business Case'!E11*$C372*'Business Case'!E12*$B372)-('Business Case'!D11*$C372*'Business Case'!D12*$B372))-'Business Case'!E15*$F372</f>
        <v>628149457.684653</v>
      </c>
      <c r="L372" s="39" t="n">
        <f aca="false">(('Business Case'!F11*$C372*'Business Case'!F12*$B372)-'Business Case'!F11*$C372*'Business Case'!F13*$D372-'Business Case'!F14*$E372)-MAX(0,(('Business Case'!F11*$C372*'Business Case'!F12*$B372)-'Business Case'!F11*$C372*'Business Case'!F13*$D372-'Business Case'!F14*$E372))*'Business Case'!$B$7-'Business Case'!$B$8*(('Business Case'!F11*$C372*'Business Case'!F12*$B372)-('Business Case'!E11*$C372*'Business Case'!E12*$B372))-'Business Case'!F15*$F372</f>
        <v>758857519.985373</v>
      </c>
      <c r="M372" s="39" t="n">
        <f aca="false">(('Business Case'!G11*$C372*'Business Case'!G12*$B372)-'Business Case'!G11*$C372*'Business Case'!G13*$D372-'Business Case'!G14*$E372)-MAX(0,(('Business Case'!G11*$C372*'Business Case'!G12*$B372)-'Business Case'!G11*$C372*'Business Case'!G13*$D372-'Business Case'!G14*$E372))*'Business Case'!$B$7-'Business Case'!$B$8*(('Business Case'!G11*$C372*'Business Case'!G12*$B372)-('Business Case'!F11*$C372*'Business Case'!F12*$B372))-'Business Case'!G15*$F372+'Business Case'!$B$8*('Business Case'!G11*$C372*'Business Case'!G12*$B372)</f>
        <v>942737877.622214</v>
      </c>
      <c r="N372" s="39" t="n">
        <f aca="false">IF(COUNT('Business Case'!B11:G11)=0,"",H372+NPV(G372,I372:M372))</f>
        <v>-307361750.844256</v>
      </c>
      <c r="P372" s="40" t="n">
        <f aca="true">RAND()</f>
        <v>0.814796144099363</v>
      </c>
      <c r="Q372" s="40" t="n">
        <f aca="true">RAND()</f>
        <v>0.35496597483699</v>
      </c>
      <c r="R372" s="40" t="n">
        <f aca="true">RAND()</f>
        <v>0.665425544661365</v>
      </c>
      <c r="S372" s="40" t="n">
        <f aca="true">RAND()</f>
        <v>0.575357778741039</v>
      </c>
      <c r="T372" s="40" t="n">
        <f aca="true">RAND()</f>
        <v>0.501700814040013</v>
      </c>
      <c r="U372" s="40" t="n">
        <f aca="true">RAND()</f>
        <v>0.589283215572157</v>
      </c>
    </row>
    <row r="373" customFormat="false" ht="15" hidden="false" customHeight="false" outlineLevel="0" collapsed="false">
      <c r="A373" s="36" t="n">
        <v>293</v>
      </c>
      <c r="B373" s="37" t="n">
        <f aca="false">1+IF($G$6=$E$6,$F$6,IF(P373&lt;($F$6-$E$6)/($G$6-$E$6),$E$6+SQRT(P373*($G$6-$E$6)*($F$6-$E$6)),$G$6-SQRT((1-P373)*($G$6-$E$6)*($G$6-$F$6))))</f>
        <v>0.968965890665058</v>
      </c>
      <c r="C373" s="37" t="n">
        <f aca="false">1+IF($G$7=$E$7,$F$7,IF(Q373&lt;($F$7-$E$7)/($G$7-$E$7),$E$7+SQRT(Q373*($G$7-$E$7)*($F$7-$E$7)),$G$7-SQRT((1-Q373)*($G$7-$E$7)*($G$7-$F$7))))</f>
        <v>1.0134274784069</v>
      </c>
      <c r="D373" s="37" t="n">
        <f aca="false">1+IF($G$8=$E$8,$F$8,IF(R373&lt;($F$8-$E$8)/($G$8-$E$8),$E$8+SQRT(R373*($G$8-$E$8)*($F$8-$E$8)),$G$8-SQRT((1-R373)*($G$8-$E$8)*($G$8-$F$8))))</f>
        <v>0.978863340979898</v>
      </c>
      <c r="E373" s="37" t="n">
        <f aca="false">1+IF($G$9=$E$9,$F$9,IF(S373&lt;($F$9-$E$9)/($G$9-$E$9),$E$9+SQRT(S373*($G$9-$E$9)*($F$9-$E$9)),$G$9-SQRT((1-S373)*($G$9-$E$9)*($G$9-$F$9))))</f>
        <v>0.996573127470183</v>
      </c>
      <c r="F373" s="37" t="n">
        <f aca="false">1+IF($G$10=$E$10,$F$10,IF(T373&lt;($F$10-$E$10)/($G$10-$E$10),$E$10+SQRT(T373*($G$10-$E$10)*($F$10-$E$10)),$G$10-SQRT((1-T373)*($G$10-$E$10)*($G$10-$F$10))))</f>
        <v>0.987302559273759</v>
      </c>
      <c r="G373" s="38" t="n">
        <f aca="false">IF($G$11=$E$11,$F$11,IF(U373&lt;($F$11-$E$11)/($G$11-$E$11),$E$11+SQRT(U373*($G$11-$E$11)*($F$11-$E$11)),$G$11-SQRT((1-U373)*($G$11-$E$11)*($G$11-$F$11))))</f>
        <v>0.103989556124746</v>
      </c>
      <c r="H373" s="39" t="n">
        <f aca="false">(('Business Case'!B11*$C373*'Business Case'!B12*$B373)-'Business Case'!B11*$C373*'Business Case'!B13*$D373-'Business Case'!B14*$E373)-MAX(0,(('Business Case'!B11*$C373*'Business Case'!B12*$B373)-'Business Case'!B11*$C373*'Business Case'!B13*$D373-'Business Case'!B14*$E373))*'Business Case'!$B$7-'Business Case'!$B$8*('Business Case'!B11*$C373*'Business Case'!B12*$B373)-'Business Case'!B15*$F373</f>
        <v>-1974605118.54752</v>
      </c>
      <c r="I373" s="39" t="n">
        <f aca="false">(('Business Case'!C11*$C373*'Business Case'!C12*$B373)-'Business Case'!C11*$C373*'Business Case'!C13*$D373-'Business Case'!C14*$E373)-MAX(0,(('Business Case'!C11*$C373*'Business Case'!C12*$B373)-'Business Case'!C11*$C373*'Business Case'!C13*$D373-'Business Case'!C14*$E373))*'Business Case'!$B$7-'Business Case'!$B$8*(('Business Case'!C11*$C373*'Business Case'!C12*$B373)-('Business Case'!B11*$C373*'Business Case'!B12*$B373))-'Business Case'!C15*$F373</f>
        <v>5132734.36284214</v>
      </c>
      <c r="J373" s="39" t="n">
        <f aca="false">(('Business Case'!D11*$C373*'Business Case'!D12*$B373)-'Business Case'!D11*$C373*'Business Case'!D13*$D373-'Business Case'!D14*$E373)-MAX(0,(('Business Case'!D11*$C373*'Business Case'!D12*$B373)-'Business Case'!D11*$C373*'Business Case'!D13*$D373-'Business Case'!D14*$E373))*'Business Case'!$B$7-'Business Case'!$B$8*(('Business Case'!D11*$C373*'Business Case'!D12*$B373)-('Business Case'!C11*$C373*'Business Case'!C12*$B373))-'Business Case'!D15*$F373</f>
        <v>301614093.394269</v>
      </c>
      <c r="K373" s="39" t="n">
        <f aca="false">(('Business Case'!E11*$C373*'Business Case'!E12*$B373)-'Business Case'!E11*$C373*'Business Case'!E13*$D373-'Business Case'!E14*$E373)-MAX(0,(('Business Case'!E11*$C373*'Business Case'!E12*$B373)-'Business Case'!E11*$C373*'Business Case'!E13*$D373-'Business Case'!E14*$E373))*'Business Case'!$B$7-'Business Case'!$B$8*(('Business Case'!E11*$C373*'Business Case'!E12*$B373)-('Business Case'!D11*$C373*'Business Case'!D12*$B373))-'Business Case'!E15*$F373</f>
        <v>647460580.389385</v>
      </c>
      <c r="L373" s="39" t="n">
        <f aca="false">(('Business Case'!F11*$C373*'Business Case'!F12*$B373)-'Business Case'!F11*$C373*'Business Case'!F13*$D373-'Business Case'!F14*$E373)-MAX(0,(('Business Case'!F11*$C373*'Business Case'!F12*$B373)-'Business Case'!F11*$C373*'Business Case'!F13*$D373-'Business Case'!F14*$E373))*'Business Case'!$B$7-'Business Case'!$B$8*(('Business Case'!F11*$C373*'Business Case'!F12*$B373)-('Business Case'!E11*$C373*'Business Case'!E12*$B373))-'Business Case'!F15*$F373</f>
        <v>780224813.409826</v>
      </c>
      <c r="M373" s="39" t="n">
        <f aca="false">(('Business Case'!G11*$C373*'Business Case'!G12*$B373)-'Business Case'!G11*$C373*'Business Case'!G13*$D373-'Business Case'!G14*$E373)-MAX(0,(('Business Case'!G11*$C373*'Business Case'!G12*$B373)-'Business Case'!G11*$C373*'Business Case'!G13*$D373-'Business Case'!G14*$E373))*'Business Case'!$B$7-'Business Case'!$B$8*(('Business Case'!G11*$C373*'Business Case'!G12*$B373)-('Business Case'!F11*$C373*'Business Case'!F12*$B373))-'Business Case'!G15*$F373+'Business Case'!$B$8*('Business Case'!G11*$C373*'Business Case'!G12*$B373)</f>
        <v>966878936.797973</v>
      </c>
      <c r="N373" s="39" t="n">
        <f aca="false">IF(COUNT('Business Case'!B11:G11)=0,"",H373+NPV(G373,I373:M373))</f>
        <v>-126465605.089351</v>
      </c>
      <c r="P373" s="40" t="n">
        <f aca="true">RAND()</f>
        <v>0.249756088398171</v>
      </c>
      <c r="Q373" s="40" t="n">
        <f aca="true">RAND()</f>
        <v>0.644722787537193</v>
      </c>
      <c r="R373" s="40" t="n">
        <f aca="true">RAND()</f>
        <v>0.128168069618749</v>
      </c>
      <c r="S373" s="40" t="n">
        <f aca="true">RAND()</f>
        <v>0.289207493647192</v>
      </c>
      <c r="T373" s="40" t="n">
        <f aca="true">RAND()</f>
        <v>0.111318474269784</v>
      </c>
      <c r="U373" s="40" t="n">
        <f aca="true">RAND()</f>
        <v>0.572776144862219</v>
      </c>
    </row>
    <row r="374" customFormat="false" ht="15" hidden="false" customHeight="false" outlineLevel="0" collapsed="false">
      <c r="A374" s="36" t="n">
        <v>294</v>
      </c>
      <c r="B374" s="37" t="n">
        <f aca="false">1+IF($G$6=$E$6,$F$6,IF(P374&lt;($F$6-$E$6)/($G$6-$E$6),$E$6+SQRT(P374*($G$6-$E$6)*($F$6-$E$6)),$G$6-SQRT((1-P374)*($G$6-$E$6)*($G$6-$F$6))))</f>
        <v>0.973992987656241</v>
      </c>
      <c r="C374" s="37" t="n">
        <f aca="false">1+IF($G$7=$E$7,$F$7,IF(Q374&lt;($F$7-$E$7)/($G$7-$E$7),$E$7+SQRT(Q374*($G$7-$E$7)*($F$7-$E$7)),$G$7-SQRT((1-Q374)*($G$7-$E$7)*($G$7-$F$7))))</f>
        <v>1.12329735371218</v>
      </c>
      <c r="D374" s="37" t="n">
        <f aca="false">1+IF($G$8=$E$8,$F$8,IF(R374&lt;($F$8-$E$8)/($G$8-$E$8),$E$8+SQRT(R374*($G$8-$E$8)*($F$8-$E$8)),$G$8-SQRT((1-R374)*($G$8-$E$8)*($G$8-$F$8))))</f>
        <v>0.998901496602253</v>
      </c>
      <c r="E374" s="37" t="n">
        <f aca="false">1+IF($G$9=$E$9,$F$9,IF(S374&lt;($F$9-$E$9)/($G$9-$E$9),$E$9+SQRT(S374*($G$9-$E$9)*($F$9-$E$9)),$G$9-SQRT((1-S374)*($G$9-$E$9)*($G$9-$F$9))))</f>
        <v>1.01719665858042</v>
      </c>
      <c r="F374" s="37" t="n">
        <f aca="false">1+IF($G$10=$E$10,$F$10,IF(T374&lt;($F$10-$E$10)/($G$10-$E$10),$E$10+SQRT(T374*($G$10-$E$10)*($F$10-$E$10)),$G$10-SQRT((1-T374)*($G$10-$E$10)*($G$10-$F$10))))</f>
        <v>1.08826547161322</v>
      </c>
      <c r="G374" s="38" t="n">
        <f aca="false">IF($G$11=$E$11,$F$11,IF(U374&lt;($F$11-$E$11)/($G$11-$E$11),$E$11+SQRT(U374*($G$11-$E$11)*($F$11-$E$11)),$G$11-SQRT((1-U374)*($G$11-$E$11)*($G$11-$F$11))))</f>
        <v>0.111366112480792</v>
      </c>
      <c r="H374" s="39" t="n">
        <f aca="false">(('Business Case'!B11*$C374*'Business Case'!B12*$B374)-'Business Case'!B11*$C374*'Business Case'!B13*$D374-'Business Case'!B14*$E374)-MAX(0,(('Business Case'!B11*$C374*'Business Case'!B12*$B374)-'Business Case'!B11*$C374*'Business Case'!B13*$D374-'Business Case'!B14*$E374))*'Business Case'!$B$7-'Business Case'!$B$8*('Business Case'!B11*$C374*'Business Case'!B12*$B374)-'Business Case'!B15*$F374</f>
        <v>-2176530943.22644</v>
      </c>
      <c r="I374" s="39" t="n">
        <f aca="false">(('Business Case'!C11*$C374*'Business Case'!C12*$B374)-'Business Case'!C11*$C374*'Business Case'!C13*$D374-'Business Case'!C14*$E374)-MAX(0,(('Business Case'!C11*$C374*'Business Case'!C12*$B374)-'Business Case'!C11*$C374*'Business Case'!C13*$D374-'Business Case'!C14*$E374))*'Business Case'!$B$7-'Business Case'!$B$8*(('Business Case'!C11*$C374*'Business Case'!C12*$B374)-('Business Case'!B11*$C374*'Business Case'!B12*$B374))-'Business Case'!C15*$F374</f>
        <v>11537448.5719034</v>
      </c>
      <c r="J374" s="39" t="n">
        <f aca="false">(('Business Case'!D11*$C374*'Business Case'!D12*$B374)-'Business Case'!D11*$C374*'Business Case'!D13*$D374-'Business Case'!D14*$E374)-MAX(0,(('Business Case'!D11*$C374*'Business Case'!D12*$B374)-'Business Case'!D11*$C374*'Business Case'!D13*$D374-'Business Case'!D14*$E374))*'Business Case'!$B$7-'Business Case'!$B$8*(('Business Case'!D11*$C374*'Business Case'!D12*$B374)-('Business Case'!C11*$C374*'Business Case'!C12*$B374))-'Business Case'!D15*$F374</f>
        <v>333264110.525535</v>
      </c>
      <c r="K374" s="39" t="n">
        <f aca="false">(('Business Case'!E11*$C374*'Business Case'!E12*$B374)-'Business Case'!E11*$C374*'Business Case'!E13*$D374-'Business Case'!E14*$E374)-MAX(0,(('Business Case'!E11*$C374*'Business Case'!E12*$B374)-'Business Case'!E11*$C374*'Business Case'!E13*$D374-'Business Case'!E14*$E374))*'Business Case'!$B$7-'Business Case'!$B$8*(('Business Case'!E11*$C374*'Business Case'!E12*$B374)-('Business Case'!D11*$C374*'Business Case'!D12*$B374))-'Business Case'!E15*$F374</f>
        <v>709404046.059827</v>
      </c>
      <c r="L374" s="39" t="n">
        <f aca="false">(('Business Case'!F11*$C374*'Business Case'!F12*$B374)-'Business Case'!F11*$C374*'Business Case'!F13*$D374-'Business Case'!F14*$E374)-MAX(0,(('Business Case'!F11*$C374*'Business Case'!F12*$B374)-'Business Case'!F11*$C374*'Business Case'!F13*$D374-'Business Case'!F14*$E374))*'Business Case'!$B$7-'Business Case'!$B$8*(('Business Case'!F11*$C374*'Business Case'!F12*$B374)-('Business Case'!E11*$C374*'Business Case'!E12*$B374))-'Business Case'!F15*$F374</f>
        <v>854457800.957884</v>
      </c>
      <c r="M374" s="39" t="n">
        <f aca="false">(('Business Case'!G11*$C374*'Business Case'!G12*$B374)-'Business Case'!G11*$C374*'Business Case'!G13*$D374-'Business Case'!G14*$E374)-MAX(0,(('Business Case'!G11*$C374*'Business Case'!G12*$B374)-'Business Case'!G11*$C374*'Business Case'!G13*$D374-'Business Case'!G14*$E374))*'Business Case'!$B$7-'Business Case'!$B$8*(('Business Case'!G11*$C374*'Business Case'!G12*$B374)-('Business Case'!F11*$C374*'Business Case'!F12*$B374))-'Business Case'!G15*$F374+'Business Case'!$B$8*('Business Case'!G11*$C374*'Business Case'!G12*$B374)</f>
        <v>1062421239.31554</v>
      </c>
      <c r="N374" s="39" t="n">
        <f aca="false">IF(COUNT('Business Case'!B11:G11)=0,"",H374+NPV(G374,I374:M374))</f>
        <v>-192804763.531385</v>
      </c>
      <c r="P374" s="40" t="n">
        <f aca="true">RAND()</f>
        <v>0.303671116254899</v>
      </c>
      <c r="Q374" s="40" t="n">
        <f aca="true">RAND()</f>
        <v>0.986418451071007</v>
      </c>
      <c r="R374" s="40" t="n">
        <f aca="true">RAND()</f>
        <v>0.367900979990799</v>
      </c>
      <c r="S374" s="40" t="n">
        <f aca="true">RAND()</f>
        <v>0.542907109983501</v>
      </c>
      <c r="T374" s="40" t="n">
        <f aca="true">RAND()</f>
        <v>0.75030790332368</v>
      </c>
      <c r="U374" s="40" t="n">
        <f aca="true">RAND()</f>
        <v>0.875759977176103</v>
      </c>
    </row>
    <row r="375" customFormat="false" ht="15" hidden="false" customHeight="false" outlineLevel="0" collapsed="false">
      <c r="A375" s="36" t="n">
        <v>295</v>
      </c>
      <c r="B375" s="37" t="n">
        <f aca="false">1+IF($G$6=$E$6,$F$6,IF(P375&lt;($F$6-$E$6)/($G$6-$E$6),$E$6+SQRT(P375*($G$6-$E$6)*($F$6-$E$6)),$G$6-SQRT((1-P375)*($G$6-$E$6)*($G$6-$F$6))))</f>
        <v>0.99269086462037</v>
      </c>
      <c r="C375" s="37" t="n">
        <f aca="false">1+IF($G$7=$E$7,$F$7,IF(Q375&lt;($F$7-$E$7)/($G$7-$E$7),$E$7+SQRT(Q375*($G$7-$E$7)*($F$7-$E$7)),$G$7-SQRT((1-Q375)*($G$7-$E$7)*($G$7-$F$7))))</f>
        <v>0.950095353001697</v>
      </c>
      <c r="D375" s="37" t="n">
        <f aca="false">1+IF($G$8=$E$8,$F$8,IF(R375&lt;($F$8-$E$8)/($G$8-$E$8),$E$8+SQRT(R375*($G$8-$E$8)*($F$8-$E$8)),$G$8-SQRT((1-R375)*($G$8-$E$8)*($G$8-$F$8))))</f>
        <v>0.968231506220752</v>
      </c>
      <c r="E375" s="37" t="n">
        <f aca="false">1+IF($G$9=$E$9,$F$9,IF(S375&lt;($F$9-$E$9)/($G$9-$E$9),$E$9+SQRT(S375*($G$9-$E$9)*($F$9-$E$9)),$G$9-SQRT((1-S375)*($G$9-$E$9)*($G$9-$F$9))))</f>
        <v>0.995110176660308</v>
      </c>
      <c r="F375" s="37" t="n">
        <f aca="false">1+IF($G$10=$E$10,$F$10,IF(T375&lt;($F$10-$E$10)/($G$10-$E$10),$E$10+SQRT(T375*($G$10-$E$10)*($F$10-$E$10)),$G$10-SQRT((1-T375)*($G$10-$E$10)*($G$10-$F$10))))</f>
        <v>1.09937153085032</v>
      </c>
      <c r="G375" s="38" t="n">
        <f aca="false">IF($G$11=$E$11,$F$11,IF(U375&lt;($F$11-$E$11)/($G$11-$E$11),$E$11+SQRT(U375*($G$11-$E$11)*($F$11-$E$11)),$G$11-SQRT((1-U375)*($G$11-$E$11)*($G$11-$F$11))))</f>
        <v>0.0967292329761751</v>
      </c>
      <c r="H375" s="39" t="n">
        <f aca="false">(('Business Case'!B11*$C375*'Business Case'!B12*$B375)-'Business Case'!B11*$C375*'Business Case'!B13*$D375-'Business Case'!B14*$E375)-MAX(0,(('Business Case'!B11*$C375*'Business Case'!B12*$B375)-'Business Case'!B11*$C375*'Business Case'!B13*$D375-'Business Case'!B14*$E375))*'Business Case'!$B$7-'Business Case'!$B$8*('Business Case'!B11*$C375*'Business Case'!B12*$B375)-'Business Case'!B15*$F375</f>
        <v>-2198743061.70065</v>
      </c>
      <c r="I375" s="39" t="n">
        <f aca="false">(('Business Case'!C11*$C375*'Business Case'!C12*$B375)-'Business Case'!C11*$C375*'Business Case'!C13*$D375-'Business Case'!C14*$E375)-MAX(0,(('Business Case'!C11*$C375*'Business Case'!C12*$B375)-'Business Case'!C11*$C375*'Business Case'!C13*$D375-'Business Case'!C14*$E375))*'Business Case'!$B$7-'Business Case'!$B$8*(('Business Case'!C11*$C375*'Business Case'!C12*$B375)-('Business Case'!B11*$C375*'Business Case'!B12*$B375))-'Business Case'!C15*$F375</f>
        <v>1252309.09846601</v>
      </c>
      <c r="J375" s="39" t="n">
        <f aca="false">(('Business Case'!D11*$C375*'Business Case'!D12*$B375)-'Business Case'!D11*$C375*'Business Case'!D13*$D375-'Business Case'!D14*$E375)-MAX(0,(('Business Case'!D11*$C375*'Business Case'!D12*$B375)-'Business Case'!D11*$C375*'Business Case'!D13*$D375-'Business Case'!D14*$E375))*'Business Case'!$B$7-'Business Case'!$B$8*(('Business Case'!D11*$C375*'Business Case'!D12*$B375)-('Business Case'!C11*$C375*'Business Case'!C12*$B375))-'Business Case'!D15*$F375</f>
        <v>302839385.073708</v>
      </c>
      <c r="K375" s="39" t="n">
        <f aca="false">(('Business Case'!E11*$C375*'Business Case'!E12*$B375)-'Business Case'!E11*$C375*'Business Case'!E13*$D375-'Business Case'!E14*$E375)-MAX(0,(('Business Case'!E11*$C375*'Business Case'!E12*$B375)-'Business Case'!E11*$C375*'Business Case'!E13*$D375-'Business Case'!E14*$E375))*'Business Case'!$B$7-'Business Case'!$B$8*(('Business Case'!E11*$C375*'Business Case'!E12*$B375)-('Business Case'!D11*$C375*'Business Case'!D12*$B375))-'Business Case'!E15*$F375</f>
        <v>659395037.591466</v>
      </c>
      <c r="L375" s="39" t="n">
        <f aca="false">(('Business Case'!F11*$C375*'Business Case'!F12*$B375)-'Business Case'!F11*$C375*'Business Case'!F13*$D375-'Business Case'!F14*$E375)-MAX(0,(('Business Case'!F11*$C375*'Business Case'!F12*$B375)-'Business Case'!F11*$C375*'Business Case'!F13*$D375-'Business Case'!F14*$E375))*'Business Case'!$B$7-'Business Case'!$B$8*(('Business Case'!F11*$C375*'Business Case'!F12*$B375)-('Business Case'!E11*$C375*'Business Case'!E12*$B375))-'Business Case'!F15*$F375</f>
        <v>792519360.696978</v>
      </c>
      <c r="M375" s="39" t="n">
        <f aca="false">(('Business Case'!G11*$C375*'Business Case'!G12*$B375)-'Business Case'!G11*$C375*'Business Case'!G13*$D375-'Business Case'!G14*$E375)-MAX(0,(('Business Case'!G11*$C375*'Business Case'!G12*$B375)-'Business Case'!G11*$C375*'Business Case'!G13*$D375-'Business Case'!G14*$E375))*'Business Case'!$B$7-'Business Case'!$B$8*(('Business Case'!G11*$C375*'Business Case'!G12*$B375)-('Business Case'!F11*$C375*'Business Case'!F12*$B375))-'Business Case'!G15*$F375+'Business Case'!$B$8*('Business Case'!G11*$C375*'Business Case'!G12*$B375)</f>
        <v>971793498.489353</v>
      </c>
      <c r="N375" s="39" t="n">
        <f aca="false">IF(COUNT('Business Case'!B11:G11)=0,"",H375+NPV(G375,I375:M375))</f>
        <v>-285720367.301708</v>
      </c>
      <c r="P375" s="40" t="n">
        <f aca="true">RAND()</f>
        <v>0.550412687422592</v>
      </c>
      <c r="Q375" s="40" t="n">
        <f aca="true">RAND()</f>
        <v>0.321837357038631</v>
      </c>
      <c r="R375" s="40" t="n">
        <f aca="true">RAND()</f>
        <v>0.0511365875503566</v>
      </c>
      <c r="S375" s="40" t="n">
        <f aca="true">RAND()</f>
        <v>0.271323738443228</v>
      </c>
      <c r="T375" s="40" t="n">
        <f aca="true">RAND()</f>
        <v>0.797478223931851</v>
      </c>
      <c r="U375" s="40" t="n">
        <f aca="true">RAND()</f>
        <v>0.150941921492143</v>
      </c>
    </row>
    <row r="376" customFormat="false" ht="15" hidden="false" customHeight="false" outlineLevel="0" collapsed="false">
      <c r="A376" s="36" t="n">
        <v>296</v>
      </c>
      <c r="B376" s="37" t="n">
        <f aca="false">1+IF($G$6=$E$6,$F$6,IF(P376&lt;($F$6-$E$6)/($G$6-$E$6),$E$6+SQRT(P376*($G$6-$E$6)*($F$6-$E$6)),$G$6-SQRT((1-P376)*($G$6-$E$6)*($G$6-$F$6))))</f>
        <v>1.03753600610582</v>
      </c>
      <c r="C376" s="37" t="n">
        <f aca="false">1+IF($G$7=$E$7,$F$7,IF(Q376&lt;($F$7-$E$7)/($G$7-$E$7),$E$7+SQRT(Q376*($G$7-$E$7)*($F$7-$E$7)),$G$7-SQRT((1-Q376)*($G$7-$E$7)*($G$7-$F$7))))</f>
        <v>0.933158075849849</v>
      </c>
      <c r="D376" s="37" t="n">
        <f aca="false">1+IF($G$8=$E$8,$F$8,IF(R376&lt;($F$8-$E$8)/($G$8-$E$8),$E$8+SQRT(R376*($G$8-$E$8)*($F$8-$E$8)),$G$8-SQRT((1-R376)*($G$8-$E$8)*($G$8-$F$8))))</f>
        <v>0.991587146056106</v>
      </c>
      <c r="E376" s="37" t="n">
        <f aca="false">1+IF($G$9=$E$9,$F$9,IF(S376&lt;($F$9-$E$9)/($G$9-$E$9),$E$9+SQRT(S376*($G$9-$E$9)*($F$9-$E$9)),$G$9-SQRT((1-S376)*($G$9-$E$9)*($G$9-$F$9))))</f>
        <v>1.00413357868474</v>
      </c>
      <c r="F376" s="37" t="n">
        <f aca="false">1+IF($G$10=$E$10,$F$10,IF(T376&lt;($F$10-$E$10)/($G$10-$E$10),$E$10+SQRT(T376*($G$10-$E$10)*($F$10-$E$10)),$G$10-SQRT((1-T376)*($G$10-$E$10)*($G$10-$F$10))))</f>
        <v>0.990991475109626</v>
      </c>
      <c r="G376" s="38" t="n">
        <f aca="false">IF($G$11=$E$11,$F$11,IF(U376&lt;($F$11-$E$11)/($G$11-$E$11),$E$11+SQRT(U376*($G$11-$E$11)*($F$11-$E$11)),$G$11-SQRT((1-U376)*($G$11-$E$11)*($G$11-$F$11))))</f>
        <v>0.0936231445316881</v>
      </c>
      <c r="H376" s="39" t="n">
        <f aca="false">(('Business Case'!B11*$C376*'Business Case'!B12*$B376)-'Business Case'!B11*$C376*'Business Case'!B13*$D376-'Business Case'!B14*$E376)-MAX(0,(('Business Case'!B11*$C376*'Business Case'!B12*$B376)-'Business Case'!B11*$C376*'Business Case'!B13*$D376-'Business Case'!B14*$E376))*'Business Case'!$B$7-'Business Case'!$B$8*('Business Case'!B11*$C376*'Business Case'!B12*$B376)-'Business Case'!B15*$F376</f>
        <v>-1981982950.21925</v>
      </c>
      <c r="I376" s="39" t="n">
        <f aca="false">(('Business Case'!C11*$C376*'Business Case'!C12*$B376)-'Business Case'!C11*$C376*'Business Case'!C13*$D376-'Business Case'!C14*$E376)-MAX(0,(('Business Case'!C11*$C376*'Business Case'!C12*$B376)-'Business Case'!C11*$C376*'Business Case'!C13*$D376-'Business Case'!C14*$E376))*'Business Case'!$B$7-'Business Case'!$B$8*(('Business Case'!C11*$C376*'Business Case'!C12*$B376)-('Business Case'!B11*$C376*'Business Case'!B12*$B376))-'Business Case'!C15*$F376</f>
        <v>27252207.9480367</v>
      </c>
      <c r="J376" s="39" t="n">
        <f aca="false">(('Business Case'!D11*$C376*'Business Case'!D12*$B376)-'Business Case'!D11*$C376*'Business Case'!D13*$D376-'Business Case'!D14*$E376)-MAX(0,(('Business Case'!D11*$C376*'Business Case'!D12*$B376)-'Business Case'!D11*$C376*'Business Case'!D13*$D376-'Business Case'!D14*$E376))*'Business Case'!$B$7-'Business Case'!$B$8*(('Business Case'!D11*$C376*'Business Case'!D12*$B376)-('Business Case'!C11*$C376*'Business Case'!C12*$B376))-'Business Case'!D15*$F376</f>
        <v>346582074.03981</v>
      </c>
      <c r="K376" s="39" t="n">
        <f aca="false">(('Business Case'!E11*$C376*'Business Case'!E12*$B376)-'Business Case'!E11*$C376*'Business Case'!E13*$D376-'Business Case'!E14*$E376)-MAX(0,(('Business Case'!E11*$C376*'Business Case'!E12*$B376)-'Business Case'!E11*$C376*'Business Case'!E13*$D376-'Business Case'!E14*$E376))*'Business Case'!$B$7-'Business Case'!$B$8*(('Business Case'!E11*$C376*'Business Case'!E12*$B376)-('Business Case'!D11*$C376*'Business Case'!D12*$B376))-'Business Case'!E15*$F376</f>
        <v>715461513.887064</v>
      </c>
      <c r="L376" s="39" t="n">
        <f aca="false">(('Business Case'!F11*$C376*'Business Case'!F12*$B376)-'Business Case'!F11*$C376*'Business Case'!F13*$D376-'Business Case'!F14*$E376)-MAX(0,(('Business Case'!F11*$C376*'Business Case'!F12*$B376)-'Business Case'!F11*$C376*'Business Case'!F13*$D376-'Business Case'!F14*$E376))*'Business Case'!$B$7-'Business Case'!$B$8*(('Business Case'!F11*$C376*'Business Case'!F12*$B376)-('Business Case'!E11*$C376*'Business Case'!E12*$B376))-'Business Case'!F15*$F376</f>
        <v>855365279.746858</v>
      </c>
      <c r="M376" s="39" t="n">
        <f aca="false">(('Business Case'!G11*$C376*'Business Case'!G12*$B376)-'Business Case'!G11*$C376*'Business Case'!G13*$D376-'Business Case'!G14*$E376)-MAX(0,(('Business Case'!G11*$C376*'Business Case'!G12*$B376)-'Business Case'!G11*$C376*'Business Case'!G13*$D376-'Business Case'!G14*$E376))*'Business Case'!$B$7-'Business Case'!$B$8*(('Business Case'!G11*$C376*'Business Case'!G12*$B376)-('Business Case'!F11*$C376*'Business Case'!F12*$B376))-'Business Case'!G15*$F376+'Business Case'!$B$8*('Business Case'!G11*$C376*'Business Case'!G12*$B376)</f>
        <v>1039397904.14081</v>
      </c>
      <c r="N376" s="39" t="n">
        <f aca="false">IF(COUNT('Business Case'!B11:G11)=0,"",H376+NPV(G376,I376:M376))</f>
        <v>142105614.999728</v>
      </c>
      <c r="P376" s="40" t="n">
        <f aca="true">RAND()</f>
        <v>0.998735152935299</v>
      </c>
      <c r="Q376" s="40" t="n">
        <f aca="true">RAND()</f>
        <v>0.253301045200489</v>
      </c>
      <c r="R376" s="40" t="n">
        <f aca="true">RAND()</f>
        <v>0.266075494937219</v>
      </c>
      <c r="S376" s="40" t="n">
        <f aca="true">RAND()</f>
        <v>0.387308617613613</v>
      </c>
      <c r="T376" s="40" t="n">
        <f aca="true">RAND()</f>
        <v>0.134424082533047</v>
      </c>
      <c r="U376" s="40" t="n">
        <f aca="true">RAND()</f>
        <v>0.0437572543250047</v>
      </c>
    </row>
    <row r="377" customFormat="false" ht="15" hidden="false" customHeight="false" outlineLevel="0" collapsed="false">
      <c r="A377" s="36" t="n">
        <v>297</v>
      </c>
      <c r="B377" s="37" t="n">
        <f aca="false">1+IF($G$6=$E$6,$F$6,IF(P377&lt;($F$6-$E$6)/($G$6-$E$6),$E$6+SQRT(P377*($G$6-$E$6)*($F$6-$E$6)),$G$6-SQRT((1-P377)*($G$6-$E$6)*($G$6-$F$6))))</f>
        <v>0.962007389077032</v>
      </c>
      <c r="C377" s="37" t="n">
        <f aca="false">1+IF($G$7=$E$7,$F$7,IF(Q377&lt;($F$7-$E$7)/($G$7-$E$7),$E$7+SQRT(Q377*($G$7-$E$7)*($F$7-$E$7)),$G$7-SQRT((1-Q377)*($G$7-$E$7)*($G$7-$F$7))))</f>
        <v>1.05108519225061</v>
      </c>
      <c r="D377" s="37" t="n">
        <f aca="false">1+IF($G$8=$E$8,$F$8,IF(R377&lt;($F$8-$E$8)/($G$8-$E$8),$E$8+SQRT(R377*($G$8-$E$8)*($F$8-$E$8)),$G$8-SQRT((1-R377)*($G$8-$E$8)*($G$8-$F$8))))</f>
        <v>1.02629335419539</v>
      </c>
      <c r="E377" s="37" t="n">
        <f aca="false">1+IF($G$9=$E$9,$F$9,IF(S377&lt;($F$9-$E$9)/($G$9-$E$9),$E$9+SQRT(S377*($G$9-$E$9)*($F$9-$E$9)),$G$9-SQRT((1-S377)*($G$9-$E$9)*($G$9-$F$9))))</f>
        <v>1.035147521674</v>
      </c>
      <c r="F377" s="37" t="n">
        <f aca="false">1+IF($G$10=$E$10,$F$10,IF(T377&lt;($F$10-$E$10)/($G$10-$E$10),$E$10+SQRT(T377*($G$10-$E$10)*($F$10-$E$10)),$G$10-SQRT((1-T377)*($G$10-$E$10)*($G$10-$F$10))))</f>
        <v>1.10098456022657</v>
      </c>
      <c r="G377" s="38" t="n">
        <f aca="false">IF($G$11=$E$11,$F$11,IF(U377&lt;($F$11-$E$11)/($G$11-$E$11),$E$11+SQRT(U377*($G$11-$E$11)*($F$11-$E$11)),$G$11-SQRT((1-U377)*($G$11-$E$11)*($G$11-$F$11))))</f>
        <v>0.0929341799581667</v>
      </c>
      <c r="H377" s="39" t="n">
        <f aca="false">(('Business Case'!B11*$C377*'Business Case'!B12*$B377)-'Business Case'!B11*$C377*'Business Case'!B13*$D377-'Business Case'!B14*$E377)-MAX(0,(('Business Case'!B11*$C377*'Business Case'!B12*$B377)-'Business Case'!B11*$C377*'Business Case'!B13*$D377-'Business Case'!B14*$E377))*'Business Case'!$B$7-'Business Case'!$B$8*('Business Case'!B11*$C377*'Business Case'!B12*$B377)-'Business Case'!B15*$F377</f>
        <v>-2201969120.45315</v>
      </c>
      <c r="I377" s="39" t="n">
        <f aca="false">(('Business Case'!C11*$C377*'Business Case'!C12*$B377)-'Business Case'!C11*$C377*'Business Case'!C13*$D377-'Business Case'!C14*$E377)-MAX(0,(('Business Case'!C11*$C377*'Business Case'!C12*$B377)-'Business Case'!C11*$C377*'Business Case'!C13*$D377-'Business Case'!C14*$E377))*'Business Case'!$B$7-'Business Case'!$B$8*(('Business Case'!C11*$C377*'Business Case'!C12*$B377)-('Business Case'!B11*$C377*'Business Case'!B12*$B377))-'Business Case'!C15*$F377</f>
        <v>-33727712.9991955</v>
      </c>
      <c r="J377" s="39" t="n">
        <f aca="false">(('Business Case'!D11*$C377*'Business Case'!D12*$B377)-'Business Case'!D11*$C377*'Business Case'!D13*$D377-'Business Case'!D14*$E377)-MAX(0,(('Business Case'!D11*$C377*'Business Case'!D12*$B377)-'Business Case'!D11*$C377*'Business Case'!D13*$D377-'Business Case'!D14*$E377))*'Business Case'!$B$7-'Business Case'!$B$8*(('Business Case'!D11*$C377*'Business Case'!D12*$B377)-('Business Case'!C11*$C377*'Business Case'!C12*$B377))-'Business Case'!D15*$F377</f>
        <v>242259112.848586</v>
      </c>
      <c r="K377" s="39" t="n">
        <f aca="false">(('Business Case'!E11*$C377*'Business Case'!E12*$B377)-'Business Case'!E11*$C377*'Business Case'!E13*$D377-'Business Case'!E14*$E377)-MAX(0,(('Business Case'!E11*$C377*'Business Case'!E12*$B377)-'Business Case'!E11*$C377*'Business Case'!E13*$D377-'Business Case'!E14*$E377))*'Business Case'!$B$7-'Business Case'!$B$8*(('Business Case'!E11*$C377*'Business Case'!E12*$B377)-('Business Case'!D11*$C377*'Business Case'!D12*$B377))-'Business Case'!E15*$F377</f>
        <v>573295166.707697</v>
      </c>
      <c r="L377" s="39" t="n">
        <f aca="false">(('Business Case'!F11*$C377*'Business Case'!F12*$B377)-'Business Case'!F11*$C377*'Business Case'!F13*$D377-'Business Case'!F14*$E377)-MAX(0,(('Business Case'!F11*$C377*'Business Case'!F12*$B377)-'Business Case'!F11*$C377*'Business Case'!F13*$D377-'Business Case'!F14*$E377))*'Business Case'!$B$7-'Business Case'!$B$8*(('Business Case'!F11*$C377*'Business Case'!F12*$B377)-('Business Case'!E11*$C377*'Business Case'!E12*$B377))-'Business Case'!F15*$F377</f>
        <v>700236178.818475</v>
      </c>
      <c r="M377" s="39" t="n">
        <f aca="false">(('Business Case'!G11*$C377*'Business Case'!G12*$B377)-'Business Case'!G11*$C377*'Business Case'!G13*$D377-'Business Case'!G14*$E377)-MAX(0,(('Business Case'!G11*$C377*'Business Case'!G12*$B377)-'Business Case'!G11*$C377*'Business Case'!G13*$D377-'Business Case'!G14*$E377))*'Business Case'!$B$7-'Business Case'!$B$8*(('Business Case'!G11*$C377*'Business Case'!G12*$B377)-('Business Case'!F11*$C377*'Business Case'!F12*$B377))-'Business Case'!G15*$F377+'Business Case'!$B$8*('Business Case'!G11*$C377*'Business Case'!G12*$B377)</f>
        <v>892435898.040157</v>
      </c>
      <c r="N377" s="39" t="n">
        <f aca="false">IF(COUNT('Business Case'!B11:G11)=0,"",H377+NPV(G377,I377:M377))</f>
        <v>-527847248.764639</v>
      </c>
      <c r="P377" s="40" t="n">
        <f aca="true">RAND()</f>
        <v>0.183814660111365</v>
      </c>
      <c r="Q377" s="40" t="n">
        <f aca="true">RAND()</f>
        <v>0.813635443960026</v>
      </c>
      <c r="R377" s="40" t="n">
        <f aca="true">RAND()</f>
        <v>0.722653480424849</v>
      </c>
      <c r="S377" s="40" t="n">
        <f aca="true">RAND()</f>
        <v>0.719610403665046</v>
      </c>
      <c r="T377" s="40" t="n">
        <f aca="true">RAND()</f>
        <v>0.803918853729497</v>
      </c>
      <c r="U377" s="40" t="n">
        <f aca="true">RAND()</f>
        <v>0.028698040089691</v>
      </c>
    </row>
    <row r="378" customFormat="false" ht="15" hidden="false" customHeight="false" outlineLevel="0" collapsed="false">
      <c r="A378" s="36" t="n">
        <v>298</v>
      </c>
      <c r="B378" s="37" t="n">
        <f aca="false">1+IF($G$6=$E$6,$F$6,IF(P378&lt;($F$6-$E$6)/($G$6-$E$6),$E$6+SQRT(P378*($G$6-$E$6)*($F$6-$E$6)),$G$6-SQRT((1-P378)*($G$6-$E$6)*($G$6-$F$6))))</f>
        <v>1.00164936040055</v>
      </c>
      <c r="C378" s="37" t="n">
        <f aca="false">1+IF($G$7=$E$7,$F$7,IF(Q378&lt;($F$7-$E$7)/($G$7-$E$7),$E$7+SQRT(Q378*($G$7-$E$7)*($F$7-$E$7)),$G$7-SQRT((1-Q378)*($G$7-$E$7)*($G$7-$F$7))))</f>
        <v>1.13068910225552</v>
      </c>
      <c r="D378" s="37" t="n">
        <f aca="false">1+IF($G$8=$E$8,$F$8,IF(R378&lt;($F$8-$E$8)/($G$8-$E$8),$E$8+SQRT(R378*($G$8-$E$8)*($F$8-$E$8)),$G$8-SQRT((1-R378)*($G$8-$E$8)*($G$8-$F$8))))</f>
        <v>1.00264700741521</v>
      </c>
      <c r="E378" s="37" t="n">
        <f aca="false">1+IF($G$9=$E$9,$F$9,IF(S378&lt;($F$9-$E$9)/($G$9-$E$9),$E$9+SQRT(S378*($G$9-$E$9)*($F$9-$E$9)),$G$9-SQRT((1-S378)*($G$9-$E$9)*($G$9-$F$9))))</f>
        <v>0.982875375949495</v>
      </c>
      <c r="F378" s="37" t="n">
        <f aca="false">1+IF($G$10=$E$10,$F$10,IF(T378&lt;($F$10-$E$10)/($G$10-$E$10),$E$10+SQRT(T378*($G$10-$E$10)*($F$10-$E$10)),$G$10-SQRT((1-T378)*($G$10-$E$10)*($G$10-$F$10))))</f>
        <v>1.07248462316583</v>
      </c>
      <c r="G378" s="38" t="n">
        <f aca="false">IF($G$11=$E$11,$F$11,IF(U378&lt;($F$11-$E$11)/($G$11-$E$11),$E$11+SQRT(U378*($G$11-$E$11)*($F$11-$E$11)),$G$11-SQRT((1-U378)*($G$11-$E$11)*($G$11-$F$11))))</f>
        <v>0.0976596314517281</v>
      </c>
      <c r="H378" s="39" t="n">
        <f aca="false">(('Business Case'!B11*$C378*'Business Case'!B12*$B378)-'Business Case'!B11*$C378*'Business Case'!B13*$D378-'Business Case'!B14*$E378)-MAX(0,(('Business Case'!B11*$C378*'Business Case'!B12*$B378)-'Business Case'!B11*$C378*'Business Case'!B13*$D378-'Business Case'!B14*$E378))*'Business Case'!$B$7-'Business Case'!$B$8*('Business Case'!B11*$C378*'Business Case'!B12*$B378)-'Business Case'!B15*$F378</f>
        <v>-2144969246.33165</v>
      </c>
      <c r="I378" s="39" t="n">
        <f aca="false">(('Business Case'!C11*$C378*'Business Case'!C12*$B378)-'Business Case'!C11*$C378*'Business Case'!C13*$D378-'Business Case'!C14*$E378)-MAX(0,(('Business Case'!C11*$C378*'Business Case'!C12*$B378)-'Business Case'!C11*$C378*'Business Case'!C13*$D378-'Business Case'!C14*$E378))*'Business Case'!$B$7-'Business Case'!$B$8*(('Business Case'!C11*$C378*'Business Case'!C12*$B378)-('Business Case'!B11*$C378*'Business Case'!B12*$B378))-'Business Case'!C15*$F378</f>
        <v>41563829.7736911</v>
      </c>
      <c r="J378" s="39" t="n">
        <f aca="false">(('Business Case'!D11*$C378*'Business Case'!D12*$B378)-'Business Case'!D11*$C378*'Business Case'!D13*$D378-'Business Case'!D14*$E378)-MAX(0,(('Business Case'!D11*$C378*'Business Case'!D12*$B378)-'Business Case'!D11*$C378*'Business Case'!D13*$D378-'Business Case'!D14*$E378))*'Business Case'!$B$7-'Business Case'!$B$8*(('Business Case'!D11*$C378*'Business Case'!D12*$B378)-('Business Case'!C11*$C378*'Business Case'!C12*$B378))-'Business Case'!D15*$F378</f>
        <v>388852600.517887</v>
      </c>
      <c r="K378" s="39" t="n">
        <f aca="false">(('Business Case'!E11*$C378*'Business Case'!E12*$B378)-'Business Case'!E11*$C378*'Business Case'!E13*$D378-'Business Case'!E14*$E378)-MAX(0,(('Business Case'!E11*$C378*'Business Case'!E12*$B378)-'Business Case'!E11*$C378*'Business Case'!E13*$D378-'Business Case'!E14*$E378))*'Business Case'!$B$7-'Business Case'!$B$8*(('Business Case'!E11*$C378*'Business Case'!E12*$B378)-('Business Case'!D11*$C378*'Business Case'!D12*$B378))-'Business Case'!E15*$F378</f>
        <v>789765602.420374</v>
      </c>
      <c r="L378" s="39" t="n">
        <f aca="false">(('Business Case'!F11*$C378*'Business Case'!F12*$B378)-'Business Case'!F11*$C378*'Business Case'!F13*$D378-'Business Case'!F14*$E378)-MAX(0,(('Business Case'!F11*$C378*'Business Case'!F12*$B378)-'Business Case'!F11*$C378*'Business Case'!F13*$D378-'Business Case'!F14*$E378))*'Business Case'!$B$7-'Business Case'!$B$8*(('Business Case'!F11*$C378*'Business Case'!F12*$B378)-('Business Case'!E11*$C378*'Business Case'!E12*$B378))-'Business Case'!F15*$F378</f>
        <v>944669592.797709</v>
      </c>
      <c r="M378" s="39" t="n">
        <f aca="false">(('Business Case'!G11*$C378*'Business Case'!G12*$B378)-'Business Case'!G11*$C378*'Business Case'!G13*$D378-'Business Case'!G14*$E378)-MAX(0,(('Business Case'!G11*$C378*'Business Case'!G12*$B378)-'Business Case'!G11*$C378*'Business Case'!G13*$D378-'Business Case'!G14*$E378))*'Business Case'!$B$7-'Business Case'!$B$8*(('Business Case'!G11*$C378*'Business Case'!G12*$B378)-('Business Case'!F11*$C378*'Business Case'!F12*$B378))-'Business Case'!G15*$F378+'Business Case'!$B$8*('Business Case'!G11*$C378*'Business Case'!G12*$B378)</f>
        <v>1159945460.17536</v>
      </c>
      <c r="N378" s="39" t="n">
        <f aca="false">IF(COUNT('Business Case'!B11:G11)=0,"",H378+NPV(G378,I378:M378))</f>
        <v>191488745.353085</v>
      </c>
      <c r="P378" s="40" t="n">
        <f aca="true">RAND()</f>
        <v>0.693589258815201</v>
      </c>
      <c r="Q378" s="40" t="n">
        <f aca="true">RAND()</f>
        <v>0.992896937681949</v>
      </c>
      <c r="R378" s="40" t="n">
        <f aca="true">RAND()</f>
        <v>0.424664859440095</v>
      </c>
      <c r="S378" s="40" t="n">
        <f aca="true">RAND()</f>
        <v>0.144105379176081</v>
      </c>
      <c r="T378" s="40" t="n">
        <f aca="true">RAND()</f>
        <v>0.674796573416772</v>
      </c>
      <c r="U378" s="40" t="n">
        <f aca="true">RAND()</f>
        <v>0.195566513254341</v>
      </c>
    </row>
    <row r="379" customFormat="false" ht="15" hidden="false" customHeight="false" outlineLevel="0" collapsed="false">
      <c r="A379" s="36" t="n">
        <v>299</v>
      </c>
      <c r="B379" s="37" t="n">
        <f aca="false">1+IF($G$6=$E$6,$F$6,IF(P379&lt;($F$6-$E$6)/($G$6-$E$6),$E$6+SQRT(P379*($G$6-$E$6)*($F$6-$E$6)),$G$6-SQRT((1-P379)*($G$6-$E$6)*($G$6-$F$6))))</f>
        <v>0.979521296236672</v>
      </c>
      <c r="C379" s="37" t="n">
        <f aca="false">1+IF($G$7=$E$7,$F$7,IF(Q379&lt;($F$7-$E$7)/($G$7-$E$7),$E$7+SQRT(Q379*($G$7-$E$7)*($F$7-$E$7)),$G$7-SQRT((1-Q379)*($G$7-$E$7)*($G$7-$F$7))))</f>
        <v>0.977138154841457</v>
      </c>
      <c r="D379" s="37" t="n">
        <f aca="false">1+IF($G$8=$E$8,$F$8,IF(R379&lt;($F$8-$E$8)/($G$8-$E$8),$E$8+SQRT(R379*($G$8-$E$8)*($F$8-$E$8)),$G$8-SQRT((1-R379)*($G$8-$E$8)*($G$8-$F$8))))</f>
        <v>1.02036151578234</v>
      </c>
      <c r="E379" s="37" t="n">
        <f aca="false">1+IF($G$9=$E$9,$F$9,IF(S379&lt;($F$9-$E$9)/($G$9-$E$9),$E$9+SQRT(S379*($G$9-$E$9)*($F$9-$E$9)),$G$9-SQRT((1-S379)*($G$9-$E$9)*($G$9-$F$9))))</f>
        <v>0.988615726734076</v>
      </c>
      <c r="F379" s="37" t="n">
        <f aca="false">1+IF($G$10=$E$10,$F$10,IF(T379&lt;($F$10-$E$10)/($G$10-$E$10),$E$10+SQRT(T379*($G$10-$E$10)*($F$10-$E$10)),$G$10-SQRT((1-T379)*($G$10-$E$10)*($G$10-$F$10))))</f>
        <v>1.06670835977282</v>
      </c>
      <c r="G379" s="38" t="n">
        <f aca="false">IF($G$11=$E$11,$F$11,IF(U379&lt;($F$11-$E$11)/($G$11-$E$11),$E$11+SQRT(U379*($G$11-$E$11)*($F$11-$E$11)),$G$11-SQRT((1-U379)*($G$11-$E$11)*($G$11-$F$11))))</f>
        <v>0.0967337268363227</v>
      </c>
      <c r="H379" s="39" t="n">
        <f aca="false">(('Business Case'!B11*$C379*'Business Case'!B12*$B379)-'Business Case'!B11*$C379*'Business Case'!B13*$D379-'Business Case'!B14*$E379)-MAX(0,(('Business Case'!B11*$C379*'Business Case'!B12*$B379)-'Business Case'!B11*$C379*'Business Case'!B13*$D379-'Business Case'!B14*$E379))*'Business Case'!$B$7-'Business Case'!$B$8*('Business Case'!B11*$C379*'Business Case'!B12*$B379)-'Business Case'!B15*$F379</f>
        <v>-2133416719.54563</v>
      </c>
      <c r="I379" s="39" t="n">
        <f aca="false">(('Business Case'!C11*$C379*'Business Case'!C12*$B379)-'Business Case'!C11*$C379*'Business Case'!C13*$D379-'Business Case'!C14*$E379)-MAX(0,(('Business Case'!C11*$C379*'Business Case'!C12*$B379)-'Business Case'!C11*$C379*'Business Case'!C13*$D379-'Business Case'!C14*$E379))*'Business Case'!$B$7-'Business Case'!$B$8*(('Business Case'!C11*$C379*'Business Case'!C12*$B379)-('Business Case'!B11*$C379*'Business Case'!B12*$B379))-'Business Case'!C15*$F379</f>
        <v>-23314776.6327461</v>
      </c>
      <c r="J379" s="39" t="n">
        <f aca="false">(('Business Case'!D11*$C379*'Business Case'!D12*$B379)-'Business Case'!D11*$C379*'Business Case'!D13*$D379-'Business Case'!D14*$E379)-MAX(0,(('Business Case'!D11*$C379*'Business Case'!D12*$B379)-'Business Case'!D11*$C379*'Business Case'!D13*$D379-'Business Case'!D14*$E379))*'Business Case'!$B$7-'Business Case'!$B$8*(('Business Case'!D11*$C379*'Business Case'!D12*$B379)-('Business Case'!C11*$C379*'Business Case'!C12*$B379))-'Business Case'!D15*$F379</f>
        <v>250239935.497946</v>
      </c>
      <c r="K379" s="39" t="n">
        <f aca="false">(('Business Case'!E11*$C379*'Business Case'!E12*$B379)-'Business Case'!E11*$C379*'Business Case'!E13*$D379-'Business Case'!E14*$E379)-MAX(0,(('Business Case'!E11*$C379*'Business Case'!E12*$B379)-'Business Case'!E11*$C379*'Business Case'!E13*$D379-'Business Case'!E14*$E379))*'Business Case'!$B$7-'Business Case'!$B$8*(('Business Case'!E11*$C379*'Business Case'!E12*$B379)-('Business Case'!D11*$C379*'Business Case'!D12*$B379))-'Business Case'!E15*$F379</f>
        <v>577130065.617279</v>
      </c>
      <c r="L379" s="39" t="n">
        <f aca="false">(('Business Case'!F11*$C379*'Business Case'!F12*$B379)-'Business Case'!F11*$C379*'Business Case'!F13*$D379-'Business Case'!F14*$E379)-MAX(0,(('Business Case'!F11*$C379*'Business Case'!F12*$B379)-'Business Case'!F11*$C379*'Business Case'!F13*$D379-'Business Case'!F14*$E379))*'Business Case'!$B$7-'Business Case'!$B$8*(('Business Case'!F11*$C379*'Business Case'!F12*$B379)-('Business Case'!E11*$C379*'Business Case'!E12*$B379))-'Business Case'!F15*$F379</f>
        <v>701393300.623889</v>
      </c>
      <c r="M379" s="39" t="n">
        <f aca="false">(('Business Case'!G11*$C379*'Business Case'!G12*$B379)-'Business Case'!G11*$C379*'Business Case'!G13*$D379-'Business Case'!G14*$E379)-MAX(0,(('Business Case'!G11*$C379*'Business Case'!G12*$B379)-'Business Case'!G11*$C379*'Business Case'!G13*$D379-'Business Case'!G14*$E379))*'Business Case'!$B$7-'Business Case'!$B$8*(('Business Case'!G11*$C379*'Business Case'!G12*$B379)-('Business Case'!F11*$C379*'Business Case'!F12*$B379))-'Business Case'!G15*$F379+'Business Case'!$B$8*('Business Case'!G11*$C379*'Business Case'!G12*$B379)</f>
        <v>883324120.920649</v>
      </c>
      <c r="N379" s="39" t="n">
        <f aca="false">IF(COUNT('Business Case'!B11:G11)=0,"",H379+NPV(G379,I379:M379))</f>
        <v>-467655178.740822</v>
      </c>
      <c r="P379" s="40" t="n">
        <f aca="true">RAND()</f>
        <v>0.369040073509757</v>
      </c>
      <c r="Q379" s="40" t="n">
        <f aca="true">RAND()</f>
        <v>0.4482560842948</v>
      </c>
      <c r="R379" s="40" t="n">
        <f aca="true">RAND()</f>
        <v>0.658004923098119</v>
      </c>
      <c r="S379" s="40" t="n">
        <f aca="true">RAND()</f>
        <v>0.19882324682678</v>
      </c>
      <c r="T379" s="40" t="n">
        <f aca="true">RAND()</f>
        <v>0.644666772910937</v>
      </c>
      <c r="U379" s="40" t="n">
        <f aca="true">RAND()</f>
        <v>0.151143590354043</v>
      </c>
    </row>
    <row r="380" customFormat="false" ht="15" hidden="false" customHeight="false" outlineLevel="0" collapsed="false">
      <c r="A380" s="36" t="n">
        <v>300</v>
      </c>
      <c r="B380" s="37" t="n">
        <f aca="false">1+IF($G$6=$E$6,$F$6,IF(P380&lt;($F$6-$E$6)/($G$6-$E$6),$E$6+SQRT(P380*($G$6-$E$6)*($F$6-$E$6)),$G$6-SQRT((1-P380)*($G$6-$E$6)*($G$6-$F$6))))</f>
        <v>0.998344264667763</v>
      </c>
      <c r="C380" s="37" t="n">
        <f aca="false">1+IF($G$7=$E$7,$F$7,IF(Q380&lt;($F$7-$E$7)/($G$7-$E$7),$E$7+SQRT(Q380*($G$7-$E$7)*($F$7-$E$7)),$G$7-SQRT((1-Q380)*($G$7-$E$7)*($G$7-$F$7))))</f>
        <v>0.993796831699596</v>
      </c>
      <c r="D380" s="37" t="n">
        <f aca="false">1+IF($G$8=$E$8,$F$8,IF(R380&lt;($F$8-$E$8)/($G$8-$E$8),$E$8+SQRT(R380*($G$8-$E$8)*($F$8-$E$8)),$G$8-SQRT((1-R380)*($G$8-$E$8)*($G$8-$F$8))))</f>
        <v>1.02539670418451</v>
      </c>
      <c r="E380" s="37" t="n">
        <f aca="false">1+IF($G$9=$E$9,$F$9,IF(S380&lt;($F$9-$E$9)/($G$9-$E$9),$E$9+SQRT(S380*($G$9-$E$9)*($F$9-$E$9)),$G$9-SQRT((1-S380)*($G$9-$E$9)*($G$9-$F$9))))</f>
        <v>0.964751319614834</v>
      </c>
      <c r="F380" s="37" t="n">
        <f aca="false">1+IF($G$10=$E$10,$F$10,IF(T380&lt;($F$10-$E$10)/($G$10-$E$10),$E$10+SQRT(T380*($G$10-$E$10)*($F$10-$E$10)),$G$10-SQRT((1-T380)*($G$10-$E$10)*($G$10-$F$10))))</f>
        <v>1.06483535680278</v>
      </c>
      <c r="G380" s="38" t="n">
        <f aca="false">IF($G$11=$E$11,$F$11,IF(U380&lt;($F$11-$E$11)/($G$11-$E$11),$E$11+SQRT(U380*($G$11-$E$11)*($F$11-$E$11)),$G$11-SQRT((1-U380)*($G$11-$E$11)*($G$11-$F$11))))</f>
        <v>0.110135251840515</v>
      </c>
      <c r="H380" s="39" t="n">
        <f aca="false">(('Business Case'!B11*$C380*'Business Case'!B12*$B380)-'Business Case'!B11*$C380*'Business Case'!B13*$D380-'Business Case'!B14*$E380)-MAX(0,(('Business Case'!B11*$C380*'Business Case'!B12*$B380)-'Business Case'!B11*$C380*'Business Case'!B13*$D380-'Business Case'!B14*$E380))*'Business Case'!$B$7-'Business Case'!$B$8*('Business Case'!B11*$C380*'Business Case'!B12*$B380)-'Business Case'!B15*$F380</f>
        <v>-2129670713.60555</v>
      </c>
      <c r="I380" s="39" t="n">
        <f aca="false">(('Business Case'!C11*$C380*'Business Case'!C12*$B380)-'Business Case'!C11*$C380*'Business Case'!C13*$D380-'Business Case'!C14*$E380)-MAX(0,(('Business Case'!C11*$C380*'Business Case'!C12*$B380)-'Business Case'!C11*$C380*'Business Case'!C13*$D380-'Business Case'!C14*$E380))*'Business Case'!$B$7-'Business Case'!$B$8*(('Business Case'!C11*$C380*'Business Case'!C12*$B380)-('Business Case'!B11*$C380*'Business Case'!B12*$B380))-'Business Case'!C15*$F380</f>
        <v>-4125802.58864421</v>
      </c>
      <c r="J380" s="39" t="n">
        <f aca="false">(('Business Case'!D11*$C380*'Business Case'!D12*$B380)-'Business Case'!D11*$C380*'Business Case'!D13*$D380-'Business Case'!D14*$E380)-MAX(0,(('Business Case'!D11*$C380*'Business Case'!D12*$B380)-'Business Case'!D11*$C380*'Business Case'!D13*$D380-'Business Case'!D14*$E380))*'Business Case'!$B$7-'Business Case'!$B$8*(('Business Case'!D11*$C380*'Business Case'!D12*$B380)-('Business Case'!C11*$C380*'Business Case'!C12*$B380))-'Business Case'!D15*$F380</f>
        <v>286852695.02643</v>
      </c>
      <c r="K380" s="39" t="n">
        <f aca="false">(('Business Case'!E11*$C380*'Business Case'!E12*$B380)-'Business Case'!E11*$C380*'Business Case'!E13*$D380-'Business Case'!E14*$E380)-MAX(0,(('Business Case'!E11*$C380*'Business Case'!E12*$B380)-'Business Case'!E11*$C380*'Business Case'!E13*$D380-'Business Case'!E14*$E380))*'Business Case'!$B$7-'Business Case'!$B$8*(('Business Case'!E11*$C380*'Business Case'!E12*$B380)-('Business Case'!D11*$C380*'Business Case'!D12*$B380))-'Business Case'!E15*$F380</f>
        <v>631072960.481642</v>
      </c>
      <c r="L380" s="39" t="n">
        <f aca="false">(('Business Case'!F11*$C380*'Business Case'!F12*$B380)-'Business Case'!F11*$C380*'Business Case'!F13*$D380-'Business Case'!F14*$E380)-MAX(0,(('Business Case'!F11*$C380*'Business Case'!F12*$B380)-'Business Case'!F11*$C380*'Business Case'!F13*$D380-'Business Case'!F14*$E380))*'Business Case'!$B$7-'Business Case'!$B$8*(('Business Case'!F11*$C380*'Business Case'!F12*$B380)-('Business Case'!E11*$C380*'Business Case'!E12*$B380))-'Business Case'!F15*$F380</f>
        <v>762354544.269475</v>
      </c>
      <c r="M380" s="39" t="n">
        <f aca="false">(('Business Case'!G11*$C380*'Business Case'!G12*$B380)-'Business Case'!G11*$C380*'Business Case'!G13*$D380-'Business Case'!G14*$E380)-MAX(0,(('Business Case'!G11*$C380*'Business Case'!G12*$B380)-'Business Case'!G11*$C380*'Business Case'!G13*$D380-'Business Case'!G14*$E380))*'Business Case'!$B$7-'Business Case'!$B$8*(('Business Case'!G11*$C380*'Business Case'!G12*$B380)-('Business Case'!F11*$C380*'Business Case'!F12*$B380))-'Business Case'!G15*$F380+'Business Case'!$B$8*('Business Case'!G11*$C380*'Business Case'!G12*$B380)</f>
        <v>950942676.141583</v>
      </c>
      <c r="N380" s="39" t="n">
        <f aca="false">IF(COUNT('Business Case'!B11:G11)=0,"",H380+NPV(G380,I380:M380))</f>
        <v>-373425004.388935</v>
      </c>
      <c r="P380" s="40" t="n">
        <f aca="true">RAND()</f>
        <v>0.63935664649296</v>
      </c>
      <c r="Q380" s="40" t="n">
        <f aca="true">RAND()</f>
        <v>0.536531599668591</v>
      </c>
      <c r="R380" s="40" t="n">
        <f aca="true">RAND()</f>
        <v>0.713315392892894</v>
      </c>
      <c r="S380" s="40" t="n">
        <f aca="true">RAND()</f>
        <v>0.0290135240505324</v>
      </c>
      <c r="T380" s="40" t="n">
        <f aca="true">RAND()</f>
        <v>0.634610384587344</v>
      </c>
      <c r="U380" s="40" t="n">
        <f aca="true">RAND()</f>
        <v>0.837811239583219</v>
      </c>
    </row>
    <row r="381" customFormat="false" ht="15" hidden="false" customHeight="false" outlineLevel="0" collapsed="false">
      <c r="A381" s="36" t="n">
        <v>301</v>
      </c>
      <c r="B381" s="37" t="n">
        <f aca="false">1+IF($G$6=$E$6,$F$6,IF(P381&lt;($F$6-$E$6)/($G$6-$E$6),$E$6+SQRT(P381*($G$6-$E$6)*($F$6-$E$6)),$G$6-SQRT((1-P381)*($G$6-$E$6)*($G$6-$F$6))))</f>
        <v>1.01630058651853</v>
      </c>
      <c r="C381" s="37" t="n">
        <f aca="false">1+IF($G$7=$E$7,$F$7,IF(Q381&lt;($F$7-$E$7)/($G$7-$E$7),$E$7+SQRT(Q381*($G$7-$E$7)*($F$7-$E$7)),$G$7-SQRT((1-Q381)*($G$7-$E$7)*($G$7-$F$7))))</f>
        <v>0.991168617058166</v>
      </c>
      <c r="D381" s="37" t="n">
        <f aca="false">1+IF($G$8=$E$8,$F$8,IF(R381&lt;($F$8-$E$8)/($G$8-$E$8),$E$8+SQRT(R381*($G$8-$E$8)*($F$8-$E$8)),$G$8-SQRT((1-R381)*($G$8-$E$8)*($G$8-$F$8))))</f>
        <v>0.985091593556754</v>
      </c>
      <c r="E381" s="37" t="n">
        <f aca="false">1+IF($G$9=$E$9,$F$9,IF(S381&lt;($F$9-$E$9)/($G$9-$E$9),$E$9+SQRT(S381*($G$9-$E$9)*($F$9-$E$9)),$G$9-SQRT((1-S381)*($G$9-$E$9)*($G$9-$F$9))))</f>
        <v>1.00532920999597</v>
      </c>
      <c r="F381" s="37" t="n">
        <f aca="false">1+IF($G$10=$E$10,$F$10,IF(T381&lt;($F$10-$E$10)/($G$10-$E$10),$E$10+SQRT(T381*($G$10-$E$10)*($F$10-$E$10)),$G$10-SQRT((1-T381)*($G$10-$E$10)*($G$10-$F$10))))</f>
        <v>1.02994922522831</v>
      </c>
      <c r="G381" s="38" t="n">
        <f aca="false">IF($G$11=$E$11,$F$11,IF(U381&lt;($F$11-$E$11)/($G$11-$E$11),$E$11+SQRT(U381*($G$11-$E$11)*($F$11-$E$11)),$G$11-SQRT((1-U381)*($G$11-$E$11)*($G$11-$F$11))))</f>
        <v>0.105595667133596</v>
      </c>
      <c r="H381" s="39" t="n">
        <f aca="false">(('Business Case'!B11*$C381*'Business Case'!B12*$B381)-'Business Case'!B11*$C381*'Business Case'!B13*$D381-'Business Case'!B14*$E381)-MAX(0,(('Business Case'!B11*$C381*'Business Case'!B12*$B381)-'Business Case'!B11*$C381*'Business Case'!B13*$D381-'Business Case'!B14*$E381))*'Business Case'!$B$7-'Business Case'!$B$8*('Business Case'!B11*$C381*'Business Case'!B12*$B381)-'Business Case'!B15*$F381</f>
        <v>-2059898450.45662</v>
      </c>
      <c r="I381" s="39" t="n">
        <f aca="false">(('Business Case'!C11*$C381*'Business Case'!C12*$B381)-'Business Case'!C11*$C381*'Business Case'!C13*$D381-'Business Case'!C14*$E381)-MAX(0,(('Business Case'!C11*$C381*'Business Case'!C12*$B381)-'Business Case'!C11*$C381*'Business Case'!C13*$D381-'Business Case'!C14*$E381))*'Business Case'!$B$7-'Business Case'!$B$8*(('Business Case'!C11*$C381*'Business Case'!C12*$B381)-('Business Case'!B11*$C381*'Business Case'!B12*$B381))-'Business Case'!C15*$F381</f>
        <v>27064900.2604026</v>
      </c>
      <c r="J381" s="39" t="n">
        <f aca="false">(('Business Case'!D11*$C381*'Business Case'!D12*$B381)-'Business Case'!D11*$C381*'Business Case'!D13*$D381-'Business Case'!D14*$E381)-MAX(0,(('Business Case'!D11*$C381*'Business Case'!D12*$B381)-'Business Case'!D11*$C381*'Business Case'!D13*$D381-'Business Case'!D14*$E381))*'Business Case'!$B$7-'Business Case'!$B$8*(('Business Case'!D11*$C381*'Business Case'!D12*$B381)-('Business Case'!C11*$C381*'Business Case'!C12*$B381))-'Business Case'!D15*$F381</f>
        <v>352302277.502025</v>
      </c>
      <c r="K381" s="39" t="n">
        <f aca="false">(('Business Case'!E11*$C381*'Business Case'!E12*$B381)-'Business Case'!E11*$C381*'Business Case'!E13*$D381-'Business Case'!E14*$E381)-MAX(0,(('Business Case'!E11*$C381*'Business Case'!E12*$B381)-'Business Case'!E11*$C381*'Business Case'!E13*$D381-'Business Case'!E14*$E381))*'Business Case'!$B$7-'Business Case'!$B$8*(('Business Case'!E11*$C381*'Business Case'!E12*$B381)-('Business Case'!D11*$C381*'Business Case'!D12*$B381))-'Business Case'!E15*$F381</f>
        <v>729037116.005064</v>
      </c>
      <c r="L381" s="39" t="n">
        <f aca="false">(('Business Case'!F11*$C381*'Business Case'!F12*$B381)-'Business Case'!F11*$C381*'Business Case'!F13*$D381-'Business Case'!F14*$E381)-MAX(0,(('Business Case'!F11*$C381*'Business Case'!F12*$B381)-'Business Case'!F11*$C381*'Business Case'!F13*$D381-'Business Case'!F14*$E381))*'Business Case'!$B$7-'Business Case'!$B$8*(('Business Case'!F11*$C381*'Business Case'!F12*$B381)-('Business Case'!E11*$C381*'Business Case'!E12*$B381))-'Business Case'!F15*$F381</f>
        <v>872262735.616913</v>
      </c>
      <c r="M381" s="39" t="n">
        <f aca="false">(('Business Case'!G11*$C381*'Business Case'!G12*$B381)-'Business Case'!G11*$C381*'Business Case'!G13*$D381-'Business Case'!G14*$E381)-MAX(0,(('Business Case'!G11*$C381*'Business Case'!G12*$B381)-'Business Case'!G11*$C381*'Business Case'!G13*$D381-'Business Case'!G14*$E381))*'Business Case'!$B$7-'Business Case'!$B$8*(('Business Case'!G11*$C381*'Business Case'!G12*$B381)-('Business Case'!F11*$C381*'Business Case'!F12*$B381))-'Business Case'!G15*$F381+'Business Case'!$B$8*('Business Case'!G11*$C381*'Business Case'!G12*$B381)</f>
        <v>1063735118.53911</v>
      </c>
      <c r="N381" s="39" t="n">
        <f aca="false">IF(COUNT('Business Case'!B11:G11)=0,"",H381+NPV(G381,I381:M381))</f>
        <v>20009116.99119</v>
      </c>
      <c r="P381" s="40" t="n">
        <f aca="true">RAND()</f>
        <v>0.882987041798816</v>
      </c>
      <c r="Q381" s="40" t="n">
        <f aca="true">RAND()</f>
        <v>0.522077716399023</v>
      </c>
      <c r="R381" s="40" t="n">
        <f aca="true">RAND()</f>
        <v>0.189449221284984</v>
      </c>
      <c r="S381" s="40" t="n">
        <f aca="true">RAND()</f>
        <v>0.402496101334235</v>
      </c>
      <c r="T381" s="40" t="n">
        <f aca="true">RAND()</f>
        <v>0.421654679990949</v>
      </c>
      <c r="U381" s="40" t="n">
        <f aca="true">RAND()</f>
        <v>0.654191991123079</v>
      </c>
    </row>
    <row r="382" customFormat="false" ht="15" hidden="false" customHeight="false" outlineLevel="0" collapsed="false">
      <c r="A382" s="36" t="n">
        <v>302</v>
      </c>
      <c r="B382" s="37" t="n">
        <f aca="false">1+IF($G$6=$E$6,$F$6,IF(P382&lt;($F$6-$E$6)/($G$6-$E$6),$E$6+SQRT(P382*($G$6-$E$6)*($F$6-$E$6)),$G$6-SQRT((1-P382)*($G$6-$E$6)*($G$6-$F$6))))</f>
        <v>0.947842219960231</v>
      </c>
      <c r="C382" s="37" t="n">
        <f aca="false">1+IF($G$7=$E$7,$F$7,IF(Q382&lt;($F$7-$E$7)/($G$7-$E$7),$E$7+SQRT(Q382*($G$7-$E$7)*($F$7-$E$7)),$G$7-SQRT((1-Q382)*($G$7-$E$7)*($G$7-$F$7))))</f>
        <v>1.05924347841338</v>
      </c>
      <c r="D382" s="37" t="n">
        <f aca="false">1+IF($G$8=$E$8,$F$8,IF(R382&lt;($F$8-$E$8)/($G$8-$E$8),$E$8+SQRT(R382*($G$8-$E$8)*($F$8-$E$8)),$G$8-SQRT((1-R382)*($G$8-$E$8)*($G$8-$F$8))))</f>
        <v>1.02099942049591</v>
      </c>
      <c r="E382" s="37" t="n">
        <f aca="false">1+IF($G$9=$E$9,$F$9,IF(S382&lt;($F$9-$E$9)/($G$9-$E$9),$E$9+SQRT(S382*($G$9-$E$9)*($F$9-$E$9)),$G$9-SQRT((1-S382)*($G$9-$E$9)*($G$9-$F$9))))</f>
        <v>0.980911381814778</v>
      </c>
      <c r="F382" s="37" t="n">
        <f aca="false">1+IF($G$10=$E$10,$F$10,IF(T382&lt;($F$10-$E$10)/($G$10-$E$10),$E$10+SQRT(T382*($G$10-$E$10)*($F$10-$E$10)),$G$10-SQRT((1-T382)*($G$10-$E$10)*($G$10-$F$10))))</f>
        <v>0.962116030570029</v>
      </c>
      <c r="G382" s="38" t="n">
        <f aca="false">IF($G$11=$E$11,$F$11,IF(U382&lt;($F$11-$E$11)/($G$11-$E$11),$E$11+SQRT(U382*($G$11-$E$11)*($F$11-$E$11)),$G$11-SQRT((1-U382)*($G$11-$E$11)*($G$11-$F$11))))</f>
        <v>0.103429348331523</v>
      </c>
      <c r="H382" s="39" t="n">
        <f aca="false">(('Business Case'!B11*$C382*'Business Case'!B12*$B382)-'Business Case'!B11*$C382*'Business Case'!B13*$D382-'Business Case'!B14*$E382)-MAX(0,(('Business Case'!B11*$C382*'Business Case'!B12*$B382)-'Business Case'!B11*$C382*'Business Case'!B13*$D382-'Business Case'!B14*$E382))*'Business Case'!$B$7-'Business Case'!$B$8*('Business Case'!B11*$C382*'Business Case'!B12*$B382)-'Business Case'!B15*$F382</f>
        <v>-1924232061.14006</v>
      </c>
      <c r="I382" s="39" t="n">
        <f aca="false">(('Business Case'!C11*$C382*'Business Case'!C12*$B382)-'Business Case'!C11*$C382*'Business Case'!C13*$D382-'Business Case'!C14*$E382)-MAX(0,(('Business Case'!C11*$C382*'Business Case'!C12*$B382)-'Business Case'!C11*$C382*'Business Case'!C13*$D382-'Business Case'!C14*$E382))*'Business Case'!$B$7-'Business Case'!$B$8*(('Business Case'!C11*$C382*'Business Case'!C12*$B382)-('Business Case'!B11*$C382*'Business Case'!B12*$B382))-'Business Case'!C15*$F382</f>
        <v>-19034393.8620355</v>
      </c>
      <c r="J382" s="39" t="n">
        <f aca="false">(('Business Case'!D11*$C382*'Business Case'!D12*$B382)-'Business Case'!D11*$C382*'Business Case'!D13*$D382-'Business Case'!D14*$E382)-MAX(0,(('Business Case'!D11*$C382*'Business Case'!D12*$B382)-'Business Case'!D11*$C382*'Business Case'!D13*$D382-'Business Case'!D14*$E382))*'Business Case'!$B$7-'Business Case'!$B$8*(('Business Case'!D11*$C382*'Business Case'!D12*$B382)-('Business Case'!C11*$C382*'Business Case'!C12*$B382))-'Business Case'!D15*$F382</f>
        <v>249675550.399586</v>
      </c>
      <c r="K382" s="39" t="n">
        <f aca="false">(('Business Case'!E11*$C382*'Business Case'!E12*$B382)-'Business Case'!E11*$C382*'Business Case'!E13*$D382-'Business Case'!E14*$E382)-MAX(0,(('Business Case'!E11*$C382*'Business Case'!E12*$B382)-'Business Case'!E11*$C382*'Business Case'!E13*$D382-'Business Case'!E14*$E382))*'Business Case'!$B$7-'Business Case'!$B$8*(('Business Case'!E11*$C382*'Business Case'!E12*$B382)-('Business Case'!D11*$C382*'Business Case'!D12*$B382))-'Business Case'!E15*$F382</f>
        <v>566491296.18971</v>
      </c>
      <c r="L382" s="39" t="n">
        <f aca="false">(('Business Case'!F11*$C382*'Business Case'!F12*$B382)-'Business Case'!F11*$C382*'Business Case'!F13*$D382-'Business Case'!F14*$E382)-MAX(0,(('Business Case'!F11*$C382*'Business Case'!F12*$B382)-'Business Case'!F11*$C382*'Business Case'!F13*$D382-'Business Case'!F14*$E382))*'Business Case'!$B$7-'Business Case'!$B$8*(('Business Case'!F11*$C382*'Business Case'!F12*$B382)-('Business Case'!E11*$C382*'Business Case'!E12*$B382))-'Business Case'!F15*$F382</f>
        <v>690759368.658646</v>
      </c>
      <c r="M382" s="39" t="n">
        <f aca="false">(('Business Case'!G11*$C382*'Business Case'!G12*$B382)-'Business Case'!G11*$C382*'Business Case'!G13*$D382-'Business Case'!G14*$E382)-MAX(0,(('Business Case'!G11*$C382*'Business Case'!G12*$B382)-'Business Case'!G11*$C382*'Business Case'!G13*$D382-'Business Case'!G14*$E382))*'Business Case'!$B$7-'Business Case'!$B$8*(('Business Case'!G11*$C382*'Business Case'!G12*$B382)-('Business Case'!F11*$C382*'Business Case'!F12*$B382))-'Business Case'!G15*$F382+'Business Case'!$B$8*('Business Case'!G11*$C382*'Business Case'!G12*$B382)</f>
        <v>881598869.42482</v>
      </c>
      <c r="N382" s="39" t="n">
        <f aca="false">IF(COUNT('Business Case'!B11:G11)=0,"",H382+NPV(G382,I382:M382))</f>
        <v>-309852224.256939</v>
      </c>
      <c r="P382" s="40" t="n">
        <f aca="true">RAND()</f>
        <v>0.0807488762826947</v>
      </c>
      <c r="Q382" s="40" t="n">
        <f aca="true">RAND()</f>
        <v>0.843109595990428</v>
      </c>
      <c r="R382" s="40" t="n">
        <f aca="true">RAND()</f>
        <v>0.665281886363635</v>
      </c>
      <c r="S382" s="40" t="n">
        <f aca="true">RAND()</f>
        <v>0.127401803426532</v>
      </c>
      <c r="T382" s="40" t="n">
        <f aca="true">RAND()</f>
        <v>0.0117438557419091</v>
      </c>
      <c r="U382" s="40" t="n">
        <f aca="true">RAND()</f>
        <v>0.542355838803361</v>
      </c>
    </row>
    <row r="383" customFormat="false" ht="15" hidden="false" customHeight="false" outlineLevel="0" collapsed="false">
      <c r="A383" s="36" t="n">
        <v>303</v>
      </c>
      <c r="B383" s="37" t="n">
        <f aca="false">1+IF($G$6=$E$6,$F$6,IF(P383&lt;($F$6-$E$6)/($G$6-$E$6),$E$6+SQRT(P383*($G$6-$E$6)*($F$6-$E$6)),$G$6-SQRT((1-P383)*($G$6-$E$6)*($G$6-$F$6))))</f>
        <v>1.01874005357102</v>
      </c>
      <c r="C383" s="37" t="n">
        <f aca="false">1+IF($G$7=$E$7,$F$7,IF(Q383&lt;($F$7-$E$7)/($G$7-$E$7),$E$7+SQRT(Q383*($G$7-$E$7)*($F$7-$E$7)),$G$7-SQRT((1-Q383)*($G$7-$E$7)*($G$7-$F$7))))</f>
        <v>1.01106689925004</v>
      </c>
      <c r="D383" s="37" t="n">
        <f aca="false">1+IF($G$8=$E$8,$F$8,IF(R383&lt;($F$8-$E$8)/($G$8-$E$8),$E$8+SQRT(R383*($G$8-$E$8)*($F$8-$E$8)),$G$8-SQRT((1-R383)*($G$8-$E$8)*($G$8-$F$8))))</f>
        <v>0.957809699699296</v>
      </c>
      <c r="E383" s="37" t="n">
        <f aca="false">1+IF($G$9=$E$9,$F$9,IF(S383&lt;($F$9-$E$9)/($G$9-$E$9),$E$9+SQRT(S383*($G$9-$E$9)*($F$9-$E$9)),$G$9-SQRT((1-S383)*($G$9-$E$9)*($G$9-$F$9))))</f>
        <v>0.991453815449016</v>
      </c>
      <c r="F383" s="37" t="n">
        <f aca="false">1+IF($G$10=$E$10,$F$10,IF(T383&lt;($F$10-$E$10)/($G$10-$E$10),$E$10+SQRT(T383*($G$10-$E$10)*($F$10-$E$10)),$G$10-SQRT((1-T383)*($G$10-$E$10)*($G$10-$F$10))))</f>
        <v>0.977116891236811</v>
      </c>
      <c r="G383" s="38" t="n">
        <f aca="false">IF($G$11=$E$11,$F$11,IF(U383&lt;($F$11-$E$11)/($G$11-$E$11),$E$11+SQRT(U383*($G$11-$E$11)*($F$11-$E$11)),$G$11-SQRT((1-U383)*($G$11-$E$11)*($G$11-$F$11))))</f>
        <v>0.0946263198633792</v>
      </c>
      <c r="H383" s="39" t="n">
        <f aca="false">(('Business Case'!B11*$C383*'Business Case'!B12*$B383)-'Business Case'!B11*$C383*'Business Case'!B13*$D383-'Business Case'!B14*$E383)-MAX(0,(('Business Case'!B11*$C383*'Business Case'!B12*$B383)-'Business Case'!B11*$C383*'Business Case'!B13*$D383-'Business Case'!B14*$E383))*'Business Case'!$B$7-'Business Case'!$B$8*('Business Case'!B11*$C383*'Business Case'!B12*$B383)-'Business Case'!B15*$F383</f>
        <v>-1954233782.47362</v>
      </c>
      <c r="I383" s="39" t="n">
        <f aca="false">(('Business Case'!C11*$C383*'Business Case'!C12*$B383)-'Business Case'!C11*$C383*'Business Case'!C13*$D383-'Business Case'!C14*$E383)-MAX(0,(('Business Case'!C11*$C383*'Business Case'!C12*$B383)-'Business Case'!C11*$C383*'Business Case'!C13*$D383-'Business Case'!C14*$E383))*'Business Case'!$B$7-'Business Case'!$B$8*(('Business Case'!C11*$C383*'Business Case'!C12*$B383)-('Business Case'!B11*$C383*'Business Case'!B12*$B383))-'Business Case'!C15*$F383</f>
        <v>55815260.8818004</v>
      </c>
      <c r="J383" s="39" t="n">
        <f aca="false">(('Business Case'!D11*$C383*'Business Case'!D12*$B383)-'Business Case'!D11*$C383*'Business Case'!D13*$D383-'Business Case'!D14*$E383)-MAX(0,(('Business Case'!D11*$C383*'Business Case'!D12*$B383)-'Business Case'!D11*$C383*'Business Case'!D13*$D383-'Business Case'!D14*$E383))*'Business Case'!$B$7-'Business Case'!$B$8*(('Business Case'!D11*$C383*'Business Case'!D12*$B383)-('Business Case'!C11*$C383*'Business Case'!C12*$B383))-'Business Case'!D15*$F383</f>
        <v>403722887.1981</v>
      </c>
      <c r="K383" s="39" t="n">
        <f aca="false">(('Business Case'!E11*$C383*'Business Case'!E12*$B383)-'Business Case'!E11*$C383*'Business Case'!E13*$D383-'Business Case'!E14*$E383)-MAX(0,(('Business Case'!E11*$C383*'Business Case'!E12*$B383)-'Business Case'!E11*$C383*'Business Case'!E13*$D383-'Business Case'!E14*$E383))*'Business Case'!$B$7-'Business Case'!$B$8*(('Business Case'!E11*$C383*'Business Case'!E12*$B383)-('Business Case'!D11*$C383*'Business Case'!D12*$B383))-'Business Case'!E15*$F383</f>
        <v>800486358.076241</v>
      </c>
      <c r="L383" s="39" t="n">
        <f aca="false">(('Business Case'!F11*$C383*'Business Case'!F12*$B383)-'Business Case'!F11*$C383*'Business Case'!F13*$D383-'Business Case'!F14*$E383)-MAX(0,(('Business Case'!F11*$C383*'Business Case'!F12*$B383)-'Business Case'!F11*$C383*'Business Case'!F13*$D383-'Business Case'!F14*$E383))*'Business Case'!$B$7-'Business Case'!$B$8*(('Business Case'!F11*$C383*'Business Case'!F12*$B383)-('Business Case'!E11*$C383*'Business Case'!E12*$B383))-'Business Case'!F15*$F383</f>
        <v>952052862.684319</v>
      </c>
      <c r="M383" s="39" t="n">
        <f aca="false">(('Business Case'!G11*$C383*'Business Case'!G12*$B383)-'Business Case'!G11*$C383*'Business Case'!G13*$D383-'Business Case'!G14*$E383)-MAX(0,(('Business Case'!G11*$C383*'Business Case'!G12*$B383)-'Business Case'!G11*$C383*'Business Case'!G13*$D383-'Business Case'!G14*$E383))*'Business Case'!$B$7-'Business Case'!$B$8*(('Business Case'!G11*$C383*'Business Case'!G12*$B383)-('Business Case'!F11*$C383*'Business Case'!F12*$B383))-'Business Case'!G15*$F383+'Business Case'!$B$8*('Business Case'!G11*$C383*'Business Case'!G12*$B383)</f>
        <v>1147837989.7822</v>
      </c>
      <c r="N383" s="39" t="n">
        <f aca="false">IF(COUNT('Business Case'!B11:G11)=0,"",H383+NPV(G383,I383:M383))</f>
        <v>437525923.708125</v>
      </c>
      <c r="P383" s="40" t="n">
        <f aca="true">RAND()</f>
        <v>0.905836391215995</v>
      </c>
      <c r="Q383" s="40" t="n">
        <f aca="true">RAND()</f>
        <v>0.632335114590489</v>
      </c>
      <c r="R383" s="40" t="n">
        <f aca="true">RAND()</f>
        <v>0.0093832937527975</v>
      </c>
      <c r="S383" s="40" t="n">
        <f aca="true">RAND()</f>
        <v>0.229122508704145</v>
      </c>
      <c r="T383" s="40" t="n">
        <f aca="true">RAND()</f>
        <v>0.0588260632279223</v>
      </c>
      <c r="U383" s="40" t="n">
        <f aca="true">RAND()</f>
        <v>0.071342784927655</v>
      </c>
    </row>
    <row r="384" customFormat="false" ht="15" hidden="false" customHeight="false" outlineLevel="0" collapsed="false">
      <c r="A384" s="36" t="n">
        <v>304</v>
      </c>
      <c r="B384" s="37" t="n">
        <f aca="false">1+IF($G$6=$E$6,$F$6,IF(P384&lt;($F$6-$E$6)/($G$6-$E$6),$E$6+SQRT(P384*($G$6-$E$6)*($F$6-$E$6)),$G$6-SQRT((1-P384)*($G$6-$E$6)*($G$6-$F$6))))</f>
        <v>1.00694267433652</v>
      </c>
      <c r="C384" s="37" t="n">
        <f aca="false">1+IF($G$7=$E$7,$F$7,IF(Q384&lt;($F$7-$E$7)/($G$7-$E$7),$E$7+SQRT(Q384*($G$7-$E$7)*($F$7-$E$7)),$G$7-SQRT((1-Q384)*($G$7-$E$7)*($G$7-$F$7))))</f>
        <v>0.971956592815581</v>
      </c>
      <c r="D384" s="37" t="n">
        <f aca="false">1+IF($G$8=$E$8,$F$8,IF(R384&lt;($F$8-$E$8)/($G$8-$E$8),$E$8+SQRT(R384*($G$8-$E$8)*($F$8-$E$8)),$G$8-SQRT((1-R384)*($G$8-$E$8)*($G$8-$F$8))))</f>
        <v>1.00856617949705</v>
      </c>
      <c r="E384" s="37" t="n">
        <f aca="false">1+IF($G$9=$E$9,$F$9,IF(S384&lt;($F$9-$E$9)/($G$9-$E$9),$E$9+SQRT(S384*($G$9-$E$9)*($F$9-$E$9)),$G$9-SQRT((1-S384)*($G$9-$E$9)*($G$9-$F$9))))</f>
        <v>1.06051235904924</v>
      </c>
      <c r="F384" s="37" t="n">
        <f aca="false">1+IF($G$10=$E$10,$F$10,IF(T384&lt;($F$10-$E$10)/($G$10-$E$10),$E$10+SQRT(T384*($G$10-$E$10)*($F$10-$E$10)),$G$10-SQRT((1-T384)*($G$10-$E$10)*($G$10-$F$10))))</f>
        <v>1.02042831623198</v>
      </c>
      <c r="G384" s="38" t="n">
        <f aca="false">IF($G$11=$E$11,$F$11,IF(U384&lt;($F$11-$E$11)/($G$11-$E$11),$E$11+SQRT(U384*($G$11-$E$11)*($F$11-$E$11)),$G$11-SQRT((1-U384)*($G$11-$E$11)*($G$11-$F$11))))</f>
        <v>0.100785458941337</v>
      </c>
      <c r="H384" s="39" t="n">
        <f aca="false">(('Business Case'!B11*$C384*'Business Case'!B12*$B384)-'Business Case'!B11*$C384*'Business Case'!B13*$D384-'Business Case'!B14*$E384)-MAX(0,(('Business Case'!B11*$C384*'Business Case'!B12*$B384)-'Business Case'!B11*$C384*'Business Case'!B13*$D384-'Business Case'!B14*$E384))*'Business Case'!$B$7-'Business Case'!$B$8*('Business Case'!B11*$C384*'Business Case'!B12*$B384)-'Business Case'!B15*$F384</f>
        <v>-2040856632.46396</v>
      </c>
      <c r="I384" s="39" t="n">
        <f aca="false">(('Business Case'!C11*$C384*'Business Case'!C12*$B384)-'Business Case'!C11*$C384*'Business Case'!C13*$D384-'Business Case'!C14*$E384)-MAX(0,(('Business Case'!C11*$C384*'Business Case'!C12*$B384)-'Business Case'!C11*$C384*'Business Case'!C13*$D384-'Business Case'!C14*$E384))*'Business Case'!$B$7-'Business Case'!$B$8*(('Business Case'!C11*$C384*'Business Case'!C12*$B384)-('Business Case'!B11*$C384*'Business Case'!B12*$B384))-'Business Case'!C15*$F384</f>
        <v>-3780465.4246808</v>
      </c>
      <c r="J384" s="39" t="n">
        <f aca="false">(('Business Case'!D11*$C384*'Business Case'!D12*$B384)-'Business Case'!D11*$C384*'Business Case'!D13*$D384-'Business Case'!D14*$E384)-MAX(0,(('Business Case'!D11*$C384*'Business Case'!D12*$B384)-'Business Case'!D11*$C384*'Business Case'!D13*$D384-'Business Case'!D14*$E384))*'Business Case'!$B$7-'Business Case'!$B$8*(('Business Case'!D11*$C384*'Business Case'!D12*$B384)-('Business Case'!C11*$C384*'Business Case'!C12*$B384))-'Business Case'!D15*$F384</f>
        <v>296022803.186548</v>
      </c>
      <c r="K384" s="39" t="n">
        <f aca="false">(('Business Case'!E11*$C384*'Business Case'!E12*$B384)-'Business Case'!E11*$C384*'Business Case'!E13*$D384-'Business Case'!E14*$E384)-MAX(0,(('Business Case'!E11*$C384*'Business Case'!E12*$B384)-'Business Case'!E11*$C384*'Business Case'!E13*$D384-'Business Case'!E14*$E384))*'Business Case'!$B$7-'Business Case'!$B$8*(('Business Case'!E11*$C384*'Business Case'!E12*$B384)-('Business Case'!D11*$C384*'Business Case'!D12*$B384))-'Business Case'!E15*$F384</f>
        <v>646847487.609375</v>
      </c>
      <c r="L384" s="39" t="n">
        <f aca="false">(('Business Case'!F11*$C384*'Business Case'!F12*$B384)-'Business Case'!F11*$C384*'Business Case'!F13*$D384-'Business Case'!F14*$E384)-MAX(0,(('Business Case'!F11*$C384*'Business Case'!F12*$B384)-'Business Case'!F11*$C384*'Business Case'!F13*$D384-'Business Case'!F14*$E384))*'Business Case'!$B$7-'Business Case'!$B$8*(('Business Case'!F11*$C384*'Business Case'!F12*$B384)-('Business Case'!E11*$C384*'Business Case'!E12*$B384))-'Business Case'!F15*$F384</f>
        <v>780605940.45039</v>
      </c>
      <c r="M384" s="39" t="n">
        <f aca="false">(('Business Case'!G11*$C384*'Business Case'!G12*$B384)-'Business Case'!G11*$C384*'Business Case'!G13*$D384-'Business Case'!G14*$E384)-MAX(0,(('Business Case'!G11*$C384*'Business Case'!G12*$B384)-'Business Case'!G11*$C384*'Business Case'!G13*$D384-'Business Case'!G14*$E384))*'Business Case'!$B$7-'Business Case'!$B$8*(('Business Case'!G11*$C384*'Business Case'!G12*$B384)-('Business Case'!F11*$C384*'Business Case'!F12*$B384))-'Business Case'!G15*$F384+'Business Case'!$B$8*('Business Case'!G11*$C384*'Business Case'!G12*$B384)</f>
        <v>966638105.288722</v>
      </c>
      <c r="N384" s="39" t="n">
        <f aca="false">IF(COUNT('Business Case'!B11:G11)=0,"",H384+NPV(G384,I384:M384))</f>
        <v>-185334373.684067</v>
      </c>
      <c r="P384" s="40" t="n">
        <f aca="true">RAND()</f>
        <v>0.772336087495548</v>
      </c>
      <c r="Q384" s="40" t="n">
        <f aca="true">RAND()</f>
        <v>0.422415283039193</v>
      </c>
      <c r="R384" s="40" t="n">
        <f aca="true">RAND()</f>
        <v>0.509347046956953</v>
      </c>
      <c r="S384" s="40" t="n">
        <f aca="true">RAND()</f>
        <v>0.896048414142946</v>
      </c>
      <c r="T384" s="40" t="n">
        <f aca="true">RAND()</f>
        <v>0.355080207774352</v>
      </c>
      <c r="U384" s="40" t="n">
        <f aca="true">RAND()</f>
        <v>0.384669019841611</v>
      </c>
    </row>
    <row r="385" customFormat="false" ht="15" hidden="false" customHeight="false" outlineLevel="0" collapsed="false">
      <c r="A385" s="36" t="n">
        <v>305</v>
      </c>
      <c r="B385" s="37" t="n">
        <f aca="false">1+IF($G$6=$E$6,$F$6,IF(P385&lt;($F$6-$E$6)/($G$6-$E$6),$E$6+SQRT(P385*($G$6-$E$6)*($F$6-$E$6)),$G$6-SQRT((1-P385)*($G$6-$E$6)*($G$6-$F$6))))</f>
        <v>0.946635986386422</v>
      </c>
      <c r="C385" s="37" t="n">
        <f aca="false">1+IF($G$7=$E$7,$F$7,IF(Q385&lt;($F$7-$E$7)/($G$7-$E$7),$E$7+SQRT(Q385*($G$7-$E$7)*($F$7-$E$7)),$G$7-SQRT((1-Q385)*($G$7-$E$7)*($G$7-$F$7))))</f>
        <v>0.994296903030455</v>
      </c>
      <c r="D385" s="37" t="n">
        <f aca="false">1+IF($G$8=$E$8,$F$8,IF(R385&lt;($F$8-$E$8)/($G$8-$E$8),$E$8+SQRT(R385*($G$8-$E$8)*($F$8-$E$8)),$G$8-SQRT((1-R385)*($G$8-$E$8)*($G$8-$F$8))))</f>
        <v>1.00593986696541</v>
      </c>
      <c r="E385" s="37" t="n">
        <f aca="false">1+IF($G$9=$E$9,$F$9,IF(S385&lt;($F$9-$E$9)/($G$9-$E$9),$E$9+SQRT(S385*($G$9-$E$9)*($F$9-$E$9)),$G$9-SQRT((1-S385)*($G$9-$E$9)*($G$9-$F$9))))</f>
        <v>1.01872678100783</v>
      </c>
      <c r="F385" s="37" t="n">
        <f aca="false">1+IF($G$10=$E$10,$F$10,IF(T385&lt;($F$10-$E$10)/($G$10-$E$10),$E$10+SQRT(T385*($G$10-$E$10)*($F$10-$E$10)),$G$10-SQRT((1-T385)*($G$10-$E$10)*($G$10-$F$10))))</f>
        <v>1.06264413279969</v>
      </c>
      <c r="G385" s="38" t="n">
        <f aca="false">IF($G$11=$E$11,$F$11,IF(U385&lt;($F$11-$E$11)/($G$11-$E$11),$E$11+SQRT(U385*($G$11-$E$11)*($F$11-$E$11)),$G$11-SQRT((1-U385)*($G$11-$E$11)*($G$11-$F$11))))</f>
        <v>0.095996833967367</v>
      </c>
      <c r="H385" s="39" t="n">
        <f aca="false">(('Business Case'!B11*$C385*'Business Case'!B12*$B385)-'Business Case'!B11*$C385*'Business Case'!B13*$D385-'Business Case'!B14*$E385)-MAX(0,(('Business Case'!B11*$C385*'Business Case'!B12*$B385)-'Business Case'!B11*$C385*'Business Case'!B13*$D385-'Business Case'!B14*$E385))*'Business Case'!$B$7-'Business Case'!$B$8*('Business Case'!B11*$C385*'Business Case'!B12*$B385)-'Business Case'!B15*$F385</f>
        <v>-2125288265.59938</v>
      </c>
      <c r="I385" s="39" t="n">
        <f aca="false">(('Business Case'!C11*$C385*'Business Case'!C12*$B385)-'Business Case'!C11*$C385*'Business Case'!C13*$D385-'Business Case'!C14*$E385)-MAX(0,(('Business Case'!C11*$C385*'Business Case'!C12*$B385)-'Business Case'!C11*$C385*'Business Case'!C13*$D385-'Business Case'!C14*$E385))*'Business Case'!$B$7-'Business Case'!$B$8*(('Business Case'!C11*$C385*'Business Case'!C12*$B385)-('Business Case'!B11*$C385*'Business Case'!B12*$B385))-'Business Case'!C15*$F385</f>
        <v>-41003905.1086289</v>
      </c>
      <c r="J385" s="39" t="n">
        <f aca="false">(('Business Case'!D11*$C385*'Business Case'!D12*$B385)-'Business Case'!D11*$C385*'Business Case'!D13*$D385-'Business Case'!D14*$E385)-MAX(0,(('Business Case'!D11*$C385*'Business Case'!D12*$B385)-'Business Case'!D11*$C385*'Business Case'!D13*$D385-'Business Case'!D14*$E385))*'Business Case'!$B$7-'Business Case'!$B$8*(('Business Case'!D11*$C385*'Business Case'!D12*$B385)-('Business Case'!C11*$C385*'Business Case'!C12*$B385))-'Business Case'!D15*$F385</f>
        <v>217913289.302477</v>
      </c>
      <c r="K385" s="39" t="n">
        <f aca="false">(('Business Case'!E11*$C385*'Business Case'!E12*$B385)-'Business Case'!E11*$C385*'Business Case'!E13*$D385-'Business Case'!E14*$E385)-MAX(0,(('Business Case'!E11*$C385*'Business Case'!E12*$B385)-'Business Case'!E11*$C385*'Business Case'!E13*$D385-'Business Case'!E14*$E385))*'Business Case'!$B$7-'Business Case'!$B$8*(('Business Case'!E11*$C385*'Business Case'!E12*$B385)-('Business Case'!D11*$C385*'Business Case'!D12*$B385))-'Business Case'!E15*$F385</f>
        <v>529962690.353568</v>
      </c>
      <c r="L385" s="39" t="n">
        <f aca="false">(('Business Case'!F11*$C385*'Business Case'!F12*$B385)-'Business Case'!F11*$C385*'Business Case'!F13*$D385-'Business Case'!F14*$E385)-MAX(0,(('Business Case'!F11*$C385*'Business Case'!F12*$B385)-'Business Case'!F11*$C385*'Business Case'!F13*$D385-'Business Case'!F14*$E385))*'Business Case'!$B$7-'Business Case'!$B$8*(('Business Case'!F11*$C385*'Business Case'!F12*$B385)-('Business Case'!E11*$C385*'Business Case'!E12*$B385))-'Business Case'!F15*$F385</f>
        <v>648797580.477572</v>
      </c>
      <c r="M385" s="39" t="n">
        <f aca="false">(('Business Case'!G11*$C385*'Business Case'!G12*$B385)-'Business Case'!G11*$C385*'Business Case'!G13*$D385-'Business Case'!G14*$E385)-MAX(0,(('Business Case'!G11*$C385*'Business Case'!G12*$B385)-'Business Case'!G11*$C385*'Business Case'!G13*$D385-'Business Case'!G14*$E385))*'Business Case'!$B$7-'Business Case'!$B$8*(('Business Case'!G11*$C385*'Business Case'!G12*$B385)-('Business Case'!F11*$C385*'Business Case'!F12*$B385))-'Business Case'!G15*$F385+'Business Case'!$B$8*('Business Case'!G11*$C385*'Business Case'!G12*$B385)</f>
        <v>827707953.072565</v>
      </c>
      <c r="N385" s="39" t="n">
        <f aca="false">IF(COUNT('Business Case'!B11:G11)=0,"",H385+NPV(G385,I385:M385))</f>
        <v>-605697712.358915</v>
      </c>
      <c r="P385" s="40" t="n">
        <f aca="true">RAND()</f>
        <v>0.0739037261226699</v>
      </c>
      <c r="Q385" s="40" t="n">
        <f aca="true">RAND()</f>
        <v>0.539304093246084</v>
      </c>
      <c r="R385" s="40" t="n">
        <f aca="true">RAND()</f>
        <v>0.472605451432647</v>
      </c>
      <c r="S385" s="40" t="n">
        <f aca="true">RAND()</f>
        <v>0.559644258310036</v>
      </c>
      <c r="T385" s="40" t="n">
        <f aca="true">RAND()</f>
        <v>0.622667314913028</v>
      </c>
      <c r="U385" s="40" t="n">
        <f aca="true">RAND()</f>
        <v>0.119873392107222</v>
      </c>
    </row>
    <row r="386" customFormat="false" ht="15" hidden="false" customHeight="false" outlineLevel="0" collapsed="false">
      <c r="A386" s="36" t="n">
        <v>306</v>
      </c>
      <c r="B386" s="37" t="n">
        <f aca="false">1+IF($G$6=$E$6,$F$6,IF(P386&lt;($F$6-$E$6)/($G$6-$E$6),$E$6+SQRT(P386*($G$6-$E$6)*($F$6-$E$6)),$G$6-SQRT((1-P386)*($G$6-$E$6)*($G$6-$F$6))))</f>
        <v>1.021998135912</v>
      </c>
      <c r="C386" s="37" t="n">
        <f aca="false">1+IF($G$7=$E$7,$F$7,IF(Q386&lt;($F$7-$E$7)/($G$7-$E$7),$E$7+SQRT(Q386*($G$7-$E$7)*($F$7-$E$7)),$G$7-SQRT((1-Q386)*($G$7-$E$7)*($G$7-$F$7))))</f>
        <v>0.969631273611934</v>
      </c>
      <c r="D386" s="37" t="n">
        <f aca="false">1+IF($G$8=$E$8,$F$8,IF(R386&lt;($F$8-$E$8)/($G$8-$E$8),$E$8+SQRT(R386*($G$8-$E$8)*($F$8-$E$8)),$G$8-SQRT((1-R386)*($G$8-$E$8)*($G$8-$F$8))))</f>
        <v>1.04000760698391</v>
      </c>
      <c r="E386" s="37" t="n">
        <f aca="false">1+IF($G$9=$E$9,$F$9,IF(S386&lt;($F$9-$E$9)/($G$9-$E$9),$E$9+SQRT(S386*($G$9-$E$9)*($F$9-$E$9)),$G$9-SQRT((1-S386)*($G$9-$E$9)*($G$9-$F$9))))</f>
        <v>1.00388864256251</v>
      </c>
      <c r="F386" s="37" t="n">
        <f aca="false">1+IF($G$10=$E$10,$F$10,IF(T386&lt;($F$10-$E$10)/($G$10-$E$10),$E$10+SQRT(T386*($G$10-$E$10)*($F$10-$E$10)),$G$10-SQRT((1-T386)*($G$10-$E$10)*($G$10-$F$10))))</f>
        <v>1.10971707681375</v>
      </c>
      <c r="G386" s="38" t="n">
        <f aca="false">IF($G$11=$E$11,$F$11,IF(U386&lt;($F$11-$E$11)/($G$11-$E$11),$E$11+SQRT(U386*($G$11-$E$11)*($F$11-$E$11)),$G$11-SQRT((1-U386)*($G$11-$E$11)*($G$11-$F$11))))</f>
        <v>0.105071433629367</v>
      </c>
      <c r="H386" s="39" t="n">
        <f aca="false">(('Business Case'!B11*$C386*'Business Case'!B12*$B386)-'Business Case'!B11*$C386*'Business Case'!B13*$D386-'Business Case'!B14*$E386)-MAX(0,(('Business Case'!B11*$C386*'Business Case'!B12*$B386)-'Business Case'!B11*$C386*'Business Case'!B13*$D386-'Business Case'!B14*$E386))*'Business Case'!$B$7-'Business Case'!$B$8*('Business Case'!B11*$C386*'Business Case'!B12*$B386)-'Business Case'!B15*$F386</f>
        <v>-2219434153.62751</v>
      </c>
      <c r="I386" s="39" t="n">
        <f aca="false">(('Business Case'!C11*$C386*'Business Case'!C12*$B386)-'Business Case'!C11*$C386*'Business Case'!C13*$D386-'Business Case'!C14*$E386)-MAX(0,(('Business Case'!C11*$C386*'Business Case'!C12*$B386)-'Business Case'!C11*$C386*'Business Case'!C13*$D386-'Business Case'!C14*$E386))*'Business Case'!$B$7-'Business Case'!$B$8*(('Business Case'!C11*$C386*'Business Case'!C12*$B386)-('Business Case'!B11*$C386*'Business Case'!B12*$B386))-'Business Case'!C15*$F386</f>
        <v>-9659774.14118178</v>
      </c>
      <c r="J386" s="39" t="n">
        <f aca="false">(('Business Case'!D11*$C386*'Business Case'!D12*$B386)-'Business Case'!D11*$C386*'Business Case'!D13*$D386-'Business Case'!D14*$E386)-MAX(0,(('Business Case'!D11*$C386*'Business Case'!D12*$B386)-'Business Case'!D11*$C386*'Business Case'!D13*$D386-'Business Case'!D14*$E386))*'Business Case'!$B$7-'Business Case'!$B$8*(('Business Case'!D11*$C386*'Business Case'!D12*$B386)-('Business Case'!C11*$C386*'Business Case'!C12*$B386))-'Business Case'!D15*$F386</f>
        <v>285776560.970712</v>
      </c>
      <c r="K386" s="39" t="n">
        <f aca="false">(('Business Case'!E11*$C386*'Business Case'!E12*$B386)-'Business Case'!E11*$C386*'Business Case'!E13*$D386-'Business Case'!E14*$E386)-MAX(0,(('Business Case'!E11*$C386*'Business Case'!E12*$B386)-'Business Case'!E11*$C386*'Business Case'!E13*$D386-'Business Case'!E14*$E386))*'Business Case'!$B$7-'Business Case'!$B$8*(('Business Case'!E11*$C386*'Business Case'!E12*$B386)-('Business Case'!D11*$C386*'Business Case'!D12*$B386))-'Business Case'!E15*$F386</f>
        <v>636698749.923293</v>
      </c>
      <c r="L386" s="39" t="n">
        <f aca="false">(('Business Case'!F11*$C386*'Business Case'!F12*$B386)-'Business Case'!F11*$C386*'Business Case'!F13*$D386-'Business Case'!F14*$E386)-MAX(0,(('Business Case'!F11*$C386*'Business Case'!F12*$B386)-'Business Case'!F11*$C386*'Business Case'!F13*$D386-'Business Case'!F14*$E386))*'Business Case'!$B$7-'Business Case'!$B$8*(('Business Case'!F11*$C386*'Business Case'!F12*$B386)-('Business Case'!E11*$C386*'Business Case'!E12*$B386))-'Business Case'!F15*$F386</f>
        <v>769425152.693465</v>
      </c>
      <c r="M386" s="39" t="n">
        <f aca="false">(('Business Case'!G11*$C386*'Business Case'!G12*$B386)-'Business Case'!G11*$C386*'Business Case'!G13*$D386-'Business Case'!G14*$E386)-MAX(0,(('Business Case'!G11*$C386*'Business Case'!G12*$B386)-'Business Case'!G11*$C386*'Business Case'!G13*$D386-'Business Case'!G14*$E386))*'Business Case'!$B$7-'Business Case'!$B$8*(('Business Case'!G11*$C386*'Business Case'!G12*$B386)-('Business Case'!F11*$C386*'Business Case'!F12*$B386))-'Business Case'!G15*$F386+'Business Case'!$B$8*('Business Case'!G11*$C386*'Business Case'!G12*$B386)</f>
        <v>957787086.890939</v>
      </c>
      <c r="N386" s="39" t="n">
        <f aca="false">IF(COUNT('Business Case'!B11:G11)=0,"",H386+NPV(G386,I386:M386))</f>
        <v>-425218215.262284</v>
      </c>
      <c r="P386" s="40" t="n">
        <f aca="true">RAND()</f>
        <v>0.932486018616105</v>
      </c>
      <c r="Q386" s="40" t="n">
        <f aca="true">RAND()</f>
        <v>0.411068128388671</v>
      </c>
      <c r="R386" s="40" t="n">
        <f aca="true">RAND()</f>
        <v>0.846212355850626</v>
      </c>
      <c r="S386" s="40" t="n">
        <f aca="true">RAND()</f>
        <v>0.384173798101546</v>
      </c>
      <c r="T386" s="40" t="n">
        <f aca="true">RAND()</f>
        <v>0.836979875618923</v>
      </c>
      <c r="U386" s="40" t="n">
        <f aca="true">RAND()</f>
        <v>0.628563176862677</v>
      </c>
    </row>
    <row r="387" customFormat="false" ht="15" hidden="false" customHeight="false" outlineLevel="0" collapsed="false">
      <c r="A387" s="36" t="n">
        <v>307</v>
      </c>
      <c r="B387" s="37" t="n">
        <f aca="false">1+IF($G$6=$E$6,$F$6,IF(P387&lt;($F$6-$E$6)/($G$6-$E$6),$E$6+SQRT(P387*($G$6-$E$6)*($F$6-$E$6)),$G$6-SQRT((1-P387)*($G$6-$E$6)*($G$6-$F$6))))</f>
        <v>0.999380711381562</v>
      </c>
      <c r="C387" s="37" t="n">
        <f aca="false">1+IF($G$7=$E$7,$F$7,IF(Q387&lt;($F$7-$E$7)/($G$7-$E$7),$E$7+SQRT(Q387*($G$7-$E$7)*($F$7-$E$7)),$G$7-SQRT((1-Q387)*($G$7-$E$7)*($G$7-$F$7))))</f>
        <v>0.953948903266621</v>
      </c>
      <c r="D387" s="37" t="n">
        <f aca="false">1+IF($G$8=$E$8,$F$8,IF(R387&lt;($F$8-$E$8)/($G$8-$E$8),$E$8+SQRT(R387*($G$8-$E$8)*($F$8-$E$8)),$G$8-SQRT((1-R387)*($G$8-$E$8)*($G$8-$F$8))))</f>
        <v>1.03673007332668</v>
      </c>
      <c r="E387" s="37" t="n">
        <f aca="false">1+IF($G$9=$E$9,$F$9,IF(S387&lt;($F$9-$E$9)/($G$9-$E$9),$E$9+SQRT(S387*($G$9-$E$9)*($F$9-$E$9)),$G$9-SQRT((1-S387)*($G$9-$E$9)*($G$9-$F$9))))</f>
        <v>0.984892651998243</v>
      </c>
      <c r="F387" s="37" t="n">
        <f aca="false">1+IF($G$10=$E$10,$F$10,IF(T387&lt;($F$10-$E$10)/($G$10-$E$10),$E$10+SQRT(T387*($G$10-$E$10)*($F$10-$E$10)),$G$10-SQRT((1-T387)*($G$10-$E$10)*($G$10-$F$10))))</f>
        <v>1.05972300691287</v>
      </c>
      <c r="G387" s="38" t="n">
        <f aca="false">IF($G$11=$E$11,$F$11,IF(U387&lt;($F$11-$E$11)/($G$11-$E$11),$E$11+SQRT(U387*($G$11-$E$11)*($F$11-$E$11)),$G$11-SQRT((1-U387)*($G$11-$E$11)*($G$11-$F$11))))</f>
        <v>0.0976501733336814</v>
      </c>
      <c r="H387" s="39" t="n">
        <f aca="false">(('Business Case'!B11*$C387*'Business Case'!B12*$B387)-'Business Case'!B11*$C387*'Business Case'!B13*$D387-'Business Case'!B14*$E387)-MAX(0,(('Business Case'!B11*$C387*'Business Case'!B12*$B387)-'Business Case'!B11*$C387*'Business Case'!B13*$D387-'Business Case'!B14*$E387))*'Business Case'!$B$7-'Business Case'!$B$8*('Business Case'!B11*$C387*'Business Case'!B12*$B387)-'Business Case'!B15*$F387</f>
        <v>-2119446013.82574</v>
      </c>
      <c r="I387" s="39" t="n">
        <f aca="false">(('Business Case'!C11*$C387*'Business Case'!C12*$B387)-'Business Case'!C11*$C387*'Business Case'!C13*$D387-'Business Case'!C14*$E387)-MAX(0,(('Business Case'!C11*$C387*'Business Case'!C12*$B387)-'Business Case'!C11*$C387*'Business Case'!C13*$D387-'Business Case'!C14*$E387))*'Business Case'!$B$7-'Business Case'!$B$8*(('Business Case'!C11*$C387*'Business Case'!C12*$B387)-('Business Case'!B11*$C387*'Business Case'!B12*$B387))-'Business Case'!C15*$F387</f>
        <v>-20859657.6842412</v>
      </c>
      <c r="J387" s="39" t="n">
        <f aca="false">(('Business Case'!D11*$C387*'Business Case'!D12*$B387)-'Business Case'!D11*$C387*'Business Case'!D13*$D387-'Business Case'!D14*$E387)-MAX(0,(('Business Case'!D11*$C387*'Business Case'!D12*$B387)-'Business Case'!D11*$C387*'Business Case'!D13*$D387-'Business Case'!D14*$E387))*'Business Case'!$B$7-'Business Case'!$B$8*(('Business Case'!D11*$C387*'Business Case'!D12*$B387)-('Business Case'!C11*$C387*'Business Case'!C12*$B387))-'Business Case'!D15*$F387</f>
        <v>253726806.081134</v>
      </c>
      <c r="K387" s="39" t="n">
        <f aca="false">(('Business Case'!E11*$C387*'Business Case'!E12*$B387)-'Business Case'!E11*$C387*'Business Case'!E13*$D387-'Business Case'!E14*$E387)-MAX(0,(('Business Case'!E11*$C387*'Business Case'!E12*$B387)-'Business Case'!E11*$C387*'Business Case'!E13*$D387-'Business Case'!E14*$E387))*'Business Case'!$B$7-'Business Case'!$B$8*(('Business Case'!E11*$C387*'Business Case'!E12*$B387)-('Business Case'!D11*$C387*'Business Case'!D12*$B387))-'Business Case'!E15*$F387</f>
        <v>581299420.192152</v>
      </c>
      <c r="L387" s="39" t="n">
        <f aca="false">(('Business Case'!F11*$C387*'Business Case'!F12*$B387)-'Business Case'!F11*$C387*'Business Case'!F13*$D387-'Business Case'!F14*$E387)-MAX(0,(('Business Case'!F11*$C387*'Business Case'!F12*$B387)-'Business Case'!F11*$C387*'Business Case'!F13*$D387-'Business Case'!F14*$E387))*'Business Case'!$B$7-'Business Case'!$B$8*(('Business Case'!F11*$C387*'Business Case'!F12*$B387)-('Business Case'!E11*$C387*'Business Case'!E12*$B387))-'Business Case'!F15*$F387</f>
        <v>705776298.543396</v>
      </c>
      <c r="M387" s="39" t="n">
        <f aca="false">(('Business Case'!G11*$C387*'Business Case'!G12*$B387)-'Business Case'!G11*$C387*'Business Case'!G13*$D387-'Business Case'!G14*$E387)-MAX(0,(('Business Case'!G11*$C387*'Business Case'!G12*$B387)-'Business Case'!G11*$C387*'Business Case'!G13*$D387-'Business Case'!G14*$E387))*'Business Case'!$B$7-'Business Case'!$B$8*(('Business Case'!G11*$C387*'Business Case'!G12*$B387)-('Business Case'!F11*$C387*'Business Case'!F12*$B387))-'Business Case'!G15*$F387+'Business Case'!$B$8*('Business Case'!G11*$C387*'Business Case'!G12*$B387)</f>
        <v>886990612.57205</v>
      </c>
      <c r="N387" s="39" t="n">
        <f aca="false">IF(COUNT('Business Case'!B11:G11)=0,"",H387+NPV(G387,I387:M387))</f>
        <v>-445442102.433531</v>
      </c>
      <c r="P387" s="40" t="n">
        <f aca="true">RAND()</f>
        <v>0.656385139525295</v>
      </c>
      <c r="Q387" s="40" t="n">
        <f aca="true">RAND()</f>
        <v>0.338575211671363</v>
      </c>
      <c r="R387" s="40" t="n">
        <f aca="true">RAND()</f>
        <v>0.819972446700562</v>
      </c>
      <c r="S387" s="40" t="n">
        <f aca="true">RAND()</f>
        <v>0.162332955129399</v>
      </c>
      <c r="T387" s="40" t="n">
        <f aca="true">RAND()</f>
        <v>0.60644730420868</v>
      </c>
      <c r="U387" s="40" t="n">
        <f aca="true">RAND()</f>
        <v>0.195083840117902</v>
      </c>
    </row>
    <row r="388" customFormat="false" ht="15" hidden="false" customHeight="false" outlineLevel="0" collapsed="false">
      <c r="A388" s="36" t="n">
        <v>308</v>
      </c>
      <c r="B388" s="37" t="n">
        <f aca="false">1+IF($G$6=$E$6,$F$6,IF(P388&lt;($F$6-$E$6)/($G$6-$E$6),$E$6+SQRT(P388*($G$6-$E$6)*($F$6-$E$6)),$G$6-SQRT((1-P388)*($G$6-$E$6)*($G$6-$F$6))))</f>
        <v>0.989398629262579</v>
      </c>
      <c r="C388" s="37" t="n">
        <f aca="false">1+IF($G$7=$E$7,$F$7,IF(Q388&lt;($F$7-$E$7)/($G$7-$E$7),$E$7+SQRT(Q388*($G$7-$E$7)*($F$7-$E$7)),$G$7-SQRT((1-Q388)*($G$7-$E$7)*($G$7-$F$7))))</f>
        <v>1.08856617646196</v>
      </c>
      <c r="D388" s="37" t="n">
        <f aca="false">1+IF($G$8=$E$8,$F$8,IF(R388&lt;($F$8-$E$8)/($G$8-$E$8),$E$8+SQRT(R388*($G$8-$E$8)*($F$8-$E$8)),$G$8-SQRT((1-R388)*($G$8-$E$8)*($G$8-$F$8))))</f>
        <v>0.98980371201259</v>
      </c>
      <c r="E388" s="37" t="n">
        <f aca="false">1+IF($G$9=$E$9,$F$9,IF(S388&lt;($F$9-$E$9)/($G$9-$E$9),$E$9+SQRT(S388*($G$9-$E$9)*($F$9-$E$9)),$G$9-SQRT((1-S388)*($G$9-$E$9)*($G$9-$F$9))))</f>
        <v>1.04017480842597</v>
      </c>
      <c r="F388" s="37" t="n">
        <f aca="false">1+IF($G$10=$E$10,$F$10,IF(T388&lt;($F$10-$E$10)/($G$10-$E$10),$E$10+SQRT(T388*($G$10-$E$10)*($F$10-$E$10)),$G$10-SQRT((1-T388)*($G$10-$E$10)*($G$10-$F$10))))</f>
        <v>0.975980869138582</v>
      </c>
      <c r="G388" s="38" t="n">
        <f aca="false">IF($G$11=$E$11,$F$11,IF(U388&lt;($F$11-$E$11)/($G$11-$E$11),$E$11+SQRT(U388*($G$11-$E$11)*($F$11-$E$11)),$G$11-SQRT((1-U388)*($G$11-$E$11)*($G$11-$F$11))))</f>
        <v>0.104459502966029</v>
      </c>
      <c r="H388" s="39" t="n">
        <f aca="false">(('Business Case'!B11*$C388*'Business Case'!B12*$B388)-'Business Case'!B11*$C388*'Business Case'!B13*$D388-'Business Case'!B14*$E388)-MAX(0,(('Business Case'!B11*$C388*'Business Case'!B12*$B388)-'Business Case'!B11*$C388*'Business Case'!B13*$D388-'Business Case'!B14*$E388))*'Business Case'!$B$7-'Business Case'!$B$8*('Business Case'!B11*$C388*'Business Case'!B12*$B388)-'Business Case'!B15*$F388</f>
        <v>-1951961738.27716</v>
      </c>
      <c r="I388" s="39" t="n">
        <f aca="false">(('Business Case'!C11*$C388*'Business Case'!C12*$B388)-'Business Case'!C11*$C388*'Business Case'!C13*$D388-'Business Case'!C14*$E388)-MAX(0,(('Business Case'!C11*$C388*'Business Case'!C12*$B388)-'Business Case'!C11*$C388*'Business Case'!C13*$D388-'Business Case'!C14*$E388))*'Business Case'!$B$7-'Business Case'!$B$8*(('Business Case'!C11*$C388*'Business Case'!C12*$B388)-('Business Case'!B11*$C388*'Business Case'!B12*$B388))-'Business Case'!C15*$F388</f>
        <v>29240951.6049737</v>
      </c>
      <c r="J388" s="39" t="n">
        <f aca="false">(('Business Case'!D11*$C388*'Business Case'!D12*$B388)-'Business Case'!D11*$C388*'Business Case'!D13*$D388-'Business Case'!D14*$E388)-MAX(0,(('Business Case'!D11*$C388*'Business Case'!D12*$B388)-'Business Case'!D11*$C388*'Business Case'!D13*$D388-'Business Case'!D14*$E388))*'Business Case'!$B$7-'Business Case'!$B$8*(('Business Case'!D11*$C388*'Business Case'!D12*$B388)-('Business Case'!C11*$C388*'Business Case'!C12*$B388))-'Business Case'!D15*$F388</f>
        <v>359825869.649081</v>
      </c>
      <c r="K388" s="39" t="n">
        <f aca="false">(('Business Case'!E11*$C388*'Business Case'!E12*$B388)-'Business Case'!E11*$C388*'Business Case'!E13*$D388-'Business Case'!E14*$E388)-MAX(0,(('Business Case'!E11*$C388*'Business Case'!E12*$B388)-'Business Case'!E11*$C388*'Business Case'!E13*$D388-'Business Case'!E14*$E388))*'Business Case'!$B$7-'Business Case'!$B$8*(('Business Case'!E11*$C388*'Business Case'!E12*$B388)-('Business Case'!D11*$C388*'Business Case'!D12*$B388))-'Business Case'!E15*$F388</f>
        <v>739209831.150117</v>
      </c>
      <c r="L388" s="39" t="n">
        <f aca="false">(('Business Case'!F11*$C388*'Business Case'!F12*$B388)-'Business Case'!F11*$C388*'Business Case'!F13*$D388-'Business Case'!F14*$E388)-MAX(0,(('Business Case'!F11*$C388*'Business Case'!F12*$B388)-'Business Case'!F11*$C388*'Business Case'!F13*$D388-'Business Case'!F14*$E388))*'Business Case'!$B$7-'Business Case'!$B$8*(('Business Case'!F11*$C388*'Business Case'!F12*$B388)-('Business Case'!E11*$C388*'Business Case'!E12*$B388))-'Business Case'!F15*$F388</f>
        <v>886626818.342888</v>
      </c>
      <c r="M388" s="39" t="n">
        <f aca="false">(('Business Case'!G11*$C388*'Business Case'!G12*$B388)-'Business Case'!G11*$C388*'Business Case'!G13*$D388-'Business Case'!G14*$E388)-MAX(0,(('Business Case'!G11*$C388*'Business Case'!G12*$B388)-'Business Case'!G11*$C388*'Business Case'!G13*$D388-'Business Case'!G14*$E388))*'Business Case'!$B$7-'Business Case'!$B$8*(('Business Case'!G11*$C388*'Business Case'!G12*$B388)-('Business Case'!F11*$C388*'Business Case'!F12*$B388))-'Business Case'!G15*$F388+'Business Case'!$B$8*('Business Case'!G11*$C388*'Business Case'!G12*$B388)</f>
        <v>1091347898.1556</v>
      </c>
      <c r="N388" s="39" t="n">
        <f aca="false">IF(COUNT('Business Case'!B11:G11)=0,"",H388+NPV(G388,I388:M388))</f>
        <v>178099837.07217</v>
      </c>
      <c r="P388" s="40" t="n">
        <f aca="true">RAND()</f>
        <v>0.501684348283845</v>
      </c>
      <c r="Q388" s="40" t="n">
        <f aca="true">RAND()</f>
        <v>0.928112101438034</v>
      </c>
      <c r="R388" s="40" t="n">
        <f aca="true">RAND()</f>
        <v>0.243743921535568</v>
      </c>
      <c r="S388" s="40" t="n">
        <f aca="true">RAND()</f>
        <v>0.761396430208671</v>
      </c>
      <c r="T388" s="40" t="n">
        <f aca="true">RAND()</f>
        <v>0.0540004448956897</v>
      </c>
      <c r="U388" s="40" t="n">
        <f aca="true">RAND()</f>
        <v>0.597488253228567</v>
      </c>
    </row>
    <row r="389" customFormat="false" ht="15" hidden="false" customHeight="false" outlineLevel="0" collapsed="false">
      <c r="A389" s="36" t="n">
        <v>309</v>
      </c>
      <c r="B389" s="37" t="n">
        <f aca="false">1+IF($G$6=$E$6,$F$6,IF(P389&lt;($F$6-$E$6)/($G$6-$E$6),$E$6+SQRT(P389*($G$6-$E$6)*($F$6-$E$6)),$G$6-SQRT((1-P389)*($G$6-$E$6)*($G$6-$F$6))))</f>
        <v>1.02691132794976</v>
      </c>
      <c r="C389" s="37" t="n">
        <f aca="false">1+IF($G$7=$E$7,$F$7,IF(Q389&lt;($F$7-$E$7)/($G$7-$E$7),$E$7+SQRT(Q389*($G$7-$E$7)*($F$7-$E$7)),$G$7-SQRT((1-Q389)*($G$7-$E$7)*($G$7-$F$7))))</f>
        <v>0.941694674755581</v>
      </c>
      <c r="D389" s="37" t="n">
        <f aca="false">1+IF($G$8=$E$8,$F$8,IF(R389&lt;($F$8-$E$8)/($G$8-$E$8),$E$8+SQRT(R389*($G$8-$E$8)*($F$8-$E$8)),$G$8-SQRT((1-R389)*($G$8-$E$8)*($G$8-$F$8))))</f>
        <v>1.020481394315</v>
      </c>
      <c r="E389" s="37" t="n">
        <f aca="false">1+IF($G$9=$E$9,$F$9,IF(S389&lt;($F$9-$E$9)/($G$9-$E$9),$E$9+SQRT(S389*($G$9-$E$9)*($F$9-$E$9)),$G$9-SQRT((1-S389)*($G$9-$E$9)*($G$9-$F$9))))</f>
        <v>0.971387350167907</v>
      </c>
      <c r="F389" s="37" t="n">
        <f aca="false">1+IF($G$10=$E$10,$F$10,IF(T389&lt;($F$10-$E$10)/($G$10-$E$10),$E$10+SQRT(T389*($G$10-$E$10)*($F$10-$E$10)),$G$10-SQRT((1-T389)*($G$10-$E$10)*($G$10-$F$10))))</f>
        <v>0.999285117282131</v>
      </c>
      <c r="G389" s="38" t="n">
        <f aca="false">IF($G$11=$E$11,$F$11,IF(U389&lt;($F$11-$E$11)/($G$11-$E$11),$E$11+SQRT(U389*($G$11-$E$11)*($F$11-$E$11)),$G$11-SQRT((1-U389)*($G$11-$E$11)*($G$11-$F$11))))</f>
        <v>0.100928363022094</v>
      </c>
      <c r="H389" s="39" t="n">
        <f aca="false">(('Business Case'!B11*$C389*'Business Case'!B12*$B389)-'Business Case'!B11*$C389*'Business Case'!B13*$D389-'Business Case'!B14*$E389)-MAX(0,(('Business Case'!B11*$C389*'Business Case'!B12*$B389)-'Business Case'!B11*$C389*'Business Case'!B13*$D389-'Business Case'!B14*$E389))*'Business Case'!$B$7-'Business Case'!$B$8*('Business Case'!B11*$C389*'Business Case'!B12*$B389)-'Business Case'!B15*$F389</f>
        <v>-1998570234.56426</v>
      </c>
      <c r="I389" s="39" t="n">
        <f aca="false">(('Business Case'!C11*$C389*'Business Case'!C12*$B389)-'Business Case'!C11*$C389*'Business Case'!C13*$D389-'Business Case'!C14*$E389)-MAX(0,(('Business Case'!C11*$C389*'Business Case'!C12*$B389)-'Business Case'!C11*$C389*'Business Case'!C13*$D389-'Business Case'!C14*$E389))*'Business Case'!$B$7-'Business Case'!$B$8*(('Business Case'!C11*$C389*'Business Case'!C12*$B389)-('Business Case'!B11*$C389*'Business Case'!B12*$B389))-'Business Case'!C15*$F389</f>
        <v>11936032.6286052</v>
      </c>
      <c r="J389" s="39" t="n">
        <f aca="false">(('Business Case'!D11*$C389*'Business Case'!D12*$B389)-'Business Case'!D11*$C389*'Business Case'!D13*$D389-'Business Case'!D14*$E389)-MAX(0,(('Business Case'!D11*$C389*'Business Case'!D12*$B389)-'Business Case'!D11*$C389*'Business Case'!D13*$D389-'Business Case'!D14*$E389))*'Business Case'!$B$7-'Business Case'!$B$8*(('Business Case'!D11*$C389*'Business Case'!D12*$B389)-('Business Case'!C11*$C389*'Business Case'!C12*$B389))-'Business Case'!D15*$F389</f>
        <v>312063052.57744</v>
      </c>
      <c r="K389" s="39" t="n">
        <f aca="false">(('Business Case'!E11*$C389*'Business Case'!E12*$B389)-'Business Case'!E11*$C389*'Business Case'!E13*$D389-'Business Case'!E14*$E389)-MAX(0,(('Business Case'!E11*$C389*'Business Case'!E12*$B389)-'Business Case'!E11*$C389*'Business Case'!E13*$D389-'Business Case'!E14*$E389))*'Business Case'!$B$7-'Business Case'!$B$8*(('Business Case'!E11*$C389*'Business Case'!E12*$B389)-('Business Case'!D11*$C389*'Business Case'!D12*$B389))-'Business Case'!E15*$F389</f>
        <v>662154328.390382</v>
      </c>
      <c r="L389" s="39" t="n">
        <f aca="false">(('Business Case'!F11*$C389*'Business Case'!F12*$B389)-'Business Case'!F11*$C389*'Business Case'!F13*$D389-'Business Case'!F14*$E389)-MAX(0,(('Business Case'!F11*$C389*'Business Case'!F12*$B389)-'Business Case'!F11*$C389*'Business Case'!F13*$D389-'Business Case'!F14*$E389))*'Business Case'!$B$7-'Business Case'!$B$8*(('Business Case'!F11*$C389*'Business Case'!F12*$B389)-('Business Case'!E11*$C389*'Business Case'!E12*$B389))-'Business Case'!F15*$F389</f>
        <v>795617464.638753</v>
      </c>
      <c r="M389" s="39" t="n">
        <f aca="false">(('Business Case'!G11*$C389*'Business Case'!G12*$B389)-'Business Case'!G11*$C389*'Business Case'!G13*$D389-'Business Case'!G14*$E389)-MAX(0,(('Business Case'!G11*$C389*'Business Case'!G12*$B389)-'Business Case'!G11*$C389*'Business Case'!G13*$D389-'Business Case'!G14*$E389))*'Business Case'!$B$7-'Business Case'!$B$8*(('Business Case'!G11*$C389*'Business Case'!G12*$B389)-('Business Case'!F11*$C389*'Business Case'!F12*$B389))-'Business Case'!G15*$F389+'Business Case'!$B$8*('Business Case'!G11*$C389*'Business Case'!G12*$B389)</f>
        <v>979431844.098601</v>
      </c>
      <c r="N389" s="39" t="n">
        <f aca="false">IF(COUNT('Business Case'!B11:G11)=0,"",H389+NPV(G389,I389:M389))</f>
        <v>-86853880.8258085</v>
      </c>
      <c r="P389" s="40" t="n">
        <f aca="true">RAND()</f>
        <v>0.964309721658598</v>
      </c>
      <c r="Q389" s="40" t="n">
        <f aca="true">RAND()</f>
        <v>0.286819726486998</v>
      </c>
      <c r="R389" s="40" t="n">
        <f aca="true">RAND()</f>
        <v>0.659378420895583</v>
      </c>
      <c r="S389" s="40" t="n">
        <f aca="true">RAND()</f>
        <v>0.0609891662939568</v>
      </c>
      <c r="T389" s="40" t="n">
        <f aca="true">RAND()</f>
        <v>0.194321822841071</v>
      </c>
      <c r="U389" s="40" t="n">
        <f aca="true">RAND()</f>
        <v>0.393787771638259</v>
      </c>
    </row>
    <row r="390" customFormat="false" ht="15" hidden="false" customHeight="false" outlineLevel="0" collapsed="false">
      <c r="A390" s="36" t="n">
        <v>310</v>
      </c>
      <c r="B390" s="37" t="n">
        <f aca="false">1+IF($G$6=$E$6,$F$6,IF(P390&lt;($F$6-$E$6)/($G$6-$E$6),$E$6+SQRT(P390*($G$6-$E$6)*($F$6-$E$6)),$G$6-SQRT((1-P390)*($G$6-$E$6)*($G$6-$F$6))))</f>
        <v>0.997716346455195</v>
      </c>
      <c r="C390" s="37" t="n">
        <f aca="false">1+IF($G$7=$E$7,$F$7,IF(Q390&lt;($F$7-$E$7)/($G$7-$E$7),$E$7+SQRT(Q390*($G$7-$E$7)*($F$7-$E$7)),$G$7-SQRT((1-Q390)*($G$7-$E$7)*($G$7-$F$7))))</f>
        <v>0.873863873181747</v>
      </c>
      <c r="D390" s="37" t="n">
        <f aca="false">1+IF($G$8=$E$8,$F$8,IF(R390&lt;($F$8-$E$8)/($G$8-$E$8),$E$8+SQRT(R390*($G$8-$E$8)*($F$8-$E$8)),$G$8-SQRT((1-R390)*($G$8-$E$8)*($G$8-$F$8))))</f>
        <v>0.975310117573283</v>
      </c>
      <c r="E390" s="37" t="n">
        <f aca="false">1+IF($G$9=$E$9,$F$9,IF(S390&lt;($F$9-$E$9)/($G$9-$E$9),$E$9+SQRT(S390*($G$9-$E$9)*($F$9-$E$9)),$G$9-SQRT((1-S390)*($G$9-$E$9)*($G$9-$F$9))))</f>
        <v>1.02382024447165</v>
      </c>
      <c r="F390" s="37" t="n">
        <f aca="false">1+IF($G$10=$E$10,$F$10,IF(T390&lt;($F$10-$E$10)/($G$10-$E$10),$E$10+SQRT(T390*($G$10-$E$10)*($F$10-$E$10)),$G$10-SQRT((1-T390)*($G$10-$E$10)*($G$10-$F$10))))</f>
        <v>0.994420572071062</v>
      </c>
      <c r="G390" s="38" t="n">
        <f aca="false">IF($G$11=$E$11,$F$11,IF(U390&lt;($F$11-$E$11)/($G$11-$E$11),$E$11+SQRT(U390*($G$11-$E$11)*($F$11-$E$11)),$G$11-SQRT((1-U390)*($G$11-$E$11)*($G$11-$F$11))))</f>
        <v>0.0977946749243071</v>
      </c>
      <c r="H390" s="39" t="n">
        <f aca="false">(('Business Case'!B11*$C390*'Business Case'!B12*$B390)-'Business Case'!B11*$C390*'Business Case'!B13*$D390-'Business Case'!B14*$E390)-MAX(0,(('Business Case'!B11*$C390*'Business Case'!B12*$B390)-'Business Case'!B11*$C390*'Business Case'!B13*$D390-'Business Case'!B14*$E390))*'Business Case'!$B$7-'Business Case'!$B$8*('Business Case'!B11*$C390*'Business Case'!B12*$B390)-'Business Case'!B15*$F390</f>
        <v>-1988841144.14212</v>
      </c>
      <c r="I390" s="39" t="n">
        <f aca="false">(('Business Case'!C11*$C390*'Business Case'!C12*$B390)-'Business Case'!C11*$C390*'Business Case'!C13*$D390-'Business Case'!C14*$E390)-MAX(0,(('Business Case'!C11*$C390*'Business Case'!C12*$B390)-'Business Case'!C11*$C390*'Business Case'!C13*$D390-'Business Case'!C14*$E390))*'Business Case'!$B$7-'Business Case'!$B$8*(('Business Case'!C11*$C390*'Business Case'!C12*$B390)-('Business Case'!B11*$C390*'Business Case'!B12*$B390))-'Business Case'!C15*$F390</f>
        <v>-12407473.4986941</v>
      </c>
      <c r="J390" s="39" t="n">
        <f aca="false">(('Business Case'!D11*$C390*'Business Case'!D12*$B390)-'Business Case'!D11*$C390*'Business Case'!D13*$D390-'Business Case'!D14*$E390)-MAX(0,(('Business Case'!D11*$C390*'Business Case'!D12*$B390)-'Business Case'!D11*$C390*'Business Case'!D13*$D390-'Business Case'!D14*$E390))*'Business Case'!$B$7-'Business Case'!$B$8*(('Business Case'!D11*$C390*'Business Case'!D12*$B390)-('Business Case'!C11*$C390*'Business Case'!C12*$B390))-'Business Case'!D15*$F390</f>
        <v>265412000.134454</v>
      </c>
      <c r="K390" s="39" t="n">
        <f aca="false">(('Business Case'!E11*$C390*'Business Case'!E12*$B390)-'Business Case'!E11*$C390*'Business Case'!E13*$D390-'Business Case'!E14*$E390)-MAX(0,(('Business Case'!E11*$C390*'Business Case'!E12*$B390)-'Business Case'!E11*$C390*'Business Case'!E13*$D390-'Business Case'!E14*$E390))*'Business Case'!$B$7-'Business Case'!$B$8*(('Business Case'!E11*$C390*'Business Case'!E12*$B390)-('Business Case'!D11*$C390*'Business Case'!D12*$B390))-'Business Case'!E15*$F390</f>
        <v>592952502.371156</v>
      </c>
      <c r="L390" s="39" t="n">
        <f aca="false">(('Business Case'!F11*$C390*'Business Case'!F12*$B390)-'Business Case'!F11*$C390*'Business Case'!F13*$D390-'Business Case'!F14*$E390)-MAX(0,(('Business Case'!F11*$C390*'Business Case'!F12*$B390)-'Business Case'!F11*$C390*'Business Case'!F13*$D390-'Business Case'!F14*$E390))*'Business Case'!$B$7-'Business Case'!$B$8*(('Business Case'!F11*$C390*'Business Case'!F12*$B390)-('Business Case'!E11*$C390*'Business Case'!E12*$B390))-'Business Case'!F15*$F390</f>
        <v>715690761.022784</v>
      </c>
      <c r="M390" s="39" t="n">
        <f aca="false">(('Business Case'!G11*$C390*'Business Case'!G12*$B390)-'Business Case'!G11*$C390*'Business Case'!G13*$D390-'Business Case'!G14*$E390)-MAX(0,(('Business Case'!G11*$C390*'Business Case'!G12*$B390)-'Business Case'!G11*$C390*'Business Case'!G13*$D390-'Business Case'!G14*$E390))*'Business Case'!$B$7-'Business Case'!$B$8*(('Business Case'!G11*$C390*'Business Case'!G12*$B390)-('Business Case'!F11*$C390*'Business Case'!F12*$B390))-'Business Case'!G15*$F390+'Business Case'!$B$8*('Business Case'!G11*$C390*'Business Case'!G12*$B390)</f>
        <v>881415481.945967</v>
      </c>
      <c r="N390" s="39" t="n">
        <f aca="false">IF(COUNT('Business Case'!B11:G11)=0,"",H390+NPV(G390,I390:M390))</f>
        <v>-286153002.582712</v>
      </c>
      <c r="P390" s="40" t="n">
        <f aca="true">RAND()</f>
        <v>0.629149011077482</v>
      </c>
      <c r="Q390" s="40" t="n">
        <f aca="true">RAND()</f>
        <v>0.0779410251629886</v>
      </c>
      <c r="R390" s="40" t="n">
        <f aca="true">RAND()</f>
        <v>0.0985541617805254</v>
      </c>
      <c r="S390" s="40" t="n">
        <f aca="true">RAND()</f>
        <v>0.613109656509366</v>
      </c>
      <c r="T390" s="40" t="n">
        <f aca="true">RAND()</f>
        <v>0.157854977849635</v>
      </c>
      <c r="U390" s="40" t="n">
        <f aca="true">RAND()</f>
        <v>0.202523190585408</v>
      </c>
    </row>
    <row r="391" customFormat="false" ht="15" hidden="false" customHeight="false" outlineLevel="0" collapsed="false">
      <c r="A391" s="36" t="n">
        <v>311</v>
      </c>
      <c r="B391" s="37" t="n">
        <f aca="false">1+IF($G$6=$E$6,$F$6,IF(P391&lt;($F$6-$E$6)/($G$6-$E$6),$E$6+SQRT(P391*($G$6-$E$6)*($F$6-$E$6)),$G$6-SQRT((1-P391)*($G$6-$E$6)*($G$6-$F$6))))</f>
        <v>0.994508015438523</v>
      </c>
      <c r="C391" s="37" t="n">
        <f aca="false">1+IF($G$7=$E$7,$F$7,IF(Q391&lt;($F$7-$E$7)/($G$7-$E$7),$E$7+SQRT(Q391*($G$7-$E$7)*($F$7-$E$7)),$G$7-SQRT((1-Q391)*($G$7-$E$7)*($G$7-$F$7))))</f>
        <v>0.886210124591215</v>
      </c>
      <c r="D391" s="37" t="n">
        <f aca="false">1+IF($G$8=$E$8,$F$8,IF(R391&lt;($F$8-$E$8)/($G$8-$E$8),$E$8+SQRT(R391*($G$8-$E$8)*($F$8-$E$8)),$G$8-SQRT((1-R391)*($G$8-$E$8)*($G$8-$F$8))))</f>
        <v>0.972378511821682</v>
      </c>
      <c r="E391" s="37" t="n">
        <f aca="false">1+IF($G$9=$E$9,$F$9,IF(S391&lt;($F$9-$E$9)/($G$9-$E$9),$E$9+SQRT(S391*($G$9-$E$9)*($F$9-$E$9)),$G$9-SQRT((1-S391)*($G$9-$E$9)*($G$9-$F$9))))</f>
        <v>0.988353904788271</v>
      </c>
      <c r="F391" s="37" t="n">
        <f aca="false">1+IF($G$10=$E$10,$F$10,IF(T391&lt;($F$10-$E$10)/($G$10-$E$10),$E$10+SQRT(T391*($G$10-$E$10)*($F$10-$E$10)),$G$10-SQRT((1-T391)*($G$10-$E$10)*($G$10-$F$10))))</f>
        <v>0.957039952977331</v>
      </c>
      <c r="G391" s="38" t="n">
        <f aca="false">IF($G$11=$E$11,$F$11,IF(U391&lt;($F$11-$E$11)/($G$11-$E$11),$E$11+SQRT(U391*($G$11-$E$11)*($F$11-$E$11)),$G$11-SQRT((1-U391)*($G$11-$E$11)*($G$11-$F$11))))</f>
        <v>0.105450942689141</v>
      </c>
      <c r="H391" s="39" t="n">
        <f aca="false">(('Business Case'!B11*$C391*'Business Case'!B12*$B391)-'Business Case'!B11*$C391*'Business Case'!B13*$D391-'Business Case'!B14*$E391)-MAX(0,(('Business Case'!B11*$C391*'Business Case'!B12*$B391)-'Business Case'!B11*$C391*'Business Case'!B13*$D391-'Business Case'!B14*$E391))*'Business Case'!$B$7-'Business Case'!$B$8*('Business Case'!B11*$C391*'Business Case'!B12*$B391)-'Business Case'!B15*$F391</f>
        <v>-1914079905.95466</v>
      </c>
      <c r="I391" s="39" t="n">
        <f aca="false">(('Business Case'!C11*$C391*'Business Case'!C12*$B391)-'Business Case'!C11*$C391*'Business Case'!C13*$D391-'Business Case'!C14*$E391)-MAX(0,(('Business Case'!C11*$C391*'Business Case'!C12*$B391)-'Business Case'!C11*$C391*'Business Case'!C13*$D391-'Business Case'!C14*$E391))*'Business Case'!$B$7-'Business Case'!$B$8*(('Business Case'!C11*$C391*'Business Case'!C12*$B391)-('Business Case'!B11*$C391*'Business Case'!B12*$B391))-'Business Case'!C15*$F391</f>
        <v>-1190995.24216178</v>
      </c>
      <c r="J391" s="39" t="n">
        <f aca="false">(('Business Case'!D11*$C391*'Business Case'!D12*$B391)-'Business Case'!D11*$C391*'Business Case'!D13*$D391-'Business Case'!D14*$E391)-MAX(0,(('Business Case'!D11*$C391*'Business Case'!D12*$B391)-'Business Case'!D11*$C391*'Business Case'!D13*$D391-'Business Case'!D14*$E391))*'Business Case'!$B$7-'Business Case'!$B$8*(('Business Case'!D11*$C391*'Business Case'!D12*$B391)-('Business Case'!C11*$C391*'Business Case'!C12*$B391))-'Business Case'!D15*$F391</f>
        <v>279554754.940713</v>
      </c>
      <c r="K391" s="39" t="n">
        <f aca="false">(('Business Case'!E11*$C391*'Business Case'!E12*$B391)-'Business Case'!E11*$C391*'Business Case'!E13*$D391-'Business Case'!E14*$E391)-MAX(0,(('Business Case'!E11*$C391*'Business Case'!E12*$B391)-'Business Case'!E11*$C391*'Business Case'!E13*$D391-'Business Case'!E14*$E391))*'Business Case'!$B$7-'Business Case'!$B$8*(('Business Case'!E11*$C391*'Business Case'!E12*$B391)-('Business Case'!D11*$C391*'Business Case'!D12*$B391))-'Business Case'!E15*$F391</f>
        <v>608152502.772454</v>
      </c>
      <c r="L391" s="39" t="n">
        <f aca="false">(('Business Case'!F11*$C391*'Business Case'!F12*$B391)-'Business Case'!F11*$C391*'Business Case'!F13*$D391-'Business Case'!F14*$E391)-MAX(0,(('Business Case'!F11*$C391*'Business Case'!F12*$B391)-'Business Case'!F11*$C391*'Business Case'!F13*$D391-'Business Case'!F14*$E391))*'Business Case'!$B$7-'Business Case'!$B$8*(('Business Case'!F11*$C391*'Business Case'!F12*$B391)-('Business Case'!E11*$C391*'Business Case'!E12*$B391))-'Business Case'!F15*$F391</f>
        <v>732193636.077686</v>
      </c>
      <c r="M391" s="39" t="n">
        <f aca="false">(('Business Case'!G11*$C391*'Business Case'!G12*$B391)-'Business Case'!G11*$C391*'Business Case'!G13*$D391-'Business Case'!G14*$E391)-MAX(0,(('Business Case'!G11*$C391*'Business Case'!G12*$B391)-'Business Case'!G11*$C391*'Business Case'!G13*$D391-'Business Case'!G14*$E391))*'Business Case'!$B$7-'Business Case'!$B$8*(('Business Case'!G11*$C391*'Business Case'!G12*$B391)-('Business Case'!F11*$C391*'Business Case'!F12*$B391))-'Business Case'!G15*$F391+'Business Case'!$B$8*('Business Case'!G11*$C391*'Business Case'!G12*$B391)</f>
        <v>899719327.254528</v>
      </c>
      <c r="N391" s="39" t="n">
        <f aca="false">IF(COUNT('Business Case'!B11:G11)=0,"",H391+NPV(G391,I391:M391))</f>
        <v>-200881502.089295</v>
      </c>
      <c r="P391" s="40" t="n">
        <f aca="true">RAND()</f>
        <v>0.578275454644498</v>
      </c>
      <c r="Q391" s="40" t="n">
        <f aca="true">RAND()</f>
        <v>0.106174079743327</v>
      </c>
      <c r="R391" s="40" t="n">
        <f aca="true">RAND()</f>
        <v>0.0770458140543296</v>
      </c>
      <c r="S391" s="40" t="n">
        <f aca="true">RAND()</f>
        <v>0.196136268334362</v>
      </c>
      <c r="T391" s="40" t="n">
        <f aca="true">RAND()</f>
        <v>0.00396487503384241</v>
      </c>
      <c r="U391" s="40" t="n">
        <f aca="true">RAND()</f>
        <v>0.647208218942236</v>
      </c>
    </row>
    <row r="392" customFormat="false" ht="15" hidden="false" customHeight="false" outlineLevel="0" collapsed="false">
      <c r="A392" s="36" t="n">
        <v>312</v>
      </c>
      <c r="B392" s="37" t="n">
        <f aca="false">1+IF($G$6=$E$6,$F$6,IF(P392&lt;($F$6-$E$6)/($G$6-$E$6),$E$6+SQRT(P392*($G$6-$E$6)*($F$6-$E$6)),$G$6-SQRT((1-P392)*($G$6-$E$6)*($G$6-$F$6))))</f>
        <v>1.01582112449217</v>
      </c>
      <c r="C392" s="37" t="n">
        <f aca="false">1+IF($G$7=$E$7,$F$7,IF(Q392&lt;($F$7-$E$7)/($G$7-$E$7),$E$7+SQRT(Q392*($G$7-$E$7)*($F$7-$E$7)),$G$7-SQRT((1-Q392)*($G$7-$E$7)*($G$7-$F$7))))</f>
        <v>1.02691734324723</v>
      </c>
      <c r="D392" s="37" t="n">
        <f aca="false">1+IF($G$8=$E$8,$F$8,IF(R392&lt;($F$8-$E$8)/($G$8-$E$8),$E$8+SQRT(R392*($G$8-$E$8)*($F$8-$E$8)),$G$8-SQRT((1-R392)*($G$8-$E$8)*($G$8-$F$8))))</f>
        <v>1.02579215806317</v>
      </c>
      <c r="E392" s="37" t="n">
        <f aca="false">1+IF($G$9=$E$9,$F$9,IF(S392&lt;($F$9-$E$9)/($G$9-$E$9),$E$9+SQRT(S392*($G$9-$E$9)*($F$9-$E$9)),$G$9-SQRT((1-S392)*($G$9-$E$9)*($G$9-$F$9))))</f>
        <v>1.04101615259099</v>
      </c>
      <c r="F392" s="37" t="n">
        <f aca="false">1+IF($G$10=$E$10,$F$10,IF(T392&lt;($F$10-$E$10)/($G$10-$E$10),$E$10+SQRT(T392*($G$10-$E$10)*($F$10-$E$10)),$G$10-SQRT((1-T392)*($G$10-$E$10)*($G$10-$F$10))))</f>
        <v>1.07901006544849</v>
      </c>
      <c r="G392" s="38" t="n">
        <f aca="false">IF($G$11=$E$11,$F$11,IF(U392&lt;($F$11-$E$11)/($G$11-$E$11),$E$11+SQRT(U392*($G$11-$E$11)*($F$11-$E$11)),$G$11-SQRT((1-U392)*($G$11-$E$11)*($G$11-$F$11))))</f>
        <v>0.103719836750212</v>
      </c>
      <c r="H392" s="39" t="n">
        <f aca="false">(('Business Case'!B11*$C392*'Business Case'!B12*$B392)-'Business Case'!B11*$C392*'Business Case'!B13*$D392-'Business Case'!B14*$E392)-MAX(0,(('Business Case'!B11*$C392*'Business Case'!B12*$B392)-'Business Case'!B11*$C392*'Business Case'!B13*$D392-'Business Case'!B14*$E392))*'Business Case'!$B$7-'Business Case'!$B$8*('Business Case'!B11*$C392*'Business Case'!B12*$B392)-'Business Case'!B15*$F392</f>
        <v>-2158020130.89698</v>
      </c>
      <c r="I392" s="39" t="n">
        <f aca="false">(('Business Case'!C11*$C392*'Business Case'!C12*$B392)-'Business Case'!C11*$C392*'Business Case'!C13*$D392-'Business Case'!C14*$E392)-MAX(0,(('Business Case'!C11*$C392*'Business Case'!C12*$B392)-'Business Case'!C11*$C392*'Business Case'!C13*$D392-'Business Case'!C14*$E392))*'Business Case'!$B$7-'Business Case'!$B$8*(('Business Case'!C11*$C392*'Business Case'!C12*$B392)-('Business Case'!B11*$C392*'Business Case'!B12*$B392))-'Business Case'!C15*$F392</f>
        <v>5157100.44861753</v>
      </c>
      <c r="J392" s="39" t="n">
        <f aca="false">(('Business Case'!D11*$C392*'Business Case'!D12*$B392)-'Business Case'!D11*$C392*'Business Case'!D13*$D392-'Business Case'!D14*$E392)-MAX(0,(('Business Case'!D11*$C392*'Business Case'!D12*$B392)-'Business Case'!D11*$C392*'Business Case'!D13*$D392-'Business Case'!D14*$E392))*'Business Case'!$B$7-'Business Case'!$B$8*(('Business Case'!D11*$C392*'Business Case'!D12*$B392)-('Business Case'!C11*$C392*'Business Case'!C12*$B392))-'Business Case'!D15*$F392</f>
        <v>320325343.227313</v>
      </c>
      <c r="K392" s="39" t="n">
        <f aca="false">(('Business Case'!E11*$C392*'Business Case'!E12*$B392)-'Business Case'!E11*$C392*'Business Case'!E13*$D392-'Business Case'!E14*$E392)-MAX(0,(('Business Case'!E11*$C392*'Business Case'!E12*$B392)-'Business Case'!E11*$C392*'Business Case'!E13*$D392-'Business Case'!E14*$E392))*'Business Case'!$B$7-'Business Case'!$B$8*(('Business Case'!E11*$C392*'Business Case'!E12*$B392)-('Business Case'!D11*$C392*'Business Case'!D12*$B392))-'Business Case'!E15*$F392</f>
        <v>689444089.278433</v>
      </c>
      <c r="L392" s="39" t="n">
        <f aca="false">(('Business Case'!F11*$C392*'Business Case'!F12*$B392)-'Business Case'!F11*$C392*'Business Case'!F13*$D392-'Business Case'!F14*$E392)-MAX(0,(('Business Case'!F11*$C392*'Business Case'!F12*$B392)-'Business Case'!F11*$C392*'Business Case'!F13*$D392-'Business Case'!F14*$E392))*'Business Case'!$B$7-'Business Case'!$B$8*(('Business Case'!F11*$C392*'Business Case'!F12*$B392)-('Business Case'!E11*$C392*'Business Case'!E12*$B392))-'Business Case'!F15*$F392</f>
        <v>830551929.462526</v>
      </c>
      <c r="M392" s="39" t="n">
        <f aca="false">(('Business Case'!G11*$C392*'Business Case'!G12*$B392)-'Business Case'!G11*$C392*'Business Case'!G13*$D392-'Business Case'!G14*$E392)-MAX(0,(('Business Case'!G11*$C392*'Business Case'!G12*$B392)-'Business Case'!G11*$C392*'Business Case'!G13*$D392-'Business Case'!G14*$E392))*'Business Case'!$B$7-'Business Case'!$B$8*(('Business Case'!G11*$C392*'Business Case'!G12*$B392)-('Business Case'!F11*$C392*'Business Case'!F12*$B392))-'Business Case'!G15*$F392+'Business Case'!$B$8*('Business Case'!G11*$C392*'Business Case'!G12*$B392)</f>
        <v>1028836605.38076</v>
      </c>
      <c r="N392" s="39" t="n">
        <f aca="false">IF(COUNT('Business Case'!B11:G11)=0,"",H392+NPV(G392,I392:M392))</f>
        <v>-189824521.088073</v>
      </c>
      <c r="P392" s="40" t="n">
        <f aca="true">RAND()</f>
        <v>0.878204578995225</v>
      </c>
      <c r="Q392" s="40" t="n">
        <f aca="true">RAND()</f>
        <v>0.711441135365319</v>
      </c>
      <c r="R392" s="40" t="n">
        <f aca="true">RAND()</f>
        <v>0.717452872360706</v>
      </c>
      <c r="S392" s="40" t="n">
        <f aca="true">RAND()</f>
        <v>0.768060382988679</v>
      </c>
      <c r="T392" s="40" t="n">
        <f aca="true">RAND()</f>
        <v>0.707228714744417</v>
      </c>
      <c r="U392" s="40" t="n">
        <f aca="true">RAND()</f>
        <v>0.558260474267065</v>
      </c>
    </row>
    <row r="393" customFormat="false" ht="15" hidden="false" customHeight="false" outlineLevel="0" collapsed="false">
      <c r="A393" s="36" t="n">
        <v>313</v>
      </c>
      <c r="B393" s="37" t="n">
        <f aca="false">1+IF($G$6=$E$6,$F$6,IF(P393&lt;($F$6-$E$6)/($G$6-$E$6),$E$6+SQRT(P393*($G$6-$E$6)*($F$6-$E$6)),$G$6-SQRT((1-P393)*($G$6-$E$6)*($G$6-$F$6))))</f>
        <v>1.03102761987767</v>
      </c>
      <c r="C393" s="37" t="n">
        <f aca="false">1+IF($G$7=$E$7,$F$7,IF(Q393&lt;($F$7-$E$7)/($G$7-$E$7),$E$7+SQRT(Q393*($G$7-$E$7)*($F$7-$E$7)),$G$7-SQRT((1-Q393)*($G$7-$E$7)*($G$7-$F$7))))</f>
        <v>1.06550670784967</v>
      </c>
      <c r="D393" s="37" t="n">
        <f aca="false">1+IF($G$8=$E$8,$F$8,IF(R393&lt;($F$8-$E$8)/($G$8-$E$8),$E$8+SQRT(R393*($G$8-$E$8)*($F$8-$E$8)),$G$8-SQRT((1-R393)*($G$8-$E$8)*($G$8-$F$8))))</f>
        <v>1.02921451950606</v>
      </c>
      <c r="E393" s="37" t="n">
        <f aca="false">1+IF($G$9=$E$9,$F$9,IF(S393&lt;($F$9-$E$9)/($G$9-$E$9),$E$9+SQRT(S393*($G$9-$E$9)*($F$9-$E$9)),$G$9-SQRT((1-S393)*($G$9-$E$9)*($G$9-$F$9))))</f>
        <v>1.0065031563816</v>
      </c>
      <c r="F393" s="37" t="n">
        <f aca="false">1+IF($G$10=$E$10,$F$10,IF(T393&lt;($F$10-$E$10)/($G$10-$E$10),$E$10+SQRT(T393*($G$10-$E$10)*($F$10-$E$10)),$G$10-SQRT((1-T393)*($G$10-$E$10)*($G$10-$F$10))))</f>
        <v>0.999763494684477</v>
      </c>
      <c r="G393" s="38" t="n">
        <f aca="false">IF($G$11=$E$11,$F$11,IF(U393&lt;($F$11-$E$11)/($G$11-$E$11),$E$11+SQRT(U393*($G$11-$E$11)*($F$11-$E$11)),$G$11-SQRT((1-U393)*($G$11-$E$11)*($G$11-$F$11))))</f>
        <v>0.102912080174603</v>
      </c>
      <c r="H393" s="39" t="n">
        <f aca="false">(('Business Case'!B11*$C393*'Business Case'!B12*$B393)-'Business Case'!B11*$C393*'Business Case'!B13*$D393-'Business Case'!B14*$E393)-MAX(0,(('Business Case'!B11*$C393*'Business Case'!B12*$B393)-'Business Case'!B11*$C393*'Business Case'!B13*$D393-'Business Case'!B14*$E393))*'Business Case'!$B$7-'Business Case'!$B$8*('Business Case'!B11*$C393*'Business Case'!B12*$B393)-'Business Case'!B15*$F393</f>
        <v>-1999526989.36895</v>
      </c>
      <c r="I393" s="39" t="n">
        <f aca="false">(('Business Case'!C11*$C393*'Business Case'!C12*$B393)-'Business Case'!C11*$C393*'Business Case'!C13*$D393-'Business Case'!C14*$E393)-MAX(0,(('Business Case'!C11*$C393*'Business Case'!C12*$B393)-'Business Case'!C11*$C393*'Business Case'!C13*$D393-'Business Case'!C14*$E393))*'Business Case'!$B$7-'Business Case'!$B$8*(('Business Case'!C11*$C393*'Business Case'!C12*$B393)-('Business Case'!B11*$C393*'Business Case'!B12*$B393))-'Business Case'!C15*$F393</f>
        <v>38365163.2156155</v>
      </c>
      <c r="J393" s="39" t="n">
        <f aca="false">(('Business Case'!D11*$C393*'Business Case'!D12*$B393)-'Business Case'!D11*$C393*'Business Case'!D13*$D393-'Business Case'!D14*$E393)-MAX(0,(('Business Case'!D11*$C393*'Business Case'!D12*$B393)-'Business Case'!D11*$C393*'Business Case'!D13*$D393-'Business Case'!D14*$E393))*'Business Case'!$B$7-'Business Case'!$B$8*(('Business Case'!D11*$C393*'Business Case'!D12*$B393)-('Business Case'!C11*$C393*'Business Case'!C12*$B393))-'Business Case'!D15*$F393</f>
        <v>376781129.979763</v>
      </c>
      <c r="K393" s="39" t="n">
        <f aca="false">(('Business Case'!E11*$C393*'Business Case'!E12*$B393)-'Business Case'!E11*$C393*'Business Case'!E13*$D393-'Business Case'!E14*$E393)-MAX(0,(('Business Case'!E11*$C393*'Business Case'!E12*$B393)-'Business Case'!E11*$C393*'Business Case'!E13*$D393-'Business Case'!E14*$E393))*'Business Case'!$B$7-'Business Case'!$B$8*(('Business Case'!E11*$C393*'Business Case'!E12*$B393)-('Business Case'!D11*$C393*'Business Case'!D12*$B393))-'Business Case'!E15*$F393</f>
        <v>765185271.478134</v>
      </c>
      <c r="L393" s="39" t="n">
        <f aca="false">(('Business Case'!F11*$C393*'Business Case'!F12*$B393)-'Business Case'!F11*$C393*'Business Case'!F13*$D393-'Business Case'!F14*$E393)-MAX(0,(('Business Case'!F11*$C393*'Business Case'!F12*$B393)-'Business Case'!F11*$C393*'Business Case'!F13*$D393-'Business Case'!F14*$E393))*'Business Case'!$B$7-'Business Case'!$B$8*(('Business Case'!F11*$C393*'Business Case'!F12*$B393)-('Business Case'!E11*$C393*'Business Case'!E12*$B393))-'Business Case'!F15*$F393</f>
        <v>915957063.894596</v>
      </c>
      <c r="M393" s="39" t="n">
        <f aca="false">(('Business Case'!G11*$C393*'Business Case'!G12*$B393)-'Business Case'!G11*$C393*'Business Case'!G13*$D393-'Business Case'!G14*$E393)-MAX(0,(('Business Case'!G11*$C393*'Business Case'!G12*$B393)-'Business Case'!G11*$C393*'Business Case'!G13*$D393-'Business Case'!G14*$E393))*'Business Case'!$B$7-'Business Case'!$B$8*(('Business Case'!G11*$C393*'Business Case'!G12*$B393)-('Business Case'!F11*$C393*'Business Case'!F12*$B393))-'Business Case'!G15*$F393+'Business Case'!$B$8*('Business Case'!G11*$C393*'Business Case'!G12*$B393)</f>
        <v>1124772649.7842</v>
      </c>
      <c r="N393" s="39" t="n">
        <f aca="false">IF(COUNT('Business Case'!B11:G11)=0,"",H393+NPV(G393,I393:M393))</f>
        <v>223612372.167055</v>
      </c>
      <c r="P393" s="40" t="n">
        <f aca="true">RAND()</f>
        <v>0.983228415612601</v>
      </c>
      <c r="Q393" s="40" t="n">
        <f aca="true">RAND()</f>
        <v>0.864016830125707</v>
      </c>
      <c r="R393" s="40" t="n">
        <f aca="true">RAND()</f>
        <v>0.752003362596157</v>
      </c>
      <c r="S393" s="40" t="n">
        <f aca="true">RAND()</f>
        <v>0.417222682226478</v>
      </c>
      <c r="T393" s="40" t="n">
        <f aca="true">RAND()</f>
        <v>0.19811243225696</v>
      </c>
      <c r="U393" s="40" t="n">
        <f aca="true">RAND()</f>
        <v>0.513338326734675</v>
      </c>
    </row>
    <row r="394" customFormat="false" ht="15" hidden="false" customHeight="false" outlineLevel="0" collapsed="false">
      <c r="A394" s="36" t="n">
        <v>314</v>
      </c>
      <c r="B394" s="37" t="n">
        <f aca="false">1+IF($G$6=$E$6,$F$6,IF(P394&lt;($F$6-$E$6)/($G$6-$E$6),$E$6+SQRT(P394*($G$6-$E$6)*($F$6-$E$6)),$G$6-SQRT((1-P394)*($G$6-$E$6)*($G$6-$F$6))))</f>
        <v>0.963227197480927</v>
      </c>
      <c r="C394" s="37" t="n">
        <f aca="false">1+IF($G$7=$E$7,$F$7,IF(Q394&lt;($F$7-$E$7)/($G$7-$E$7),$E$7+SQRT(Q394*($G$7-$E$7)*($F$7-$E$7)),$G$7-SQRT((1-Q394)*($G$7-$E$7)*($G$7-$F$7))))</f>
        <v>1.06018708861988</v>
      </c>
      <c r="D394" s="37" t="n">
        <f aca="false">1+IF($G$8=$E$8,$F$8,IF(R394&lt;($F$8-$E$8)/($G$8-$E$8),$E$8+SQRT(R394*($G$8-$E$8)*($F$8-$E$8)),$G$8-SQRT((1-R394)*($G$8-$E$8)*($G$8-$F$8))))</f>
        <v>0.984558824763196</v>
      </c>
      <c r="E394" s="37" t="n">
        <f aca="false">1+IF($G$9=$E$9,$F$9,IF(S394&lt;($F$9-$E$9)/($G$9-$E$9),$E$9+SQRT(S394*($G$9-$E$9)*($F$9-$E$9)),$G$9-SQRT((1-S394)*($G$9-$E$9)*($G$9-$F$9))))</f>
        <v>1.00677791350479</v>
      </c>
      <c r="F394" s="37" t="n">
        <f aca="false">1+IF($G$10=$E$10,$F$10,IF(T394&lt;($F$10-$E$10)/($G$10-$E$10),$E$10+SQRT(T394*($G$10-$E$10)*($F$10-$E$10)),$G$10-SQRT((1-T394)*($G$10-$E$10)*($G$10-$F$10))))</f>
        <v>1.00570838613762</v>
      </c>
      <c r="G394" s="38" t="n">
        <f aca="false">IF($G$11=$E$11,$F$11,IF(U394&lt;($F$11-$E$11)/($G$11-$E$11),$E$11+SQRT(U394*($G$11-$E$11)*($F$11-$E$11)),$G$11-SQRT((1-U394)*($G$11-$E$11)*($G$11-$F$11))))</f>
        <v>0.0938792679084116</v>
      </c>
      <c r="H394" s="39" t="n">
        <f aca="false">(('Business Case'!B11*$C394*'Business Case'!B12*$B394)-'Business Case'!B11*$C394*'Business Case'!B13*$D394-'Business Case'!B14*$E394)-MAX(0,(('Business Case'!B11*$C394*'Business Case'!B12*$B394)-'Business Case'!B11*$C394*'Business Case'!B13*$D394-'Business Case'!B14*$E394))*'Business Case'!$B$7-'Business Case'!$B$8*('Business Case'!B11*$C394*'Business Case'!B12*$B394)-'Business Case'!B15*$F394</f>
        <v>-2011416772.27524</v>
      </c>
      <c r="I394" s="39" t="n">
        <f aca="false">(('Business Case'!C11*$C394*'Business Case'!C12*$B394)-'Business Case'!C11*$C394*'Business Case'!C13*$D394-'Business Case'!C14*$E394)-MAX(0,(('Business Case'!C11*$C394*'Business Case'!C12*$B394)-'Business Case'!C11*$C394*'Business Case'!C13*$D394-'Business Case'!C14*$E394))*'Business Case'!$B$7-'Business Case'!$B$8*(('Business Case'!C11*$C394*'Business Case'!C12*$B394)-('Business Case'!B11*$C394*'Business Case'!B12*$B394))-'Business Case'!C15*$F394</f>
        <v>5412886.68427201</v>
      </c>
      <c r="J394" s="39" t="n">
        <f aca="false">(('Business Case'!D11*$C394*'Business Case'!D12*$B394)-'Business Case'!D11*$C394*'Business Case'!D13*$D394-'Business Case'!D14*$E394)-MAX(0,(('Business Case'!D11*$C394*'Business Case'!D12*$B394)-'Business Case'!D11*$C394*'Business Case'!D13*$D394-'Business Case'!D14*$E394))*'Business Case'!$B$7-'Business Case'!$B$8*(('Business Case'!D11*$C394*'Business Case'!D12*$B394)-('Business Case'!C11*$C394*'Business Case'!C12*$B394))-'Business Case'!D15*$F394</f>
        <v>307499493.101773</v>
      </c>
      <c r="K394" s="39" t="n">
        <f aca="false">(('Business Case'!E11*$C394*'Business Case'!E12*$B394)-'Business Case'!E11*$C394*'Business Case'!E13*$D394-'Business Case'!E14*$E394)-MAX(0,(('Business Case'!E11*$C394*'Business Case'!E12*$B394)-'Business Case'!E11*$C394*'Business Case'!E13*$D394-'Business Case'!E14*$E394))*'Business Case'!$B$7-'Business Case'!$B$8*(('Business Case'!E11*$C394*'Business Case'!E12*$B394)-('Business Case'!D11*$C394*'Business Case'!D12*$B394))-'Business Case'!E15*$F394</f>
        <v>659871518.826154</v>
      </c>
      <c r="L394" s="39" t="n">
        <f aca="false">(('Business Case'!F11*$C394*'Business Case'!F12*$B394)-'Business Case'!F11*$C394*'Business Case'!F13*$D394-'Business Case'!F14*$E394)-MAX(0,(('Business Case'!F11*$C394*'Business Case'!F12*$B394)-'Business Case'!F11*$C394*'Business Case'!F13*$D394-'Business Case'!F14*$E394))*'Business Case'!$B$7-'Business Case'!$B$8*(('Business Case'!F11*$C394*'Business Case'!F12*$B394)-('Business Case'!E11*$C394*'Business Case'!E12*$B394))-'Business Case'!F15*$F394</f>
        <v>795859762.178044</v>
      </c>
      <c r="M394" s="39" t="n">
        <f aca="false">(('Business Case'!G11*$C394*'Business Case'!G12*$B394)-'Business Case'!G11*$C394*'Business Case'!G13*$D394-'Business Case'!G14*$E394)-MAX(0,(('Business Case'!G11*$C394*'Business Case'!G12*$B394)-'Business Case'!G11*$C394*'Business Case'!G13*$D394-'Business Case'!G14*$E394))*'Business Case'!$B$7-'Business Case'!$B$8*(('Business Case'!G11*$C394*'Business Case'!G12*$B394)-('Business Case'!F11*$C394*'Business Case'!F12*$B394))-'Business Case'!G15*$F394+'Business Case'!$B$8*('Business Case'!G11*$C394*'Business Case'!G12*$B394)</f>
        <v>989969655.514689</v>
      </c>
      <c r="N394" s="39" t="n">
        <f aca="false">IF(COUNT('Business Case'!B11:G11)=0,"",H394+NPV(G394,I394:M394))</f>
        <v>-57408700.0358169</v>
      </c>
      <c r="P394" s="40" t="n">
        <f aca="true">RAND()</f>
        <v>0.194644854380734</v>
      </c>
      <c r="Q394" s="40" t="n">
        <f aca="true">RAND()</f>
        <v>0.84635506570338</v>
      </c>
      <c r="R394" s="40" t="n">
        <f aca="true">RAND()</f>
        <v>0.183740364463587</v>
      </c>
      <c r="S394" s="40" t="n">
        <f aca="true">RAND()</f>
        <v>0.420642839298659</v>
      </c>
      <c r="T394" s="40" t="n">
        <f aca="true">RAND()</f>
        <v>0.245015375655051</v>
      </c>
      <c r="U394" s="40" t="n">
        <f aca="true">RAND()</f>
        <v>0.0501623983507736</v>
      </c>
    </row>
    <row r="395" customFormat="false" ht="15" hidden="false" customHeight="false" outlineLevel="0" collapsed="false">
      <c r="A395" s="36" t="n">
        <v>315</v>
      </c>
      <c r="B395" s="37" t="n">
        <f aca="false">1+IF($G$6=$E$6,$F$6,IF(P395&lt;($F$6-$E$6)/($G$6-$E$6),$E$6+SQRT(P395*($G$6-$E$6)*($F$6-$E$6)),$G$6-SQRT((1-P395)*($G$6-$E$6)*($G$6-$F$6))))</f>
        <v>0.995285354448937</v>
      </c>
      <c r="C395" s="37" t="n">
        <f aca="false">1+IF($G$7=$E$7,$F$7,IF(Q395&lt;($F$7-$E$7)/($G$7-$E$7),$E$7+SQRT(Q395*($G$7-$E$7)*($F$7-$E$7)),$G$7-SQRT((1-Q395)*($G$7-$E$7)*($G$7-$F$7))))</f>
        <v>1.0881843931105</v>
      </c>
      <c r="D395" s="37" t="n">
        <f aca="false">1+IF($G$8=$E$8,$F$8,IF(R395&lt;($F$8-$E$8)/($G$8-$E$8),$E$8+SQRT(R395*($G$8-$E$8)*($F$8-$E$8)),$G$8-SQRT((1-R395)*($G$8-$E$8)*($G$8-$F$8))))</f>
        <v>0.994880907162263</v>
      </c>
      <c r="E395" s="37" t="n">
        <f aca="false">1+IF($G$9=$E$9,$F$9,IF(S395&lt;($F$9-$E$9)/($G$9-$E$9),$E$9+SQRT(S395*($G$9-$E$9)*($F$9-$E$9)),$G$9-SQRT((1-S395)*($G$9-$E$9)*($G$9-$F$9))))</f>
        <v>1.0562691062903</v>
      </c>
      <c r="F395" s="37" t="n">
        <f aca="false">1+IF($G$10=$E$10,$F$10,IF(T395&lt;($F$10-$E$10)/($G$10-$E$10),$E$10+SQRT(T395*($G$10-$E$10)*($F$10-$E$10)),$G$10-SQRT((1-T395)*($G$10-$E$10)*($G$10-$F$10))))</f>
        <v>1.08333992523187</v>
      </c>
      <c r="G395" s="38" t="n">
        <f aca="false">IF($G$11=$E$11,$F$11,IF(U395&lt;($F$11-$E$11)/($G$11-$E$11),$E$11+SQRT(U395*($G$11-$E$11)*($F$11-$E$11)),$G$11-SQRT((1-U395)*($G$11-$E$11)*($G$11-$F$11))))</f>
        <v>0.0966910202733495</v>
      </c>
      <c r="H395" s="39" t="n">
        <f aca="false">(('Business Case'!B11*$C395*'Business Case'!B12*$B395)-'Business Case'!B11*$C395*'Business Case'!B13*$D395-'Business Case'!B14*$E395)-MAX(0,(('Business Case'!B11*$C395*'Business Case'!B12*$B395)-'Business Case'!B11*$C395*'Business Case'!B13*$D395-'Business Case'!B14*$E395))*'Business Case'!$B$7-'Business Case'!$B$8*('Business Case'!B11*$C395*'Business Case'!B12*$B395)-'Business Case'!B15*$F395</f>
        <v>-2166679850.46375</v>
      </c>
      <c r="I395" s="39" t="n">
        <f aca="false">(('Business Case'!C11*$C395*'Business Case'!C12*$B395)-'Business Case'!C11*$C395*'Business Case'!C13*$D395-'Business Case'!C14*$E395)-MAX(0,(('Business Case'!C11*$C395*'Business Case'!C12*$B395)-'Business Case'!C11*$C395*'Business Case'!C13*$D395-'Business Case'!C14*$E395))*'Business Case'!$B$7-'Business Case'!$B$8*(('Business Case'!C11*$C395*'Business Case'!C12*$B395)-('Business Case'!B11*$C395*'Business Case'!B12*$B395))-'Business Case'!C15*$F395</f>
        <v>18206523.4669781</v>
      </c>
      <c r="J395" s="39" t="n">
        <f aca="false">(('Business Case'!D11*$C395*'Business Case'!D12*$B395)-'Business Case'!D11*$C395*'Business Case'!D13*$D395-'Business Case'!D14*$E395)-MAX(0,(('Business Case'!D11*$C395*'Business Case'!D12*$B395)-'Business Case'!D11*$C395*'Business Case'!D13*$D395-'Business Case'!D14*$E395))*'Business Case'!$B$7-'Business Case'!$B$8*(('Business Case'!D11*$C395*'Business Case'!D12*$B395)-('Business Case'!C11*$C395*'Business Case'!C12*$B395))-'Business Case'!D15*$F395</f>
        <v>351094025.182264</v>
      </c>
      <c r="K395" s="39" t="n">
        <f aca="false">(('Business Case'!E11*$C395*'Business Case'!E12*$B395)-'Business Case'!E11*$C395*'Business Case'!E13*$D395-'Business Case'!E14*$E395)-MAX(0,(('Business Case'!E11*$C395*'Business Case'!E12*$B395)-'Business Case'!E11*$C395*'Business Case'!E13*$D395-'Business Case'!E14*$E395))*'Business Case'!$B$7-'Business Case'!$B$8*(('Business Case'!E11*$C395*'Business Case'!E12*$B395)-('Business Case'!D11*$C395*'Business Case'!D12*$B395))-'Business Case'!E15*$F395</f>
        <v>738148523.159145</v>
      </c>
      <c r="L395" s="39" t="n">
        <f aca="false">(('Business Case'!F11*$C395*'Business Case'!F12*$B395)-'Business Case'!F11*$C395*'Business Case'!F13*$D395-'Business Case'!F14*$E395)-MAX(0,(('Business Case'!F11*$C395*'Business Case'!F12*$B395)-'Business Case'!F11*$C395*'Business Case'!F13*$D395-'Business Case'!F14*$E395))*'Business Case'!$B$7-'Business Case'!$B$8*(('Business Case'!F11*$C395*'Business Case'!F12*$B395)-('Business Case'!E11*$C395*'Business Case'!E12*$B395))-'Business Case'!F15*$F395</f>
        <v>886541369.604667</v>
      </c>
      <c r="M395" s="39" t="n">
        <f aca="false">(('Business Case'!G11*$C395*'Business Case'!G12*$B395)-'Business Case'!G11*$C395*'Business Case'!G13*$D395-'Business Case'!G14*$E395)-MAX(0,(('Business Case'!G11*$C395*'Business Case'!G12*$B395)-'Business Case'!G11*$C395*'Business Case'!G13*$D395-'Business Case'!G14*$E395))*'Business Case'!$B$7-'Business Case'!$B$8*(('Business Case'!G11*$C395*'Business Case'!G12*$B395)-('Business Case'!F11*$C395*'Business Case'!F12*$B395))-'Business Case'!G15*$F395+'Business Case'!$B$8*('Business Case'!G11*$C395*'Business Case'!G12*$B395)</f>
        <v>1092408271.91035</v>
      </c>
      <c r="N395" s="39" t="n">
        <f aca="false">IF(COUNT('Business Case'!B11:G11)=0,"",H395+NPV(G395,I395:M395))</f>
        <v>2907732.61673403</v>
      </c>
      <c r="P395" s="40" t="n">
        <f aca="true">RAND()</f>
        <v>0.590404645260634</v>
      </c>
      <c r="Q395" s="40" t="n">
        <f aca="true">RAND()</f>
        <v>0.927215823712057</v>
      </c>
      <c r="R395" s="40" t="n">
        <f aca="true">RAND()</f>
        <v>0.309891665801183</v>
      </c>
      <c r="S395" s="40" t="n">
        <f aca="true">RAND()</f>
        <v>0.87250726235672</v>
      </c>
      <c r="T395" s="40" t="n">
        <f aca="true">RAND()</f>
        <v>0.727808539101899</v>
      </c>
      <c r="U395" s="40" t="n">
        <f aca="true">RAND()</f>
        <v>0.149232507661245</v>
      </c>
    </row>
    <row r="396" customFormat="false" ht="15" hidden="false" customHeight="false" outlineLevel="0" collapsed="false">
      <c r="A396" s="36" t="n">
        <v>316</v>
      </c>
      <c r="B396" s="37" t="n">
        <f aca="false">1+IF($G$6=$E$6,$F$6,IF(P396&lt;($F$6-$E$6)/($G$6-$E$6),$E$6+SQRT(P396*($G$6-$E$6)*($F$6-$E$6)),$G$6-SQRT((1-P396)*($G$6-$E$6)*($G$6-$F$6))))</f>
        <v>0.952525819148678</v>
      </c>
      <c r="C396" s="37" t="n">
        <f aca="false">1+IF($G$7=$E$7,$F$7,IF(Q396&lt;($F$7-$E$7)/($G$7-$E$7),$E$7+SQRT(Q396*($G$7-$E$7)*($F$7-$E$7)),$G$7-SQRT((1-Q396)*($G$7-$E$7)*($G$7-$F$7))))</f>
        <v>0.937619525020432</v>
      </c>
      <c r="D396" s="37" t="n">
        <f aca="false">1+IF($G$8=$E$8,$F$8,IF(R396&lt;($F$8-$E$8)/($G$8-$E$8),$E$8+SQRT(R396*($G$8-$E$8)*($F$8-$E$8)),$G$8-SQRT((1-R396)*($G$8-$E$8)*($G$8-$F$8))))</f>
        <v>1.01501954128682</v>
      </c>
      <c r="E396" s="37" t="n">
        <f aca="false">1+IF($G$9=$E$9,$F$9,IF(S396&lt;($F$9-$E$9)/($G$9-$E$9),$E$9+SQRT(S396*($G$9-$E$9)*($F$9-$E$9)),$G$9-SQRT((1-S396)*($G$9-$E$9)*($G$9-$F$9))))</f>
        <v>1.03999316620831</v>
      </c>
      <c r="F396" s="37" t="n">
        <f aca="false">1+IF($G$10=$E$10,$F$10,IF(T396&lt;($F$10-$E$10)/($G$10-$E$10),$E$10+SQRT(T396*($G$10-$E$10)*($F$10-$E$10)),$G$10-SQRT((1-T396)*($G$10-$E$10)*($G$10-$F$10))))</f>
        <v>1.16126134597535</v>
      </c>
      <c r="G396" s="38" t="n">
        <f aca="false">IF($G$11=$E$11,$F$11,IF(U396&lt;($F$11-$E$11)/($G$11-$E$11),$E$11+SQRT(U396*($G$11-$E$11)*($F$11-$E$11)),$G$11-SQRT((1-U396)*($G$11-$E$11)*($G$11-$F$11))))</f>
        <v>0.100330254198568</v>
      </c>
      <c r="H396" s="39" t="n">
        <f aca="false">(('Business Case'!B11*$C396*'Business Case'!B12*$B396)-'Business Case'!B11*$C396*'Business Case'!B13*$D396-'Business Case'!B14*$E396)-MAX(0,(('Business Case'!B11*$C396*'Business Case'!B12*$B396)-'Business Case'!B11*$C396*'Business Case'!B13*$D396-'Business Case'!B14*$E396))*'Business Case'!$B$7-'Business Case'!$B$8*('Business Case'!B11*$C396*'Business Case'!B12*$B396)-'Business Case'!B15*$F396</f>
        <v>-2322522691.95071</v>
      </c>
      <c r="I396" s="39" t="n">
        <f aca="false">(('Business Case'!C11*$C396*'Business Case'!C12*$B396)-'Business Case'!C11*$C396*'Business Case'!C13*$D396-'Business Case'!C14*$E396)-MAX(0,(('Business Case'!C11*$C396*'Business Case'!C12*$B396)-'Business Case'!C11*$C396*'Business Case'!C13*$D396-'Business Case'!C14*$E396))*'Business Case'!$B$7-'Business Case'!$B$8*(('Business Case'!C11*$C396*'Business Case'!C12*$B396)-('Business Case'!B11*$C396*'Business Case'!B12*$B396))-'Business Case'!C15*$F396</f>
        <v>-65988401.3643287</v>
      </c>
      <c r="J396" s="39" t="n">
        <f aca="false">(('Business Case'!D11*$C396*'Business Case'!D12*$B396)-'Business Case'!D11*$C396*'Business Case'!D13*$D396-'Business Case'!D14*$E396)-MAX(0,(('Business Case'!D11*$C396*'Business Case'!D12*$B396)-'Business Case'!D11*$C396*'Business Case'!D13*$D396-'Business Case'!D14*$E396))*'Business Case'!$B$7-'Business Case'!$B$8*(('Business Case'!D11*$C396*'Business Case'!D12*$B396)-('Business Case'!C11*$C396*'Business Case'!C12*$B396))-'Business Case'!D15*$F396</f>
        <v>178335016.932955</v>
      </c>
      <c r="K396" s="39" t="n">
        <f aca="false">(('Business Case'!E11*$C396*'Business Case'!E12*$B396)-'Business Case'!E11*$C396*'Business Case'!E13*$D396-'Business Case'!E14*$E396)-MAX(0,(('Business Case'!E11*$C396*'Business Case'!E12*$B396)-'Business Case'!E11*$C396*'Business Case'!E13*$D396-'Business Case'!E14*$E396))*'Business Case'!$B$7-'Business Case'!$B$8*(('Business Case'!E11*$C396*'Business Case'!E12*$B396)-('Business Case'!D11*$C396*'Business Case'!D12*$B396))-'Business Case'!E15*$F396</f>
        <v>480721502.529006</v>
      </c>
      <c r="L396" s="39" t="n">
        <f aca="false">(('Business Case'!F11*$C396*'Business Case'!F12*$B396)-'Business Case'!F11*$C396*'Business Case'!F13*$D396-'Business Case'!F14*$E396)-MAX(0,(('Business Case'!F11*$C396*'Business Case'!F12*$B396)-'Business Case'!F11*$C396*'Business Case'!F13*$D396-'Business Case'!F14*$E396))*'Business Case'!$B$7-'Business Case'!$B$8*(('Business Case'!F11*$C396*'Business Case'!F12*$B396)-('Business Case'!E11*$C396*'Business Case'!E12*$B396))-'Business Case'!F15*$F396</f>
        <v>593028413.180937</v>
      </c>
      <c r="M396" s="39" t="n">
        <f aca="false">(('Business Case'!G11*$C396*'Business Case'!G12*$B396)-'Business Case'!G11*$C396*'Business Case'!G13*$D396-'Business Case'!G14*$E396)-MAX(0,(('Business Case'!G11*$C396*'Business Case'!G12*$B396)-'Business Case'!G11*$C396*'Business Case'!G13*$D396-'Business Case'!G14*$E396))*'Business Case'!$B$7-'Business Case'!$B$8*(('Business Case'!G11*$C396*'Business Case'!G12*$B396)-('Business Case'!F11*$C396*'Business Case'!F12*$B396))-'Business Case'!G15*$F396+'Business Case'!$B$8*('Business Case'!G11*$C396*'Business Case'!G12*$B396)</f>
        <v>762790154.888204</v>
      </c>
      <c r="N396" s="39" t="n">
        <f aca="false">IF(COUNT('Business Case'!B11:G11)=0,"",H396+NPV(G396,I396:M396))</f>
        <v>-996867584.552688</v>
      </c>
      <c r="P396" s="40" t="n">
        <f aca="true">RAND()</f>
        <v>0.110200928259633</v>
      </c>
      <c r="Q396" s="40" t="n">
        <f aca="true">RAND()</f>
        <v>0.270559052383563</v>
      </c>
      <c r="R396" s="40" t="n">
        <f aca="true">RAND()</f>
        <v>0.593994229367723</v>
      </c>
      <c r="S396" s="40" t="n">
        <f aca="true">RAND()</f>
        <v>0.759945326553127</v>
      </c>
      <c r="T396" s="40" t="n">
        <f aca="true">RAND()</f>
        <v>0.969986333687175</v>
      </c>
      <c r="U396" s="40" t="n">
        <f aca="true">RAND()</f>
        <v>0.355168500178392</v>
      </c>
    </row>
    <row r="397" customFormat="false" ht="15" hidden="false" customHeight="false" outlineLevel="0" collapsed="false">
      <c r="A397" s="36" t="n">
        <v>317</v>
      </c>
      <c r="B397" s="37" t="n">
        <f aca="false">1+IF($G$6=$E$6,$F$6,IF(P397&lt;($F$6-$E$6)/($G$6-$E$6),$E$6+SQRT(P397*($G$6-$E$6)*($F$6-$E$6)),$G$6-SQRT((1-P397)*($G$6-$E$6)*($G$6-$F$6))))</f>
        <v>0.961957011445433</v>
      </c>
      <c r="C397" s="37" t="n">
        <f aca="false">1+IF($G$7=$E$7,$F$7,IF(Q397&lt;($F$7-$E$7)/($G$7-$E$7),$E$7+SQRT(Q397*($G$7-$E$7)*($F$7-$E$7)),$G$7-SQRT((1-Q397)*($G$7-$E$7)*($G$7-$F$7))))</f>
        <v>1.06708241809445</v>
      </c>
      <c r="D397" s="37" t="n">
        <f aca="false">1+IF($G$8=$E$8,$F$8,IF(R397&lt;($F$8-$E$8)/($G$8-$E$8),$E$8+SQRT(R397*($G$8-$E$8)*($F$8-$E$8)),$G$8-SQRT((1-R397)*($G$8-$E$8)*($G$8-$F$8))))</f>
        <v>1.01126777040412</v>
      </c>
      <c r="E397" s="37" t="n">
        <f aca="false">1+IF($G$9=$E$9,$F$9,IF(S397&lt;($F$9-$E$9)/($G$9-$E$9),$E$9+SQRT(S397*($G$9-$E$9)*($F$9-$E$9)),$G$9-SQRT((1-S397)*($G$9-$E$9)*($G$9-$F$9))))</f>
        <v>1.0220282010389</v>
      </c>
      <c r="F397" s="37" t="n">
        <f aca="false">1+IF($G$10=$E$10,$F$10,IF(T397&lt;($F$10-$E$10)/($G$10-$E$10),$E$10+SQRT(T397*($G$10-$E$10)*($F$10-$E$10)),$G$10-SQRT((1-T397)*($G$10-$E$10)*($G$10-$F$10))))</f>
        <v>0.987360511810557</v>
      </c>
      <c r="G397" s="38" t="n">
        <f aca="false">IF($G$11=$E$11,$F$11,IF(U397&lt;($F$11-$E$11)/($G$11-$E$11),$E$11+SQRT(U397*($G$11-$E$11)*($F$11-$E$11)),$G$11-SQRT((1-U397)*($G$11-$E$11)*($G$11-$F$11))))</f>
        <v>0.0945599776055027</v>
      </c>
      <c r="H397" s="39" t="n">
        <f aca="false">(('Business Case'!B11*$C397*'Business Case'!B12*$B397)-'Business Case'!B11*$C397*'Business Case'!B13*$D397-'Business Case'!B14*$E397)-MAX(0,(('Business Case'!B11*$C397*'Business Case'!B12*$B397)-'Business Case'!B11*$C397*'Business Case'!B13*$D397-'Business Case'!B14*$E397))*'Business Case'!$B$7-'Business Case'!$B$8*('Business Case'!B11*$C397*'Business Case'!B12*$B397)-'Business Case'!B15*$F397</f>
        <v>-1974721023.62111</v>
      </c>
      <c r="I397" s="39" t="n">
        <f aca="false">(('Business Case'!C11*$C397*'Business Case'!C12*$B397)-'Business Case'!C11*$C397*'Business Case'!C13*$D397-'Business Case'!C14*$E397)-MAX(0,(('Business Case'!C11*$C397*'Business Case'!C12*$B397)-'Business Case'!C11*$C397*'Business Case'!C13*$D397-'Business Case'!C14*$E397))*'Business Case'!$B$7-'Business Case'!$B$8*(('Business Case'!C11*$C397*'Business Case'!C12*$B397)-('Business Case'!B11*$C397*'Business Case'!B12*$B397))-'Business Case'!C15*$F397</f>
        <v>-8930442.94648394</v>
      </c>
      <c r="J397" s="39" t="n">
        <f aca="false">(('Business Case'!D11*$C397*'Business Case'!D12*$B397)-'Business Case'!D11*$C397*'Business Case'!D13*$D397-'Business Case'!D14*$E397)-MAX(0,(('Business Case'!D11*$C397*'Business Case'!D12*$B397)-'Business Case'!D11*$C397*'Business Case'!D13*$D397-'Business Case'!D14*$E397))*'Business Case'!$B$7-'Business Case'!$B$8*(('Business Case'!D11*$C397*'Business Case'!D12*$B397)-('Business Case'!C11*$C397*'Business Case'!C12*$B397))-'Business Case'!D15*$F397</f>
        <v>279420683.011156</v>
      </c>
      <c r="K397" s="39" t="n">
        <f aca="false">(('Business Case'!E11*$C397*'Business Case'!E12*$B397)-'Business Case'!E11*$C397*'Business Case'!E13*$D397-'Business Case'!E14*$E397)-MAX(0,(('Business Case'!E11*$C397*'Business Case'!E12*$B397)-'Business Case'!E11*$C397*'Business Case'!E13*$D397-'Business Case'!E14*$E397))*'Business Case'!$B$7-'Business Case'!$B$8*(('Business Case'!E11*$C397*'Business Case'!E12*$B397)-('Business Case'!D11*$C397*'Business Case'!D12*$B397))-'Business Case'!E15*$F397</f>
        <v>617139834.559325</v>
      </c>
      <c r="L397" s="39" t="n">
        <f aca="false">(('Business Case'!F11*$C397*'Business Case'!F12*$B397)-'Business Case'!F11*$C397*'Business Case'!F13*$D397-'Business Case'!F14*$E397)-MAX(0,(('Business Case'!F11*$C397*'Business Case'!F12*$B397)-'Business Case'!F11*$C397*'Business Case'!F13*$D397-'Business Case'!F14*$E397))*'Business Case'!$B$7-'Business Case'!$B$8*(('Business Case'!F11*$C397*'Business Case'!F12*$B397)-('Business Case'!E11*$C397*'Business Case'!E12*$B397))-'Business Case'!F15*$F397</f>
        <v>748732281.568762</v>
      </c>
      <c r="M397" s="39" t="n">
        <f aca="false">(('Business Case'!G11*$C397*'Business Case'!G12*$B397)-'Business Case'!G11*$C397*'Business Case'!G13*$D397-'Business Case'!G14*$E397)-MAX(0,(('Business Case'!G11*$C397*'Business Case'!G12*$B397)-'Business Case'!G11*$C397*'Business Case'!G13*$D397-'Business Case'!G14*$E397))*'Business Case'!$B$7-'Business Case'!$B$8*(('Business Case'!G11*$C397*'Business Case'!G12*$B397)-('Business Case'!F11*$C397*'Business Case'!F12*$B397))-'Business Case'!G15*$F397+'Business Case'!$B$8*('Business Case'!G11*$C397*'Business Case'!G12*$B397)</f>
        <v>943847009.198331</v>
      </c>
      <c r="N397" s="39" t="n">
        <f aca="false">IF(COUNT('Business Case'!B11:G11)=0,"",H397+NPV(G397,I397:M397))</f>
        <v>-156637856.719748</v>
      </c>
      <c r="P397" s="40" t="n">
        <f aca="true">RAND()</f>
        <v>0.183374042649189</v>
      </c>
      <c r="Q397" s="40" t="n">
        <f aca="true">RAND()</f>
        <v>0.86904142116068</v>
      </c>
      <c r="R397" s="40" t="n">
        <f aca="true">RAND()</f>
        <v>0.545757751421028</v>
      </c>
      <c r="S397" s="40" t="n">
        <f aca="true">RAND()</f>
        <v>0.594693237784618</v>
      </c>
      <c r="T397" s="40" t="n">
        <f aca="true">RAND()</f>
        <v>0.111664627419744</v>
      </c>
      <c r="U397" s="40" t="n">
        <f aca="true">RAND()</f>
        <v>0.0693113192089545</v>
      </c>
    </row>
    <row r="398" customFormat="false" ht="15" hidden="false" customHeight="false" outlineLevel="0" collapsed="false">
      <c r="A398" s="36" t="n">
        <v>318</v>
      </c>
      <c r="B398" s="37" t="n">
        <f aca="false">1+IF($G$6=$E$6,$F$6,IF(P398&lt;($F$6-$E$6)/($G$6-$E$6),$E$6+SQRT(P398*($G$6-$E$6)*($F$6-$E$6)),$G$6-SQRT((1-P398)*($G$6-$E$6)*($G$6-$F$6))))</f>
        <v>0.93411302251352</v>
      </c>
      <c r="C398" s="37" t="n">
        <f aca="false">1+IF($G$7=$E$7,$F$7,IF(Q398&lt;($F$7-$E$7)/($G$7-$E$7),$E$7+SQRT(Q398*($G$7-$E$7)*($F$7-$E$7)),$G$7-SQRT((1-Q398)*($G$7-$E$7)*($G$7-$F$7))))</f>
        <v>1.07709858037451</v>
      </c>
      <c r="D398" s="37" t="n">
        <f aca="false">1+IF($G$8=$E$8,$F$8,IF(R398&lt;($F$8-$E$8)/($G$8-$E$8),$E$8+SQRT(R398*($G$8-$E$8)*($F$8-$E$8)),$G$8-SQRT((1-R398)*($G$8-$E$8)*($G$8-$F$8))))</f>
        <v>0.962799283267561</v>
      </c>
      <c r="E398" s="37" t="n">
        <f aca="false">1+IF($G$9=$E$9,$F$9,IF(S398&lt;($F$9-$E$9)/($G$9-$E$9),$E$9+SQRT(S398*($G$9-$E$9)*($F$9-$E$9)),$G$9-SQRT((1-S398)*($G$9-$E$9)*($G$9-$F$9))))</f>
        <v>1.01016311846948</v>
      </c>
      <c r="F398" s="37" t="n">
        <f aca="false">1+IF($G$10=$E$10,$F$10,IF(T398&lt;($F$10-$E$10)/($G$10-$E$10),$E$10+SQRT(T398*($G$10-$E$10)*($F$10-$E$10)),$G$10-SQRT((1-T398)*($G$10-$E$10)*($G$10-$F$10))))</f>
        <v>0.952829014746654</v>
      </c>
      <c r="G398" s="38" t="n">
        <f aca="false">IF($G$11=$E$11,$F$11,IF(U398&lt;($F$11-$E$11)/($G$11-$E$11),$E$11+SQRT(U398*($G$11-$E$11)*($F$11-$E$11)),$G$11-SQRT((1-U398)*($G$11-$E$11)*($G$11-$F$11))))</f>
        <v>0.102494710522659</v>
      </c>
      <c r="H398" s="39" t="n">
        <f aca="false">(('Business Case'!B11*$C398*'Business Case'!B12*$B398)-'Business Case'!B11*$C398*'Business Case'!B13*$D398-'Business Case'!B14*$E398)-MAX(0,(('Business Case'!B11*$C398*'Business Case'!B12*$B398)-'Business Case'!B11*$C398*'Business Case'!B13*$D398-'Business Case'!B14*$E398))*'Business Case'!$B$7-'Business Case'!$B$8*('Business Case'!B11*$C398*'Business Case'!B12*$B398)-'Business Case'!B15*$F398</f>
        <v>-1905658029.49331</v>
      </c>
      <c r="I398" s="39" t="n">
        <f aca="false">(('Business Case'!C11*$C398*'Business Case'!C12*$B398)-'Business Case'!C11*$C398*'Business Case'!C13*$D398-'Business Case'!C14*$E398)-MAX(0,(('Business Case'!C11*$C398*'Business Case'!C12*$B398)-'Business Case'!C11*$C398*'Business Case'!C13*$D398-'Business Case'!C14*$E398))*'Business Case'!$B$7-'Business Case'!$B$8*(('Business Case'!C11*$C398*'Business Case'!C12*$B398)-('Business Case'!B11*$C398*'Business Case'!B12*$B398))-'Business Case'!C15*$F398</f>
        <v>2132159.16922541</v>
      </c>
      <c r="J398" s="39" t="n">
        <f aca="false">(('Business Case'!D11*$C398*'Business Case'!D12*$B398)-'Business Case'!D11*$C398*'Business Case'!D13*$D398-'Business Case'!D14*$E398)-MAX(0,(('Business Case'!D11*$C398*'Business Case'!D12*$B398)-'Business Case'!D11*$C398*'Business Case'!D13*$D398-'Business Case'!D14*$E398))*'Business Case'!$B$7-'Business Case'!$B$8*(('Business Case'!D11*$C398*'Business Case'!D12*$B398)-('Business Case'!C11*$C398*'Business Case'!C12*$B398))-'Business Case'!D15*$F398</f>
        <v>295350288.313653</v>
      </c>
      <c r="K398" s="39" t="n">
        <f aca="false">(('Business Case'!E11*$C398*'Business Case'!E12*$B398)-'Business Case'!E11*$C398*'Business Case'!E13*$D398-'Business Case'!E14*$E398)-MAX(0,(('Business Case'!E11*$C398*'Business Case'!E12*$B398)-'Business Case'!E11*$C398*'Business Case'!E13*$D398-'Business Case'!E14*$E398))*'Business Case'!$B$7-'Business Case'!$B$8*(('Business Case'!E11*$C398*'Business Case'!E12*$B398)-('Business Case'!D11*$C398*'Business Case'!D12*$B398))-'Business Case'!E15*$F398</f>
        <v>636209868.195413</v>
      </c>
      <c r="L398" s="39" t="n">
        <f aca="false">(('Business Case'!F11*$C398*'Business Case'!F12*$B398)-'Business Case'!F11*$C398*'Business Case'!F13*$D398-'Business Case'!F14*$E398)-MAX(0,(('Business Case'!F11*$C398*'Business Case'!F12*$B398)-'Business Case'!F11*$C398*'Business Case'!F13*$D398-'Business Case'!F14*$E398))*'Business Case'!$B$7-'Business Case'!$B$8*(('Business Case'!F11*$C398*'Business Case'!F12*$B398)-('Business Case'!E11*$C398*'Business Case'!E12*$B398))-'Business Case'!F15*$F398</f>
        <v>768721159.94634</v>
      </c>
      <c r="M398" s="39" t="n">
        <f aca="false">(('Business Case'!G11*$C398*'Business Case'!G12*$B398)-'Business Case'!G11*$C398*'Business Case'!G13*$D398-'Business Case'!G14*$E398)-MAX(0,(('Business Case'!G11*$C398*'Business Case'!G12*$B398)-'Business Case'!G11*$C398*'Business Case'!G13*$D398-'Business Case'!G14*$E398))*'Business Case'!$B$7-'Business Case'!$B$8*(('Business Case'!G11*$C398*'Business Case'!G12*$B398)-('Business Case'!F11*$C398*'Business Case'!F12*$B398))-'Business Case'!G15*$F398+'Business Case'!$B$8*('Business Case'!G11*$C398*'Business Case'!G12*$B398)</f>
        <v>959966694.478322</v>
      </c>
      <c r="N398" s="39" t="n">
        <f aca="false">IF(COUNT('Business Case'!B11:G11)=0,"",H398+NPV(G398,I398:M398))</f>
        <v>-76318773.1264939</v>
      </c>
      <c r="P398" s="40" t="n">
        <f aca="true">RAND()</f>
        <v>0.0207476462986575</v>
      </c>
      <c r="Q398" s="40" t="n">
        <f aca="true">RAND()</f>
        <v>0.898769200315974</v>
      </c>
      <c r="R398" s="40" t="n">
        <f aca="true">RAND()</f>
        <v>0.0252033311020406</v>
      </c>
      <c r="S398" s="40" t="n">
        <f aca="true">RAND()</f>
        <v>0.461955647791421</v>
      </c>
      <c r="T398" s="40" t="n">
        <f aca="true">RAND()</f>
        <v>0.000640265954942669</v>
      </c>
      <c r="U398" s="40" t="n">
        <f aca="true">RAND()</f>
        <v>0.489274733857496</v>
      </c>
    </row>
    <row r="399" customFormat="false" ht="15" hidden="false" customHeight="false" outlineLevel="0" collapsed="false">
      <c r="A399" s="36" t="n">
        <v>319</v>
      </c>
      <c r="B399" s="37" t="n">
        <f aca="false">1+IF($G$6=$E$6,$F$6,IF(P399&lt;($F$6-$E$6)/($G$6-$E$6),$E$6+SQRT(P399*($G$6-$E$6)*($F$6-$E$6)),$G$6-SQRT((1-P399)*($G$6-$E$6)*($G$6-$F$6))))</f>
        <v>1.03290544292783</v>
      </c>
      <c r="C399" s="37" t="n">
        <f aca="false">1+IF($G$7=$E$7,$F$7,IF(Q399&lt;($F$7-$E$7)/($G$7-$E$7),$E$7+SQRT(Q399*($G$7-$E$7)*($F$7-$E$7)),$G$7-SQRT((1-Q399)*($G$7-$E$7)*($G$7-$F$7))))</f>
        <v>0.842916081685087</v>
      </c>
      <c r="D399" s="37" t="n">
        <f aca="false">1+IF($G$8=$E$8,$F$8,IF(R399&lt;($F$8-$E$8)/($G$8-$E$8),$E$8+SQRT(R399*($G$8-$E$8)*($F$8-$E$8)),$G$8-SQRT((1-R399)*($G$8-$E$8)*($G$8-$F$8))))</f>
        <v>0.999049759809649</v>
      </c>
      <c r="E399" s="37" t="n">
        <f aca="false">1+IF($G$9=$E$9,$F$9,IF(S399&lt;($F$9-$E$9)/($G$9-$E$9),$E$9+SQRT(S399*($G$9-$E$9)*($F$9-$E$9)),$G$9-SQRT((1-S399)*($G$9-$E$9)*($G$9-$F$9))))</f>
        <v>1.02916184404782</v>
      </c>
      <c r="F399" s="37" t="n">
        <f aca="false">1+IF($G$10=$E$10,$F$10,IF(T399&lt;($F$10-$E$10)/($G$10-$E$10),$E$10+SQRT(T399*($G$10-$E$10)*($F$10-$E$10)),$G$10-SQRT((1-T399)*($G$10-$E$10)*($G$10-$F$10))))</f>
        <v>1.03828882117021</v>
      </c>
      <c r="G399" s="38" t="n">
        <f aca="false">IF($G$11=$E$11,$F$11,IF(U399&lt;($F$11-$E$11)/($G$11-$E$11),$E$11+SQRT(U399*($G$11-$E$11)*($F$11-$E$11)),$G$11-SQRT((1-U399)*($G$11-$E$11)*($G$11-$F$11))))</f>
        <v>0.111355702059253</v>
      </c>
      <c r="H399" s="39" t="n">
        <f aca="false">(('Business Case'!B11*$C399*'Business Case'!B12*$B399)-'Business Case'!B11*$C399*'Business Case'!B13*$D399-'Business Case'!B14*$E399)-MAX(0,(('Business Case'!B11*$C399*'Business Case'!B12*$B399)-'Business Case'!B11*$C399*'Business Case'!B13*$D399-'Business Case'!B14*$E399))*'Business Case'!$B$7-'Business Case'!$B$8*('Business Case'!B11*$C399*'Business Case'!B12*$B399)-'Business Case'!B15*$F399</f>
        <v>-2076577642.34043</v>
      </c>
      <c r="I399" s="39" t="n">
        <f aca="false">(('Business Case'!C11*$C399*'Business Case'!C12*$B399)-'Business Case'!C11*$C399*'Business Case'!C13*$D399-'Business Case'!C14*$E399)-MAX(0,(('Business Case'!C11*$C399*'Business Case'!C12*$B399)-'Business Case'!C11*$C399*'Business Case'!C13*$D399-'Business Case'!C14*$E399))*'Business Case'!$B$7-'Business Case'!$B$8*(('Business Case'!C11*$C399*'Business Case'!C12*$B399)-('Business Case'!B11*$C399*'Business Case'!B12*$B399))-'Business Case'!C15*$F399</f>
        <v>-13278720.6317309</v>
      </c>
      <c r="J399" s="39" t="n">
        <f aca="false">(('Business Case'!D11*$C399*'Business Case'!D12*$B399)-'Business Case'!D11*$C399*'Business Case'!D13*$D399-'Business Case'!D14*$E399)-MAX(0,(('Business Case'!D11*$C399*'Business Case'!D12*$B399)-'Business Case'!D11*$C399*'Business Case'!D13*$D399-'Business Case'!D14*$E399))*'Business Case'!$B$7-'Business Case'!$B$8*(('Business Case'!D11*$C399*'Business Case'!D12*$B399)-('Business Case'!C11*$C399*'Business Case'!C12*$B399))-'Business Case'!D15*$F399</f>
        <v>268752886.31237</v>
      </c>
      <c r="K399" s="39" t="n">
        <f aca="false">(('Business Case'!E11*$C399*'Business Case'!E12*$B399)-'Business Case'!E11*$C399*'Business Case'!E13*$D399-'Business Case'!E14*$E399)-MAX(0,(('Business Case'!E11*$C399*'Business Case'!E12*$B399)-'Business Case'!E11*$C399*'Business Case'!E13*$D399-'Business Case'!E14*$E399))*'Business Case'!$B$7-'Business Case'!$B$8*(('Business Case'!E11*$C399*'Business Case'!E12*$B399)-('Business Case'!D11*$C399*'Business Case'!D12*$B399))-'Business Case'!E15*$F399</f>
        <v>602698934.314982</v>
      </c>
      <c r="L399" s="39" t="n">
        <f aca="false">(('Business Case'!F11*$C399*'Business Case'!F12*$B399)-'Business Case'!F11*$C399*'Business Case'!F13*$D399-'Business Case'!F14*$E399)-MAX(0,(('Business Case'!F11*$C399*'Business Case'!F12*$B399)-'Business Case'!F11*$C399*'Business Case'!F13*$D399-'Business Case'!F14*$E399))*'Business Case'!$B$7-'Business Case'!$B$8*(('Business Case'!F11*$C399*'Business Case'!F12*$B399)-('Business Case'!E11*$C399*'Business Case'!E12*$B399))-'Business Case'!F15*$F399</f>
        <v>726799224.119824</v>
      </c>
      <c r="M399" s="39" t="n">
        <f aca="false">(('Business Case'!G11*$C399*'Business Case'!G12*$B399)-'Business Case'!G11*$C399*'Business Case'!G13*$D399-'Business Case'!G14*$E399)-MAX(0,(('Business Case'!G11*$C399*'Business Case'!G12*$B399)-'Business Case'!G11*$C399*'Business Case'!G13*$D399-'Business Case'!G14*$E399))*'Business Case'!$B$7-'Business Case'!$B$8*(('Business Case'!G11*$C399*'Business Case'!G12*$B399)-('Business Case'!F11*$C399*'Business Case'!F12*$B399))-'Business Case'!G15*$F399+'Business Case'!$B$8*('Business Case'!G11*$C399*'Business Case'!G12*$B399)</f>
        <v>892292871.982266</v>
      </c>
      <c r="N399" s="39" t="n">
        <f aca="false">IF(COUNT('Business Case'!B11:G11)=0,"",H399+NPV(G399,I399:M399))</f>
        <v>-429110543.473598</v>
      </c>
      <c r="P399" s="40" t="n">
        <f aca="true">RAND()</f>
        <v>0.989514012489517</v>
      </c>
      <c r="Q399" s="40" t="n">
        <f aca="true">RAND()</f>
        <v>0.0263112866743007</v>
      </c>
      <c r="R399" s="40" t="n">
        <f aca="true">RAND()</f>
        <v>0.370135221136039</v>
      </c>
      <c r="S399" s="40" t="n">
        <f aca="true">RAND()</f>
        <v>0.665463710752935</v>
      </c>
      <c r="T399" s="40" t="n">
        <f aca="true">RAND()</f>
        <v>0.476989892829624</v>
      </c>
      <c r="U399" s="40" t="n">
        <f aca="true">RAND()</f>
        <v>0.87546018851933</v>
      </c>
    </row>
    <row r="400" customFormat="false" ht="15" hidden="false" customHeight="false" outlineLevel="0" collapsed="false">
      <c r="A400" s="36" t="n">
        <v>320</v>
      </c>
      <c r="B400" s="37" t="n">
        <f aca="false">1+IF($G$6=$E$6,$F$6,IF(P400&lt;($F$6-$E$6)/($G$6-$E$6),$E$6+SQRT(P400*($G$6-$E$6)*($F$6-$E$6)),$G$6-SQRT((1-P400)*($G$6-$E$6)*($G$6-$F$6))))</f>
        <v>1.02436932712438</v>
      </c>
      <c r="C400" s="37" t="n">
        <f aca="false">1+IF($G$7=$E$7,$F$7,IF(Q400&lt;($F$7-$E$7)/($G$7-$E$7),$E$7+SQRT(Q400*($G$7-$E$7)*($F$7-$E$7)),$G$7-SQRT((1-Q400)*($G$7-$E$7)*($G$7-$F$7))))</f>
        <v>0.999302964999652</v>
      </c>
      <c r="D400" s="37" t="n">
        <f aca="false">1+IF($G$8=$E$8,$F$8,IF(R400&lt;($F$8-$E$8)/($G$8-$E$8),$E$8+SQRT(R400*($G$8-$E$8)*($F$8-$E$8)),$G$8-SQRT((1-R400)*($G$8-$E$8)*($G$8-$F$8))))</f>
        <v>0.979762695270556</v>
      </c>
      <c r="E400" s="37" t="n">
        <f aca="false">1+IF($G$9=$E$9,$F$9,IF(S400&lt;($F$9-$E$9)/($G$9-$E$9),$E$9+SQRT(S400*($G$9-$E$9)*($F$9-$E$9)),$G$9-SQRT((1-S400)*($G$9-$E$9)*($G$9-$F$9))))</f>
        <v>1.07482916422695</v>
      </c>
      <c r="F400" s="37" t="n">
        <f aca="false">1+IF($G$10=$E$10,$F$10,IF(T400&lt;($F$10-$E$10)/($G$10-$E$10),$E$10+SQRT(T400*($G$10-$E$10)*($F$10-$E$10)),$G$10-SQRT((1-T400)*($G$10-$E$10)*($G$10-$F$10))))</f>
        <v>1.08076066885532</v>
      </c>
      <c r="G400" s="38" t="n">
        <f aca="false">IF($G$11=$E$11,$F$11,IF(U400&lt;($F$11-$E$11)/($G$11-$E$11),$E$11+SQRT(U400*($G$11-$E$11)*($F$11-$E$11)),$G$11-SQRT((1-U400)*($G$11-$E$11)*($G$11-$F$11))))</f>
        <v>0.104884220068987</v>
      </c>
      <c r="H400" s="39" t="n">
        <f aca="false">(('Business Case'!B11*$C400*'Business Case'!B12*$B400)-'Business Case'!B11*$C400*'Business Case'!B13*$D400-'Business Case'!B14*$E400)-MAX(0,(('Business Case'!B11*$C400*'Business Case'!B12*$B400)-'Business Case'!B11*$C400*'Business Case'!B13*$D400-'Business Case'!B14*$E400))*'Business Case'!$B$7-'Business Case'!$B$8*('Business Case'!B11*$C400*'Business Case'!B12*$B400)-'Business Case'!B15*$F400</f>
        <v>-2161521337.71064</v>
      </c>
      <c r="I400" s="39" t="n">
        <f aca="false">(('Business Case'!C11*$C400*'Business Case'!C12*$B400)-'Business Case'!C11*$C400*'Business Case'!C13*$D400-'Business Case'!C14*$E400)-MAX(0,(('Business Case'!C11*$C400*'Business Case'!C12*$B400)-'Business Case'!C11*$C400*'Business Case'!C13*$D400-'Business Case'!C14*$E400))*'Business Case'!$B$7-'Business Case'!$B$8*(('Business Case'!C11*$C400*'Business Case'!C12*$B400)-('Business Case'!B11*$C400*'Business Case'!B12*$B400))-'Business Case'!C15*$F400</f>
        <v>23253819.5741618</v>
      </c>
      <c r="J400" s="39" t="n">
        <f aca="false">(('Business Case'!D11*$C400*'Business Case'!D12*$B400)-'Business Case'!D11*$C400*'Business Case'!D13*$D400-'Business Case'!D14*$E400)-MAX(0,(('Business Case'!D11*$C400*'Business Case'!D12*$B400)-'Business Case'!D11*$C400*'Business Case'!D13*$D400-'Business Case'!D14*$E400))*'Business Case'!$B$7-'Business Case'!$B$8*(('Business Case'!D11*$C400*'Business Case'!D12*$B400)-('Business Case'!C11*$C400*'Business Case'!C12*$B400))-'Business Case'!D15*$F400</f>
        <v>360490704.242197</v>
      </c>
      <c r="K400" s="39" t="n">
        <f aca="false">(('Business Case'!E11*$C400*'Business Case'!E12*$B400)-'Business Case'!E11*$C400*'Business Case'!E13*$D400-'Business Case'!E14*$E400)-MAX(0,(('Business Case'!E11*$C400*'Business Case'!E12*$B400)-'Business Case'!E11*$C400*'Business Case'!E13*$D400-'Business Case'!E14*$E400))*'Business Case'!$B$7-'Business Case'!$B$8*(('Business Case'!E11*$C400*'Business Case'!E12*$B400)-('Business Case'!D11*$C400*'Business Case'!D12*$B400))-'Business Case'!E15*$F400</f>
        <v>751765622.352998</v>
      </c>
      <c r="L400" s="39" t="n">
        <f aca="false">(('Business Case'!F11*$C400*'Business Case'!F12*$B400)-'Business Case'!F11*$C400*'Business Case'!F13*$D400-'Business Case'!F14*$E400)-MAX(0,(('Business Case'!F11*$C400*'Business Case'!F12*$B400)-'Business Case'!F11*$C400*'Business Case'!F13*$D400-'Business Case'!F14*$E400))*'Business Case'!$B$7-'Business Case'!$B$8*(('Business Case'!F11*$C400*'Business Case'!F12*$B400)-('Business Case'!E11*$C400*'Business Case'!E12*$B400))-'Business Case'!F15*$F400</f>
        <v>899555444.612522</v>
      </c>
      <c r="M400" s="39" t="n">
        <f aca="false">(('Business Case'!G11*$C400*'Business Case'!G12*$B400)-'Business Case'!G11*$C400*'Business Case'!G13*$D400-'Business Case'!G14*$E400)-MAX(0,(('Business Case'!G11*$C400*'Business Case'!G12*$B400)-'Business Case'!G11*$C400*'Business Case'!G13*$D400-'Business Case'!G14*$E400))*'Business Case'!$B$7-'Business Case'!$B$8*(('Business Case'!G11*$C400*'Business Case'!G12*$B400)-('Business Case'!F11*$C400*'Business Case'!F12*$B400))-'Business Case'!G15*$F400+'Business Case'!$B$8*('Business Case'!G11*$C400*'Business Case'!G12*$B400)</f>
        <v>1094131845.14851</v>
      </c>
      <c r="N400" s="39" t="n">
        <f aca="false">IF(COUNT('Business Case'!B11:G11)=0,"",H400+NPV(G400,I400:M400))</f>
        <v>-19719516.0658197</v>
      </c>
      <c r="P400" s="40" t="n">
        <f aca="true">RAND()</f>
        <v>0.949100430303167</v>
      </c>
      <c r="Q400" s="40" t="n">
        <f aca="true">RAND()</f>
        <v>0.567452455109322</v>
      </c>
      <c r="R400" s="40" t="n">
        <f aca="true">RAND()</f>
        <v>0.136279696887378</v>
      </c>
      <c r="S400" s="40" t="n">
        <f aca="true">RAND()</f>
        <v>0.957761935099081</v>
      </c>
      <c r="T400" s="40" t="n">
        <f aca="true">RAND()</f>
        <v>0.715639638163396</v>
      </c>
      <c r="U400" s="40" t="n">
        <f aca="true">RAND()</f>
        <v>0.619188661795318</v>
      </c>
    </row>
    <row r="401" customFormat="false" ht="15" hidden="false" customHeight="false" outlineLevel="0" collapsed="false">
      <c r="A401" s="36" t="n">
        <v>321</v>
      </c>
      <c r="B401" s="37" t="n">
        <f aca="false">1+IF($G$6=$E$6,$F$6,IF(P401&lt;($F$6-$E$6)/($G$6-$E$6),$E$6+SQRT(P401*($G$6-$E$6)*($F$6-$E$6)),$G$6-SQRT((1-P401)*($G$6-$E$6)*($G$6-$F$6))))</f>
        <v>1.00314215755445</v>
      </c>
      <c r="C401" s="37" t="n">
        <f aca="false">1+IF($G$7=$E$7,$F$7,IF(Q401&lt;($F$7-$E$7)/($G$7-$E$7),$E$7+SQRT(Q401*($G$7-$E$7)*($F$7-$E$7)),$G$7-SQRT((1-Q401)*($G$7-$E$7)*($G$7-$F$7))))</f>
        <v>1.02800647654132</v>
      </c>
      <c r="D401" s="37" t="n">
        <f aca="false">1+IF($G$8=$E$8,$F$8,IF(R401&lt;($F$8-$E$8)/($G$8-$E$8),$E$8+SQRT(R401*($G$8-$E$8)*($F$8-$E$8)),$G$8-SQRT((1-R401)*($G$8-$E$8)*($G$8-$F$8))))</f>
        <v>0.967151182297998</v>
      </c>
      <c r="E401" s="37" t="n">
        <f aca="false">1+IF($G$9=$E$9,$F$9,IF(S401&lt;($F$9-$E$9)/($G$9-$E$9),$E$9+SQRT(S401*($G$9-$E$9)*($F$9-$E$9)),$G$9-SQRT((1-S401)*($G$9-$E$9)*($G$9-$F$9))))</f>
        <v>1.01393099261197</v>
      </c>
      <c r="F401" s="37" t="n">
        <f aca="false">1+IF($G$10=$E$10,$F$10,IF(T401&lt;($F$10-$E$10)/($G$10-$E$10),$E$10+SQRT(T401*($G$10-$E$10)*($F$10-$E$10)),$G$10-SQRT((1-T401)*($G$10-$E$10)*($G$10-$F$10))))</f>
        <v>0.985427933929288</v>
      </c>
      <c r="G401" s="38" t="n">
        <f aca="false">IF($G$11=$E$11,$F$11,IF(U401&lt;($F$11-$E$11)/($G$11-$E$11),$E$11+SQRT(U401*($G$11-$E$11)*($F$11-$E$11)),$G$11-SQRT((1-U401)*($G$11-$E$11)*($G$11-$F$11))))</f>
        <v>0.0942879991985906</v>
      </c>
      <c r="H401" s="39" t="n">
        <f aca="false">(('Business Case'!B11*$C401*'Business Case'!B12*$B401)-'Business Case'!B11*$C401*'Business Case'!B13*$D401-'Business Case'!B14*$E401)-MAX(0,(('Business Case'!B11*$C401*'Business Case'!B12*$B401)-'Business Case'!B11*$C401*'Business Case'!B13*$D401-'Business Case'!B14*$E401))*'Business Case'!$B$7-'Business Case'!$B$8*('Business Case'!B11*$C401*'Business Case'!B12*$B401)-'Business Case'!B15*$F401</f>
        <v>-1970855867.85858</v>
      </c>
      <c r="I401" s="39" t="n">
        <f aca="false">(('Business Case'!C11*$C401*'Business Case'!C12*$B401)-'Business Case'!C11*$C401*'Business Case'!C13*$D401-'Business Case'!C14*$E401)-MAX(0,(('Business Case'!C11*$C401*'Business Case'!C12*$B401)-'Business Case'!C11*$C401*'Business Case'!C13*$D401-'Business Case'!C14*$E401))*'Business Case'!$B$7-'Business Case'!$B$8*(('Business Case'!C11*$C401*'Business Case'!C12*$B401)-('Business Case'!B11*$C401*'Business Case'!B12*$B401))-'Business Case'!C15*$F401</f>
        <v>39503812.5582221</v>
      </c>
      <c r="J401" s="39" t="n">
        <f aca="false">(('Business Case'!D11*$C401*'Business Case'!D12*$B401)-'Business Case'!D11*$C401*'Business Case'!D13*$D401-'Business Case'!D14*$E401)-MAX(0,(('Business Case'!D11*$C401*'Business Case'!D12*$B401)-'Business Case'!D11*$C401*'Business Case'!D13*$D401-'Business Case'!D14*$E401))*'Business Case'!$B$7-'Business Case'!$B$8*(('Business Case'!D11*$C401*'Business Case'!D12*$B401)-('Business Case'!C11*$C401*'Business Case'!C12*$B401))-'Business Case'!D15*$F401</f>
        <v>375190712.809814</v>
      </c>
      <c r="K401" s="39" t="n">
        <f aca="false">(('Business Case'!E11*$C401*'Business Case'!E12*$B401)-'Business Case'!E11*$C401*'Business Case'!E13*$D401-'Business Case'!E14*$E401)-MAX(0,(('Business Case'!E11*$C401*'Business Case'!E12*$B401)-'Business Case'!E11*$C401*'Business Case'!E13*$D401-'Business Case'!E14*$E401))*'Business Case'!$B$7-'Business Case'!$B$8*(('Business Case'!E11*$C401*'Business Case'!E12*$B401)-('Business Case'!D11*$C401*'Business Case'!D12*$B401))-'Business Case'!E15*$F401</f>
        <v>760149009.75787</v>
      </c>
      <c r="L401" s="39" t="n">
        <f aca="false">(('Business Case'!F11*$C401*'Business Case'!F12*$B401)-'Business Case'!F11*$C401*'Business Case'!F13*$D401-'Business Case'!F14*$E401)-MAX(0,(('Business Case'!F11*$C401*'Business Case'!F12*$B401)-'Business Case'!F11*$C401*'Business Case'!F13*$D401-'Business Case'!F14*$E401))*'Business Case'!$B$7-'Business Case'!$B$8*(('Business Case'!F11*$C401*'Business Case'!F12*$B401)-('Business Case'!E11*$C401*'Business Case'!E12*$B401))-'Business Case'!F15*$F401</f>
        <v>907684181.275747</v>
      </c>
      <c r="M401" s="39" t="n">
        <f aca="false">(('Business Case'!G11*$C401*'Business Case'!G12*$B401)-'Business Case'!G11*$C401*'Business Case'!G13*$D401-'Business Case'!G14*$E401)-MAX(0,(('Business Case'!G11*$C401*'Business Case'!G12*$B401)-'Business Case'!G11*$C401*'Business Case'!G13*$D401-'Business Case'!G14*$E401))*'Business Case'!$B$7-'Business Case'!$B$8*(('Business Case'!G11*$C401*'Business Case'!G12*$B401)-('Business Case'!F11*$C401*'Business Case'!F12*$B401))-'Business Case'!G15*$F401+'Business Case'!$B$8*('Business Case'!G11*$C401*'Business Case'!G12*$B401)</f>
        <v>1103701640.82948</v>
      </c>
      <c r="N401" s="39" t="n">
        <f aca="false">IF(COUNT('Business Case'!B11:G11)=0,"",H401+NPV(G401,I401:M401))</f>
        <v>295058153.35177</v>
      </c>
      <c r="P401" s="40" t="n">
        <f aca="true">RAND()</f>
        <v>0.716979052137231</v>
      </c>
      <c r="Q401" s="40" t="n">
        <f aca="true">RAND()</f>
        <v>0.716525337793086</v>
      </c>
      <c r="R401" s="40" t="n">
        <f aca="true">RAND()</f>
        <v>0.0452558544952554</v>
      </c>
      <c r="S401" s="40" t="n">
        <f aca="true">RAND()</f>
        <v>0.506141731149337</v>
      </c>
      <c r="T401" s="40" t="n">
        <f aca="true">RAND()</f>
        <v>0.10041108019984</v>
      </c>
      <c r="U401" s="40" t="n">
        <f aca="true">RAND()</f>
        <v>0.061289790423712</v>
      </c>
    </row>
    <row r="402" customFormat="false" ht="15" hidden="false" customHeight="false" outlineLevel="0" collapsed="false">
      <c r="A402" s="36" t="n">
        <v>322</v>
      </c>
      <c r="B402" s="37" t="n">
        <f aca="false">1+IF($G$6=$E$6,$F$6,IF(P402&lt;($F$6-$E$6)/($G$6-$E$6),$E$6+SQRT(P402*($G$6-$E$6)*($F$6-$E$6)),$G$6-SQRT((1-P402)*($G$6-$E$6)*($G$6-$F$6))))</f>
        <v>0.971299023787773</v>
      </c>
      <c r="C402" s="37" t="n">
        <f aca="false">1+IF($G$7=$E$7,$F$7,IF(Q402&lt;($F$7-$E$7)/($G$7-$E$7),$E$7+SQRT(Q402*($G$7-$E$7)*($F$7-$E$7)),$G$7-SQRT((1-Q402)*($G$7-$E$7)*($G$7-$F$7))))</f>
        <v>1.13211702377026</v>
      </c>
      <c r="D402" s="37" t="n">
        <f aca="false">1+IF($G$8=$E$8,$F$8,IF(R402&lt;($F$8-$E$8)/($G$8-$E$8),$E$8+SQRT(R402*($G$8-$E$8)*($F$8-$E$8)),$G$8-SQRT((1-R402)*($G$8-$E$8)*($G$8-$F$8))))</f>
        <v>1.0536108304908</v>
      </c>
      <c r="E402" s="37" t="n">
        <f aca="false">1+IF($G$9=$E$9,$F$9,IF(S402&lt;($F$9-$E$9)/($G$9-$E$9),$E$9+SQRT(S402*($G$9-$E$9)*($F$9-$E$9)),$G$9-SQRT((1-S402)*($G$9-$E$9)*($G$9-$F$9))))</f>
        <v>1.0118682876499</v>
      </c>
      <c r="F402" s="37" t="n">
        <f aca="false">1+IF($G$10=$E$10,$F$10,IF(T402&lt;($F$10-$E$10)/($G$10-$E$10),$E$10+SQRT(T402*($G$10-$E$10)*($F$10-$E$10)),$G$10-SQRT((1-T402)*($G$10-$E$10)*($G$10-$F$10))))</f>
        <v>1.0136890797441</v>
      </c>
      <c r="G402" s="38" t="n">
        <f aca="false">IF($G$11=$E$11,$F$11,IF(U402&lt;($F$11-$E$11)/($G$11-$E$11),$E$11+SQRT(U402*($G$11-$E$11)*($F$11-$E$11)),$G$11-SQRT((1-U402)*($G$11-$E$11)*($G$11-$F$11))))</f>
        <v>0.101483815857509</v>
      </c>
      <c r="H402" s="39" t="n">
        <f aca="false">(('Business Case'!B11*$C402*'Business Case'!B12*$B402)-'Business Case'!B11*$C402*'Business Case'!B13*$D402-'Business Case'!B14*$E402)-MAX(0,(('Business Case'!B11*$C402*'Business Case'!B12*$B402)-'Business Case'!B11*$C402*'Business Case'!B13*$D402-'Business Case'!B14*$E402))*'Business Case'!$B$7-'Business Case'!$B$8*('Business Case'!B11*$C402*'Business Case'!B12*$B402)-'Business Case'!B15*$F402</f>
        <v>-2027378159.4882</v>
      </c>
      <c r="I402" s="39" t="n">
        <f aca="false">(('Business Case'!C11*$C402*'Business Case'!C12*$B402)-'Business Case'!C11*$C402*'Business Case'!C13*$D402-'Business Case'!C14*$E402)-MAX(0,(('Business Case'!C11*$C402*'Business Case'!C12*$B402)-'Business Case'!C11*$C402*'Business Case'!C13*$D402-'Business Case'!C14*$E402))*'Business Case'!$B$7-'Business Case'!$B$8*(('Business Case'!C11*$C402*'Business Case'!C12*$B402)-('Business Case'!B11*$C402*'Business Case'!B12*$B402))-'Business Case'!C15*$F402</f>
        <v>-12213417.9964961</v>
      </c>
      <c r="J402" s="39" t="n">
        <f aca="false">(('Business Case'!D11*$C402*'Business Case'!D12*$B402)-'Business Case'!D11*$C402*'Business Case'!D13*$D402-'Business Case'!D14*$E402)-MAX(0,(('Business Case'!D11*$C402*'Business Case'!D12*$B402)-'Business Case'!D11*$C402*'Business Case'!D13*$D402-'Business Case'!D14*$E402))*'Business Case'!$B$7-'Business Case'!$B$8*(('Business Case'!D11*$C402*'Business Case'!D12*$B402)-('Business Case'!C11*$C402*'Business Case'!C12*$B402))-'Business Case'!D15*$F402</f>
        <v>277834258.939715</v>
      </c>
      <c r="K402" s="39" t="n">
        <f aca="false">(('Business Case'!E11*$C402*'Business Case'!E12*$B402)-'Business Case'!E11*$C402*'Business Case'!E13*$D402-'Business Case'!E14*$E402)-MAX(0,(('Business Case'!E11*$C402*'Business Case'!E12*$B402)-'Business Case'!E11*$C402*'Business Case'!E13*$D402-'Business Case'!E14*$E402))*'Business Case'!$B$7-'Business Case'!$B$8*(('Business Case'!E11*$C402*'Business Case'!E12*$B402)-('Business Case'!D11*$C402*'Business Case'!D12*$B402))-'Business Case'!E15*$F402</f>
        <v>618566389.863131</v>
      </c>
      <c r="L402" s="39" t="n">
        <f aca="false">(('Business Case'!F11*$C402*'Business Case'!F12*$B402)-'Business Case'!F11*$C402*'Business Case'!F13*$D402-'Business Case'!F14*$E402)-MAX(0,(('Business Case'!F11*$C402*'Business Case'!F12*$B402)-'Business Case'!F11*$C402*'Business Case'!F13*$D402-'Business Case'!F14*$E402))*'Business Case'!$B$7-'Business Case'!$B$8*(('Business Case'!F11*$C402*'Business Case'!F12*$B402)-('Business Case'!E11*$C402*'Business Case'!E12*$B402))-'Business Case'!F15*$F402</f>
        <v>753251959.811522</v>
      </c>
      <c r="M402" s="39" t="n">
        <f aca="false">(('Business Case'!G11*$C402*'Business Case'!G12*$B402)-'Business Case'!G11*$C402*'Business Case'!G13*$D402-'Business Case'!G14*$E402)-MAX(0,(('Business Case'!G11*$C402*'Business Case'!G12*$B402)-'Business Case'!G11*$C402*'Business Case'!G13*$D402-'Business Case'!G14*$E402))*'Business Case'!$B$7-'Business Case'!$B$8*(('Business Case'!G11*$C402*'Business Case'!G12*$B402)-('Business Case'!F11*$C402*'Business Case'!F12*$B402))-'Business Case'!G15*$F402+'Business Case'!$B$8*('Business Case'!G11*$C402*'Business Case'!G12*$B402)</f>
        <v>962268520.14462</v>
      </c>
      <c r="N402" s="39" t="n">
        <f aca="false">IF(COUNT('Business Case'!B11:G11)=0,"",H402+NPV(G402,I402:M402))</f>
        <v>-241412962.591501</v>
      </c>
      <c r="P402" s="40" t="n">
        <f aca="true">RAND()</f>
        <v>0.274123941831094</v>
      </c>
      <c r="Q402" s="40" t="n">
        <f aca="true">RAND()</f>
        <v>0.993908555450788</v>
      </c>
      <c r="R402" s="40" t="n">
        <f aca="true">RAND()</f>
        <v>0.933039589674487</v>
      </c>
      <c r="S402" s="40" t="n">
        <f aca="true">RAND()</f>
        <v>0.482186751882616</v>
      </c>
      <c r="T402" s="40" t="n">
        <f aca="true">RAND()</f>
        <v>0.305764819867996</v>
      </c>
      <c r="U402" s="40" t="n">
        <f aca="true">RAND()</f>
        <v>0.428584874668952</v>
      </c>
    </row>
    <row r="403" customFormat="false" ht="15" hidden="false" customHeight="false" outlineLevel="0" collapsed="false">
      <c r="A403" s="36" t="n">
        <v>323</v>
      </c>
      <c r="B403" s="37" t="n">
        <f aca="false">1+IF($G$6=$E$6,$F$6,IF(P403&lt;($F$6-$E$6)/($G$6-$E$6),$E$6+SQRT(P403*($G$6-$E$6)*($F$6-$E$6)),$G$6-SQRT((1-P403)*($G$6-$E$6)*($G$6-$F$6))))</f>
        <v>0.978323001534293</v>
      </c>
      <c r="C403" s="37" t="n">
        <f aca="false">1+IF($G$7=$E$7,$F$7,IF(Q403&lt;($F$7-$E$7)/($G$7-$E$7),$E$7+SQRT(Q403*($G$7-$E$7)*($F$7-$E$7)),$G$7-SQRT((1-Q403)*($G$7-$E$7)*($G$7-$F$7))))</f>
        <v>1.03478478056216</v>
      </c>
      <c r="D403" s="37" t="n">
        <f aca="false">1+IF($G$8=$E$8,$F$8,IF(R403&lt;($F$8-$E$8)/($G$8-$E$8),$E$8+SQRT(R403*($G$8-$E$8)*($F$8-$E$8)),$G$8-SQRT((1-R403)*($G$8-$E$8)*($G$8-$F$8))))</f>
        <v>1.03584045556577</v>
      </c>
      <c r="E403" s="37" t="n">
        <f aca="false">1+IF($G$9=$E$9,$F$9,IF(S403&lt;($F$9-$E$9)/($G$9-$E$9),$E$9+SQRT(S403*($G$9-$E$9)*($F$9-$E$9)),$G$9-SQRT((1-S403)*($G$9-$E$9)*($G$9-$F$9))))</f>
        <v>1.01016915758691</v>
      </c>
      <c r="F403" s="37" t="n">
        <f aca="false">1+IF($G$10=$E$10,$F$10,IF(T403&lt;($F$10-$E$10)/($G$10-$E$10),$E$10+SQRT(T403*($G$10-$E$10)*($F$10-$E$10)),$G$10-SQRT((1-T403)*($G$10-$E$10)*($G$10-$F$10))))</f>
        <v>1.01423075923691</v>
      </c>
      <c r="G403" s="38" t="n">
        <f aca="false">IF($G$11=$E$11,$F$11,IF(U403&lt;($F$11-$E$11)/($G$11-$E$11),$E$11+SQRT(U403*($G$11-$E$11)*($F$11-$E$11)),$G$11-SQRT((1-U403)*($G$11-$E$11)*($G$11-$F$11))))</f>
        <v>0.114325060149989</v>
      </c>
      <c r="H403" s="39" t="n">
        <f aca="false">(('Business Case'!B11*$C403*'Business Case'!B12*$B403)-'Business Case'!B11*$C403*'Business Case'!B13*$D403-'Business Case'!B14*$E403)-MAX(0,(('Business Case'!B11*$C403*'Business Case'!B12*$B403)-'Business Case'!B11*$C403*'Business Case'!B13*$D403-'Business Case'!B14*$E403))*'Business Case'!$B$7-'Business Case'!$B$8*('Business Case'!B11*$C403*'Business Case'!B12*$B403)-'Business Case'!B15*$F403</f>
        <v>-2028461518.47382</v>
      </c>
      <c r="I403" s="39" t="n">
        <f aca="false">(('Business Case'!C11*$C403*'Business Case'!C12*$B403)-'Business Case'!C11*$C403*'Business Case'!C13*$D403-'Business Case'!C14*$E403)-MAX(0,(('Business Case'!C11*$C403*'Business Case'!C12*$B403)-'Business Case'!C11*$C403*'Business Case'!C13*$D403-'Business Case'!C14*$E403))*'Business Case'!$B$7-'Business Case'!$B$8*(('Business Case'!C11*$C403*'Business Case'!C12*$B403)-('Business Case'!B11*$C403*'Business Case'!B12*$B403))-'Business Case'!C15*$F403</f>
        <v>-17071618.6860066</v>
      </c>
      <c r="J403" s="39" t="n">
        <f aca="false">(('Business Case'!D11*$C403*'Business Case'!D12*$B403)-'Business Case'!D11*$C403*'Business Case'!D13*$D403-'Business Case'!D14*$E403)-MAX(0,(('Business Case'!D11*$C403*'Business Case'!D12*$B403)-'Business Case'!D11*$C403*'Business Case'!D13*$D403-'Business Case'!D14*$E403))*'Business Case'!$B$7-'Business Case'!$B$8*(('Business Case'!D11*$C403*'Business Case'!D12*$B403)-('Business Case'!C11*$C403*'Business Case'!C12*$B403))-'Business Case'!D15*$F403</f>
        <v>263406311.288144</v>
      </c>
      <c r="K403" s="39" t="n">
        <f aca="false">(('Business Case'!E11*$C403*'Business Case'!E12*$B403)-'Business Case'!E11*$C403*'Business Case'!E13*$D403-'Business Case'!E14*$E403)-MAX(0,(('Business Case'!E11*$C403*'Business Case'!E12*$B403)-'Business Case'!E11*$C403*'Business Case'!E13*$D403-'Business Case'!E14*$E403))*'Business Case'!$B$7-'Business Case'!$B$8*(('Business Case'!E11*$C403*'Business Case'!E12*$B403)-('Business Case'!D11*$C403*'Business Case'!D12*$B403))-'Business Case'!E15*$F403</f>
        <v>594595779.22414</v>
      </c>
      <c r="L403" s="39" t="n">
        <f aca="false">(('Business Case'!F11*$C403*'Business Case'!F12*$B403)-'Business Case'!F11*$C403*'Business Case'!F13*$D403-'Business Case'!F14*$E403)-MAX(0,(('Business Case'!F11*$C403*'Business Case'!F12*$B403)-'Business Case'!F11*$C403*'Business Case'!F13*$D403-'Business Case'!F14*$E403))*'Business Case'!$B$7-'Business Case'!$B$8*(('Business Case'!F11*$C403*'Business Case'!F12*$B403)-('Business Case'!E11*$C403*'Business Case'!E12*$B403))-'Business Case'!F15*$F403</f>
        <v>723075368.233929</v>
      </c>
      <c r="M403" s="39" t="n">
        <f aca="false">(('Business Case'!G11*$C403*'Business Case'!G12*$B403)-'Business Case'!G11*$C403*'Business Case'!G13*$D403-'Business Case'!G14*$E403)-MAX(0,(('Business Case'!G11*$C403*'Business Case'!G12*$B403)-'Business Case'!G11*$C403*'Business Case'!G13*$D403-'Business Case'!G14*$E403))*'Business Case'!$B$7-'Business Case'!$B$8*(('Business Case'!G11*$C403*'Business Case'!G12*$B403)-('Business Case'!F11*$C403*'Business Case'!F12*$B403))-'Business Case'!G15*$F403+'Business Case'!$B$8*('Business Case'!G11*$C403*'Business Case'!G12*$B403)</f>
        <v>915503569.501825</v>
      </c>
      <c r="N403" s="39" t="n">
        <f aca="false">IF(COUNT('Business Case'!B11:G11)=0,"",H403+NPV(G403,I403:M403))</f>
        <v>-400126190.470351</v>
      </c>
      <c r="P403" s="40" t="n">
        <f aca="true">RAND()</f>
        <v>0.354330469580124</v>
      </c>
      <c r="Q403" s="40" t="n">
        <f aca="true">RAND()</f>
        <v>0.747151489712187</v>
      </c>
      <c r="R403" s="40" t="n">
        <f aca="true">RAND()</f>
        <v>0.81249371493861</v>
      </c>
      <c r="S403" s="40" t="n">
        <f aca="true">RAND()</f>
        <v>0.462027983423628</v>
      </c>
      <c r="T403" s="40" t="n">
        <f aca="true">RAND()</f>
        <v>0.309795783726083</v>
      </c>
      <c r="U403" s="40" t="n">
        <f aca="true">RAND()</f>
        <v>0.946325096164595</v>
      </c>
    </row>
    <row r="404" customFormat="false" ht="15" hidden="false" customHeight="false" outlineLevel="0" collapsed="false">
      <c r="A404" s="36" t="n">
        <v>324</v>
      </c>
      <c r="B404" s="37" t="n">
        <f aca="false">1+IF($G$6=$E$6,$F$6,IF(P404&lt;($F$6-$E$6)/($G$6-$E$6),$E$6+SQRT(P404*($G$6-$E$6)*($F$6-$E$6)),$G$6-SQRT((1-P404)*($G$6-$E$6)*($G$6-$F$6))))</f>
        <v>0.982763542144387</v>
      </c>
      <c r="C404" s="37" t="n">
        <f aca="false">1+IF($G$7=$E$7,$F$7,IF(Q404&lt;($F$7-$E$7)/($G$7-$E$7),$E$7+SQRT(Q404*($G$7-$E$7)*($F$7-$E$7)),$G$7-SQRT((1-Q404)*($G$7-$E$7)*($G$7-$F$7))))</f>
        <v>0.911153568905974</v>
      </c>
      <c r="D404" s="37" t="n">
        <f aca="false">1+IF($G$8=$E$8,$F$8,IF(R404&lt;($F$8-$E$8)/($G$8-$E$8),$E$8+SQRT(R404*($G$8-$E$8)*($F$8-$E$8)),$G$8-SQRT((1-R404)*($G$8-$E$8)*($G$8-$F$8))))</f>
        <v>0.999184192355186</v>
      </c>
      <c r="E404" s="37" t="n">
        <f aca="false">1+IF($G$9=$E$9,$F$9,IF(S404&lt;($F$9-$E$9)/($G$9-$E$9),$E$9+SQRT(S404*($G$9-$E$9)*($F$9-$E$9)),$G$9-SQRT((1-S404)*($G$9-$E$9)*($G$9-$F$9))))</f>
        <v>0.992170055020755</v>
      </c>
      <c r="F404" s="37" t="n">
        <f aca="false">1+IF($G$10=$E$10,$F$10,IF(T404&lt;($F$10-$E$10)/($G$10-$E$10),$E$10+SQRT(T404*($G$10-$E$10)*($F$10-$E$10)),$G$10-SQRT((1-T404)*($G$10-$E$10)*($G$10-$F$10))))</f>
        <v>0.984234512685525</v>
      </c>
      <c r="G404" s="38" t="n">
        <f aca="false">IF($G$11=$E$11,$F$11,IF(U404&lt;($F$11-$E$11)/($G$11-$E$11),$E$11+SQRT(U404*($G$11-$E$11)*($F$11-$E$11)),$G$11-SQRT((1-U404)*($G$11-$E$11)*($G$11-$F$11))))</f>
        <v>0.104234402277352</v>
      </c>
      <c r="H404" s="39" t="n">
        <f aca="false">(('Business Case'!B11*$C404*'Business Case'!B12*$B404)-'Business Case'!B11*$C404*'Business Case'!B13*$D404-'Business Case'!B14*$E404)-MAX(0,(('Business Case'!B11*$C404*'Business Case'!B12*$B404)-'Business Case'!B11*$C404*'Business Case'!B13*$D404-'Business Case'!B14*$E404))*'Business Case'!$B$7-'Business Case'!$B$8*('Business Case'!B11*$C404*'Business Case'!B12*$B404)-'Business Case'!B15*$F404</f>
        <v>-1968469025.37105</v>
      </c>
      <c r="I404" s="39" t="n">
        <f aca="false">(('Business Case'!C11*$C404*'Business Case'!C12*$B404)-'Business Case'!C11*$C404*'Business Case'!C13*$D404-'Business Case'!C14*$E404)-MAX(0,(('Business Case'!C11*$C404*'Business Case'!C12*$B404)-'Business Case'!C11*$C404*'Business Case'!C13*$D404-'Business Case'!C14*$E404))*'Business Case'!$B$7-'Business Case'!$B$8*(('Business Case'!C11*$C404*'Business Case'!C12*$B404)-('Business Case'!B11*$C404*'Business Case'!B12*$B404))-'Business Case'!C15*$F404</f>
        <v>-18550494.3012515</v>
      </c>
      <c r="J404" s="39" t="n">
        <f aca="false">(('Business Case'!D11*$C404*'Business Case'!D12*$B404)-'Business Case'!D11*$C404*'Business Case'!D13*$D404-'Business Case'!D14*$E404)-MAX(0,(('Business Case'!D11*$C404*'Business Case'!D12*$B404)-'Business Case'!D11*$C404*'Business Case'!D13*$D404-'Business Case'!D14*$E404))*'Business Case'!$B$7-'Business Case'!$B$8*(('Business Case'!D11*$C404*'Business Case'!D12*$B404)-('Business Case'!C11*$C404*'Business Case'!C12*$B404))-'Business Case'!D15*$F404</f>
        <v>248829095.186998</v>
      </c>
      <c r="K404" s="39" t="n">
        <f aca="false">(('Business Case'!E11*$C404*'Business Case'!E12*$B404)-'Business Case'!E11*$C404*'Business Case'!E13*$D404-'Business Case'!E14*$E404)-MAX(0,(('Business Case'!E11*$C404*'Business Case'!E12*$B404)-'Business Case'!E11*$C404*'Business Case'!E13*$D404-'Business Case'!E14*$E404))*'Business Case'!$B$7-'Business Case'!$B$8*(('Business Case'!E11*$C404*'Business Case'!E12*$B404)-('Business Case'!D11*$C404*'Business Case'!D12*$B404))-'Business Case'!E15*$F404</f>
        <v>565420410.309524</v>
      </c>
      <c r="L404" s="39" t="n">
        <f aca="false">(('Business Case'!F11*$C404*'Business Case'!F12*$B404)-'Business Case'!F11*$C404*'Business Case'!F13*$D404-'Business Case'!F14*$E404)-MAX(0,(('Business Case'!F11*$C404*'Business Case'!F12*$B404)-'Business Case'!F11*$C404*'Business Case'!F13*$D404-'Business Case'!F14*$E404))*'Business Case'!$B$7-'Business Case'!$B$8*(('Business Case'!F11*$C404*'Business Case'!F12*$B404)-('Business Case'!E11*$C404*'Business Case'!E12*$B404))-'Business Case'!F15*$F404</f>
        <v>685493640.603605</v>
      </c>
      <c r="M404" s="39" t="n">
        <f aca="false">(('Business Case'!G11*$C404*'Business Case'!G12*$B404)-'Business Case'!G11*$C404*'Business Case'!G13*$D404-'Business Case'!G14*$E404)-MAX(0,(('Business Case'!G11*$C404*'Business Case'!G12*$B404)-'Business Case'!G11*$C404*'Business Case'!G13*$D404-'Business Case'!G14*$E404))*'Business Case'!$B$7-'Business Case'!$B$8*(('Business Case'!G11*$C404*'Business Case'!G12*$B404)-('Business Case'!F11*$C404*'Business Case'!F12*$B404))-'Business Case'!G15*$F404+'Business Case'!$B$8*('Business Case'!G11*$C404*'Business Case'!G12*$B404)</f>
        <v>855700493.159262</v>
      </c>
      <c r="N404" s="39" t="n">
        <f aca="false">IF(COUNT('Business Case'!B11:G11)=0,"",H404+NPV(G404,I404:M404))</f>
        <v>-378984141.116669</v>
      </c>
      <c r="P404" s="40" t="n">
        <f aca="true">RAND()</f>
        <v>0.410339814844814</v>
      </c>
      <c r="Q404" s="40" t="n">
        <f aca="true">RAND()</f>
        <v>0.176501655436216</v>
      </c>
      <c r="R404" s="40" t="n">
        <f aca="true">RAND()</f>
        <v>0.37216688886645</v>
      </c>
      <c r="S404" s="40" t="n">
        <f aca="true">RAND()</f>
        <v>0.237108472060461</v>
      </c>
      <c r="T404" s="40" t="n">
        <f aca="true">RAND()</f>
        <v>0.0937601487052276</v>
      </c>
      <c r="U404" s="40" t="n">
        <f aca="true">RAND()</f>
        <v>0.585743214079386</v>
      </c>
    </row>
    <row r="405" customFormat="false" ht="15" hidden="false" customHeight="false" outlineLevel="0" collapsed="false">
      <c r="A405" s="36" t="n">
        <v>325</v>
      </c>
      <c r="B405" s="37" t="n">
        <f aca="false">1+IF($G$6=$E$6,$F$6,IF(P405&lt;($F$6-$E$6)/($G$6-$E$6),$E$6+SQRT(P405*($G$6-$E$6)*($F$6-$E$6)),$G$6-SQRT((1-P405)*($G$6-$E$6)*($G$6-$F$6))))</f>
        <v>1.00147222211427</v>
      </c>
      <c r="C405" s="37" t="n">
        <f aca="false">1+IF($G$7=$E$7,$F$7,IF(Q405&lt;($F$7-$E$7)/($G$7-$E$7),$E$7+SQRT(Q405*($G$7-$E$7)*($F$7-$E$7)),$G$7-SQRT((1-Q405)*($G$7-$E$7)*($G$7-$F$7))))</f>
        <v>1.07386353494837</v>
      </c>
      <c r="D405" s="37" t="n">
        <f aca="false">1+IF($G$8=$E$8,$F$8,IF(R405&lt;($F$8-$E$8)/($G$8-$E$8),$E$8+SQRT(R405*($G$8-$E$8)*($F$8-$E$8)),$G$8-SQRT((1-R405)*($G$8-$E$8)*($G$8-$F$8))))</f>
        <v>1.05699055833003</v>
      </c>
      <c r="E405" s="37" t="n">
        <f aca="false">1+IF($G$9=$E$9,$F$9,IF(S405&lt;($F$9-$E$9)/($G$9-$E$9),$E$9+SQRT(S405*($G$9-$E$9)*($F$9-$E$9)),$G$9-SQRT((1-S405)*($G$9-$E$9)*($G$9-$F$9))))</f>
        <v>0.985220701038221</v>
      </c>
      <c r="F405" s="37" t="n">
        <f aca="false">1+IF($G$10=$E$10,$F$10,IF(T405&lt;($F$10-$E$10)/($G$10-$E$10),$E$10+SQRT(T405*($G$10-$E$10)*($F$10-$E$10)),$G$10-SQRT((1-T405)*($G$10-$E$10)*($G$10-$F$10))))</f>
        <v>1.05116043758655</v>
      </c>
      <c r="G405" s="38" t="n">
        <f aca="false">IF($G$11=$E$11,$F$11,IF(U405&lt;($F$11-$E$11)/($G$11-$E$11),$E$11+SQRT(U405*($G$11-$E$11)*($F$11-$E$11)),$G$11-SQRT((1-U405)*($G$11-$E$11)*($G$11-$F$11))))</f>
        <v>0.0981027879678089</v>
      </c>
      <c r="H405" s="39" t="n">
        <f aca="false">(('Business Case'!B11*$C405*'Business Case'!B12*$B405)-'Business Case'!B11*$C405*'Business Case'!B13*$D405-'Business Case'!B14*$E405)-MAX(0,(('Business Case'!B11*$C405*'Business Case'!B12*$B405)-'Business Case'!B11*$C405*'Business Case'!B13*$D405-'Business Case'!B14*$E405))*'Business Case'!$B$7-'Business Case'!$B$8*('Business Case'!B11*$C405*'Business Case'!B12*$B405)-'Business Case'!B15*$F405</f>
        <v>-2102320875.17309</v>
      </c>
      <c r="I405" s="39" t="n">
        <f aca="false">(('Business Case'!C11*$C405*'Business Case'!C12*$B405)-'Business Case'!C11*$C405*'Business Case'!C13*$D405-'Business Case'!C14*$E405)-MAX(0,(('Business Case'!C11*$C405*'Business Case'!C12*$B405)-'Business Case'!C11*$C405*'Business Case'!C13*$D405-'Business Case'!C14*$E405))*'Business Case'!$B$7-'Business Case'!$B$8*(('Business Case'!C11*$C405*'Business Case'!C12*$B405)-('Business Case'!B11*$C405*'Business Case'!B12*$B405))-'Business Case'!C15*$F405</f>
        <v>-1160759.37469001</v>
      </c>
      <c r="J405" s="39" t="n">
        <f aca="false">(('Business Case'!D11*$C405*'Business Case'!D12*$B405)-'Business Case'!D11*$C405*'Business Case'!D13*$D405-'Business Case'!D14*$E405)-MAX(0,(('Business Case'!D11*$C405*'Business Case'!D12*$B405)-'Business Case'!D11*$C405*'Business Case'!D13*$D405-'Business Case'!D14*$E405))*'Business Case'!$B$7-'Business Case'!$B$8*(('Business Case'!D11*$C405*'Business Case'!D12*$B405)-('Business Case'!C11*$C405*'Business Case'!C12*$B405))-'Business Case'!D15*$F405</f>
        <v>298643951.607611</v>
      </c>
      <c r="K405" s="39" t="n">
        <f aca="false">(('Business Case'!E11*$C405*'Business Case'!E12*$B405)-'Business Case'!E11*$C405*'Business Case'!E13*$D405-'Business Case'!E14*$E405)-MAX(0,(('Business Case'!E11*$C405*'Business Case'!E12*$B405)-'Business Case'!E11*$C405*'Business Case'!E13*$D405-'Business Case'!E14*$E405))*'Business Case'!$B$7-'Business Case'!$B$8*(('Business Case'!E11*$C405*'Business Case'!E12*$B405)-('Business Case'!D11*$C405*'Business Case'!D12*$B405))-'Business Case'!E15*$F405</f>
        <v>651006684.469239</v>
      </c>
      <c r="L405" s="39" t="n">
        <f aca="false">(('Business Case'!F11*$C405*'Business Case'!F12*$B405)-'Business Case'!F11*$C405*'Business Case'!F13*$D405-'Business Case'!F14*$E405)-MAX(0,(('Business Case'!F11*$C405*'Business Case'!F12*$B405)-'Business Case'!F11*$C405*'Business Case'!F13*$D405-'Business Case'!F14*$E405))*'Business Case'!$B$7-'Business Case'!$B$8*(('Business Case'!F11*$C405*'Business Case'!F12*$B405)-('Business Case'!E11*$C405*'Business Case'!E12*$B405))-'Business Case'!F15*$F405</f>
        <v>788108950.070474</v>
      </c>
      <c r="M405" s="39" t="n">
        <f aca="false">(('Business Case'!G11*$C405*'Business Case'!G12*$B405)-'Business Case'!G11*$C405*'Business Case'!G13*$D405-'Business Case'!G14*$E405)-MAX(0,(('Business Case'!G11*$C405*'Business Case'!G12*$B405)-'Business Case'!G11*$C405*'Business Case'!G13*$D405-'Business Case'!G14*$E405))*'Business Case'!$B$7-'Business Case'!$B$8*(('Business Case'!G11*$C405*'Business Case'!G12*$B405)-('Business Case'!F11*$C405*'Business Case'!F12*$B405))-'Business Case'!G15*$F405+'Business Case'!$B$8*('Business Case'!G11*$C405*'Business Case'!G12*$B405)</f>
        <v>992529440.743045</v>
      </c>
      <c r="N405" s="39" t="n">
        <f aca="false">IF(COUNT('Business Case'!B11:G11)=0,"",H405+NPV(G405,I405:M405))</f>
        <v>-200417038.553602</v>
      </c>
      <c r="P405" s="40" t="n">
        <f aca="true">RAND()</f>
        <v>0.690752152330867</v>
      </c>
      <c r="Q405" s="40" t="n">
        <f aca="true">RAND()</f>
        <v>0.889585498846507</v>
      </c>
      <c r="R405" s="40" t="n">
        <f aca="true">RAND()</f>
        <v>0.949092845580389</v>
      </c>
      <c r="S405" s="40" t="n">
        <f aca="true">RAND()</f>
        <v>0.165399704216502</v>
      </c>
      <c r="T405" s="40" t="n">
        <f aca="true">RAND()</f>
        <v>0.556935693211428</v>
      </c>
      <c r="U405" s="40" t="n">
        <f aca="true">RAND()</f>
        <v>0.218850576170895</v>
      </c>
    </row>
    <row r="406" customFormat="false" ht="15" hidden="false" customHeight="false" outlineLevel="0" collapsed="false">
      <c r="A406" s="36" t="n">
        <v>326</v>
      </c>
      <c r="B406" s="37" t="n">
        <f aca="false">1+IF($G$6=$E$6,$F$6,IF(P406&lt;($F$6-$E$6)/($G$6-$E$6),$E$6+SQRT(P406*($G$6-$E$6)*($F$6-$E$6)),$G$6-SQRT((1-P406)*($G$6-$E$6)*($G$6-$F$6))))</f>
        <v>1.01872024796783</v>
      </c>
      <c r="C406" s="37" t="n">
        <f aca="false">1+IF($G$7=$E$7,$F$7,IF(Q406&lt;($F$7-$E$7)/($G$7-$E$7),$E$7+SQRT(Q406*($G$7-$E$7)*($F$7-$E$7)),$G$7-SQRT((1-Q406)*($G$7-$E$7)*($G$7-$F$7))))</f>
        <v>1.01885019404807</v>
      </c>
      <c r="D406" s="37" t="n">
        <f aca="false">1+IF($G$8=$E$8,$F$8,IF(R406&lt;($F$8-$E$8)/($G$8-$E$8),$E$8+SQRT(R406*($G$8-$E$8)*($F$8-$E$8)),$G$8-SQRT((1-R406)*($G$8-$E$8)*($G$8-$F$8))))</f>
        <v>1.0348581147411</v>
      </c>
      <c r="E406" s="37" t="n">
        <f aca="false">1+IF($G$9=$E$9,$F$9,IF(S406&lt;($F$9-$E$9)/($G$9-$E$9),$E$9+SQRT(S406*($G$9-$E$9)*($F$9-$E$9)),$G$9-SQRT((1-S406)*($G$9-$E$9)*($G$9-$F$9))))</f>
        <v>1.00988234245784</v>
      </c>
      <c r="F406" s="37" t="n">
        <f aca="false">1+IF($G$10=$E$10,$F$10,IF(T406&lt;($F$10-$E$10)/($G$10-$E$10),$E$10+SQRT(T406*($G$10-$E$10)*($F$10-$E$10)),$G$10-SQRT((1-T406)*($G$10-$E$10)*($G$10-$F$10))))</f>
        <v>0.964743644934431</v>
      </c>
      <c r="G406" s="38" t="n">
        <f aca="false">IF($G$11=$E$11,$F$11,IF(U406&lt;($F$11-$E$11)/($G$11-$E$11),$E$11+SQRT(U406*($G$11-$E$11)*($F$11-$E$11)),$G$11-SQRT((1-U406)*($G$11-$E$11)*($G$11-$F$11))))</f>
        <v>0.099458729683046</v>
      </c>
      <c r="H406" s="39" t="n">
        <f aca="false">(('Business Case'!B11*$C406*'Business Case'!B12*$B406)-'Business Case'!B11*$C406*'Business Case'!B13*$D406-'Business Case'!B14*$E406)-MAX(0,(('Business Case'!B11*$C406*'Business Case'!B12*$B406)-'Business Case'!B11*$C406*'Business Case'!B13*$D406-'Business Case'!B14*$E406))*'Business Case'!$B$7-'Business Case'!$B$8*('Business Case'!B11*$C406*'Business Case'!B12*$B406)-'Business Case'!B15*$F406</f>
        <v>-1929487289.86886</v>
      </c>
      <c r="I406" s="39" t="n">
        <f aca="false">(('Business Case'!C11*$C406*'Business Case'!C12*$B406)-'Business Case'!C11*$C406*'Business Case'!C13*$D406-'Business Case'!C14*$E406)-MAX(0,(('Business Case'!C11*$C406*'Business Case'!C12*$B406)-'Business Case'!C11*$C406*'Business Case'!C13*$D406-'Business Case'!C14*$E406))*'Business Case'!$B$7-'Business Case'!$B$8*(('Business Case'!C11*$C406*'Business Case'!C12*$B406)-('Business Case'!B11*$C406*'Business Case'!B12*$B406))-'Business Case'!C15*$F406</f>
        <v>16497621.8723512</v>
      </c>
      <c r="J406" s="39" t="n">
        <f aca="false">(('Business Case'!D11*$C406*'Business Case'!D12*$B406)-'Business Case'!D11*$C406*'Business Case'!D13*$D406-'Business Case'!D14*$E406)-MAX(0,(('Business Case'!D11*$C406*'Business Case'!D12*$B406)-'Business Case'!D11*$C406*'Business Case'!D13*$D406-'Business Case'!D14*$E406))*'Business Case'!$B$7-'Business Case'!$B$8*(('Business Case'!D11*$C406*'Business Case'!D12*$B406)-('Business Case'!C11*$C406*'Business Case'!C12*$B406))-'Business Case'!D15*$F406</f>
        <v>326880822.36486</v>
      </c>
      <c r="K406" s="39" t="n">
        <f aca="false">(('Business Case'!E11*$C406*'Business Case'!E12*$B406)-'Business Case'!E11*$C406*'Business Case'!E13*$D406-'Business Case'!E14*$E406)-MAX(0,(('Business Case'!E11*$C406*'Business Case'!E12*$B406)-'Business Case'!E11*$C406*'Business Case'!E13*$D406-'Business Case'!E14*$E406))*'Business Case'!$B$7-'Business Case'!$B$8*(('Business Case'!E11*$C406*'Business Case'!E12*$B406)-('Business Case'!D11*$C406*'Business Case'!D12*$B406))-'Business Case'!E15*$F406</f>
        <v>685501205.104091</v>
      </c>
      <c r="L406" s="39" t="n">
        <f aca="false">(('Business Case'!F11*$C406*'Business Case'!F12*$B406)-'Business Case'!F11*$C406*'Business Case'!F13*$D406-'Business Case'!F14*$E406)-MAX(0,(('Business Case'!F11*$C406*'Business Case'!F12*$B406)-'Business Case'!F11*$C406*'Business Case'!F13*$D406-'Business Case'!F14*$E406))*'Business Case'!$B$7-'Business Case'!$B$8*(('Business Case'!F11*$C406*'Business Case'!F12*$B406)-('Business Case'!E11*$C406*'Business Case'!E12*$B406))-'Business Case'!F15*$F406</f>
        <v>824832901.954402</v>
      </c>
      <c r="M406" s="39" t="n">
        <f aca="false">(('Business Case'!G11*$C406*'Business Case'!G12*$B406)-'Business Case'!G11*$C406*'Business Case'!G13*$D406-'Business Case'!G14*$E406)-MAX(0,(('Business Case'!G11*$C406*'Business Case'!G12*$B406)-'Business Case'!G11*$C406*'Business Case'!G13*$D406-'Business Case'!G14*$E406))*'Business Case'!$B$7-'Business Case'!$B$8*(('Business Case'!G11*$C406*'Business Case'!G12*$B406)-('Business Case'!F11*$C406*'Business Case'!F12*$B406))-'Business Case'!G15*$F406+'Business Case'!$B$8*('Business Case'!G11*$C406*'Business Case'!G12*$B406)</f>
        <v>1022121367.06151</v>
      </c>
      <c r="N406" s="39" t="n">
        <f aca="false">IF(COUNT('Business Case'!B11:G11)=0,"",H406+NPV(G406,I406:M406))</f>
        <v>72424572.966378</v>
      </c>
      <c r="P406" s="40" t="n">
        <f aca="true">RAND()</f>
        <v>0.905660865301946</v>
      </c>
      <c r="Q406" s="40" t="n">
        <f aca="true">RAND()</f>
        <v>0.672375779024227</v>
      </c>
      <c r="R406" s="40" t="n">
        <f aca="true">RAND()</f>
        <v>0.804058672622334</v>
      </c>
      <c r="S406" s="40" t="n">
        <f aca="true">RAND()</f>
        <v>0.458587186607606</v>
      </c>
      <c r="T406" s="40" t="n">
        <f aca="true">RAND()</f>
        <v>0.0173900052762063</v>
      </c>
      <c r="U406" s="40" t="n">
        <f aca="true">RAND()</f>
        <v>0.29822522405645</v>
      </c>
    </row>
    <row r="407" customFormat="false" ht="15" hidden="false" customHeight="false" outlineLevel="0" collapsed="false">
      <c r="A407" s="36" t="n">
        <v>327</v>
      </c>
      <c r="B407" s="37" t="n">
        <f aca="false">1+IF($G$6=$E$6,$F$6,IF(P407&lt;($F$6-$E$6)/($G$6-$E$6),$E$6+SQRT(P407*($G$6-$E$6)*($F$6-$E$6)),$G$6-SQRT((1-P407)*($G$6-$E$6)*($G$6-$F$6))))</f>
        <v>0.972079462968311</v>
      </c>
      <c r="C407" s="37" t="n">
        <f aca="false">1+IF($G$7=$E$7,$F$7,IF(Q407&lt;($F$7-$E$7)/($G$7-$E$7),$E$7+SQRT(Q407*($G$7-$E$7)*($F$7-$E$7)),$G$7-SQRT((1-Q407)*($G$7-$E$7)*($G$7-$F$7))))</f>
        <v>0.921342236587744</v>
      </c>
      <c r="D407" s="37" t="n">
        <f aca="false">1+IF($G$8=$E$8,$F$8,IF(R407&lt;($F$8-$E$8)/($G$8-$E$8),$E$8+SQRT(R407*($G$8-$E$8)*($F$8-$E$8)),$G$8-SQRT((1-R407)*($G$8-$E$8)*($G$8-$F$8))))</f>
        <v>1.03936973352724</v>
      </c>
      <c r="E407" s="37" t="n">
        <f aca="false">1+IF($G$9=$E$9,$F$9,IF(S407&lt;($F$9-$E$9)/($G$9-$E$9),$E$9+SQRT(S407*($G$9-$E$9)*($F$9-$E$9)),$G$9-SQRT((1-S407)*($G$9-$E$9)*($G$9-$F$9))))</f>
        <v>1.01422930500558</v>
      </c>
      <c r="F407" s="37" t="n">
        <f aca="false">1+IF($G$10=$E$10,$F$10,IF(T407&lt;($F$10-$E$10)/($G$10-$E$10),$E$10+SQRT(T407*($G$10-$E$10)*($F$10-$E$10)),$G$10-SQRT((1-T407)*($G$10-$E$10)*($G$10-$F$10))))</f>
        <v>1.08218611180594</v>
      </c>
      <c r="G407" s="38" t="n">
        <f aca="false">IF($G$11=$E$11,$F$11,IF(U407&lt;($F$11-$E$11)/($G$11-$E$11),$E$11+SQRT(U407*($G$11-$E$11)*($F$11-$E$11)),$G$11-SQRT((1-U407)*($G$11-$E$11)*($G$11-$F$11))))</f>
        <v>0.0952181614494675</v>
      </c>
      <c r="H407" s="39" t="n">
        <f aca="false">(('Business Case'!B11*$C407*'Business Case'!B12*$B407)-'Business Case'!B11*$C407*'Business Case'!B13*$D407-'Business Case'!B14*$E407)-MAX(0,(('Business Case'!B11*$C407*'Business Case'!B12*$B407)-'Business Case'!B11*$C407*'Business Case'!B13*$D407-'Business Case'!B14*$E407))*'Business Case'!$B$7-'Business Case'!$B$8*('Business Case'!B11*$C407*'Business Case'!B12*$B407)-'Business Case'!B15*$F407</f>
        <v>-2164372223.61188</v>
      </c>
      <c r="I407" s="39" t="n">
        <f aca="false">(('Business Case'!C11*$C407*'Business Case'!C12*$B407)-'Business Case'!C11*$C407*'Business Case'!C13*$D407-'Business Case'!C14*$E407)-MAX(0,(('Business Case'!C11*$C407*'Business Case'!C12*$B407)-'Business Case'!C11*$C407*'Business Case'!C13*$D407-'Business Case'!C14*$E407))*'Business Case'!$B$7-'Business Case'!$B$8*(('Business Case'!C11*$C407*'Business Case'!C12*$B407)-('Business Case'!B11*$C407*'Business Case'!B12*$B407))-'Business Case'!C15*$F407</f>
        <v>-55517722.4269404</v>
      </c>
      <c r="J407" s="39" t="n">
        <f aca="false">(('Business Case'!D11*$C407*'Business Case'!D12*$B407)-'Business Case'!D11*$C407*'Business Case'!D13*$D407-'Business Case'!D14*$E407)-MAX(0,(('Business Case'!D11*$C407*'Business Case'!D12*$B407)-'Business Case'!D11*$C407*'Business Case'!D13*$D407-'Business Case'!D14*$E407))*'Business Case'!$B$7-'Business Case'!$B$8*(('Business Case'!D11*$C407*'Business Case'!D12*$B407)-('Business Case'!C11*$C407*'Business Case'!C12*$B407))-'Business Case'!D15*$F407</f>
        <v>187835403.700574</v>
      </c>
      <c r="K407" s="39" t="n">
        <f aca="false">(('Business Case'!E11*$C407*'Business Case'!E12*$B407)-'Business Case'!E11*$C407*'Business Case'!E13*$D407-'Business Case'!E14*$E407)-MAX(0,(('Business Case'!E11*$C407*'Business Case'!E12*$B407)-'Business Case'!E11*$C407*'Business Case'!E13*$D407-'Business Case'!E14*$E407))*'Business Case'!$B$7-'Business Case'!$B$8*(('Business Case'!E11*$C407*'Business Case'!E12*$B407)-('Business Case'!D11*$C407*'Business Case'!D12*$B407))-'Business Case'!E15*$F407</f>
        <v>485297835.418385</v>
      </c>
      <c r="L407" s="39" t="n">
        <f aca="false">(('Business Case'!F11*$C407*'Business Case'!F12*$B407)-'Business Case'!F11*$C407*'Business Case'!F13*$D407-'Business Case'!F14*$E407)-MAX(0,(('Business Case'!F11*$C407*'Business Case'!F12*$B407)-'Business Case'!F11*$C407*'Business Case'!F13*$D407-'Business Case'!F14*$E407))*'Business Case'!$B$7-'Business Case'!$B$8*(('Business Case'!F11*$C407*'Business Case'!F12*$B407)-('Business Case'!E11*$C407*'Business Case'!E12*$B407))-'Business Case'!F15*$F407</f>
        <v>597368097.595602</v>
      </c>
      <c r="M407" s="39" t="n">
        <f aca="false">(('Business Case'!G11*$C407*'Business Case'!G12*$B407)-'Business Case'!G11*$C407*'Business Case'!G13*$D407-'Business Case'!G14*$E407)-MAX(0,(('Business Case'!G11*$C407*'Business Case'!G12*$B407)-'Business Case'!G11*$C407*'Business Case'!G13*$D407-'Business Case'!G14*$E407))*'Business Case'!$B$7-'Business Case'!$B$8*(('Business Case'!G11*$C407*'Business Case'!G12*$B407)-('Business Case'!F11*$C407*'Business Case'!F12*$B407))-'Business Case'!G15*$F407+'Business Case'!$B$8*('Business Case'!G11*$C407*'Business Case'!G12*$B407)</f>
        <v>767607141.669851</v>
      </c>
      <c r="N407" s="39" t="n">
        <f aca="false">IF(COUNT('Business Case'!B11:G11)=0,"",H407+NPV(G407,I407:M407))</f>
        <v>-786757969.402893</v>
      </c>
      <c r="P407" s="40" t="n">
        <f aca="true">RAND()</f>
        <v>0.282528173236218</v>
      </c>
      <c r="Q407" s="40" t="n">
        <f aca="true">RAND()</f>
        <v>0.210341976858801</v>
      </c>
      <c r="R407" s="40" t="n">
        <f aca="true">RAND()</f>
        <v>0.841267446764687</v>
      </c>
      <c r="S407" s="40" t="n">
        <f aca="true">RAND()</f>
        <v>0.509559192011573</v>
      </c>
      <c r="T407" s="40" t="n">
        <f aca="true">RAND()</f>
        <v>0.72239775497194</v>
      </c>
      <c r="U407" s="40" t="n">
        <f aca="true">RAND()</f>
        <v>0.0907640297090286</v>
      </c>
    </row>
    <row r="408" customFormat="false" ht="15" hidden="false" customHeight="false" outlineLevel="0" collapsed="false">
      <c r="A408" s="36" t="n">
        <v>328</v>
      </c>
      <c r="B408" s="37" t="n">
        <f aca="false">1+IF($G$6=$E$6,$F$6,IF(P408&lt;($F$6-$E$6)/($G$6-$E$6),$E$6+SQRT(P408*($G$6-$E$6)*($F$6-$E$6)),$G$6-SQRT((1-P408)*($G$6-$E$6)*($G$6-$F$6))))</f>
        <v>0.995672258081355</v>
      </c>
      <c r="C408" s="37" t="n">
        <f aca="false">1+IF($G$7=$E$7,$F$7,IF(Q408&lt;($F$7-$E$7)/($G$7-$E$7),$E$7+SQRT(Q408*($G$7-$E$7)*($F$7-$E$7)),$G$7-SQRT((1-Q408)*($G$7-$E$7)*($G$7-$F$7))))</f>
        <v>0.895422981495883</v>
      </c>
      <c r="D408" s="37" t="n">
        <f aca="false">1+IF($G$8=$E$8,$F$8,IF(R408&lt;($F$8-$E$8)/($G$8-$E$8),$E$8+SQRT(R408*($G$8-$E$8)*($F$8-$E$8)),$G$8-SQRT((1-R408)*($G$8-$E$8)*($G$8-$F$8))))</f>
        <v>0.980452446820005</v>
      </c>
      <c r="E408" s="37" t="n">
        <f aca="false">1+IF($G$9=$E$9,$F$9,IF(S408&lt;($F$9-$E$9)/($G$9-$E$9),$E$9+SQRT(S408*($G$9-$E$9)*($F$9-$E$9)),$G$9-SQRT((1-S408)*($G$9-$E$9)*($G$9-$F$9))))</f>
        <v>1.03862402647411</v>
      </c>
      <c r="F408" s="37" t="n">
        <f aca="false">1+IF($G$10=$E$10,$F$10,IF(T408&lt;($F$10-$E$10)/($G$10-$E$10),$E$10+SQRT(T408*($G$10-$E$10)*($F$10-$E$10)),$G$10-SQRT((1-T408)*($G$10-$E$10)*($G$10-$F$10))))</f>
        <v>0.978712082199322</v>
      </c>
      <c r="G408" s="38" t="n">
        <f aca="false">IF($G$11=$E$11,$F$11,IF(U408&lt;($F$11-$E$11)/($G$11-$E$11),$E$11+SQRT(U408*($G$11-$E$11)*($F$11-$E$11)),$G$11-SQRT((1-U408)*($G$11-$E$11)*($G$11-$F$11))))</f>
        <v>0.111796647920671</v>
      </c>
      <c r="H408" s="39" t="n">
        <f aca="false">(('Business Case'!B11*$C408*'Business Case'!B12*$B408)-'Business Case'!B11*$C408*'Business Case'!B13*$D408-'Business Case'!B14*$E408)-MAX(0,(('Business Case'!B11*$C408*'Business Case'!B12*$B408)-'Business Case'!B11*$C408*'Business Case'!B13*$D408-'Business Case'!B14*$E408))*'Business Case'!$B$7-'Business Case'!$B$8*('Business Case'!B11*$C408*'Business Case'!B12*$B408)-'Business Case'!B15*$F408</f>
        <v>-1957424164.39864</v>
      </c>
      <c r="I408" s="39" t="n">
        <f aca="false">(('Business Case'!C11*$C408*'Business Case'!C12*$B408)-'Business Case'!C11*$C408*'Business Case'!C13*$D408-'Business Case'!C14*$E408)-MAX(0,(('Business Case'!C11*$C408*'Business Case'!C12*$B408)-'Business Case'!C11*$C408*'Business Case'!C13*$D408-'Business Case'!C14*$E408))*'Business Case'!$B$7-'Business Case'!$B$8*(('Business Case'!C11*$C408*'Business Case'!C12*$B408)-('Business Case'!B11*$C408*'Business Case'!B12*$B408))-'Business Case'!C15*$F408</f>
        <v>-10964155.1129568</v>
      </c>
      <c r="J408" s="39" t="n">
        <f aca="false">(('Business Case'!D11*$C408*'Business Case'!D12*$B408)-'Business Case'!D11*$C408*'Business Case'!D13*$D408-'Business Case'!D14*$E408)-MAX(0,(('Business Case'!D11*$C408*'Business Case'!D12*$B408)-'Business Case'!D11*$C408*'Business Case'!D13*$D408-'Business Case'!D14*$E408))*'Business Case'!$B$7-'Business Case'!$B$8*(('Business Case'!D11*$C408*'Business Case'!D12*$B408)-('Business Case'!C11*$C408*'Business Case'!C12*$B408))-'Business Case'!D15*$F408</f>
        <v>269853073.647175</v>
      </c>
      <c r="K408" s="39" t="n">
        <f aca="false">(('Business Case'!E11*$C408*'Business Case'!E12*$B408)-'Business Case'!E11*$C408*'Business Case'!E13*$D408-'Business Case'!E14*$E408)-MAX(0,(('Business Case'!E11*$C408*'Business Case'!E12*$B408)-'Business Case'!E11*$C408*'Business Case'!E13*$D408-'Business Case'!E14*$E408))*'Business Case'!$B$7-'Business Case'!$B$8*(('Business Case'!E11*$C408*'Business Case'!E12*$B408)-('Business Case'!D11*$C408*'Business Case'!D12*$B408))-'Business Case'!E15*$F408</f>
        <v>599605906.517273</v>
      </c>
      <c r="L408" s="39" t="n">
        <f aca="false">(('Business Case'!F11*$C408*'Business Case'!F12*$B408)-'Business Case'!F11*$C408*'Business Case'!F13*$D408-'Business Case'!F14*$E408)-MAX(0,(('Business Case'!F11*$C408*'Business Case'!F12*$B408)-'Business Case'!F11*$C408*'Business Case'!F13*$D408-'Business Case'!F14*$E408))*'Business Case'!$B$7-'Business Case'!$B$8*(('Business Case'!F11*$C408*'Business Case'!F12*$B408)-('Business Case'!E11*$C408*'Business Case'!E12*$B408))-'Business Case'!F15*$F408</f>
        <v>724023542.163008</v>
      </c>
      <c r="M408" s="39" t="n">
        <f aca="false">(('Business Case'!G11*$C408*'Business Case'!G12*$B408)-'Business Case'!G11*$C408*'Business Case'!G13*$D408-'Business Case'!G14*$E408)-MAX(0,(('Business Case'!G11*$C408*'Business Case'!G12*$B408)-'Business Case'!G11*$C408*'Business Case'!G13*$D408-'Business Case'!G14*$E408))*'Business Case'!$B$7-'Business Case'!$B$8*(('Business Case'!G11*$C408*'Business Case'!G12*$B408)-('Business Case'!F11*$C408*'Business Case'!F12*$B408))-'Business Case'!G15*$F408+'Business Case'!$B$8*('Business Case'!G11*$C408*'Business Case'!G12*$B408)</f>
        <v>893488952.154312</v>
      </c>
      <c r="N408" s="39" t="n">
        <f aca="false">IF(COUNT('Business Case'!B11:G11)=0,"",H408+NPV(G408,I408:M408))</f>
        <v>-312836657.219835</v>
      </c>
      <c r="P408" s="40" t="n">
        <f aca="true">RAND()</f>
        <v>0.596488608659497</v>
      </c>
      <c r="Q408" s="40" t="n">
        <f aca="true">RAND()</f>
        <v>0.130079219965194</v>
      </c>
      <c r="R408" s="40" t="n">
        <f aca="true">RAND()</f>
        <v>0.142669464203884</v>
      </c>
      <c r="S408" s="40" t="n">
        <f aca="true">RAND()</f>
        <v>0.748865991583314</v>
      </c>
      <c r="T408" s="40" t="n">
        <f aca="true">RAND()</f>
        <v>0.0659506931376497</v>
      </c>
      <c r="U408" s="40" t="n">
        <f aca="true">RAND()</f>
        <v>0.887841691104276</v>
      </c>
    </row>
    <row r="409" customFormat="false" ht="15" hidden="false" customHeight="false" outlineLevel="0" collapsed="false">
      <c r="A409" s="36" t="n">
        <v>329</v>
      </c>
      <c r="B409" s="37" t="n">
        <f aca="false">1+IF($G$6=$E$6,$F$6,IF(P409&lt;($F$6-$E$6)/($G$6-$E$6),$E$6+SQRT(P409*($G$6-$E$6)*($F$6-$E$6)),$G$6-SQRT((1-P409)*($G$6-$E$6)*($G$6-$F$6))))</f>
        <v>0.988815573381599</v>
      </c>
      <c r="C409" s="37" t="n">
        <f aca="false">1+IF($G$7=$E$7,$F$7,IF(Q409&lt;($F$7-$E$7)/($G$7-$E$7),$E$7+SQRT(Q409*($G$7-$E$7)*($F$7-$E$7)),$G$7-SQRT((1-Q409)*($G$7-$E$7)*($G$7-$F$7))))</f>
        <v>0.93714509468447</v>
      </c>
      <c r="D409" s="37" t="n">
        <f aca="false">1+IF($G$8=$E$8,$F$8,IF(R409&lt;($F$8-$E$8)/($G$8-$E$8),$E$8+SQRT(R409*($G$8-$E$8)*($F$8-$E$8)),$G$8-SQRT((1-R409)*($G$8-$E$8)*($G$8-$F$8))))</f>
        <v>0.996180511672197</v>
      </c>
      <c r="E409" s="37" t="n">
        <f aca="false">1+IF($G$9=$E$9,$F$9,IF(S409&lt;($F$9-$E$9)/($G$9-$E$9),$E$9+SQRT(S409*($G$9-$E$9)*($F$9-$E$9)),$G$9-SQRT((1-S409)*($G$9-$E$9)*($G$9-$F$9))))</f>
        <v>0.996536004008755</v>
      </c>
      <c r="F409" s="37" t="n">
        <f aca="false">1+IF($G$10=$E$10,$F$10,IF(T409&lt;($F$10-$E$10)/($G$10-$E$10),$E$10+SQRT(T409*($G$10-$E$10)*($F$10-$E$10)),$G$10-SQRT((1-T409)*($G$10-$E$10)*($G$10-$F$10))))</f>
        <v>1.03449719124681</v>
      </c>
      <c r="G409" s="38" t="n">
        <f aca="false">IF($G$11=$E$11,$F$11,IF(U409&lt;($F$11-$E$11)/($G$11-$E$11),$E$11+SQRT(U409*($G$11-$E$11)*($F$11-$E$11)),$G$11-SQRT((1-U409)*($G$11-$E$11)*($G$11-$F$11))))</f>
        <v>0.10909203538304</v>
      </c>
      <c r="H409" s="39" t="n">
        <f aca="false">(('Business Case'!B11*$C409*'Business Case'!B12*$B409)-'Business Case'!B11*$C409*'Business Case'!B13*$D409-'Business Case'!B14*$E409)-MAX(0,(('Business Case'!B11*$C409*'Business Case'!B12*$B409)-'Business Case'!B11*$C409*'Business Case'!B13*$D409-'Business Case'!B14*$E409))*'Business Case'!$B$7-'Business Case'!$B$8*('Business Case'!B11*$C409*'Business Case'!B12*$B409)-'Business Case'!B15*$F409</f>
        <v>-2068994382.49363</v>
      </c>
      <c r="I409" s="39" t="n">
        <f aca="false">(('Business Case'!C11*$C409*'Business Case'!C12*$B409)-'Business Case'!C11*$C409*'Business Case'!C13*$D409-'Business Case'!C14*$E409)-MAX(0,(('Business Case'!C11*$C409*'Business Case'!C12*$B409)-'Business Case'!C11*$C409*'Business Case'!C13*$D409-'Business Case'!C14*$E409))*'Business Case'!$B$7-'Business Case'!$B$8*(('Business Case'!C11*$C409*'Business Case'!C12*$B409)-('Business Case'!B11*$C409*'Business Case'!B12*$B409))-'Business Case'!C15*$F409</f>
        <v>-12102065.3993399</v>
      </c>
      <c r="J409" s="39" t="n">
        <f aca="false">(('Business Case'!D11*$C409*'Business Case'!D12*$B409)-'Business Case'!D11*$C409*'Business Case'!D13*$D409-'Business Case'!D14*$E409)-MAX(0,(('Business Case'!D11*$C409*'Business Case'!D12*$B409)-'Business Case'!D11*$C409*'Business Case'!D13*$D409-'Business Case'!D14*$E409))*'Business Case'!$B$7-'Business Case'!$B$8*(('Business Case'!D11*$C409*'Business Case'!D12*$B409)-('Business Case'!C11*$C409*'Business Case'!C12*$B409))-'Business Case'!D15*$F409</f>
        <v>268991252.445177</v>
      </c>
      <c r="K409" s="39" t="n">
        <f aca="false">(('Business Case'!E11*$C409*'Business Case'!E12*$B409)-'Business Case'!E11*$C409*'Business Case'!E13*$D409-'Business Case'!E14*$E409)-MAX(0,(('Business Case'!E11*$C409*'Business Case'!E12*$B409)-'Business Case'!E11*$C409*'Business Case'!E13*$D409-'Business Case'!E14*$E409))*'Business Case'!$B$7-'Business Case'!$B$8*(('Business Case'!E11*$C409*'Business Case'!E12*$B409)-('Business Case'!D11*$C409*'Business Case'!D12*$B409))-'Business Case'!E15*$F409</f>
        <v>601809429.852035</v>
      </c>
      <c r="L409" s="39" t="n">
        <f aca="false">(('Business Case'!F11*$C409*'Business Case'!F12*$B409)-'Business Case'!F11*$C409*'Business Case'!F13*$D409-'Business Case'!F14*$E409)-MAX(0,(('Business Case'!F11*$C409*'Business Case'!F12*$B409)-'Business Case'!F11*$C409*'Business Case'!F13*$D409-'Business Case'!F14*$E409))*'Business Case'!$B$7-'Business Case'!$B$8*(('Business Case'!F11*$C409*'Business Case'!F12*$B409)-('Business Case'!E11*$C409*'Business Case'!E12*$B409))-'Business Case'!F15*$F409</f>
        <v>727532698.699628</v>
      </c>
      <c r="M409" s="39" t="n">
        <f aca="false">(('Business Case'!G11*$C409*'Business Case'!G12*$B409)-'Business Case'!G11*$C409*'Business Case'!G13*$D409-'Business Case'!G14*$E409)-MAX(0,(('Business Case'!G11*$C409*'Business Case'!G12*$B409)-'Business Case'!G11*$C409*'Business Case'!G13*$D409-'Business Case'!G14*$E409))*'Business Case'!$B$7-'Business Case'!$B$8*(('Business Case'!G11*$C409*'Business Case'!G12*$B409)-('Business Case'!F11*$C409*'Business Case'!F12*$B409))-'Business Case'!G15*$F409+'Business Case'!$B$8*('Business Case'!G11*$C409*'Business Case'!G12*$B409)</f>
        <v>903672927.979773</v>
      </c>
      <c r="N409" s="39" t="n">
        <f aca="false">IF(COUNT('Business Case'!B11:G11)=0,"",H409+NPV(G409,I409:M409))</f>
        <v>-400805386.546611</v>
      </c>
      <c r="P409" s="40" t="n">
        <f aca="true">RAND()</f>
        <v>0.493289910399819</v>
      </c>
      <c r="Q409" s="40" t="n">
        <f aca="true">RAND()</f>
        <v>0.268696814228745</v>
      </c>
      <c r="R409" s="40" t="n">
        <f aca="true">RAND()</f>
        <v>0.328098408970147</v>
      </c>
      <c r="S409" s="40" t="n">
        <f aca="true">RAND()</f>
        <v>0.288746622547054</v>
      </c>
      <c r="T409" s="40" t="n">
        <f aca="true">RAND()</f>
        <v>0.452176405896131</v>
      </c>
      <c r="U409" s="40" t="n">
        <f aca="true">RAND()</f>
        <v>0.801693846525265</v>
      </c>
    </row>
    <row r="410" customFormat="false" ht="15" hidden="false" customHeight="false" outlineLevel="0" collapsed="false">
      <c r="A410" s="36" t="n">
        <v>330</v>
      </c>
      <c r="B410" s="37" t="n">
        <f aca="false">1+IF($G$6=$E$6,$F$6,IF(P410&lt;($F$6-$E$6)/($G$6-$E$6),$E$6+SQRT(P410*($G$6-$E$6)*($F$6-$E$6)),$G$6-SQRT((1-P410)*($G$6-$E$6)*($G$6-$F$6))))</f>
        <v>0.957358306159059</v>
      </c>
      <c r="C410" s="37" t="n">
        <f aca="false">1+IF($G$7=$E$7,$F$7,IF(Q410&lt;($F$7-$E$7)/($G$7-$E$7),$E$7+SQRT(Q410*($G$7-$E$7)*($F$7-$E$7)),$G$7-SQRT((1-Q410)*($G$7-$E$7)*($G$7-$F$7))))</f>
        <v>1.02928300523812</v>
      </c>
      <c r="D410" s="37" t="n">
        <f aca="false">1+IF($G$8=$E$8,$F$8,IF(R410&lt;($F$8-$E$8)/($G$8-$E$8),$E$8+SQRT(R410*($G$8-$E$8)*($F$8-$E$8)),$G$8-SQRT((1-R410)*($G$8-$E$8)*($G$8-$F$8))))</f>
        <v>1.00085990763856</v>
      </c>
      <c r="E410" s="37" t="n">
        <f aca="false">1+IF($G$9=$E$9,$F$9,IF(S410&lt;($F$9-$E$9)/($G$9-$E$9),$E$9+SQRT(S410*($G$9-$E$9)*($F$9-$E$9)),$G$9-SQRT((1-S410)*($G$9-$E$9)*($G$9-$F$9))))</f>
        <v>1.07803069102996</v>
      </c>
      <c r="F410" s="37" t="n">
        <f aca="false">1+IF($G$10=$E$10,$F$10,IF(T410&lt;($F$10-$E$10)/($G$10-$E$10),$E$10+SQRT(T410*($G$10-$E$10)*($F$10-$E$10)),$G$10-SQRT((1-T410)*($G$10-$E$10)*($G$10-$F$10))))</f>
        <v>1.10029254497345</v>
      </c>
      <c r="G410" s="38" t="n">
        <f aca="false">IF($G$11=$E$11,$F$11,IF(U410&lt;($F$11-$E$11)/($G$11-$E$11),$E$11+SQRT(U410*($G$11-$E$11)*($F$11-$E$11)),$G$11-SQRT((1-U410)*($G$11-$E$11)*($G$11-$F$11))))</f>
        <v>0.109039151744948</v>
      </c>
      <c r="H410" s="39" t="n">
        <f aca="false">(('Business Case'!B11*$C410*'Business Case'!B12*$B410)-'Business Case'!B11*$C410*'Business Case'!B13*$D410-'Business Case'!B14*$E410)-MAX(0,(('Business Case'!B11*$C410*'Business Case'!B12*$B410)-'Business Case'!B11*$C410*'Business Case'!B13*$D410-'Business Case'!B14*$E410))*'Business Case'!$B$7-'Business Case'!$B$8*('Business Case'!B11*$C410*'Business Case'!B12*$B410)-'Business Case'!B15*$F410</f>
        <v>-2200585089.94689</v>
      </c>
      <c r="I410" s="39" t="n">
        <f aca="false">(('Business Case'!C11*$C410*'Business Case'!C12*$B410)-'Business Case'!C11*$C410*'Business Case'!C13*$D410-'Business Case'!C14*$E410)-MAX(0,(('Business Case'!C11*$C410*'Business Case'!C12*$B410)-'Business Case'!C11*$C410*'Business Case'!C13*$D410-'Business Case'!C14*$E410))*'Business Case'!$B$7-'Business Case'!$B$8*(('Business Case'!C11*$C410*'Business Case'!C12*$B410)-('Business Case'!B11*$C410*'Business Case'!B12*$B410))-'Business Case'!C15*$F410</f>
        <v>-34664107.4985807</v>
      </c>
      <c r="J410" s="39" t="n">
        <f aca="false">(('Business Case'!D11*$C410*'Business Case'!D12*$B410)-'Business Case'!D11*$C410*'Business Case'!D13*$D410-'Business Case'!D14*$E410)-MAX(0,(('Business Case'!D11*$C410*'Business Case'!D12*$B410)-'Business Case'!D11*$C410*'Business Case'!D13*$D410-'Business Case'!D14*$E410))*'Business Case'!$B$7-'Business Case'!$B$8*(('Business Case'!D11*$C410*'Business Case'!D12*$B410)-('Business Case'!C11*$C410*'Business Case'!C12*$B410))-'Business Case'!D15*$F410</f>
        <v>245079757.934691</v>
      </c>
      <c r="K410" s="39" t="n">
        <f aca="false">(('Business Case'!E11*$C410*'Business Case'!E12*$B410)-'Business Case'!E11*$C410*'Business Case'!E13*$D410-'Business Case'!E14*$E410)-MAX(0,(('Business Case'!E11*$C410*'Business Case'!E12*$B410)-'Business Case'!E11*$C410*'Business Case'!E13*$D410-'Business Case'!E14*$E410))*'Business Case'!$B$7-'Business Case'!$B$8*(('Business Case'!E11*$C410*'Business Case'!E12*$B410)-('Business Case'!D11*$C410*'Business Case'!D12*$B410))-'Business Case'!E15*$F410</f>
        <v>579838250.616635</v>
      </c>
      <c r="L410" s="39" t="n">
        <f aca="false">(('Business Case'!F11*$C410*'Business Case'!F12*$B410)-'Business Case'!F11*$C410*'Business Case'!F13*$D410-'Business Case'!F14*$E410)-MAX(0,(('Business Case'!F11*$C410*'Business Case'!F12*$B410)-'Business Case'!F11*$C410*'Business Case'!F13*$D410-'Business Case'!F14*$E410))*'Business Case'!$B$7-'Business Case'!$B$8*(('Business Case'!F11*$C410*'Business Case'!F12*$B410)-('Business Case'!E11*$C410*'Business Case'!E12*$B410))-'Business Case'!F15*$F410</f>
        <v>707141375.207757</v>
      </c>
      <c r="M410" s="39" t="n">
        <f aca="false">(('Business Case'!G11*$C410*'Business Case'!G12*$B410)-'Business Case'!G11*$C410*'Business Case'!G13*$D410-'Business Case'!G14*$E410)-MAX(0,(('Business Case'!G11*$C410*'Business Case'!G12*$B410)-'Business Case'!G11*$C410*'Business Case'!G13*$D410-'Business Case'!G14*$E410))*'Business Case'!$B$7-'Business Case'!$B$8*(('Business Case'!G11*$C410*'Business Case'!G12*$B410)-('Business Case'!F11*$C410*'Business Case'!F12*$B410))-'Business Case'!G15*$F410+'Business Case'!$B$8*('Business Case'!G11*$C410*'Business Case'!G12*$B410)</f>
        <v>894444807.164596</v>
      </c>
      <c r="N410" s="39" t="n">
        <f aca="false">IF(COUNT('Business Case'!B11:G11)=0,"",H410+NPV(G410,I410:M410))</f>
        <v>-606963200.535921</v>
      </c>
      <c r="P410" s="40" t="n">
        <f aca="true">RAND()</f>
        <v>0.145379483236869</v>
      </c>
      <c r="Q410" s="40" t="n">
        <f aca="true">RAND()</f>
        <v>0.72242680334589</v>
      </c>
      <c r="R410" s="40" t="n">
        <f aca="true">RAND()</f>
        <v>0.397773632790576</v>
      </c>
      <c r="S410" s="40" t="n">
        <f aca="true">RAND()</f>
        <v>0.9678232975586</v>
      </c>
      <c r="T410" s="40" t="n">
        <f aca="true">RAND()</f>
        <v>0.801168468242556</v>
      </c>
      <c r="U410" s="40" t="n">
        <f aca="true">RAND()</f>
        <v>0.799766342549551</v>
      </c>
    </row>
    <row r="411" customFormat="false" ht="15" hidden="false" customHeight="false" outlineLevel="0" collapsed="false">
      <c r="A411" s="36" t="n">
        <v>331</v>
      </c>
      <c r="B411" s="37" t="n">
        <f aca="false">1+IF($G$6=$E$6,$F$6,IF(P411&lt;($F$6-$E$6)/($G$6-$E$6),$E$6+SQRT(P411*($G$6-$E$6)*($F$6-$E$6)),$G$6-SQRT((1-P411)*($G$6-$E$6)*($G$6-$F$6))))</f>
        <v>1.01291489658948</v>
      </c>
      <c r="C411" s="37" t="n">
        <f aca="false">1+IF($G$7=$E$7,$F$7,IF(Q411&lt;($F$7-$E$7)/($G$7-$E$7),$E$7+SQRT(Q411*($G$7-$E$7)*($F$7-$E$7)),$G$7-SQRT((1-Q411)*($G$7-$E$7)*($G$7-$F$7))))</f>
        <v>1.07518135289077</v>
      </c>
      <c r="D411" s="37" t="n">
        <f aca="false">1+IF($G$8=$E$8,$F$8,IF(R411&lt;($F$8-$E$8)/($G$8-$E$8),$E$8+SQRT(R411*($G$8-$E$8)*($F$8-$E$8)),$G$8-SQRT((1-R411)*($G$8-$E$8)*($G$8-$F$8))))</f>
        <v>1.02487373332976</v>
      </c>
      <c r="E411" s="37" t="n">
        <f aca="false">1+IF($G$9=$E$9,$F$9,IF(S411&lt;($F$9-$E$9)/($G$9-$E$9),$E$9+SQRT(S411*($G$9-$E$9)*($F$9-$E$9)),$G$9-SQRT((1-S411)*($G$9-$E$9)*($G$9-$F$9))))</f>
        <v>0.964215291151028</v>
      </c>
      <c r="F411" s="37" t="n">
        <f aca="false">1+IF($G$10=$E$10,$F$10,IF(T411&lt;($F$10-$E$10)/($G$10-$E$10),$E$10+SQRT(T411*($G$10-$E$10)*($F$10-$E$10)),$G$10-SQRT((1-T411)*($G$10-$E$10)*($G$10-$F$10))))</f>
        <v>0.970274591606014</v>
      </c>
      <c r="G411" s="38" t="n">
        <f aca="false">IF($G$11=$E$11,$F$11,IF(U411&lt;($F$11-$E$11)/($G$11-$E$11),$E$11+SQRT(U411*($G$11-$E$11)*($F$11-$E$11)),$G$11-SQRT((1-U411)*($G$11-$E$11)*($G$11-$F$11))))</f>
        <v>0.108919173448163</v>
      </c>
      <c r="H411" s="39" t="n">
        <f aca="false">(('Business Case'!B11*$C411*'Business Case'!B12*$B411)-'Business Case'!B11*$C411*'Business Case'!B13*$D411-'Business Case'!B14*$E411)-MAX(0,(('Business Case'!B11*$C411*'Business Case'!B12*$B411)-'Business Case'!B11*$C411*'Business Case'!B13*$D411-'Business Case'!B14*$E411))*'Business Case'!$B$7-'Business Case'!$B$8*('Business Case'!B11*$C411*'Business Case'!B12*$B411)-'Business Case'!B15*$F411</f>
        <v>-1940549183.21203</v>
      </c>
      <c r="I411" s="39" t="n">
        <f aca="false">(('Business Case'!C11*$C411*'Business Case'!C12*$B411)-'Business Case'!C11*$C411*'Business Case'!C13*$D411-'Business Case'!C14*$E411)-MAX(0,(('Business Case'!C11*$C411*'Business Case'!C12*$B411)-'Business Case'!C11*$C411*'Business Case'!C13*$D411-'Business Case'!C14*$E411))*'Business Case'!$B$7-'Business Case'!$B$8*(('Business Case'!C11*$C411*'Business Case'!C12*$B411)-('Business Case'!B11*$C411*'Business Case'!B12*$B411))-'Business Case'!C15*$F411</f>
        <v>37330828.1524255</v>
      </c>
      <c r="J411" s="39" t="n">
        <f aca="false">(('Business Case'!D11*$C411*'Business Case'!D12*$B411)-'Business Case'!D11*$C411*'Business Case'!D13*$D411-'Business Case'!D14*$E411)-MAX(0,(('Business Case'!D11*$C411*'Business Case'!D12*$B411)-'Business Case'!D11*$C411*'Business Case'!D13*$D411-'Business Case'!D14*$E411))*'Business Case'!$B$7-'Business Case'!$B$8*(('Business Case'!D11*$C411*'Business Case'!D12*$B411)-('Business Case'!C11*$C411*'Business Case'!C12*$B411))-'Business Case'!D15*$F411</f>
        <v>365257773.975379</v>
      </c>
      <c r="K411" s="39" t="n">
        <f aca="false">(('Business Case'!E11*$C411*'Business Case'!E12*$B411)-'Business Case'!E11*$C411*'Business Case'!E13*$D411-'Business Case'!E14*$E411)-MAX(0,(('Business Case'!E11*$C411*'Business Case'!E12*$B411)-'Business Case'!E11*$C411*'Business Case'!E13*$D411-'Business Case'!E14*$E411))*'Business Case'!$B$7-'Business Case'!$B$8*(('Business Case'!E11*$C411*'Business Case'!E12*$B411)-('Business Case'!D11*$C411*'Business Case'!D12*$B411))-'Business Case'!E15*$F411</f>
        <v>741698449.378633</v>
      </c>
      <c r="L411" s="39" t="n">
        <f aca="false">(('Business Case'!F11*$C411*'Business Case'!F12*$B411)-'Business Case'!F11*$C411*'Business Case'!F13*$D411-'Business Case'!F14*$E411)-MAX(0,(('Business Case'!F11*$C411*'Business Case'!F12*$B411)-'Business Case'!F11*$C411*'Business Case'!F13*$D411-'Business Case'!F14*$E411))*'Business Case'!$B$7-'Business Case'!$B$8*(('Business Case'!F11*$C411*'Business Case'!F12*$B411)-('Business Case'!E11*$C411*'Business Case'!E12*$B411))-'Business Case'!F15*$F411</f>
        <v>888645594.058452</v>
      </c>
      <c r="M411" s="39" t="n">
        <f aca="false">(('Business Case'!G11*$C411*'Business Case'!G12*$B411)-'Business Case'!G11*$C411*'Business Case'!G13*$D411-'Business Case'!G14*$E411)-MAX(0,(('Business Case'!G11*$C411*'Business Case'!G12*$B411)-'Business Case'!G11*$C411*'Business Case'!G13*$D411-'Business Case'!G14*$E411))*'Business Case'!$B$7-'Business Case'!$B$8*(('Business Case'!G11*$C411*'Business Case'!G12*$B411)-('Business Case'!F11*$C411*'Business Case'!F12*$B411))-'Business Case'!G15*$F411+'Business Case'!$B$8*('Business Case'!G11*$C411*'Business Case'!G12*$B411)</f>
        <v>1095655489.12204</v>
      </c>
      <c r="N411" s="39" t="n">
        <f aca="false">IF(COUNT('Business Case'!B11:G11)=0,"",H411+NPV(G411,I411:M411))</f>
        <v>175112383.964363</v>
      </c>
      <c r="P411" s="40" t="n">
        <f aca="true">RAND()</f>
        <v>0.847166077758627</v>
      </c>
      <c r="Q411" s="40" t="n">
        <f aca="true">RAND()</f>
        <v>0.893374667518938</v>
      </c>
      <c r="R411" s="40" t="n">
        <f aca="true">RAND()</f>
        <v>0.707797569519374</v>
      </c>
      <c r="S411" s="40" t="n">
        <f aca="true">RAND()</f>
        <v>0.0269432670011331</v>
      </c>
      <c r="T411" s="40" t="n">
        <f aca="true">RAND()</f>
        <v>0.0328847251832532</v>
      </c>
      <c r="U411" s="40" t="n">
        <f aca="true">RAND()</f>
        <v>0.795358804880168</v>
      </c>
    </row>
    <row r="412" customFormat="false" ht="15" hidden="false" customHeight="false" outlineLevel="0" collapsed="false">
      <c r="A412" s="36" t="n">
        <v>332</v>
      </c>
      <c r="B412" s="37" t="n">
        <f aca="false">1+IF($G$6=$E$6,$F$6,IF(P412&lt;($F$6-$E$6)/($G$6-$E$6),$E$6+SQRT(P412*($G$6-$E$6)*($F$6-$E$6)),$G$6-SQRT((1-P412)*($G$6-$E$6)*($G$6-$F$6))))</f>
        <v>0.978165094591202</v>
      </c>
      <c r="C412" s="37" t="n">
        <f aca="false">1+IF($G$7=$E$7,$F$7,IF(Q412&lt;($F$7-$E$7)/($G$7-$E$7),$E$7+SQRT(Q412*($G$7-$E$7)*($F$7-$E$7)),$G$7-SQRT((1-Q412)*($G$7-$E$7)*($G$7-$F$7))))</f>
        <v>0.911126173959949</v>
      </c>
      <c r="D412" s="37" t="n">
        <f aca="false">1+IF($G$8=$E$8,$F$8,IF(R412&lt;($F$8-$E$8)/($G$8-$E$8),$E$8+SQRT(R412*($G$8-$E$8)*($F$8-$E$8)),$G$8-SQRT((1-R412)*($G$8-$E$8)*($G$8-$F$8))))</f>
        <v>0.999095023901636</v>
      </c>
      <c r="E412" s="37" t="n">
        <f aca="false">1+IF($G$9=$E$9,$F$9,IF(S412&lt;($F$9-$E$9)/($G$9-$E$9),$E$9+SQRT(S412*($G$9-$E$9)*($F$9-$E$9)),$G$9-SQRT((1-S412)*($G$9-$E$9)*($G$9-$F$9))))</f>
        <v>1.0359000086019</v>
      </c>
      <c r="F412" s="37" t="n">
        <f aca="false">1+IF($G$10=$E$10,$F$10,IF(T412&lt;($F$10-$E$10)/($G$10-$E$10),$E$10+SQRT(T412*($G$10-$E$10)*($F$10-$E$10)),$G$10-SQRT((1-T412)*($G$10-$E$10)*($G$10-$F$10))))</f>
        <v>0.987764846039107</v>
      </c>
      <c r="G412" s="38" t="n">
        <f aca="false">IF($G$11=$E$11,$F$11,IF(U412&lt;($F$11-$E$11)/($G$11-$E$11),$E$11+SQRT(U412*($G$11-$E$11)*($F$11-$E$11)),$G$11-SQRT((1-U412)*($G$11-$E$11)*($G$11-$F$11))))</f>
        <v>0.10731112908719</v>
      </c>
      <c r="H412" s="39" t="n">
        <f aca="false">(('Business Case'!B11*$C412*'Business Case'!B12*$B412)-'Business Case'!B11*$C412*'Business Case'!B13*$D412-'Business Case'!B14*$E412)-MAX(0,(('Business Case'!B11*$C412*'Business Case'!B12*$B412)-'Business Case'!B11*$C412*'Business Case'!B13*$D412-'Business Case'!B14*$E412))*'Business Case'!$B$7-'Business Case'!$B$8*('Business Case'!B11*$C412*'Business Case'!B12*$B412)-'Business Case'!B15*$F412</f>
        <v>-1975529692.07821</v>
      </c>
      <c r="I412" s="39" t="n">
        <f aca="false">(('Business Case'!C11*$C412*'Business Case'!C12*$B412)-'Business Case'!C11*$C412*'Business Case'!C13*$D412-'Business Case'!C14*$E412)-MAX(0,(('Business Case'!C11*$C412*'Business Case'!C12*$B412)-'Business Case'!C11*$C412*'Business Case'!C13*$D412-'Business Case'!C14*$E412))*'Business Case'!$B$7-'Business Case'!$B$8*(('Business Case'!C11*$C412*'Business Case'!C12*$B412)-('Business Case'!B11*$C412*'Business Case'!B12*$B412))-'Business Case'!C15*$F412</f>
        <v>-28301502.6639131</v>
      </c>
      <c r="J412" s="39" t="n">
        <f aca="false">(('Business Case'!D11*$C412*'Business Case'!D12*$B412)-'Business Case'!D11*$C412*'Business Case'!D13*$D412-'Business Case'!D14*$E412)-MAX(0,(('Business Case'!D11*$C412*'Business Case'!D12*$B412)-'Business Case'!D11*$C412*'Business Case'!D13*$D412-'Business Case'!D14*$E412))*'Business Case'!$B$7-'Business Case'!$B$8*(('Business Case'!D11*$C412*'Business Case'!D12*$B412)-('Business Case'!C11*$C412*'Business Case'!C12*$B412))-'Business Case'!D15*$F412</f>
        <v>235679918.055128</v>
      </c>
      <c r="K412" s="39" t="n">
        <f aca="false">(('Business Case'!E11*$C412*'Business Case'!E12*$B412)-'Business Case'!E11*$C412*'Business Case'!E13*$D412-'Business Case'!E14*$E412)-MAX(0,(('Business Case'!E11*$C412*'Business Case'!E12*$B412)-'Business Case'!E11*$C412*'Business Case'!E13*$D412-'Business Case'!E14*$E412))*'Business Case'!$B$7-'Business Case'!$B$8*(('Business Case'!E11*$C412*'Business Case'!E12*$B412)-('Business Case'!D11*$C412*'Business Case'!D12*$B412))-'Business Case'!E15*$F412</f>
        <v>549049581.076125</v>
      </c>
      <c r="L412" s="39" t="n">
        <f aca="false">(('Business Case'!F11*$C412*'Business Case'!F12*$B412)-'Business Case'!F11*$C412*'Business Case'!F13*$D412-'Business Case'!F14*$E412)-MAX(0,(('Business Case'!F11*$C412*'Business Case'!F12*$B412)-'Business Case'!F11*$C412*'Business Case'!F13*$D412-'Business Case'!F14*$E412))*'Business Case'!$B$7-'Business Case'!$B$8*(('Business Case'!F11*$C412*'Business Case'!F12*$B412)-('Business Case'!E11*$C412*'Business Case'!E12*$B412))-'Business Case'!F15*$F412</f>
        <v>667844359.686374</v>
      </c>
      <c r="M412" s="39" t="n">
        <f aca="false">(('Business Case'!G11*$C412*'Business Case'!G12*$B412)-'Business Case'!G11*$C412*'Business Case'!G13*$D412-'Business Case'!G14*$E412)-MAX(0,(('Business Case'!G11*$C412*'Business Case'!G12*$B412)-'Business Case'!G11*$C412*'Business Case'!G13*$D412-'Business Case'!G14*$E412))*'Business Case'!$B$7-'Business Case'!$B$8*(('Business Case'!G11*$C412*'Business Case'!G12*$B412)-('Business Case'!F11*$C412*'Business Case'!F12*$B412))-'Business Case'!G15*$F412+'Business Case'!$B$8*('Business Case'!G11*$C412*'Business Case'!G12*$B412)</f>
        <v>837249704.057835</v>
      </c>
      <c r="N412" s="39" t="n">
        <f aca="false">IF(COUNT('Business Case'!B11:G11)=0,"",H412+NPV(G412,I412:M412))</f>
        <v>-457335763.120968</v>
      </c>
      <c r="P412" s="40" t="n">
        <f aca="true">RAND()</f>
        <v>0.352414398833692</v>
      </c>
      <c r="Q412" s="40" t="n">
        <f aca="true">RAND()</f>
        <v>0.176414664842525</v>
      </c>
      <c r="R412" s="40" t="n">
        <f aca="true">RAND()</f>
        <v>0.370818672600346</v>
      </c>
      <c r="S412" s="40" t="n">
        <f aca="true">RAND()</f>
        <v>0.726079406850937</v>
      </c>
      <c r="T412" s="40" t="n">
        <f aca="true">RAND()</f>
        <v>0.114094687708595</v>
      </c>
      <c r="U412" s="40" t="n">
        <f aca="true">RAND()</f>
        <v>0.731654258263405</v>
      </c>
    </row>
    <row r="413" customFormat="false" ht="15" hidden="false" customHeight="false" outlineLevel="0" collapsed="false">
      <c r="A413" s="36" t="n">
        <v>333</v>
      </c>
      <c r="B413" s="37" t="n">
        <f aca="false">1+IF($G$6=$E$6,$F$6,IF(P413&lt;($F$6-$E$6)/($G$6-$E$6),$E$6+SQRT(P413*($G$6-$E$6)*($F$6-$E$6)),$G$6-SQRT((1-P413)*($G$6-$E$6)*($G$6-$F$6))))</f>
        <v>0.982021295255459</v>
      </c>
      <c r="C413" s="37" t="n">
        <f aca="false">1+IF($G$7=$E$7,$F$7,IF(Q413&lt;($F$7-$E$7)/($G$7-$E$7),$E$7+SQRT(Q413*($G$7-$E$7)*($F$7-$E$7)),$G$7-SQRT((1-Q413)*($G$7-$E$7)*($G$7-$F$7))))</f>
        <v>1.00666574286682</v>
      </c>
      <c r="D413" s="37" t="n">
        <f aca="false">1+IF($G$8=$E$8,$F$8,IF(R413&lt;($F$8-$E$8)/($G$8-$E$8),$E$8+SQRT(R413*($G$8-$E$8)*($F$8-$E$8)),$G$8-SQRT((1-R413)*($G$8-$E$8)*($G$8-$F$8))))</f>
        <v>1.0089757671957</v>
      </c>
      <c r="E413" s="37" t="n">
        <f aca="false">1+IF($G$9=$E$9,$F$9,IF(S413&lt;($F$9-$E$9)/($G$9-$E$9),$E$9+SQRT(S413*($G$9-$E$9)*($F$9-$E$9)),$G$9-SQRT((1-S413)*($G$9-$E$9)*($G$9-$F$9))))</f>
        <v>1.02345059855538</v>
      </c>
      <c r="F413" s="37" t="n">
        <f aca="false">1+IF($G$10=$E$10,$F$10,IF(T413&lt;($F$10-$E$10)/($G$10-$E$10),$E$10+SQRT(T413*($G$10-$E$10)*($F$10-$E$10)),$G$10-SQRT((1-T413)*($G$10-$E$10)*($G$10-$F$10))))</f>
        <v>1.12178116611392</v>
      </c>
      <c r="G413" s="38" t="n">
        <f aca="false">IF($G$11=$E$11,$F$11,IF(U413&lt;($F$11-$E$11)/($G$11-$E$11),$E$11+SQRT(U413*($G$11-$E$11)*($F$11-$E$11)),$G$11-SQRT((1-U413)*($G$11-$E$11)*($G$11-$F$11))))</f>
        <v>0.10173147018762</v>
      </c>
      <c r="H413" s="39" t="n">
        <f aca="false">(('Business Case'!B11*$C413*'Business Case'!B12*$B413)-'Business Case'!B11*$C413*'Business Case'!B13*$D413-'Business Case'!B14*$E413)-MAX(0,(('Business Case'!B11*$C413*'Business Case'!B12*$B413)-'Business Case'!B11*$C413*'Business Case'!B13*$D413-'Business Case'!B14*$E413))*'Business Case'!$B$7-'Business Case'!$B$8*('Business Case'!B11*$C413*'Business Case'!B12*$B413)-'Business Case'!B15*$F413</f>
        <v>-2243562332.22784</v>
      </c>
      <c r="I413" s="39" t="n">
        <f aca="false">(('Business Case'!C11*$C413*'Business Case'!C12*$B413)-'Business Case'!C11*$C413*'Business Case'!C13*$D413-'Business Case'!C14*$E413)-MAX(0,(('Business Case'!C11*$C413*'Business Case'!C12*$B413)-'Business Case'!C11*$C413*'Business Case'!C13*$D413-'Business Case'!C14*$E413))*'Business Case'!$B$7-'Business Case'!$B$8*(('Business Case'!C11*$C413*'Business Case'!C12*$B413)-('Business Case'!B11*$C413*'Business Case'!B12*$B413))-'Business Case'!C15*$F413</f>
        <v>-19210234.3526584</v>
      </c>
      <c r="J413" s="39" t="n">
        <f aca="false">(('Business Case'!D11*$C413*'Business Case'!D12*$B413)-'Business Case'!D11*$C413*'Business Case'!D13*$D413-'Business Case'!D14*$E413)-MAX(0,(('Business Case'!D11*$C413*'Business Case'!D12*$B413)-'Business Case'!D11*$C413*'Business Case'!D13*$D413-'Business Case'!D14*$E413))*'Business Case'!$B$7-'Business Case'!$B$8*(('Business Case'!D11*$C413*'Business Case'!D12*$B413)-('Business Case'!C11*$C413*'Business Case'!C12*$B413))-'Business Case'!D15*$F413</f>
        <v>270539646.497545</v>
      </c>
      <c r="K413" s="39" t="n">
        <f aca="false">(('Business Case'!E11*$C413*'Business Case'!E12*$B413)-'Business Case'!E11*$C413*'Business Case'!E13*$D413-'Business Case'!E14*$E413)-MAX(0,(('Business Case'!E11*$C413*'Business Case'!E12*$B413)-'Business Case'!E11*$C413*'Business Case'!E13*$D413-'Business Case'!E14*$E413))*'Business Case'!$B$7-'Business Case'!$B$8*(('Business Case'!E11*$C413*'Business Case'!E12*$B413)-('Business Case'!D11*$C413*'Business Case'!D12*$B413))-'Business Case'!E15*$F413</f>
        <v>616378585.653445</v>
      </c>
      <c r="L413" s="39" t="n">
        <f aca="false">(('Business Case'!F11*$C413*'Business Case'!F12*$B413)-'Business Case'!F11*$C413*'Business Case'!F13*$D413-'Business Case'!F14*$E413)-MAX(0,(('Business Case'!F11*$C413*'Business Case'!F12*$B413)-'Business Case'!F11*$C413*'Business Case'!F13*$D413-'Business Case'!F14*$E413))*'Business Case'!$B$7-'Business Case'!$B$8*(('Business Case'!F11*$C413*'Business Case'!F12*$B413)-('Business Case'!E11*$C413*'Business Case'!E12*$B413))-'Business Case'!F15*$F413</f>
        <v>747126761.588109</v>
      </c>
      <c r="M413" s="39" t="n">
        <f aca="false">(('Business Case'!G11*$C413*'Business Case'!G12*$B413)-'Business Case'!G11*$C413*'Business Case'!G13*$D413-'Business Case'!G14*$E413)-MAX(0,(('Business Case'!G11*$C413*'Business Case'!G12*$B413)-'Business Case'!G11*$C413*'Business Case'!G13*$D413-'Business Case'!G14*$E413))*'Business Case'!$B$7-'Business Case'!$B$8*(('Business Case'!G11*$C413*'Business Case'!G12*$B413)-('Business Case'!F11*$C413*'Business Case'!F12*$B413))-'Business Case'!G15*$F413+'Business Case'!$B$8*('Business Case'!G11*$C413*'Business Case'!G12*$B413)</f>
        <v>935033614.336726</v>
      </c>
      <c r="N413" s="39" t="n">
        <f aca="false">IF(COUNT('Business Case'!B11:G11)=0,"",H413+NPV(G413,I413:M413))</f>
        <v>-494068360.633652</v>
      </c>
      <c r="P413" s="40" t="n">
        <f aca="true">RAND()</f>
        <v>0.400691777621331</v>
      </c>
      <c r="Q413" s="40" t="n">
        <f aca="true">RAND()</f>
        <v>0.608672204420547</v>
      </c>
      <c r="R413" s="40" t="n">
        <f aca="true">RAND()</f>
        <v>0.514957534092328</v>
      </c>
      <c r="S413" s="40" t="n">
        <f aca="true">RAND()</f>
        <v>0.609345942564671</v>
      </c>
      <c r="T413" s="40" t="n">
        <f aca="true">RAND()</f>
        <v>0.87763628051003</v>
      </c>
      <c r="U413" s="40" t="n">
        <f aca="true">RAND()</f>
        <v>0.443768030823625</v>
      </c>
    </row>
    <row r="414" customFormat="false" ht="15" hidden="false" customHeight="false" outlineLevel="0" collapsed="false">
      <c r="A414" s="36" t="n">
        <v>334</v>
      </c>
      <c r="B414" s="37" t="n">
        <f aca="false">1+IF($G$6=$E$6,$F$6,IF(P414&lt;($F$6-$E$6)/($G$6-$E$6),$E$6+SQRT(P414*($G$6-$E$6)*($F$6-$E$6)),$G$6-SQRT((1-P414)*($G$6-$E$6)*($G$6-$F$6))))</f>
        <v>1.00576931031637</v>
      </c>
      <c r="C414" s="37" t="n">
        <f aca="false">1+IF($G$7=$E$7,$F$7,IF(Q414&lt;($F$7-$E$7)/($G$7-$E$7),$E$7+SQRT(Q414*($G$7-$E$7)*($F$7-$E$7)),$G$7-SQRT((1-Q414)*($G$7-$E$7)*($G$7-$F$7))))</f>
        <v>1.08851525707454</v>
      </c>
      <c r="D414" s="37" t="n">
        <f aca="false">1+IF($G$8=$E$8,$F$8,IF(R414&lt;($F$8-$E$8)/($G$8-$E$8),$E$8+SQRT(R414*($G$8-$E$8)*($F$8-$E$8)),$G$8-SQRT((1-R414)*($G$8-$E$8)*($G$8-$F$8))))</f>
        <v>1.0389399024451</v>
      </c>
      <c r="E414" s="37" t="n">
        <f aca="false">1+IF($G$9=$E$9,$F$9,IF(S414&lt;($F$9-$E$9)/($G$9-$E$9),$E$9+SQRT(S414*($G$9-$E$9)*($F$9-$E$9)),$G$9-SQRT((1-S414)*($G$9-$E$9)*($G$9-$F$9))))</f>
        <v>1.04094794639822</v>
      </c>
      <c r="F414" s="37" t="n">
        <f aca="false">1+IF($G$10=$E$10,$F$10,IF(T414&lt;($F$10-$E$10)/($G$10-$E$10),$E$10+SQRT(T414*($G$10-$E$10)*($F$10-$E$10)),$G$10-SQRT((1-T414)*($G$10-$E$10)*($G$10-$F$10))))</f>
        <v>1.10009705294747</v>
      </c>
      <c r="G414" s="38" t="n">
        <f aca="false">IF($G$11=$E$11,$F$11,IF(U414&lt;($F$11-$E$11)/($G$11-$E$11),$E$11+SQRT(U414*($G$11-$E$11)*($F$11-$E$11)),$G$11-SQRT((1-U414)*($G$11-$E$11)*($G$11-$F$11))))</f>
        <v>0.0966670954826783</v>
      </c>
      <c r="H414" s="39" t="n">
        <f aca="false">(('Business Case'!B11*$C414*'Business Case'!B12*$B414)-'Business Case'!B11*$C414*'Business Case'!B13*$D414-'Business Case'!B14*$E414)-MAX(0,(('Business Case'!B11*$C414*'Business Case'!B12*$B414)-'Business Case'!B11*$C414*'Business Case'!B13*$D414-'Business Case'!B14*$E414))*'Business Case'!$B$7-'Business Case'!$B$8*('Business Case'!B11*$C414*'Business Case'!B12*$B414)-'Business Case'!B15*$F414</f>
        <v>-2200194105.89495</v>
      </c>
      <c r="I414" s="39" t="n">
        <f aca="false">(('Business Case'!C11*$C414*'Business Case'!C12*$B414)-'Business Case'!C11*$C414*'Business Case'!C13*$D414-'Business Case'!C14*$E414)-MAX(0,(('Business Case'!C11*$C414*'Business Case'!C12*$B414)-'Business Case'!C11*$C414*'Business Case'!C13*$D414-'Business Case'!C14*$E414))*'Business Case'!$B$7-'Business Case'!$B$8*(('Business Case'!C11*$C414*'Business Case'!C12*$B414)-('Business Case'!B11*$C414*'Business Case'!B12*$B414))-'Business Case'!C15*$F414</f>
        <v>2998119.26224054</v>
      </c>
      <c r="J414" s="39" t="n">
        <f aca="false">(('Business Case'!D11*$C414*'Business Case'!D12*$B414)-'Business Case'!D11*$C414*'Business Case'!D13*$D414-'Business Case'!D14*$E414)-MAX(0,(('Business Case'!D11*$C414*'Business Case'!D12*$B414)-'Business Case'!D11*$C414*'Business Case'!D13*$D414-'Business Case'!D14*$E414))*'Business Case'!$B$7-'Business Case'!$B$8*(('Business Case'!D11*$C414*'Business Case'!D12*$B414)-('Business Case'!C11*$C414*'Business Case'!C12*$B414))-'Business Case'!D15*$F414</f>
        <v>320782927.006344</v>
      </c>
      <c r="K414" s="39" t="n">
        <f aca="false">(('Business Case'!E11*$C414*'Business Case'!E12*$B414)-'Business Case'!E11*$C414*'Business Case'!E13*$D414-'Business Case'!E14*$E414)-MAX(0,(('Business Case'!E11*$C414*'Business Case'!E12*$B414)-'Business Case'!E11*$C414*'Business Case'!E13*$D414-'Business Case'!E14*$E414))*'Business Case'!$B$7-'Business Case'!$B$8*(('Business Case'!E11*$C414*'Business Case'!E12*$B414)-('Business Case'!D11*$C414*'Business Case'!D12*$B414))-'Business Case'!E15*$F414</f>
        <v>693572587.397821</v>
      </c>
      <c r="L414" s="39" t="n">
        <f aca="false">(('Business Case'!F11*$C414*'Business Case'!F12*$B414)-'Business Case'!F11*$C414*'Business Case'!F13*$D414-'Business Case'!F14*$E414)-MAX(0,(('Business Case'!F11*$C414*'Business Case'!F12*$B414)-'Business Case'!F11*$C414*'Business Case'!F13*$D414-'Business Case'!F14*$E414))*'Business Case'!$B$7-'Business Case'!$B$8*(('Business Case'!F11*$C414*'Business Case'!F12*$B414)-('Business Case'!E11*$C414*'Business Case'!E12*$B414))-'Business Case'!F15*$F414</f>
        <v>837336980.118715</v>
      </c>
      <c r="M414" s="39" t="n">
        <f aca="false">(('Business Case'!G11*$C414*'Business Case'!G12*$B414)-'Business Case'!G11*$C414*'Business Case'!G13*$D414-'Business Case'!G14*$E414)-MAX(0,(('Business Case'!G11*$C414*'Business Case'!G12*$B414)-'Business Case'!G11*$C414*'Business Case'!G13*$D414-'Business Case'!G14*$E414))*'Business Case'!$B$7-'Business Case'!$B$8*(('Business Case'!G11*$C414*'Business Case'!G12*$B414)-('Business Case'!F11*$C414*'Business Case'!F12*$B414))-'Business Case'!G15*$F414+'Business Case'!$B$8*('Business Case'!G11*$C414*'Business Case'!G12*$B414)</f>
        <v>1045435659.21944</v>
      </c>
      <c r="N414" s="39" t="n">
        <f aca="false">IF(COUNT('Business Case'!B11:G11)=0,"",H414+NPV(G414,I414:M414))</f>
        <v>-166925735.143197</v>
      </c>
      <c r="P414" s="40" t="n">
        <f aca="true">RAND()</f>
        <v>0.755887475788143</v>
      </c>
      <c r="Q414" s="40" t="n">
        <f aca="true">RAND()</f>
        <v>0.92799288356933</v>
      </c>
      <c r="R414" s="40" t="n">
        <f aca="true">RAND()</f>
        <v>0.837891191229061</v>
      </c>
      <c r="S414" s="40" t="n">
        <f aca="true">RAND()</f>
        <v>0.767523664360835</v>
      </c>
      <c r="T414" s="40" t="n">
        <f aca="true">RAND()</f>
        <v>0.800388023404402</v>
      </c>
      <c r="U414" s="40" t="n">
        <f aca="true">RAND()</f>
        <v>0.148167207250497</v>
      </c>
    </row>
    <row r="415" customFormat="false" ht="15" hidden="false" customHeight="false" outlineLevel="0" collapsed="false">
      <c r="A415" s="36" t="n">
        <v>335</v>
      </c>
      <c r="B415" s="37" t="n">
        <f aca="false">1+IF($G$6=$E$6,$F$6,IF(P415&lt;($F$6-$E$6)/($G$6-$E$6),$E$6+SQRT(P415*($G$6-$E$6)*($F$6-$E$6)),$G$6-SQRT((1-P415)*($G$6-$E$6)*($G$6-$F$6))))</f>
        <v>1.00455011098936</v>
      </c>
      <c r="C415" s="37" t="n">
        <f aca="false">1+IF($G$7=$E$7,$F$7,IF(Q415&lt;($F$7-$E$7)/($G$7-$E$7),$E$7+SQRT(Q415*($G$7-$E$7)*($F$7-$E$7)),$G$7-SQRT((1-Q415)*($G$7-$E$7)*($G$7-$F$7))))</f>
        <v>0.879119239261181</v>
      </c>
      <c r="D415" s="37" t="n">
        <f aca="false">1+IF($G$8=$E$8,$F$8,IF(R415&lt;($F$8-$E$8)/($G$8-$E$8),$E$8+SQRT(R415*($G$8-$E$8)*($F$8-$E$8)),$G$8-SQRT((1-R415)*($G$8-$E$8)*($G$8-$F$8))))</f>
        <v>1.03358548236222</v>
      </c>
      <c r="E415" s="37" t="n">
        <f aca="false">1+IF($G$9=$E$9,$F$9,IF(S415&lt;($F$9-$E$9)/($G$9-$E$9),$E$9+SQRT(S415*($G$9-$E$9)*($F$9-$E$9)),$G$9-SQRT((1-S415)*($G$9-$E$9)*($G$9-$F$9))))</f>
        <v>0.999253180875839</v>
      </c>
      <c r="F415" s="37" t="n">
        <f aca="false">1+IF($G$10=$E$10,$F$10,IF(T415&lt;($F$10-$E$10)/($G$10-$E$10),$E$10+SQRT(T415*($G$10-$E$10)*($F$10-$E$10)),$G$10-SQRT((1-T415)*($G$10-$E$10)*($G$10-$F$10))))</f>
        <v>1.07815389028987</v>
      </c>
      <c r="G415" s="38" t="n">
        <f aca="false">IF($G$11=$E$11,$F$11,IF(U415&lt;($F$11-$E$11)/($G$11-$E$11),$E$11+SQRT(U415*($G$11-$E$11)*($F$11-$E$11)),$G$11-SQRT((1-U415)*($G$11-$E$11)*($G$11-$F$11))))</f>
        <v>0.105555627024251</v>
      </c>
      <c r="H415" s="39" t="n">
        <f aca="false">(('Business Case'!B11*$C415*'Business Case'!B12*$B415)-'Business Case'!B11*$C415*'Business Case'!B13*$D415-'Business Case'!B14*$E415)-MAX(0,(('Business Case'!B11*$C415*'Business Case'!B12*$B415)-'Business Case'!B11*$C415*'Business Case'!B13*$D415-'Business Case'!B14*$E415))*'Business Case'!$B$7-'Business Case'!$B$8*('Business Case'!B11*$C415*'Business Case'!B12*$B415)-'Business Case'!B15*$F415</f>
        <v>-2156307780.57975</v>
      </c>
      <c r="I415" s="39" t="n">
        <f aca="false">(('Business Case'!C11*$C415*'Business Case'!C12*$B415)-'Business Case'!C11*$C415*'Business Case'!C13*$D415-'Business Case'!C14*$E415)-MAX(0,(('Business Case'!C11*$C415*'Business Case'!C12*$B415)-'Business Case'!C11*$C415*'Business Case'!C13*$D415-'Business Case'!C14*$E415))*'Business Case'!$B$7-'Business Case'!$B$8*(('Business Case'!C11*$C415*'Business Case'!C12*$B415)-('Business Case'!B11*$C415*'Business Case'!B12*$B415))-'Business Case'!C15*$F415</f>
        <v>-37505270.524045</v>
      </c>
      <c r="J415" s="39" t="n">
        <f aca="false">(('Business Case'!D11*$C415*'Business Case'!D12*$B415)-'Business Case'!D11*$C415*'Business Case'!D13*$D415-'Business Case'!D14*$E415)-MAX(0,(('Business Case'!D11*$C415*'Business Case'!D12*$B415)-'Business Case'!D11*$C415*'Business Case'!D13*$D415-'Business Case'!D14*$E415))*'Business Case'!$B$7-'Business Case'!$B$8*(('Business Case'!D11*$C415*'Business Case'!D12*$B415)-('Business Case'!C11*$C415*'Business Case'!C12*$B415))-'Business Case'!D15*$F415</f>
        <v>220679556.336122</v>
      </c>
      <c r="K415" s="39" t="n">
        <f aca="false">(('Business Case'!E11*$C415*'Business Case'!E12*$B415)-'Business Case'!E11*$C415*'Business Case'!E13*$D415-'Business Case'!E14*$E415)-MAX(0,(('Business Case'!E11*$C415*'Business Case'!E12*$B415)-'Business Case'!E11*$C415*'Business Case'!E13*$D415-'Business Case'!E14*$E415))*'Business Case'!$B$7-'Business Case'!$B$8*(('Business Case'!E11*$C415*'Business Case'!E12*$B415)-('Business Case'!D11*$C415*'Business Case'!D12*$B415))-'Business Case'!E15*$F415</f>
        <v>532772077.710783</v>
      </c>
      <c r="L415" s="39" t="n">
        <f aca="false">(('Business Case'!F11*$C415*'Business Case'!F12*$B415)-'Business Case'!F11*$C415*'Business Case'!F13*$D415-'Business Case'!F14*$E415)-MAX(0,(('Business Case'!F11*$C415*'Business Case'!F12*$B415)-'Business Case'!F11*$C415*'Business Case'!F13*$D415-'Business Case'!F14*$E415))*'Business Case'!$B$7-'Business Case'!$B$8*(('Business Case'!F11*$C415*'Business Case'!F12*$B415)-('Business Case'!E11*$C415*'Business Case'!E12*$B415))-'Business Case'!F15*$F415</f>
        <v>649354290.687293</v>
      </c>
      <c r="M415" s="39" t="n">
        <f aca="false">(('Business Case'!G11*$C415*'Business Case'!G12*$B415)-'Business Case'!G11*$C415*'Business Case'!G13*$D415-'Business Case'!G14*$E415)-MAX(0,(('Business Case'!G11*$C415*'Business Case'!G12*$B415)-'Business Case'!G11*$C415*'Business Case'!G13*$D415-'Business Case'!G14*$E415))*'Business Case'!$B$7-'Business Case'!$B$8*(('Business Case'!G11*$C415*'Business Case'!G12*$B415)-('Business Case'!F11*$C415*'Business Case'!F12*$B415))-'Business Case'!G15*$F415+'Business Case'!$B$8*('Business Case'!G11*$C415*'Business Case'!G12*$B415)</f>
        <v>817217612.814456</v>
      </c>
      <c r="N415" s="39" t="n">
        <f aca="false">IF(COUNT('Business Case'!B11:G11)=0,"",H415+NPV(G415,I415:M415))</f>
        <v>-685929966.548505</v>
      </c>
      <c r="P415" s="40" t="n">
        <f aca="true">RAND()</f>
        <v>0.738188618569421</v>
      </c>
      <c r="Q415" s="40" t="n">
        <f aca="true">RAND()</f>
        <v>0.0894264860181136</v>
      </c>
      <c r="R415" s="40" t="n">
        <f aca="true">RAND()</f>
        <v>0.79285505312041</v>
      </c>
      <c r="S415" s="40" t="n">
        <f aca="true">RAND()</f>
        <v>0.323450110185078</v>
      </c>
      <c r="T415" s="40" t="n">
        <f aca="true">RAND()</f>
        <v>0.703070510970151</v>
      </c>
      <c r="U415" s="40" t="n">
        <f aca="true">RAND()</f>
        <v>0.652266815562398</v>
      </c>
    </row>
    <row r="416" customFormat="false" ht="15" hidden="false" customHeight="false" outlineLevel="0" collapsed="false">
      <c r="A416" s="36" t="n">
        <v>336</v>
      </c>
      <c r="B416" s="37" t="n">
        <f aca="false">1+IF($G$6=$E$6,$F$6,IF(P416&lt;($F$6-$E$6)/($G$6-$E$6),$E$6+SQRT(P416*($G$6-$E$6)*($F$6-$E$6)),$G$6-SQRT((1-P416)*($G$6-$E$6)*($G$6-$F$6))))</f>
        <v>0.968412881914167</v>
      </c>
      <c r="C416" s="37" t="n">
        <f aca="false">1+IF($G$7=$E$7,$F$7,IF(Q416&lt;($F$7-$E$7)/($G$7-$E$7),$E$7+SQRT(Q416*($G$7-$E$7)*($F$7-$E$7)),$G$7-SQRT((1-Q416)*($G$7-$E$7)*($G$7-$F$7))))</f>
        <v>0.951294268693718</v>
      </c>
      <c r="D416" s="37" t="n">
        <f aca="false">1+IF($G$8=$E$8,$F$8,IF(R416&lt;($F$8-$E$8)/($G$8-$E$8),$E$8+SQRT(R416*($G$8-$E$8)*($F$8-$E$8)),$G$8-SQRT((1-R416)*($G$8-$E$8)*($G$8-$F$8))))</f>
        <v>0.99180944383469</v>
      </c>
      <c r="E416" s="37" t="n">
        <f aca="false">1+IF($G$9=$E$9,$F$9,IF(S416&lt;($F$9-$E$9)/($G$9-$E$9),$E$9+SQRT(S416*($G$9-$E$9)*($F$9-$E$9)),$G$9-SQRT((1-S416)*($G$9-$E$9)*($G$9-$F$9))))</f>
        <v>1.0522173739722</v>
      </c>
      <c r="F416" s="37" t="n">
        <f aca="false">1+IF($G$10=$E$10,$F$10,IF(T416&lt;($F$10-$E$10)/($G$10-$E$10),$E$10+SQRT(T416*($G$10-$E$10)*($F$10-$E$10)),$G$10-SQRT((1-T416)*($G$10-$E$10)*($G$10-$F$10))))</f>
        <v>1.0203190280663</v>
      </c>
      <c r="G416" s="38" t="n">
        <f aca="false">IF($G$11=$E$11,$F$11,IF(U416&lt;($F$11-$E$11)/($G$11-$E$11),$E$11+SQRT(U416*($G$11-$E$11)*($F$11-$E$11)),$G$11-SQRT((1-U416)*($G$11-$E$11)*($G$11-$F$11))))</f>
        <v>0.105006687735179</v>
      </c>
      <c r="H416" s="39" t="n">
        <f aca="false">(('Business Case'!B11*$C416*'Business Case'!B12*$B416)-'Business Case'!B11*$C416*'Business Case'!B13*$D416-'Business Case'!B14*$E416)-MAX(0,(('Business Case'!B11*$C416*'Business Case'!B12*$B416)-'Business Case'!B11*$C416*'Business Case'!B13*$D416-'Business Case'!B14*$E416))*'Business Case'!$B$7-'Business Case'!$B$8*('Business Case'!B11*$C416*'Business Case'!B12*$B416)-'Business Case'!B15*$F416</f>
        <v>-2040638056.13261</v>
      </c>
      <c r="I416" s="39" t="n">
        <f aca="false">(('Business Case'!C11*$C416*'Business Case'!C12*$B416)-'Business Case'!C11*$C416*'Business Case'!C13*$D416-'Business Case'!C14*$E416)-MAX(0,(('Business Case'!C11*$C416*'Business Case'!C12*$B416)-'Business Case'!C11*$C416*'Business Case'!C13*$D416-'Business Case'!C14*$E416))*'Business Case'!$B$7-'Business Case'!$B$8*(('Business Case'!C11*$C416*'Business Case'!C12*$B416)-('Business Case'!B11*$C416*'Business Case'!B12*$B416))-'Business Case'!C15*$F416</f>
        <v>-27845961.8086889</v>
      </c>
      <c r="J416" s="39" t="n">
        <f aca="false">(('Business Case'!D11*$C416*'Business Case'!D12*$B416)-'Business Case'!D11*$C416*'Business Case'!D13*$D416-'Business Case'!D14*$E416)-MAX(0,(('Business Case'!D11*$C416*'Business Case'!D12*$B416)-'Business Case'!D11*$C416*'Business Case'!D13*$D416-'Business Case'!D14*$E416))*'Business Case'!$B$7-'Business Case'!$B$8*(('Business Case'!D11*$C416*'Business Case'!D12*$B416)-('Business Case'!C11*$C416*'Business Case'!C12*$B416))-'Business Case'!D15*$F416</f>
        <v>243722662.931507</v>
      </c>
      <c r="K416" s="39" t="n">
        <f aca="false">(('Business Case'!E11*$C416*'Business Case'!E12*$B416)-'Business Case'!E11*$C416*'Business Case'!E13*$D416-'Business Case'!E14*$E416)-MAX(0,(('Business Case'!E11*$C416*'Business Case'!E12*$B416)-'Business Case'!E11*$C416*'Business Case'!E13*$D416-'Business Case'!E14*$E416))*'Business Case'!$B$7-'Business Case'!$B$8*(('Business Case'!E11*$C416*'Business Case'!E12*$B416)-('Business Case'!D11*$C416*'Business Case'!D12*$B416))-'Business Case'!E15*$F416</f>
        <v>566307239.075018</v>
      </c>
      <c r="L416" s="39" t="n">
        <f aca="false">(('Business Case'!F11*$C416*'Business Case'!F12*$B416)-'Business Case'!F11*$C416*'Business Case'!F13*$D416-'Business Case'!F14*$E416)-MAX(0,(('Business Case'!F11*$C416*'Business Case'!F12*$B416)-'Business Case'!F11*$C416*'Business Case'!F13*$D416-'Business Case'!F14*$E416))*'Business Case'!$B$7-'Business Case'!$B$8*(('Business Case'!F11*$C416*'Business Case'!F12*$B416)-('Business Case'!E11*$C416*'Business Case'!E12*$B416))-'Business Case'!F15*$F416</f>
        <v>688668362.764021</v>
      </c>
      <c r="M416" s="39" t="n">
        <f aca="false">(('Business Case'!G11*$C416*'Business Case'!G12*$B416)-'Business Case'!G11*$C416*'Business Case'!G13*$D416-'Business Case'!G14*$E416)-MAX(0,(('Business Case'!G11*$C416*'Business Case'!G12*$B416)-'Business Case'!G11*$C416*'Business Case'!G13*$D416-'Business Case'!G14*$E416))*'Business Case'!$B$7-'Business Case'!$B$8*(('Business Case'!G11*$C416*'Business Case'!G12*$B416)-('Business Case'!F11*$C416*'Business Case'!F12*$B416))-'Business Case'!G15*$F416+'Business Case'!$B$8*('Business Case'!G11*$C416*'Business Case'!G12*$B416)</f>
        <v>863778731.029846</v>
      </c>
      <c r="N416" s="39" t="n">
        <f aca="false">IF(COUNT('Business Case'!B11:G11)=0,"",H416+NPV(G416,I416:M416))</f>
        <v>-460317074.413762</v>
      </c>
      <c r="P416" s="40" t="n">
        <f aca="true">RAND()</f>
        <v>0.244146576586991</v>
      </c>
      <c r="Q416" s="40" t="n">
        <f aca="true">RAND()</f>
        <v>0.326999367708097</v>
      </c>
      <c r="R416" s="40" t="n">
        <f aca="true">RAND()</f>
        <v>0.268927629810167</v>
      </c>
      <c r="S416" s="40" t="n">
        <f aca="true">RAND()</f>
        <v>0.847788043325843</v>
      </c>
      <c r="T416" s="40" t="n">
        <f aca="true">RAND()</f>
        <v>0.354294966499251</v>
      </c>
      <c r="U416" s="40" t="n">
        <f aca="true">RAND()</f>
        <v>0.625334312215959</v>
      </c>
    </row>
    <row r="417" customFormat="false" ht="15" hidden="false" customHeight="false" outlineLevel="0" collapsed="false">
      <c r="A417" s="36" t="n">
        <v>337</v>
      </c>
      <c r="B417" s="37" t="n">
        <f aca="false">1+IF($G$6=$E$6,$F$6,IF(P417&lt;($F$6-$E$6)/($G$6-$E$6),$E$6+SQRT(P417*($G$6-$E$6)*($F$6-$E$6)),$G$6-SQRT((1-P417)*($G$6-$E$6)*($G$6-$F$6))))</f>
        <v>0.98852980276554</v>
      </c>
      <c r="C417" s="37" t="n">
        <f aca="false">1+IF($G$7=$E$7,$F$7,IF(Q417&lt;($F$7-$E$7)/($G$7-$E$7),$E$7+SQRT(Q417*($G$7-$E$7)*($F$7-$E$7)),$G$7-SQRT((1-Q417)*($G$7-$E$7)*($G$7-$F$7))))</f>
        <v>1.05560114778594</v>
      </c>
      <c r="D417" s="37" t="n">
        <f aca="false">1+IF($G$8=$E$8,$F$8,IF(R417&lt;($F$8-$E$8)/($G$8-$E$8),$E$8+SQRT(R417*($G$8-$E$8)*($F$8-$E$8)),$G$8-SQRT((1-R417)*($G$8-$E$8)*($G$8-$F$8))))</f>
        <v>1.01550341419283</v>
      </c>
      <c r="E417" s="37" t="n">
        <f aca="false">1+IF($G$9=$E$9,$F$9,IF(S417&lt;($F$9-$E$9)/($G$9-$E$9),$E$9+SQRT(S417*($G$9-$E$9)*($F$9-$E$9)),$G$9-SQRT((1-S417)*($G$9-$E$9)*($G$9-$F$9))))</f>
        <v>0.966406482830801</v>
      </c>
      <c r="F417" s="37" t="n">
        <f aca="false">1+IF($G$10=$E$10,$F$10,IF(T417&lt;($F$10-$E$10)/($G$10-$E$10),$E$10+SQRT(T417*($G$10-$E$10)*($F$10-$E$10)),$G$10-SQRT((1-T417)*($G$10-$E$10)*($G$10-$F$10))))</f>
        <v>1.00908699294094</v>
      </c>
      <c r="G417" s="38" t="n">
        <f aca="false">IF($G$11=$E$11,$F$11,IF(U417&lt;($F$11-$E$11)/($G$11-$E$11),$E$11+SQRT(U417*($G$11-$E$11)*($F$11-$E$11)),$G$11-SQRT((1-U417)*($G$11-$E$11)*($G$11-$F$11))))</f>
        <v>0.106302747399936</v>
      </c>
      <c r="H417" s="39" t="n">
        <f aca="false">(('Business Case'!B11*$C417*'Business Case'!B12*$B417)-'Business Case'!B11*$C417*'Business Case'!B13*$D417-'Business Case'!B14*$E417)-MAX(0,(('Business Case'!B11*$C417*'Business Case'!B12*$B417)-'Business Case'!B11*$C417*'Business Case'!B13*$D417-'Business Case'!B14*$E417))*'Business Case'!$B$7-'Business Case'!$B$8*('Business Case'!B11*$C417*'Business Case'!B12*$B417)-'Business Case'!B15*$F417</f>
        <v>-2018173985.88187</v>
      </c>
      <c r="I417" s="39" t="n">
        <f aca="false">(('Business Case'!C11*$C417*'Business Case'!C12*$B417)-'Business Case'!C11*$C417*'Business Case'!C13*$D417-'Business Case'!C14*$E417)-MAX(0,(('Business Case'!C11*$C417*'Business Case'!C12*$B417)-'Business Case'!C11*$C417*'Business Case'!C13*$D417-'Business Case'!C14*$E417))*'Business Case'!$B$7-'Business Case'!$B$8*(('Business Case'!C11*$C417*'Business Case'!C12*$B417)-('Business Case'!B11*$C417*'Business Case'!B12*$B417))-'Business Case'!C15*$F417</f>
        <v>13508543.0776381</v>
      </c>
      <c r="J417" s="39" t="n">
        <f aca="false">(('Business Case'!D11*$C417*'Business Case'!D12*$B417)-'Business Case'!D11*$C417*'Business Case'!D13*$D417-'Business Case'!D14*$E417)-MAX(0,(('Business Case'!D11*$C417*'Business Case'!D12*$B417)-'Business Case'!D11*$C417*'Business Case'!D13*$D417-'Business Case'!D14*$E417))*'Business Case'!$B$7-'Business Case'!$B$8*(('Business Case'!D11*$C417*'Business Case'!D12*$B417)-('Business Case'!C11*$C417*'Business Case'!C12*$B417))-'Business Case'!D15*$F417</f>
        <v>319443474.506638</v>
      </c>
      <c r="K417" s="39" t="n">
        <f aca="false">(('Business Case'!E11*$C417*'Business Case'!E12*$B417)-'Business Case'!E11*$C417*'Business Case'!E13*$D417-'Business Case'!E14*$E417)-MAX(0,(('Business Case'!E11*$C417*'Business Case'!E12*$B417)-'Business Case'!E11*$C417*'Business Case'!E13*$D417-'Business Case'!E14*$E417))*'Business Case'!$B$7-'Business Case'!$B$8*(('Business Case'!E11*$C417*'Business Case'!E12*$B417)-('Business Case'!D11*$C417*'Business Case'!D12*$B417))-'Business Case'!E15*$F417</f>
        <v>675832755.582684</v>
      </c>
      <c r="L417" s="39" t="n">
        <f aca="false">(('Business Case'!F11*$C417*'Business Case'!F12*$B417)-'Business Case'!F11*$C417*'Business Case'!F13*$D417-'Business Case'!F14*$E417)-MAX(0,(('Business Case'!F11*$C417*'Business Case'!F12*$B417)-'Business Case'!F11*$C417*'Business Case'!F13*$D417-'Business Case'!F14*$E417))*'Business Case'!$B$7-'Business Case'!$B$8*(('Business Case'!F11*$C417*'Business Case'!F12*$B417)-('Business Case'!E11*$C417*'Business Case'!E12*$B417))-'Business Case'!F15*$F417</f>
        <v>813874190.85817</v>
      </c>
      <c r="M417" s="39" t="n">
        <f aca="false">(('Business Case'!G11*$C417*'Business Case'!G12*$B417)-'Business Case'!G11*$C417*'Business Case'!G13*$D417-'Business Case'!G14*$E417)-MAX(0,(('Business Case'!G11*$C417*'Business Case'!G12*$B417)-'Business Case'!G11*$C417*'Business Case'!G13*$D417-'Business Case'!G14*$E417))*'Business Case'!$B$7-'Business Case'!$B$8*(('Business Case'!G11*$C417*'Business Case'!G12*$B417)-('Business Case'!F11*$C417*'Business Case'!F12*$B417))-'Business Case'!G15*$F417+'Business Case'!$B$8*('Business Case'!G11*$C417*'Business Case'!G12*$B417)</f>
        <v>1012221377.25351</v>
      </c>
      <c r="N417" s="39" t="n">
        <f aca="false">IF(COUNT('Business Case'!B11:G11)=0,"",H417+NPV(G417,I417:M417))</f>
        <v>-91689800.113977</v>
      </c>
      <c r="P417" s="40" t="n">
        <f aca="true">RAND()</f>
        <v>0.489201444487897</v>
      </c>
      <c r="Q417" s="40" t="n">
        <f aca="true">RAND()</f>
        <v>0.830263937155582</v>
      </c>
      <c r="R417" s="40" t="n">
        <f aca="true">RAND()</f>
        <v>0.600018309540214</v>
      </c>
      <c r="S417" s="40" t="n">
        <f aca="true">RAND()</f>
        <v>0.0358896905169812</v>
      </c>
      <c r="T417" s="40" t="n">
        <f aca="true">RAND()</f>
        <v>0.271044474713312</v>
      </c>
      <c r="U417" s="40" t="n">
        <f aca="true">RAND()</f>
        <v>0.687308785350053</v>
      </c>
    </row>
    <row r="418" customFormat="false" ht="15" hidden="false" customHeight="false" outlineLevel="0" collapsed="false">
      <c r="A418" s="36" t="n">
        <v>338</v>
      </c>
      <c r="B418" s="37" t="n">
        <f aca="false">1+IF($G$6=$E$6,$F$6,IF(P418&lt;($F$6-$E$6)/($G$6-$E$6),$E$6+SQRT(P418*($G$6-$E$6)*($F$6-$E$6)),$G$6-SQRT((1-P418)*($G$6-$E$6)*($G$6-$F$6))))</f>
        <v>0.983173022304844</v>
      </c>
      <c r="C418" s="37" t="n">
        <f aca="false">1+IF($G$7=$E$7,$F$7,IF(Q418&lt;($F$7-$E$7)/($G$7-$E$7),$E$7+SQRT(Q418*($G$7-$E$7)*($F$7-$E$7)),$G$7-SQRT((1-Q418)*($G$7-$E$7)*($G$7-$F$7))))</f>
        <v>0.991568822846683</v>
      </c>
      <c r="D418" s="37" t="n">
        <f aca="false">1+IF($G$8=$E$8,$F$8,IF(R418&lt;($F$8-$E$8)/($G$8-$E$8),$E$8+SQRT(R418*($G$8-$E$8)*($F$8-$E$8)),$G$8-SQRT((1-R418)*($G$8-$E$8)*($G$8-$F$8))))</f>
        <v>1.0321802676783</v>
      </c>
      <c r="E418" s="37" t="n">
        <f aca="false">1+IF($G$9=$E$9,$F$9,IF(S418&lt;($F$9-$E$9)/($G$9-$E$9),$E$9+SQRT(S418*($G$9-$E$9)*($F$9-$E$9)),$G$9-SQRT((1-S418)*($G$9-$E$9)*($G$9-$F$9))))</f>
        <v>1.0021285120183</v>
      </c>
      <c r="F418" s="37" t="n">
        <f aca="false">1+IF($G$10=$E$10,$F$10,IF(T418&lt;($F$10-$E$10)/($G$10-$E$10),$E$10+SQRT(T418*($G$10-$E$10)*($F$10-$E$10)),$G$10-SQRT((1-T418)*($G$10-$E$10)*($G$10-$F$10))))</f>
        <v>1.03439877750808</v>
      </c>
      <c r="G418" s="38" t="n">
        <f aca="false">IF($G$11=$E$11,$F$11,IF(U418&lt;($F$11-$E$11)/($G$11-$E$11),$E$11+SQRT(U418*($G$11-$E$11)*($F$11-$E$11)),$G$11-SQRT((1-U418)*($G$11-$E$11)*($G$11-$F$11))))</f>
        <v>0.105620158542985</v>
      </c>
      <c r="H418" s="39" t="n">
        <f aca="false">(('Business Case'!B11*$C418*'Business Case'!B12*$B418)-'Business Case'!B11*$C418*'Business Case'!B13*$D418-'Business Case'!B14*$E418)-MAX(0,(('Business Case'!B11*$C418*'Business Case'!B12*$B418)-'Business Case'!B11*$C418*'Business Case'!B13*$D418-'Business Case'!B14*$E418))*'Business Case'!$B$7-'Business Case'!$B$8*('Business Case'!B11*$C418*'Business Case'!B12*$B418)-'Business Case'!B15*$F418</f>
        <v>-2068797555.01617</v>
      </c>
      <c r="I418" s="39" t="n">
        <f aca="false">(('Business Case'!C11*$C418*'Business Case'!C12*$B418)-'Business Case'!C11*$C418*'Business Case'!C13*$D418-'Business Case'!C14*$E418)-MAX(0,(('Business Case'!C11*$C418*'Business Case'!C12*$B418)-'Business Case'!C11*$C418*'Business Case'!C13*$D418-'Business Case'!C14*$E418))*'Business Case'!$B$7-'Business Case'!$B$8*(('Business Case'!C11*$C418*'Business Case'!C12*$B418)-('Business Case'!B11*$C418*'Business Case'!B12*$B418))-'Business Case'!C15*$F418</f>
        <v>-21919310.2207347</v>
      </c>
      <c r="J418" s="39" t="n">
        <f aca="false">(('Business Case'!D11*$C418*'Business Case'!D12*$B418)-'Business Case'!D11*$C418*'Business Case'!D13*$D418-'Business Case'!D14*$E418)-MAX(0,(('Business Case'!D11*$C418*'Business Case'!D12*$B418)-'Business Case'!D11*$C418*'Business Case'!D13*$D418-'Business Case'!D14*$E418))*'Business Case'!$B$7-'Business Case'!$B$8*(('Business Case'!D11*$C418*'Business Case'!D12*$B418)-('Business Case'!C11*$C418*'Business Case'!C12*$B418))-'Business Case'!D15*$F418</f>
        <v>252641903.575554</v>
      </c>
      <c r="K418" s="39" t="n">
        <f aca="false">(('Business Case'!E11*$C418*'Business Case'!E12*$B418)-'Business Case'!E11*$C418*'Business Case'!E13*$D418-'Business Case'!E14*$E418)-MAX(0,(('Business Case'!E11*$C418*'Business Case'!E12*$B418)-'Business Case'!E11*$C418*'Business Case'!E13*$D418-'Business Case'!E14*$E418))*'Business Case'!$B$7-'Business Case'!$B$8*(('Business Case'!E11*$C418*'Business Case'!E12*$B418)-('Business Case'!D11*$C418*'Business Case'!D12*$B418))-'Business Case'!E15*$F418</f>
        <v>578923056.247247</v>
      </c>
      <c r="L418" s="39" t="n">
        <f aca="false">(('Business Case'!F11*$C418*'Business Case'!F12*$B418)-'Business Case'!F11*$C418*'Business Case'!F13*$D418-'Business Case'!F14*$E418)-MAX(0,(('Business Case'!F11*$C418*'Business Case'!F12*$B418)-'Business Case'!F11*$C418*'Business Case'!F13*$D418-'Business Case'!F14*$E418))*'Business Case'!$B$7-'Business Case'!$B$8*(('Business Case'!F11*$C418*'Business Case'!F12*$B418)-('Business Case'!E11*$C418*'Business Case'!E12*$B418))-'Business Case'!F15*$F418</f>
        <v>704135442.084151</v>
      </c>
      <c r="M418" s="39" t="n">
        <f aca="false">(('Business Case'!G11*$C418*'Business Case'!G12*$B418)-'Business Case'!G11*$C418*'Business Case'!G13*$D418-'Business Case'!G14*$E418)-MAX(0,(('Business Case'!G11*$C418*'Business Case'!G12*$B418)-'Business Case'!G11*$C418*'Business Case'!G13*$D418-'Business Case'!G14*$E418))*'Business Case'!$B$7-'Business Case'!$B$8*(('Business Case'!G11*$C418*'Business Case'!G12*$B418)-('Business Case'!F11*$C418*'Business Case'!F12*$B418))-'Business Case'!G15*$F418+'Business Case'!$B$8*('Business Case'!G11*$C418*'Business Case'!G12*$B418)</f>
        <v>889441338.893934</v>
      </c>
      <c r="N418" s="39" t="n">
        <f aca="false">IF(COUNT('Business Case'!B11:G11)=0,"",H418+NPV(G418,I418:M418))</f>
        <v>-443983338.104939</v>
      </c>
      <c r="P418" s="40" t="n">
        <f aca="true">RAND()</f>
        <v>0.415711536159198</v>
      </c>
      <c r="Q418" s="40" t="n">
        <f aca="true">RAND()</f>
        <v>0.524265912669484</v>
      </c>
      <c r="R418" s="40" t="n">
        <f aca="true">RAND()</f>
        <v>0.780122423142395</v>
      </c>
      <c r="S418" s="40" t="n">
        <f aca="true">RAND()</f>
        <v>0.361411456016474</v>
      </c>
      <c r="T418" s="40" t="n">
        <f aca="true">RAND()</f>
        <v>0.451524702183652</v>
      </c>
      <c r="U418" s="40" t="n">
        <f aca="true">RAND()</f>
        <v>0.655366932785208</v>
      </c>
    </row>
    <row r="419" customFormat="false" ht="15" hidden="false" customHeight="false" outlineLevel="0" collapsed="false">
      <c r="A419" s="36" t="n">
        <v>339</v>
      </c>
      <c r="B419" s="37" t="n">
        <f aca="false">1+IF($G$6=$E$6,$F$6,IF(P419&lt;($F$6-$E$6)/($G$6-$E$6),$E$6+SQRT(P419*($G$6-$E$6)*($F$6-$E$6)),$G$6-SQRT((1-P419)*($G$6-$E$6)*($G$6-$F$6))))</f>
        <v>0.990993067009751</v>
      </c>
      <c r="C419" s="37" t="n">
        <f aca="false">1+IF($G$7=$E$7,$F$7,IF(Q419&lt;($F$7-$E$7)/($G$7-$E$7),$E$7+SQRT(Q419*($G$7-$E$7)*($F$7-$E$7)),$G$7-SQRT((1-Q419)*($G$7-$E$7)*($G$7-$F$7))))</f>
        <v>1.0328425414654</v>
      </c>
      <c r="D419" s="37" t="n">
        <f aca="false">1+IF($G$8=$E$8,$F$8,IF(R419&lt;($F$8-$E$8)/($G$8-$E$8),$E$8+SQRT(R419*($G$8-$E$8)*($F$8-$E$8)),$G$8-SQRT((1-R419)*($G$8-$E$8)*($G$8-$F$8))))</f>
        <v>0.98896978626388</v>
      </c>
      <c r="E419" s="37" t="n">
        <f aca="false">1+IF($G$9=$E$9,$F$9,IF(S419&lt;($F$9-$E$9)/($G$9-$E$9),$E$9+SQRT(S419*($G$9-$E$9)*($F$9-$E$9)),$G$9-SQRT((1-S419)*($G$9-$E$9)*($G$9-$F$9))))</f>
        <v>1.04122735707133</v>
      </c>
      <c r="F419" s="37" t="n">
        <f aca="false">1+IF($G$10=$E$10,$F$10,IF(T419&lt;($F$10-$E$10)/($G$10-$E$10),$E$10+SQRT(T419*($G$10-$E$10)*($F$10-$E$10)),$G$10-SQRT((1-T419)*($G$10-$E$10)*($G$10-$F$10))))</f>
        <v>0.985902551106827</v>
      </c>
      <c r="G419" s="38" t="n">
        <f aca="false">IF($G$11=$E$11,$F$11,IF(U419&lt;($F$11-$E$11)/($G$11-$E$11),$E$11+SQRT(U419*($G$11-$E$11)*($F$11-$E$11)),$G$11-SQRT((1-U419)*($G$11-$E$11)*($G$11-$F$11))))</f>
        <v>0.116889800709286</v>
      </c>
      <c r="H419" s="39" t="n">
        <f aca="false">(('Business Case'!B11*$C419*'Business Case'!B12*$B419)-'Business Case'!B11*$C419*'Business Case'!B13*$D419-'Business Case'!B14*$E419)-MAX(0,(('Business Case'!B11*$C419*'Business Case'!B12*$B419)-'Business Case'!B11*$C419*'Business Case'!B13*$D419-'Business Case'!B14*$E419))*'Business Case'!$B$7-'Business Case'!$B$8*('Business Case'!B11*$C419*'Business Case'!B12*$B419)-'Business Case'!B15*$F419</f>
        <v>-1971805102.21365</v>
      </c>
      <c r="I419" s="39" t="n">
        <f aca="false">(('Business Case'!C11*$C419*'Business Case'!C12*$B419)-'Business Case'!C11*$C419*'Business Case'!C13*$D419-'Business Case'!C14*$E419)-MAX(0,(('Business Case'!C11*$C419*'Business Case'!C12*$B419)-'Business Case'!C11*$C419*'Business Case'!C13*$D419-'Business Case'!C14*$E419))*'Business Case'!$B$7-'Business Case'!$B$8*(('Business Case'!C11*$C419*'Business Case'!C12*$B419)-('Business Case'!B11*$C419*'Business Case'!B12*$B419))-'Business Case'!C15*$F419</f>
        <v>15738982.397011</v>
      </c>
      <c r="J419" s="39" t="n">
        <f aca="false">(('Business Case'!D11*$C419*'Business Case'!D12*$B419)-'Business Case'!D11*$C419*'Business Case'!D13*$D419-'Business Case'!D14*$E419)-MAX(0,(('Business Case'!D11*$C419*'Business Case'!D12*$B419)-'Business Case'!D11*$C419*'Business Case'!D13*$D419-'Business Case'!D14*$E419))*'Business Case'!$B$7-'Business Case'!$B$8*(('Business Case'!D11*$C419*'Business Case'!D12*$B419)-('Business Case'!C11*$C419*'Business Case'!C12*$B419))-'Business Case'!D15*$F419</f>
        <v>331191053.20364</v>
      </c>
      <c r="K419" s="39" t="n">
        <f aca="false">(('Business Case'!E11*$C419*'Business Case'!E12*$B419)-'Business Case'!E11*$C419*'Business Case'!E13*$D419-'Business Case'!E14*$E419)-MAX(0,(('Business Case'!E11*$C419*'Business Case'!E12*$B419)-'Business Case'!E11*$C419*'Business Case'!E13*$D419-'Business Case'!E14*$E419))*'Business Case'!$B$7-'Business Case'!$B$8*(('Business Case'!E11*$C419*'Business Case'!E12*$B419)-('Business Case'!D11*$C419*'Business Case'!D12*$B419))-'Business Case'!E15*$F419</f>
        <v>695938251.565611</v>
      </c>
      <c r="L419" s="39" t="n">
        <f aca="false">(('Business Case'!F11*$C419*'Business Case'!F12*$B419)-'Business Case'!F11*$C419*'Business Case'!F13*$D419-'Business Case'!F14*$E419)-MAX(0,(('Business Case'!F11*$C419*'Business Case'!F12*$B419)-'Business Case'!F11*$C419*'Business Case'!F13*$D419-'Business Case'!F14*$E419))*'Business Case'!$B$7-'Business Case'!$B$8*(('Business Case'!F11*$C419*'Business Case'!F12*$B419)-('Business Case'!E11*$C419*'Business Case'!E12*$B419))-'Business Case'!F15*$F419</f>
        <v>836462477.250083</v>
      </c>
      <c r="M419" s="39" t="n">
        <f aca="false">(('Business Case'!G11*$C419*'Business Case'!G12*$B419)-'Business Case'!G11*$C419*'Business Case'!G13*$D419-'Business Case'!G14*$E419)-MAX(0,(('Business Case'!G11*$C419*'Business Case'!G12*$B419)-'Business Case'!G11*$C419*'Business Case'!G13*$D419-'Business Case'!G14*$E419))*'Business Case'!$B$7-'Business Case'!$B$8*(('Business Case'!G11*$C419*'Business Case'!G12*$B419)-('Business Case'!F11*$C419*'Business Case'!F12*$B419))-'Business Case'!G15*$F419+'Business Case'!$B$8*('Business Case'!G11*$C419*'Business Case'!G12*$B419)</f>
        <v>1031016922.03586</v>
      </c>
      <c r="N419" s="39" t="n">
        <f aca="false">IF(COUNT('Business Case'!B11:G11)=0,"",H419+NPV(G419,I419:M419))</f>
        <v>-61961620.3085594</v>
      </c>
      <c r="P419" s="40" t="n">
        <f aca="true">RAND()</f>
        <v>0.525001621192808</v>
      </c>
      <c r="Q419" s="40" t="n">
        <f aca="true">RAND()</f>
        <v>0.738554855423131</v>
      </c>
      <c r="R419" s="40" t="n">
        <f aca="true">RAND()</f>
        <v>0.233637575608072</v>
      </c>
      <c r="S419" s="40" t="n">
        <f aca="true">RAND()</f>
        <v>0.769718429545281</v>
      </c>
      <c r="T419" s="40" t="n">
        <f aca="true">RAND()</f>
        <v>0.103119454078267</v>
      </c>
      <c r="U419" s="40" t="n">
        <f aca="true">RAND()</f>
        <v>0.983877767286732</v>
      </c>
    </row>
    <row r="420" customFormat="false" ht="15" hidden="false" customHeight="false" outlineLevel="0" collapsed="false">
      <c r="A420" s="36" t="n">
        <v>340</v>
      </c>
      <c r="B420" s="37" t="n">
        <f aca="false">1+IF($G$6=$E$6,$F$6,IF(P420&lt;($F$6-$E$6)/($G$6-$E$6),$E$6+SQRT(P420*($G$6-$E$6)*($F$6-$E$6)),$G$6-SQRT((1-P420)*($G$6-$E$6)*($G$6-$F$6))))</f>
        <v>0.975073470467535</v>
      </c>
      <c r="C420" s="37" t="n">
        <f aca="false">1+IF($G$7=$E$7,$F$7,IF(Q420&lt;($F$7-$E$7)/($G$7-$E$7),$E$7+SQRT(Q420*($G$7-$E$7)*($F$7-$E$7)),$G$7-SQRT((1-Q420)*($G$7-$E$7)*($G$7-$F$7))))</f>
        <v>1.02454474704482</v>
      </c>
      <c r="D420" s="37" t="n">
        <f aca="false">1+IF($G$8=$E$8,$F$8,IF(R420&lt;($F$8-$E$8)/($G$8-$E$8),$E$8+SQRT(R420*($G$8-$E$8)*($F$8-$E$8)),$G$8-SQRT((1-R420)*($G$8-$E$8)*($G$8-$F$8))))</f>
        <v>1.03341056667895</v>
      </c>
      <c r="E420" s="37" t="n">
        <f aca="false">1+IF($G$9=$E$9,$F$9,IF(S420&lt;($F$9-$E$9)/($G$9-$E$9),$E$9+SQRT(S420*($G$9-$E$9)*($F$9-$E$9)),$G$9-SQRT((1-S420)*($G$9-$E$9)*($G$9-$F$9))))</f>
        <v>1.04290544214369</v>
      </c>
      <c r="F420" s="37" t="n">
        <f aca="false">1+IF($G$10=$E$10,$F$10,IF(T420&lt;($F$10-$E$10)/($G$10-$E$10),$E$10+SQRT(T420*($G$10-$E$10)*($F$10-$E$10)),$G$10-SQRT((1-T420)*($G$10-$E$10)*($G$10-$F$10))))</f>
        <v>1.10829077120214</v>
      </c>
      <c r="G420" s="38" t="n">
        <f aca="false">IF($G$11=$E$11,$F$11,IF(U420&lt;($F$11-$E$11)/($G$11-$E$11),$E$11+SQRT(U420*($G$11-$E$11)*($F$11-$E$11)),$G$11-SQRT((1-U420)*($G$11-$E$11)*($G$11-$F$11))))</f>
        <v>0.108975549008969</v>
      </c>
      <c r="H420" s="39" t="n">
        <f aca="false">(('Business Case'!B11*$C420*'Business Case'!B12*$B420)-'Business Case'!B11*$C420*'Business Case'!B13*$D420-'Business Case'!B14*$E420)-MAX(0,(('Business Case'!B11*$C420*'Business Case'!B12*$B420)-'Business Case'!B11*$C420*'Business Case'!B13*$D420-'Business Case'!B14*$E420))*'Business Case'!$B$7-'Business Case'!$B$8*('Business Case'!B11*$C420*'Business Case'!B12*$B420)-'Business Case'!B15*$F420</f>
        <v>-2216581542.40429</v>
      </c>
      <c r="I420" s="39" t="n">
        <f aca="false">(('Business Case'!C11*$C420*'Business Case'!C12*$B420)-'Business Case'!C11*$C420*'Business Case'!C13*$D420-'Business Case'!C14*$E420)-MAX(0,(('Business Case'!C11*$C420*'Business Case'!C12*$B420)-'Business Case'!C11*$C420*'Business Case'!C13*$D420-'Business Case'!C14*$E420))*'Business Case'!$B$7-'Business Case'!$B$8*(('Business Case'!C11*$C420*'Business Case'!C12*$B420)-('Business Case'!B11*$C420*'Business Case'!B12*$B420))-'Business Case'!C15*$F420</f>
        <v>-34668837.2564194</v>
      </c>
      <c r="J420" s="39" t="n">
        <f aca="false">(('Business Case'!D11*$C420*'Business Case'!D12*$B420)-'Business Case'!D11*$C420*'Business Case'!D13*$D420-'Business Case'!D14*$E420)-MAX(0,(('Business Case'!D11*$C420*'Business Case'!D12*$B420)-'Business Case'!D11*$C420*'Business Case'!D13*$D420-'Business Case'!D14*$E420))*'Business Case'!$B$7-'Business Case'!$B$8*(('Business Case'!D11*$C420*'Business Case'!D12*$B420)-('Business Case'!C11*$C420*'Business Case'!C12*$B420))-'Business Case'!D15*$F420</f>
        <v>241581048.367679</v>
      </c>
      <c r="K420" s="39" t="n">
        <f aca="false">(('Business Case'!E11*$C420*'Business Case'!E12*$B420)-'Business Case'!E11*$C420*'Business Case'!E13*$D420-'Business Case'!E14*$E420)-MAX(0,(('Business Case'!E11*$C420*'Business Case'!E12*$B420)-'Business Case'!E11*$C420*'Business Case'!E13*$D420-'Business Case'!E14*$E420))*'Business Case'!$B$7-'Business Case'!$B$8*(('Business Case'!E11*$C420*'Business Case'!E12*$B420)-('Business Case'!D11*$C420*'Business Case'!D12*$B420))-'Business Case'!E15*$F420</f>
        <v>573245472.551883</v>
      </c>
      <c r="L420" s="39" t="n">
        <f aca="false">(('Business Case'!F11*$C420*'Business Case'!F12*$B420)-'Business Case'!F11*$C420*'Business Case'!F13*$D420-'Business Case'!F14*$E420)-MAX(0,(('Business Case'!F11*$C420*'Business Case'!F12*$B420)-'Business Case'!F11*$C420*'Business Case'!F13*$D420-'Business Case'!F14*$E420))*'Business Case'!$B$7-'Business Case'!$B$8*(('Business Case'!F11*$C420*'Business Case'!F12*$B420)-('Business Case'!E11*$C420*'Business Case'!E12*$B420))-'Business Case'!F15*$F420</f>
        <v>699854429.018229</v>
      </c>
      <c r="M420" s="39" t="n">
        <f aca="false">(('Business Case'!G11*$C420*'Business Case'!G12*$B420)-'Business Case'!G11*$C420*'Business Case'!G13*$D420-'Business Case'!G14*$E420)-MAX(0,(('Business Case'!G11*$C420*'Business Case'!G12*$B420)-'Business Case'!G11*$C420*'Business Case'!G13*$D420-'Business Case'!G14*$E420))*'Business Case'!$B$7-'Business Case'!$B$8*(('Business Case'!G11*$C420*'Business Case'!G12*$B420)-('Business Case'!F11*$C420*'Business Case'!F12*$B420))-'Business Case'!G15*$F420+'Business Case'!$B$8*('Business Case'!G11*$C420*'Business Case'!G12*$B420)</f>
        <v>889745565.938955</v>
      </c>
      <c r="N420" s="39" t="n">
        <f aca="false">IF(COUNT('Business Case'!B11:G11)=0,"",H420+NPV(G420,I420:M420))</f>
        <v>-637907983.145359</v>
      </c>
      <c r="P420" s="40" t="n">
        <f aca="true">RAND()</f>
        <v>0.315946578056087</v>
      </c>
      <c r="Q420" s="40" t="n">
        <f aca="true">RAND()</f>
        <v>0.700209133446724</v>
      </c>
      <c r="R420" s="40" t="n">
        <f aca="true">RAND()</f>
        <v>0.791290836809971</v>
      </c>
      <c r="S420" s="40" t="n">
        <f aca="true">RAND()</f>
        <v>0.782680764212812</v>
      </c>
      <c r="T420" s="40" t="n">
        <f aca="true">RAND()</f>
        <v>0.831788347066053</v>
      </c>
      <c r="U420" s="40" t="n">
        <f aca="true">RAND()</f>
        <v>0.797435800577264</v>
      </c>
    </row>
    <row r="421" customFormat="false" ht="15" hidden="false" customHeight="false" outlineLevel="0" collapsed="false">
      <c r="A421" s="36" t="n">
        <v>341</v>
      </c>
      <c r="B421" s="37" t="n">
        <f aca="false">1+IF($G$6=$E$6,$F$6,IF(P421&lt;($F$6-$E$6)/($G$6-$E$6),$E$6+SQRT(P421*($G$6-$E$6)*($F$6-$E$6)),$G$6-SQRT((1-P421)*($G$6-$E$6)*($G$6-$F$6))))</f>
        <v>1.00184624251536</v>
      </c>
      <c r="C421" s="37" t="n">
        <f aca="false">1+IF($G$7=$E$7,$F$7,IF(Q421&lt;($F$7-$E$7)/($G$7-$E$7),$E$7+SQRT(Q421*($G$7-$E$7)*($F$7-$E$7)),$G$7-SQRT((1-Q421)*($G$7-$E$7)*($G$7-$F$7))))</f>
        <v>1.00924564981499</v>
      </c>
      <c r="D421" s="37" t="n">
        <f aca="false">1+IF($G$8=$E$8,$F$8,IF(R421&lt;($F$8-$E$8)/($G$8-$E$8),$E$8+SQRT(R421*($G$8-$E$8)*($F$8-$E$8)),$G$8-SQRT((1-R421)*($G$8-$E$8)*($G$8-$F$8))))</f>
        <v>1.00264214641428</v>
      </c>
      <c r="E421" s="37" t="n">
        <f aca="false">1+IF($G$9=$E$9,$F$9,IF(S421&lt;($F$9-$E$9)/($G$9-$E$9),$E$9+SQRT(S421*($G$9-$E$9)*($F$9-$E$9)),$G$9-SQRT((1-S421)*($G$9-$E$9)*($G$9-$F$9))))</f>
        <v>1.07140407111946</v>
      </c>
      <c r="F421" s="37" t="n">
        <f aca="false">1+IF($G$10=$E$10,$F$10,IF(T421&lt;($F$10-$E$10)/($G$10-$E$10),$E$10+SQRT(T421*($G$10-$E$10)*($F$10-$E$10)),$G$10-SQRT((1-T421)*($G$10-$E$10)*($G$10-$F$10))))</f>
        <v>1.16005800408408</v>
      </c>
      <c r="G421" s="38" t="n">
        <f aca="false">IF($G$11=$E$11,$F$11,IF(U421&lt;($F$11-$E$11)/($G$11-$E$11),$E$11+SQRT(U421*($G$11-$E$11)*($F$11-$E$11)),$G$11-SQRT((1-U421)*($G$11-$E$11)*($G$11-$F$11))))</f>
        <v>0.118466622051259</v>
      </c>
      <c r="H421" s="39" t="n">
        <f aca="false">(('Business Case'!B11*$C421*'Business Case'!B12*$B421)-'Business Case'!B11*$C421*'Business Case'!B13*$D421-'Business Case'!B14*$E421)-MAX(0,(('Business Case'!B11*$C421*'Business Case'!B12*$B421)-'Business Case'!B11*$C421*'Business Case'!B13*$D421-'Business Case'!B14*$E421))*'Business Case'!$B$7-'Business Case'!$B$8*('Business Case'!B11*$C421*'Business Case'!B12*$B421)-'Business Case'!B15*$F421</f>
        <v>-2320116008.16816</v>
      </c>
      <c r="I421" s="39" t="n">
        <f aca="false">(('Business Case'!C11*$C421*'Business Case'!C12*$B421)-'Business Case'!C11*$C421*'Business Case'!C13*$D421-'Business Case'!C14*$E421)-MAX(0,(('Business Case'!C11*$C421*'Business Case'!C12*$B421)-'Business Case'!C11*$C421*'Business Case'!C13*$D421-'Business Case'!C14*$E421))*'Business Case'!$B$7-'Business Case'!$B$8*(('Business Case'!C11*$C421*'Business Case'!C12*$B421)-('Business Case'!B11*$C421*'Business Case'!B12*$B421))-'Business Case'!C15*$F421</f>
        <v>-10622414.168092</v>
      </c>
      <c r="J421" s="39" t="n">
        <f aca="false">(('Business Case'!D11*$C421*'Business Case'!D12*$B421)-'Business Case'!D11*$C421*'Business Case'!D13*$D421-'Business Case'!D14*$E421)-MAX(0,(('Business Case'!D11*$C421*'Business Case'!D12*$B421)-'Business Case'!D11*$C421*'Business Case'!D13*$D421-'Business Case'!D14*$E421))*'Business Case'!$B$7-'Business Case'!$B$8*(('Business Case'!D11*$C421*'Business Case'!D12*$B421)-('Business Case'!C11*$C421*'Business Case'!C12*$B421))-'Business Case'!D15*$F421</f>
        <v>299530519.577674</v>
      </c>
      <c r="K421" s="39" t="n">
        <f aca="false">(('Business Case'!E11*$C421*'Business Case'!E12*$B421)-'Business Case'!E11*$C421*'Business Case'!E13*$D421-'Business Case'!E14*$E421)-MAX(0,(('Business Case'!E11*$C421*'Business Case'!E12*$B421)-'Business Case'!E11*$C421*'Business Case'!E13*$D421-'Business Case'!E14*$E421))*'Business Case'!$B$7-'Business Case'!$B$8*(('Business Case'!E11*$C421*'Business Case'!E12*$B421)-('Business Case'!D11*$C421*'Business Case'!D12*$B421))-'Business Case'!E15*$F421</f>
        <v>667686353.527644</v>
      </c>
      <c r="L421" s="39" t="n">
        <f aca="false">(('Business Case'!F11*$C421*'Business Case'!F12*$B421)-'Business Case'!F11*$C421*'Business Case'!F13*$D421-'Business Case'!F14*$E421)-MAX(0,(('Business Case'!F11*$C421*'Business Case'!F12*$B421)-'Business Case'!F11*$C421*'Business Case'!F13*$D421-'Business Case'!F14*$E421))*'Business Case'!$B$7-'Business Case'!$B$8*(('Business Case'!F11*$C421*'Business Case'!F12*$B421)-('Business Case'!E11*$C421*'Business Case'!E12*$B421))-'Business Case'!F15*$F421</f>
        <v>806014590.504408</v>
      </c>
      <c r="M421" s="39" t="n">
        <f aca="false">(('Business Case'!G11*$C421*'Business Case'!G12*$B421)-'Business Case'!G11*$C421*'Business Case'!G13*$D421-'Business Case'!G14*$E421)-MAX(0,(('Business Case'!G11*$C421*'Business Case'!G12*$B421)-'Business Case'!G11*$C421*'Business Case'!G13*$D421-'Business Case'!G14*$E421))*'Business Case'!$B$7-'Business Case'!$B$8*(('Business Case'!G11*$C421*'Business Case'!G12*$B421)-('Business Case'!F11*$C421*'Business Case'!F12*$B421))-'Business Case'!G15*$F421+'Business Case'!$B$8*('Business Case'!G11*$C421*'Business Case'!G12*$B421)</f>
        <v>998206182.009374</v>
      </c>
      <c r="N421" s="39" t="n">
        <f aca="false">IF(COUNT('Business Case'!B11:G11)=0,"",H421+NPV(G421,I421:M421))</f>
        <v>-527617012.294012</v>
      </c>
      <c r="P421" s="40" t="n">
        <f aca="true">RAND()</f>
        <v>0.696727247875663</v>
      </c>
      <c r="Q421" s="40" t="n">
        <f aca="true">RAND()</f>
        <v>0.622632626742768</v>
      </c>
      <c r="R421" s="40" t="n">
        <f aca="true">RAND()</f>
        <v>0.424592546981704</v>
      </c>
      <c r="S421" s="40" t="n">
        <f aca="true">RAND()</f>
        <v>0.945484856763932</v>
      </c>
      <c r="T421" s="40" t="n">
        <f aca="true">RAND()</f>
        <v>0.968092739245049</v>
      </c>
      <c r="U421" s="40" t="n">
        <f aca="true">RAND()</f>
        <v>0.996081253443859</v>
      </c>
    </row>
    <row r="422" customFormat="false" ht="15" hidden="false" customHeight="false" outlineLevel="0" collapsed="false">
      <c r="A422" s="36" t="n">
        <v>342</v>
      </c>
      <c r="B422" s="37" t="n">
        <f aca="false">1+IF($G$6=$E$6,$F$6,IF(P422&lt;($F$6-$E$6)/($G$6-$E$6),$E$6+SQRT(P422*($G$6-$E$6)*($F$6-$E$6)),$G$6-SQRT((1-P422)*($G$6-$E$6)*($G$6-$F$6))))</f>
        <v>0.978044105807073</v>
      </c>
      <c r="C422" s="37" t="n">
        <f aca="false">1+IF($G$7=$E$7,$F$7,IF(Q422&lt;($F$7-$E$7)/($G$7-$E$7),$E$7+SQRT(Q422*($G$7-$E$7)*($F$7-$E$7)),$G$7-SQRT((1-Q422)*($G$7-$E$7)*($G$7-$F$7))))</f>
        <v>1.08715954843878</v>
      </c>
      <c r="D422" s="37" t="n">
        <f aca="false">1+IF($G$8=$E$8,$F$8,IF(R422&lt;($F$8-$E$8)/($G$8-$E$8),$E$8+SQRT(R422*($G$8-$E$8)*($F$8-$E$8)),$G$8-SQRT((1-R422)*($G$8-$E$8)*($G$8-$F$8))))</f>
        <v>0.991453301600022</v>
      </c>
      <c r="E422" s="37" t="n">
        <f aca="false">1+IF($G$9=$E$9,$F$9,IF(S422&lt;($F$9-$E$9)/($G$9-$E$9),$E$9+SQRT(S422*($G$9-$E$9)*($F$9-$E$9)),$G$9-SQRT((1-S422)*($G$9-$E$9)*($G$9-$F$9))))</f>
        <v>0.971008152545616</v>
      </c>
      <c r="F422" s="37" t="n">
        <f aca="false">1+IF($G$10=$E$10,$F$10,IF(T422&lt;($F$10-$E$10)/($G$10-$E$10),$E$10+SQRT(T422*($G$10-$E$10)*($F$10-$E$10)),$G$10-SQRT((1-T422)*($G$10-$E$10)*($G$10-$F$10))))</f>
        <v>1.01832227948127</v>
      </c>
      <c r="G422" s="38" t="n">
        <f aca="false">IF($G$11=$E$11,$F$11,IF(U422&lt;($F$11-$E$11)/($G$11-$E$11),$E$11+SQRT(U422*($G$11-$E$11)*($F$11-$E$11)),$G$11-SQRT((1-U422)*($G$11-$E$11)*($G$11-$F$11))))</f>
        <v>0.0982650571868885</v>
      </c>
      <c r="H422" s="39" t="n">
        <f aca="false">(('Business Case'!B11*$C422*'Business Case'!B12*$B422)-'Business Case'!B11*$C422*'Business Case'!B13*$D422-'Business Case'!B14*$E422)-MAX(0,(('Business Case'!B11*$C422*'Business Case'!B12*$B422)-'Business Case'!B11*$C422*'Business Case'!B13*$D422-'Business Case'!B14*$E422))*'Business Case'!$B$7-'Business Case'!$B$8*('Business Case'!B11*$C422*'Business Case'!B12*$B422)-'Business Case'!B15*$F422</f>
        <v>-2036644558.96254</v>
      </c>
      <c r="I422" s="39" t="n">
        <f aca="false">(('Business Case'!C11*$C422*'Business Case'!C12*$B422)-'Business Case'!C11*$C422*'Business Case'!C13*$D422-'Business Case'!C14*$E422)-MAX(0,(('Business Case'!C11*$C422*'Business Case'!C12*$B422)-'Business Case'!C11*$C422*'Business Case'!C13*$D422-'Business Case'!C14*$E422))*'Business Case'!$B$7-'Business Case'!$B$8*(('Business Case'!C11*$C422*'Business Case'!C12*$B422)-('Business Case'!B11*$C422*'Business Case'!B12*$B422))-'Business Case'!C15*$F422</f>
        <v>24098369.6743</v>
      </c>
      <c r="J422" s="39" t="n">
        <f aca="false">(('Business Case'!D11*$C422*'Business Case'!D12*$B422)-'Business Case'!D11*$C422*'Business Case'!D13*$D422-'Business Case'!D14*$E422)-MAX(0,(('Business Case'!D11*$C422*'Business Case'!D12*$B422)-'Business Case'!D11*$C422*'Business Case'!D13*$D422-'Business Case'!D14*$E422))*'Business Case'!$B$7-'Business Case'!$B$8*(('Business Case'!D11*$C422*'Business Case'!D12*$B422)-('Business Case'!C11*$C422*'Business Case'!C12*$B422))-'Business Case'!D15*$F422</f>
        <v>343227279.588532</v>
      </c>
      <c r="K422" s="39" t="n">
        <f aca="false">(('Business Case'!E11*$C422*'Business Case'!E12*$B422)-'Business Case'!E11*$C422*'Business Case'!E13*$D422-'Business Case'!E14*$E422)-MAX(0,(('Business Case'!E11*$C422*'Business Case'!E12*$B422)-'Business Case'!E11*$C422*'Business Case'!E13*$D422-'Business Case'!E14*$E422))*'Business Case'!$B$7-'Business Case'!$B$8*(('Business Case'!E11*$C422*'Business Case'!E12*$B422)-('Business Case'!D11*$C422*'Business Case'!D12*$B422))-'Business Case'!E15*$F422</f>
        <v>713272303.476828</v>
      </c>
      <c r="L422" s="39" t="n">
        <f aca="false">(('Business Case'!F11*$C422*'Business Case'!F12*$B422)-'Business Case'!F11*$C422*'Business Case'!F13*$D422-'Business Case'!F14*$E422)-MAX(0,(('Business Case'!F11*$C422*'Business Case'!F12*$B422)-'Business Case'!F11*$C422*'Business Case'!F13*$D422-'Business Case'!F14*$E422))*'Business Case'!$B$7-'Business Case'!$B$8*(('Business Case'!F11*$C422*'Business Case'!F12*$B422)-('Business Case'!E11*$C422*'Business Case'!E12*$B422))-'Business Case'!F15*$F422</f>
        <v>856395908.781451</v>
      </c>
      <c r="M422" s="39" t="n">
        <f aca="false">(('Business Case'!G11*$C422*'Business Case'!G12*$B422)-'Business Case'!G11*$C422*'Business Case'!G13*$D422-'Business Case'!G14*$E422)-MAX(0,(('Business Case'!G11*$C422*'Business Case'!G12*$B422)-'Business Case'!G11*$C422*'Business Case'!G13*$D422-'Business Case'!G14*$E422))*'Business Case'!$B$7-'Business Case'!$B$8*(('Business Case'!G11*$C422*'Business Case'!G12*$B422)-('Business Case'!F11*$C422*'Business Case'!F12*$B422))-'Business Case'!G15*$F422+'Business Case'!$B$8*('Business Case'!G11*$C422*'Business Case'!G12*$B422)</f>
        <v>1058506069.78079</v>
      </c>
      <c r="N422" s="39" t="n">
        <f aca="false">IF(COUNT('Business Case'!B11:G11)=0,"",H422+NPV(G422,I422:M422))</f>
        <v>59380710.1010325</v>
      </c>
      <c r="P422" s="40" t="n">
        <f aca="true">RAND()</f>
        <v>0.350949814473192</v>
      </c>
      <c r="Q422" s="40" t="n">
        <f aca="true">RAND()</f>
        <v>0.924782431382516</v>
      </c>
      <c r="R422" s="40" t="n">
        <f aca="true">RAND()</f>
        <v>0.264365571314207</v>
      </c>
      <c r="S422" s="40" t="n">
        <f aca="true">RAND()</f>
        <v>0.0588456631173159</v>
      </c>
      <c r="T422" s="40" t="n">
        <f aca="true">RAND()</f>
        <v>0.339864117342366</v>
      </c>
      <c r="U422" s="40" t="n">
        <f aca="true">RAND()</f>
        <v>0.227703901008457</v>
      </c>
    </row>
    <row r="423" customFormat="false" ht="15" hidden="false" customHeight="false" outlineLevel="0" collapsed="false">
      <c r="A423" s="36" t="n">
        <v>343</v>
      </c>
      <c r="B423" s="37" t="n">
        <f aca="false">1+IF($G$6=$E$6,$F$6,IF(P423&lt;($F$6-$E$6)/($G$6-$E$6),$E$6+SQRT(P423*($G$6-$E$6)*($F$6-$E$6)),$G$6-SQRT((1-P423)*($G$6-$E$6)*($G$6-$F$6))))</f>
        <v>0.976536647083675</v>
      </c>
      <c r="C423" s="37" t="n">
        <f aca="false">1+IF($G$7=$E$7,$F$7,IF(Q423&lt;($F$7-$E$7)/($G$7-$E$7),$E$7+SQRT(Q423*($G$7-$E$7)*($F$7-$E$7)),$G$7-SQRT((1-Q423)*($G$7-$E$7)*($G$7-$F$7))))</f>
        <v>1.03242513126493</v>
      </c>
      <c r="D423" s="37" t="n">
        <f aca="false">1+IF($G$8=$E$8,$F$8,IF(R423&lt;($F$8-$E$8)/($G$8-$E$8),$E$8+SQRT(R423*($G$8-$E$8)*($F$8-$E$8)),$G$8-SQRT((1-R423)*($G$8-$E$8)*($G$8-$F$8))))</f>
        <v>0.993877613382565</v>
      </c>
      <c r="E423" s="37" t="n">
        <f aca="false">1+IF($G$9=$E$9,$F$9,IF(S423&lt;($F$9-$E$9)/($G$9-$E$9),$E$9+SQRT(S423*($G$9-$E$9)*($F$9-$E$9)),$G$9-SQRT((1-S423)*($G$9-$E$9)*($G$9-$F$9))))</f>
        <v>1.01749227844473</v>
      </c>
      <c r="F423" s="37" t="n">
        <f aca="false">1+IF($G$10=$E$10,$F$10,IF(T423&lt;($F$10-$E$10)/($G$10-$E$10),$E$10+SQRT(T423*($G$10-$E$10)*($F$10-$E$10)),$G$10-SQRT((1-T423)*($G$10-$E$10)*($G$10-$F$10))))</f>
        <v>1.00709055115499</v>
      </c>
      <c r="G423" s="38" t="n">
        <f aca="false">IF($G$11=$E$11,$F$11,IF(U423&lt;($F$11-$E$11)/($G$11-$E$11),$E$11+SQRT(U423*($G$11-$E$11)*($F$11-$E$11)),$G$11-SQRT((1-U423)*($G$11-$E$11)*($G$11-$F$11))))</f>
        <v>0.116154341352126</v>
      </c>
      <c r="H423" s="39" t="n">
        <f aca="false">(('Business Case'!B11*$C423*'Business Case'!B12*$B423)-'Business Case'!B11*$C423*'Business Case'!B13*$D423-'Business Case'!B14*$E423)-MAX(0,(('Business Case'!B11*$C423*'Business Case'!B12*$B423)-'Business Case'!B11*$C423*'Business Case'!B13*$D423-'Business Case'!B14*$E423))*'Business Case'!$B$7-'Business Case'!$B$8*('Business Case'!B11*$C423*'Business Case'!B12*$B423)-'Business Case'!B15*$F423</f>
        <v>-2014181102.30997</v>
      </c>
      <c r="I423" s="39" t="n">
        <f aca="false">(('Business Case'!C11*$C423*'Business Case'!C12*$B423)-'Business Case'!C11*$C423*'Business Case'!C13*$D423-'Business Case'!C14*$E423)-MAX(0,(('Business Case'!C11*$C423*'Business Case'!C12*$B423)-'Business Case'!C11*$C423*'Business Case'!C13*$D423-'Business Case'!C14*$E423))*'Business Case'!$B$7-'Business Case'!$B$8*(('Business Case'!C11*$C423*'Business Case'!C12*$B423)-('Business Case'!B11*$C423*'Business Case'!B12*$B423))-'Business Case'!C15*$F423</f>
        <v>2844319.05040254</v>
      </c>
      <c r="J423" s="39" t="n">
        <f aca="false">(('Business Case'!D11*$C423*'Business Case'!D12*$B423)-'Business Case'!D11*$C423*'Business Case'!D13*$D423-'Business Case'!D14*$E423)-MAX(0,(('Business Case'!D11*$C423*'Business Case'!D12*$B423)-'Business Case'!D11*$C423*'Business Case'!D13*$D423-'Business Case'!D14*$E423))*'Business Case'!$B$7-'Business Case'!$B$8*(('Business Case'!D11*$C423*'Business Case'!D12*$B423)-('Business Case'!C11*$C423*'Business Case'!C12*$B423))-'Business Case'!D15*$F423</f>
        <v>303350233.809595</v>
      </c>
      <c r="K423" s="39" t="n">
        <f aca="false">(('Business Case'!E11*$C423*'Business Case'!E12*$B423)-'Business Case'!E11*$C423*'Business Case'!E13*$D423-'Business Case'!E14*$E423)-MAX(0,(('Business Case'!E11*$C423*'Business Case'!E12*$B423)-'Business Case'!E11*$C423*'Business Case'!E13*$D423-'Business Case'!E14*$E423))*'Business Case'!$B$7-'Business Case'!$B$8*(('Business Case'!E11*$C423*'Business Case'!E12*$B423)-('Business Case'!D11*$C423*'Business Case'!D12*$B423))-'Business Case'!E15*$F423</f>
        <v>654210676.126537</v>
      </c>
      <c r="L423" s="39" t="n">
        <f aca="false">(('Business Case'!F11*$C423*'Business Case'!F12*$B423)-'Business Case'!F11*$C423*'Business Case'!F13*$D423-'Business Case'!F14*$E423)-MAX(0,(('Business Case'!F11*$C423*'Business Case'!F12*$B423)-'Business Case'!F11*$C423*'Business Case'!F13*$D423-'Business Case'!F14*$E423))*'Business Case'!$B$7-'Business Case'!$B$8*(('Business Case'!F11*$C423*'Business Case'!F12*$B423)-('Business Case'!E11*$C423*'Business Case'!E12*$B423))-'Business Case'!F15*$F423</f>
        <v>789222740.111903</v>
      </c>
      <c r="M423" s="39" t="n">
        <f aca="false">(('Business Case'!G11*$C423*'Business Case'!G12*$B423)-'Business Case'!G11*$C423*'Business Case'!G13*$D423-'Business Case'!G14*$E423)-MAX(0,(('Business Case'!G11*$C423*'Business Case'!G12*$B423)-'Business Case'!G11*$C423*'Business Case'!G13*$D423-'Business Case'!G14*$E423))*'Business Case'!$B$7-'Business Case'!$B$8*(('Business Case'!G11*$C423*'Business Case'!G12*$B423)-('Business Case'!F11*$C423*'Business Case'!F12*$B423))-'Business Case'!G15*$F423+'Business Case'!$B$8*('Business Case'!G11*$C423*'Business Case'!G12*$B423)</f>
        <v>980861581.639558</v>
      </c>
      <c r="N423" s="39" t="n">
        <f aca="false">IF(COUNT('Business Case'!B11:G11)=0,"",H423+NPV(G423,I423:M423))</f>
        <v>-222915286.099362</v>
      </c>
      <c r="P423" s="40" t="n">
        <f aca="true">RAND()</f>
        <v>0.332957548277505</v>
      </c>
      <c r="Q423" s="40" t="n">
        <f aca="true">RAND()</f>
        <v>0.736688576036767</v>
      </c>
      <c r="R423" s="40" t="n">
        <f aca="true">RAND()</f>
        <v>0.296191531715359</v>
      </c>
      <c r="S423" s="40" t="n">
        <f aca="true">RAND()</f>
        <v>0.546165058917172</v>
      </c>
      <c r="T423" s="40" t="n">
        <f aca="true">RAND()</f>
        <v>0.255718890926266</v>
      </c>
      <c r="U423" s="40" t="n">
        <f aca="true">RAND()</f>
        <v>0.975351515940054</v>
      </c>
    </row>
    <row r="424" customFormat="false" ht="15" hidden="false" customHeight="false" outlineLevel="0" collapsed="false">
      <c r="A424" s="36" t="n">
        <v>344</v>
      </c>
      <c r="B424" s="37" t="n">
        <f aca="false">1+IF($G$6=$E$6,$F$6,IF(P424&lt;($F$6-$E$6)/($G$6-$E$6),$E$6+SQRT(P424*($G$6-$E$6)*($F$6-$E$6)),$G$6-SQRT((1-P424)*($G$6-$E$6)*($G$6-$F$6))))</f>
        <v>1.00286993711629</v>
      </c>
      <c r="C424" s="37" t="n">
        <f aca="false">1+IF($G$7=$E$7,$F$7,IF(Q424&lt;($F$7-$E$7)/($G$7-$E$7),$E$7+SQRT(Q424*($G$7-$E$7)*($F$7-$E$7)),$G$7-SQRT((1-Q424)*($G$7-$E$7)*($G$7-$F$7))))</f>
        <v>0.843898533447669</v>
      </c>
      <c r="D424" s="37" t="n">
        <f aca="false">1+IF($G$8=$E$8,$F$8,IF(R424&lt;($F$8-$E$8)/($G$8-$E$8),$E$8+SQRT(R424*($G$8-$E$8)*($F$8-$E$8)),$G$8-SQRT((1-R424)*($G$8-$E$8)*($G$8-$F$8))))</f>
        <v>1.04715576546635</v>
      </c>
      <c r="E424" s="37" t="n">
        <f aca="false">1+IF($G$9=$E$9,$F$9,IF(S424&lt;($F$9-$E$9)/($G$9-$E$9),$E$9+SQRT(S424*($G$9-$E$9)*($F$9-$E$9)),$G$9-SQRT((1-S424)*($G$9-$E$9)*($G$9-$F$9))))</f>
        <v>1.05566469693446</v>
      </c>
      <c r="F424" s="37" t="n">
        <f aca="false">1+IF($G$10=$E$10,$F$10,IF(T424&lt;($F$10-$E$10)/($G$10-$E$10),$E$10+SQRT(T424*($G$10-$E$10)*($F$10-$E$10)),$G$10-SQRT((1-T424)*($G$10-$E$10)*($G$10-$F$10))))</f>
        <v>1.06010741760732</v>
      </c>
      <c r="G424" s="38" t="n">
        <f aca="false">IF($G$11=$E$11,$F$11,IF(U424&lt;($F$11-$E$11)/($G$11-$E$11),$E$11+SQRT(U424*($G$11-$E$11)*($F$11-$E$11)),$G$11-SQRT((1-U424)*($G$11-$E$11)*($G$11-$F$11))))</f>
        <v>0.103005700563192</v>
      </c>
      <c r="H424" s="39" t="n">
        <f aca="false">(('Business Case'!B11*$C424*'Business Case'!B12*$B424)-'Business Case'!B11*$C424*'Business Case'!B13*$D424-'Business Case'!B14*$E424)-MAX(0,(('Business Case'!B11*$C424*'Business Case'!B12*$B424)-'Business Case'!B11*$C424*'Business Case'!B13*$D424-'Business Case'!B14*$E424))*'Business Case'!$B$7-'Business Case'!$B$8*('Business Case'!B11*$C424*'Business Case'!B12*$B424)-'Business Case'!B15*$F424</f>
        <v>-2120214835.21464</v>
      </c>
      <c r="I424" s="39" t="n">
        <f aca="false">(('Business Case'!C11*$C424*'Business Case'!C12*$B424)-'Business Case'!C11*$C424*'Business Case'!C13*$D424-'Business Case'!C14*$E424)-MAX(0,(('Business Case'!C11*$C424*'Business Case'!C12*$B424)-'Business Case'!C11*$C424*'Business Case'!C13*$D424-'Business Case'!C14*$E424))*'Business Case'!$B$7-'Business Case'!$B$8*(('Business Case'!C11*$C424*'Business Case'!C12*$B424)-('Business Case'!B11*$C424*'Business Case'!B12*$B424))-'Business Case'!C15*$F424</f>
        <v>-59182345.9658596</v>
      </c>
      <c r="J424" s="39" t="n">
        <f aca="false">(('Business Case'!D11*$C424*'Business Case'!D12*$B424)-'Business Case'!D11*$C424*'Business Case'!D13*$D424-'Business Case'!D14*$E424)-MAX(0,(('Business Case'!D11*$C424*'Business Case'!D12*$B424)-'Business Case'!D11*$C424*'Business Case'!D13*$D424-'Business Case'!D14*$E424))*'Business Case'!$B$7-'Business Case'!$B$8*(('Business Case'!D11*$C424*'Business Case'!D12*$B424)-('Business Case'!C11*$C424*'Business Case'!C12*$B424))-'Business Case'!D15*$F424</f>
        <v>181634822.854928</v>
      </c>
      <c r="K424" s="39" t="n">
        <f aca="false">(('Business Case'!E11*$C424*'Business Case'!E12*$B424)-'Business Case'!E11*$C424*'Business Case'!E13*$D424-'Business Case'!E14*$E424)-MAX(0,(('Business Case'!E11*$C424*'Business Case'!E12*$B424)-'Business Case'!E11*$C424*'Business Case'!E13*$D424-'Business Case'!E14*$E424))*'Business Case'!$B$7-'Business Case'!$B$8*(('Business Case'!E11*$C424*'Business Case'!E12*$B424)-('Business Case'!D11*$C424*'Business Case'!D12*$B424))-'Business Case'!E15*$F424</f>
        <v>475457362.556082</v>
      </c>
      <c r="L424" s="39" t="n">
        <f aca="false">(('Business Case'!F11*$C424*'Business Case'!F12*$B424)-'Business Case'!F11*$C424*'Business Case'!F13*$D424-'Business Case'!F14*$E424)-MAX(0,(('Business Case'!F11*$C424*'Business Case'!F12*$B424)-'Business Case'!F11*$C424*'Business Case'!F13*$D424-'Business Case'!F14*$E424))*'Business Case'!$B$7-'Business Case'!$B$8*(('Business Case'!F11*$C424*'Business Case'!F12*$B424)-('Business Case'!E11*$C424*'Business Case'!E12*$B424))-'Business Case'!F15*$F424</f>
        <v>584978587.577568</v>
      </c>
      <c r="M424" s="39" t="n">
        <f aca="false">(('Business Case'!G11*$C424*'Business Case'!G12*$B424)-'Business Case'!G11*$C424*'Business Case'!G13*$D424-'Business Case'!G14*$E424)-MAX(0,(('Business Case'!G11*$C424*'Business Case'!G12*$B424)-'Business Case'!G11*$C424*'Business Case'!G13*$D424-'Business Case'!G14*$E424))*'Business Case'!$B$7-'Business Case'!$B$8*(('Business Case'!G11*$C424*'Business Case'!G12*$B424)-('Business Case'!F11*$C424*'Business Case'!F12*$B424))-'Business Case'!G15*$F424+'Business Case'!$B$8*('Business Case'!G11*$C424*'Business Case'!G12*$B424)</f>
        <v>745847182.357629</v>
      </c>
      <c r="N424" s="39" t="n">
        <f aca="false">IF(COUNT('Business Case'!B11:G11)=0,"",H424+NPV(G424,I424:M424))</f>
        <v>-818222379.697163</v>
      </c>
      <c r="P424" s="40" t="n">
        <f aca="true">RAND()</f>
        <v>0.712783006302469</v>
      </c>
      <c r="Q424" s="40" t="n">
        <f aca="true">RAND()</f>
        <v>0.0275297319836588</v>
      </c>
      <c r="R424" s="40" t="n">
        <f aca="true">RAND()</f>
        <v>0.896274640182561</v>
      </c>
      <c r="S424" s="40" t="n">
        <f aca="true">RAND()</f>
        <v>0.868958726805798</v>
      </c>
      <c r="T424" s="40" t="n">
        <f aca="true">RAND()</f>
        <v>0.60860130783015</v>
      </c>
      <c r="U424" s="40" t="n">
        <f aca="true">RAND()</f>
        <v>0.518656311086854</v>
      </c>
    </row>
    <row r="425" customFormat="false" ht="15" hidden="false" customHeight="false" outlineLevel="0" collapsed="false">
      <c r="A425" s="36" t="n">
        <v>345</v>
      </c>
      <c r="B425" s="37" t="n">
        <f aca="false">1+IF($G$6=$E$6,$F$6,IF(P425&lt;($F$6-$E$6)/($G$6-$E$6),$E$6+SQRT(P425*($G$6-$E$6)*($F$6-$E$6)),$G$6-SQRT((1-P425)*($G$6-$E$6)*($G$6-$F$6))))</f>
        <v>0.966264747620139</v>
      </c>
      <c r="C425" s="37" t="n">
        <f aca="false">1+IF($G$7=$E$7,$F$7,IF(Q425&lt;($F$7-$E$7)/($G$7-$E$7),$E$7+SQRT(Q425*($G$7-$E$7)*($F$7-$E$7)),$G$7-SQRT((1-Q425)*($G$7-$E$7)*($G$7-$F$7))))</f>
        <v>1.10686061741258</v>
      </c>
      <c r="D425" s="37" t="n">
        <f aca="false">1+IF($G$8=$E$8,$F$8,IF(R425&lt;($F$8-$E$8)/($G$8-$E$8),$E$8+SQRT(R425*($G$8-$E$8)*($F$8-$E$8)),$G$8-SQRT((1-R425)*($G$8-$E$8)*($G$8-$F$8))))</f>
        <v>1.0485930131527</v>
      </c>
      <c r="E425" s="37" t="n">
        <f aca="false">1+IF($G$9=$E$9,$F$9,IF(S425&lt;($F$9-$E$9)/($G$9-$E$9),$E$9+SQRT(S425*($G$9-$E$9)*($F$9-$E$9)),$G$9-SQRT((1-S425)*($G$9-$E$9)*($G$9-$F$9))))</f>
        <v>1.07842242739306</v>
      </c>
      <c r="F425" s="37" t="n">
        <f aca="false">1+IF($G$10=$E$10,$F$10,IF(T425&lt;($F$10-$E$10)/($G$10-$E$10),$E$10+SQRT(T425*($G$10-$E$10)*($F$10-$E$10)),$G$10-SQRT((1-T425)*($G$10-$E$10)*($G$10-$F$10))))</f>
        <v>1.04333244954242</v>
      </c>
      <c r="G425" s="38" t="n">
        <f aca="false">IF($G$11=$E$11,$F$11,IF(U425&lt;($F$11-$E$11)/($G$11-$E$11),$E$11+SQRT(U425*($G$11-$E$11)*($F$11-$E$11)),$G$11-SQRT((1-U425)*($G$11-$E$11)*($G$11-$F$11))))</f>
        <v>0.0980259420126208</v>
      </c>
      <c r="H425" s="39" t="n">
        <f aca="false">(('Business Case'!B11*$C425*'Business Case'!B12*$B425)-'Business Case'!B11*$C425*'Business Case'!B13*$D425-'Business Case'!B14*$E425)-MAX(0,(('Business Case'!B11*$C425*'Business Case'!B12*$B425)-'Business Case'!B11*$C425*'Business Case'!B13*$D425-'Business Case'!B14*$E425))*'Business Case'!$B$7-'Business Case'!$B$8*('Business Case'!B11*$C425*'Business Case'!B12*$B425)-'Business Case'!B15*$F425</f>
        <v>-2086664899.08483</v>
      </c>
      <c r="I425" s="39" t="n">
        <f aca="false">(('Business Case'!C11*$C425*'Business Case'!C12*$B425)-'Business Case'!C11*$C425*'Business Case'!C13*$D425-'Business Case'!C14*$E425)-MAX(0,(('Business Case'!C11*$C425*'Business Case'!C12*$B425)-'Business Case'!C11*$C425*'Business Case'!C13*$D425-'Business Case'!C14*$E425))*'Business Case'!$B$7-'Business Case'!$B$8*(('Business Case'!C11*$C425*'Business Case'!C12*$B425)-('Business Case'!B11*$C425*'Business Case'!B12*$B425))-'Business Case'!C15*$F425</f>
        <v>-31272701.3204363</v>
      </c>
      <c r="J425" s="39" t="n">
        <f aca="false">(('Business Case'!D11*$C425*'Business Case'!D12*$B425)-'Business Case'!D11*$C425*'Business Case'!D13*$D425-'Business Case'!D14*$E425)-MAX(0,(('Business Case'!D11*$C425*'Business Case'!D12*$B425)-'Business Case'!D11*$C425*'Business Case'!D13*$D425-'Business Case'!D14*$E425))*'Business Case'!$B$7-'Business Case'!$B$8*(('Business Case'!D11*$C425*'Business Case'!D12*$B425)-('Business Case'!C11*$C425*'Business Case'!C12*$B425))-'Business Case'!D15*$F425</f>
        <v>250583448.772453</v>
      </c>
      <c r="K425" s="39" t="n">
        <f aca="false">(('Business Case'!E11*$C425*'Business Case'!E12*$B425)-'Business Case'!E11*$C425*'Business Case'!E13*$D425-'Business Case'!E14*$E425)-MAX(0,(('Business Case'!E11*$C425*'Business Case'!E12*$B425)-'Business Case'!E11*$C425*'Business Case'!E13*$D425-'Business Case'!E14*$E425))*'Business Case'!$B$7-'Business Case'!$B$8*(('Business Case'!E11*$C425*'Business Case'!E12*$B425)-('Business Case'!D11*$C425*'Business Case'!D12*$B425))-'Business Case'!E15*$F425</f>
        <v>584606221.342462</v>
      </c>
      <c r="L425" s="39" t="n">
        <f aca="false">(('Business Case'!F11*$C425*'Business Case'!F12*$B425)-'Business Case'!F11*$C425*'Business Case'!F13*$D425-'Business Case'!F14*$E425)-MAX(0,(('Business Case'!F11*$C425*'Business Case'!F12*$B425)-'Business Case'!F11*$C425*'Business Case'!F13*$D425-'Business Case'!F14*$E425))*'Business Case'!$B$7-'Business Case'!$B$8*(('Business Case'!F11*$C425*'Business Case'!F12*$B425)-('Business Case'!E11*$C425*'Business Case'!E12*$B425))-'Business Case'!F15*$F425</f>
        <v>715520896.229286</v>
      </c>
      <c r="M425" s="39" t="n">
        <f aca="false">(('Business Case'!G11*$C425*'Business Case'!G12*$B425)-'Business Case'!G11*$C425*'Business Case'!G13*$D425-'Business Case'!G14*$E425)-MAX(0,(('Business Case'!G11*$C425*'Business Case'!G12*$B425)-'Business Case'!G11*$C425*'Business Case'!G13*$D425-'Business Case'!G14*$E425))*'Business Case'!$B$7-'Business Case'!$B$8*(('Business Case'!G11*$C425*'Business Case'!G12*$B425)-('Business Case'!F11*$C425*'Business Case'!F12*$B425))-'Business Case'!G15*$F425+'Business Case'!$B$8*('Business Case'!G11*$C425*'Business Case'!G12*$B425)</f>
        <v>918815332.936516</v>
      </c>
      <c r="N425" s="39" t="n">
        <f aca="false">IF(COUNT('Business Case'!B11:G11)=0,"",H425+NPV(G425,I425:M425))</f>
        <v>-397816907.623434</v>
      </c>
      <c r="P425" s="40" t="n">
        <f aca="true">RAND()</f>
        <v>0.222961132536993</v>
      </c>
      <c r="Q425" s="40" t="n">
        <f aca="true">RAND()</f>
        <v>0.964552260380505</v>
      </c>
      <c r="R425" s="40" t="n">
        <f aca="true">RAND()</f>
        <v>0.905153959343606</v>
      </c>
      <c r="S425" s="40" t="n">
        <f aca="true">RAND()</f>
        <v>0.968960557359485</v>
      </c>
      <c r="T425" s="40" t="n">
        <f aca="true">RAND()</f>
        <v>0.509105572672416</v>
      </c>
      <c r="U425" s="40" t="n">
        <f aca="true">RAND()</f>
        <v>0.21471915063317</v>
      </c>
    </row>
    <row r="426" customFormat="false" ht="15" hidden="false" customHeight="false" outlineLevel="0" collapsed="false">
      <c r="A426" s="36" t="n">
        <v>346</v>
      </c>
      <c r="B426" s="37" t="n">
        <f aca="false">1+IF($G$6=$E$6,$F$6,IF(P426&lt;($F$6-$E$6)/($G$6-$E$6),$E$6+SQRT(P426*($G$6-$E$6)*($F$6-$E$6)),$G$6-SQRT((1-P426)*($G$6-$E$6)*($G$6-$F$6))))</f>
        <v>1.02462245279952</v>
      </c>
      <c r="C426" s="37" t="n">
        <f aca="false">1+IF($G$7=$E$7,$F$7,IF(Q426&lt;($F$7-$E$7)/($G$7-$E$7),$E$7+SQRT(Q426*($G$7-$E$7)*($F$7-$E$7)),$G$7-SQRT((1-Q426)*($G$7-$E$7)*($G$7-$F$7))))</f>
        <v>1.11553140319373</v>
      </c>
      <c r="D426" s="37" t="n">
        <f aca="false">1+IF($G$8=$E$8,$F$8,IF(R426&lt;($F$8-$E$8)/($G$8-$E$8),$E$8+SQRT(R426*($G$8-$E$8)*($F$8-$E$8)),$G$8-SQRT((1-R426)*($G$8-$E$8)*($G$8-$F$8))))</f>
        <v>1.02443313418543</v>
      </c>
      <c r="E426" s="37" t="n">
        <f aca="false">1+IF($G$9=$E$9,$F$9,IF(S426&lt;($F$9-$E$9)/($G$9-$E$9),$E$9+SQRT(S426*($G$9-$E$9)*($F$9-$E$9)),$G$9-SQRT((1-S426)*($G$9-$E$9)*($G$9-$F$9))))</f>
        <v>1.00837391463985</v>
      </c>
      <c r="F426" s="37" t="n">
        <f aca="false">1+IF($G$10=$E$10,$F$10,IF(T426&lt;($F$10-$E$10)/($G$10-$E$10),$E$10+SQRT(T426*($G$10-$E$10)*($F$10-$E$10)),$G$10-SQRT((1-T426)*($G$10-$E$10)*($G$10-$F$10))))</f>
        <v>0.979717651141098</v>
      </c>
      <c r="G426" s="38" t="n">
        <f aca="false">IF($G$11=$E$11,$F$11,IF(U426&lt;($F$11-$E$11)/($G$11-$E$11),$E$11+SQRT(U426*($G$11-$E$11)*($F$11-$E$11)),$G$11-SQRT((1-U426)*($G$11-$E$11)*($G$11-$F$11))))</f>
        <v>0.0919839908978448</v>
      </c>
      <c r="H426" s="39" t="n">
        <f aca="false">(('Business Case'!B11*$C426*'Business Case'!B12*$B426)-'Business Case'!B11*$C426*'Business Case'!B13*$D426-'Business Case'!B14*$E426)-MAX(0,(('Business Case'!B11*$C426*'Business Case'!B12*$B426)-'Business Case'!B11*$C426*'Business Case'!B13*$D426-'Business Case'!B14*$E426))*'Business Case'!$B$7-'Business Case'!$B$8*('Business Case'!B11*$C426*'Business Case'!B12*$B426)-'Business Case'!B15*$F426</f>
        <v>-1959435302.2822</v>
      </c>
      <c r="I426" s="39" t="n">
        <f aca="false">(('Business Case'!C11*$C426*'Business Case'!C12*$B426)-'Business Case'!C11*$C426*'Business Case'!C13*$D426-'Business Case'!C14*$E426)-MAX(0,(('Business Case'!C11*$C426*'Business Case'!C12*$B426)-'Business Case'!C11*$C426*'Business Case'!C13*$D426-'Business Case'!C14*$E426))*'Business Case'!$B$7-'Business Case'!$B$8*(('Business Case'!C11*$C426*'Business Case'!C12*$B426)-('Business Case'!B11*$C426*'Business Case'!B12*$B426))-'Business Case'!C15*$F426</f>
        <v>50566815.8291662</v>
      </c>
      <c r="J426" s="39" t="n">
        <f aca="false">(('Business Case'!D11*$C426*'Business Case'!D12*$B426)-'Business Case'!D11*$C426*'Business Case'!D13*$D426-'Business Case'!D14*$E426)-MAX(0,(('Business Case'!D11*$C426*'Business Case'!D12*$B426)-'Business Case'!D11*$C426*'Business Case'!D13*$D426-'Business Case'!D14*$E426))*'Business Case'!$B$7-'Business Case'!$B$8*(('Business Case'!D11*$C426*'Business Case'!D12*$B426)-('Business Case'!C11*$C426*'Business Case'!C12*$B426))-'Business Case'!D15*$F426</f>
        <v>401749210.84142</v>
      </c>
      <c r="K426" s="39" t="n">
        <f aca="false">(('Business Case'!E11*$C426*'Business Case'!E12*$B426)-'Business Case'!E11*$C426*'Business Case'!E13*$D426-'Business Case'!E14*$E426)-MAX(0,(('Business Case'!E11*$C426*'Business Case'!E12*$B426)-'Business Case'!E11*$C426*'Business Case'!E13*$D426-'Business Case'!E14*$E426))*'Business Case'!$B$7-'Business Case'!$B$8*(('Business Case'!E11*$C426*'Business Case'!E12*$B426)-('Business Case'!D11*$C426*'Business Case'!D12*$B426))-'Business Case'!E15*$F426</f>
        <v>801917488.410728</v>
      </c>
      <c r="L426" s="39" t="n">
        <f aca="false">(('Business Case'!F11*$C426*'Business Case'!F12*$B426)-'Business Case'!F11*$C426*'Business Case'!F13*$D426-'Business Case'!F14*$E426)-MAX(0,(('Business Case'!F11*$C426*'Business Case'!F12*$B426)-'Business Case'!F11*$C426*'Business Case'!F13*$D426-'Business Case'!F14*$E426))*'Business Case'!$B$7-'Business Case'!$B$8*(('Business Case'!F11*$C426*'Business Case'!F12*$B426)-('Business Case'!E11*$C426*'Business Case'!E12*$B426))-'Business Case'!F15*$F426</f>
        <v>958480315.686273</v>
      </c>
      <c r="M426" s="39" t="n">
        <f aca="false">(('Business Case'!G11*$C426*'Business Case'!G12*$B426)-'Business Case'!G11*$C426*'Business Case'!G13*$D426-'Business Case'!G14*$E426)-MAX(0,(('Business Case'!G11*$C426*'Business Case'!G12*$B426)-'Business Case'!G11*$C426*'Business Case'!G13*$D426-'Business Case'!G14*$E426))*'Business Case'!$B$7-'Business Case'!$B$8*(('Business Case'!G11*$C426*'Business Case'!G12*$B426)-('Business Case'!F11*$C426*'Business Case'!F12*$B426))-'Business Case'!G15*$F426+'Business Case'!$B$8*('Business Case'!G11*$C426*'Business Case'!G12*$B426)</f>
        <v>1175741474.84597</v>
      </c>
      <c r="N426" s="39" t="n">
        <f aca="false">IF(COUNT('Business Case'!B11:G11)=0,"",H426+NPV(G426,I426:M426))</f>
        <v>470972057.366235</v>
      </c>
      <c r="P426" s="40" t="n">
        <f aca="true">RAND()</f>
        <v>0.950735633770186</v>
      </c>
      <c r="Q426" s="40" t="n">
        <f aca="true">RAND()</f>
        <v>0.97736982541346</v>
      </c>
      <c r="R426" s="40" t="n">
        <f aca="true">RAND()</f>
        <v>0.703108021494797</v>
      </c>
      <c r="S426" s="40" t="n">
        <f aca="true">RAND()</f>
        <v>0.440310698771687</v>
      </c>
      <c r="T426" s="40" t="n">
        <f aca="true">RAND()</f>
        <v>0.0706511031475196</v>
      </c>
      <c r="U426" s="40" t="n">
        <f aca="true">RAND()</f>
        <v>0.0131207329424361</v>
      </c>
    </row>
    <row r="427" customFormat="false" ht="15" hidden="false" customHeight="false" outlineLevel="0" collapsed="false">
      <c r="A427" s="36" t="n">
        <v>347</v>
      </c>
      <c r="B427" s="37" t="n">
        <f aca="false">1+IF($G$6=$E$6,$F$6,IF(P427&lt;($F$6-$E$6)/($G$6-$E$6),$E$6+SQRT(P427*($G$6-$E$6)*($F$6-$E$6)),$G$6-SQRT((1-P427)*($G$6-$E$6)*($G$6-$F$6))))</f>
        <v>0.974977639569514</v>
      </c>
      <c r="C427" s="37" t="n">
        <f aca="false">1+IF($G$7=$E$7,$F$7,IF(Q427&lt;($F$7-$E$7)/($G$7-$E$7),$E$7+SQRT(Q427*($G$7-$E$7)*($F$7-$E$7)),$G$7-SQRT((1-Q427)*($G$7-$E$7)*($G$7-$F$7))))</f>
        <v>1.02257967732786</v>
      </c>
      <c r="D427" s="37" t="n">
        <f aca="false">1+IF($G$8=$E$8,$F$8,IF(R427&lt;($F$8-$E$8)/($G$8-$E$8),$E$8+SQRT(R427*($G$8-$E$8)*($F$8-$E$8)),$G$8-SQRT((1-R427)*($G$8-$E$8)*($G$8-$F$8))))</f>
        <v>1.02502924571214</v>
      </c>
      <c r="E427" s="37" t="n">
        <f aca="false">1+IF($G$9=$E$9,$F$9,IF(S427&lt;($F$9-$E$9)/($G$9-$E$9),$E$9+SQRT(S427*($G$9-$E$9)*($F$9-$E$9)),$G$9-SQRT((1-S427)*($G$9-$E$9)*($G$9-$F$9))))</f>
        <v>0.996936083110576</v>
      </c>
      <c r="F427" s="37" t="n">
        <f aca="false">1+IF($G$10=$E$10,$F$10,IF(T427&lt;($F$10-$E$10)/($G$10-$E$10),$E$10+SQRT(T427*($G$10-$E$10)*($F$10-$E$10)),$G$10-SQRT((1-T427)*($G$10-$E$10)*($G$10-$F$10))))</f>
        <v>1.00567039660585</v>
      </c>
      <c r="G427" s="38" t="n">
        <f aca="false">IF($G$11=$E$11,$F$11,IF(U427&lt;($F$11-$E$11)/($G$11-$E$11),$E$11+SQRT(U427*($G$11-$E$11)*($F$11-$E$11)),$G$11-SQRT((1-U427)*($G$11-$E$11)*($G$11-$F$11))))</f>
        <v>0.103861433909641</v>
      </c>
      <c r="H427" s="39" t="n">
        <f aca="false">(('Business Case'!B11*$C427*'Business Case'!B12*$B427)-'Business Case'!B11*$C427*'Business Case'!B13*$D427-'Business Case'!B14*$E427)-MAX(0,(('Business Case'!B11*$C427*'Business Case'!B12*$B427)-'Business Case'!B11*$C427*'Business Case'!B13*$D427-'Business Case'!B14*$E427))*'Business Case'!$B$7-'Business Case'!$B$8*('Business Case'!B11*$C427*'Business Case'!B12*$B427)-'Business Case'!B15*$F427</f>
        <v>-2011340793.2117</v>
      </c>
      <c r="I427" s="39" t="n">
        <f aca="false">(('Business Case'!C11*$C427*'Business Case'!C12*$B427)-'Business Case'!C11*$C427*'Business Case'!C13*$D427-'Business Case'!C14*$E427)-MAX(0,(('Business Case'!C11*$C427*'Business Case'!C12*$B427)-'Business Case'!C11*$C427*'Business Case'!C13*$D427-'Business Case'!C14*$E427))*'Business Case'!$B$7-'Business Case'!$B$8*(('Business Case'!C11*$C427*'Business Case'!C12*$B427)-('Business Case'!B11*$C427*'Business Case'!B12*$B427))-'Business Case'!C15*$F427</f>
        <v>-13988211.608687</v>
      </c>
      <c r="J427" s="39" t="n">
        <f aca="false">(('Business Case'!D11*$C427*'Business Case'!D12*$B427)-'Business Case'!D11*$C427*'Business Case'!D13*$D427-'Business Case'!D14*$E427)-MAX(0,(('Business Case'!D11*$C427*'Business Case'!D12*$B427)-'Business Case'!D11*$C427*'Business Case'!D13*$D427-'Business Case'!D14*$E427))*'Business Case'!$B$7-'Business Case'!$B$8*(('Business Case'!D11*$C427*'Business Case'!D12*$B427)-('Business Case'!C11*$C427*'Business Case'!C12*$B427))-'Business Case'!D15*$F427</f>
        <v>266039009.334113</v>
      </c>
      <c r="K427" s="39" t="n">
        <f aca="false">(('Business Case'!E11*$C427*'Business Case'!E12*$B427)-'Business Case'!E11*$C427*'Business Case'!E13*$D427-'Business Case'!E14*$E427)-MAX(0,(('Business Case'!E11*$C427*'Business Case'!E12*$B427)-'Business Case'!E11*$C427*'Business Case'!E13*$D427-'Business Case'!E14*$E427))*'Business Case'!$B$7-'Business Case'!$B$8*(('Business Case'!E11*$C427*'Business Case'!E12*$B427)-('Business Case'!D11*$C427*'Business Case'!D12*$B427))-'Business Case'!E15*$F427</f>
        <v>596349750.107206</v>
      </c>
      <c r="L427" s="39" t="n">
        <f aca="false">(('Business Case'!F11*$C427*'Business Case'!F12*$B427)-'Business Case'!F11*$C427*'Business Case'!F13*$D427-'Business Case'!F14*$E427)-MAX(0,(('Business Case'!F11*$C427*'Business Case'!F12*$B427)-'Business Case'!F11*$C427*'Business Case'!F13*$D427-'Business Case'!F14*$E427))*'Business Case'!$B$7-'Business Case'!$B$8*(('Business Case'!F11*$C427*'Business Case'!F12*$B427)-('Business Case'!E11*$C427*'Business Case'!E12*$B427))-'Business Case'!F15*$F427</f>
        <v>724148211.669857</v>
      </c>
      <c r="M427" s="39" t="n">
        <f aca="false">(('Business Case'!G11*$C427*'Business Case'!G12*$B427)-'Business Case'!G11*$C427*'Business Case'!G13*$D427-'Business Case'!G14*$E427)-MAX(0,(('Business Case'!G11*$C427*'Business Case'!G12*$B427)-'Business Case'!G11*$C427*'Business Case'!G13*$D427-'Business Case'!G14*$E427))*'Business Case'!$B$7-'Business Case'!$B$8*(('Business Case'!G11*$C427*'Business Case'!G12*$B427)-('Business Case'!F11*$C427*'Business Case'!F12*$B427))-'Business Case'!G15*$F427+'Business Case'!$B$8*('Business Case'!G11*$C427*'Business Case'!G12*$B427)</f>
        <v>913656511.86931</v>
      </c>
      <c r="N427" s="39" t="n">
        <f aca="false">IF(COUNT('Business Case'!B11:G11)=0,"",H427+NPV(G427,I427:M427))</f>
        <v>-317146673.123484</v>
      </c>
      <c r="P427" s="40" t="n">
        <f aca="true">RAND()</f>
        <v>0.314848005482858</v>
      </c>
      <c r="Q427" s="40" t="n">
        <f aca="true">RAND()</f>
        <v>0.690744026097688</v>
      </c>
      <c r="R427" s="40" t="n">
        <f aca="true">RAND()</f>
        <v>0.709443862790791</v>
      </c>
      <c r="S427" s="40" t="n">
        <f aca="true">RAND()</f>
        <v>0.293732786368391</v>
      </c>
      <c r="T427" s="40" t="n">
        <f aca="true">RAND()</f>
        <v>0.244720104893437</v>
      </c>
      <c r="U427" s="40" t="n">
        <f aca="true">RAND()</f>
        <v>0.565911140911852</v>
      </c>
    </row>
    <row r="428" customFormat="false" ht="15" hidden="false" customHeight="false" outlineLevel="0" collapsed="false">
      <c r="A428" s="36" t="n">
        <v>348</v>
      </c>
      <c r="B428" s="37" t="n">
        <f aca="false">1+IF($G$6=$E$6,$F$6,IF(P428&lt;($F$6-$E$6)/($G$6-$E$6),$E$6+SQRT(P428*($G$6-$E$6)*($F$6-$E$6)),$G$6-SQRT((1-P428)*($G$6-$E$6)*($G$6-$F$6))))</f>
        <v>0.969073050767859</v>
      </c>
      <c r="C428" s="37" t="n">
        <f aca="false">1+IF($G$7=$E$7,$F$7,IF(Q428&lt;($F$7-$E$7)/($G$7-$E$7),$E$7+SQRT(Q428*($G$7-$E$7)*($F$7-$E$7)),$G$7-SQRT((1-Q428)*($G$7-$E$7)*($G$7-$F$7))))</f>
        <v>0.932474179073284</v>
      </c>
      <c r="D428" s="37" t="n">
        <f aca="false">1+IF($G$8=$E$8,$F$8,IF(R428&lt;($F$8-$E$8)/($G$8-$E$8),$E$8+SQRT(R428*($G$8-$E$8)*($F$8-$E$8)),$G$8-SQRT((1-R428)*($G$8-$E$8)*($G$8-$F$8))))</f>
        <v>1.01694956022166</v>
      </c>
      <c r="E428" s="37" t="n">
        <f aca="false">1+IF($G$9=$E$9,$F$9,IF(S428&lt;($F$9-$E$9)/($G$9-$E$9),$E$9+SQRT(S428*($G$9-$E$9)*($F$9-$E$9)),$G$9-SQRT((1-S428)*($G$9-$E$9)*($G$9-$F$9))))</f>
        <v>1.02023623879042</v>
      </c>
      <c r="F428" s="37" t="n">
        <f aca="false">1+IF($G$10=$E$10,$F$10,IF(T428&lt;($F$10-$E$10)/($G$10-$E$10),$E$10+SQRT(T428*($G$10-$E$10)*($F$10-$E$10)),$G$10-SQRT((1-T428)*($G$10-$E$10)*($G$10-$F$10))))</f>
        <v>1.02948922625045</v>
      </c>
      <c r="G428" s="38" t="n">
        <f aca="false">IF($G$11=$E$11,$F$11,IF(U428&lt;($F$11-$E$11)/($G$11-$E$11),$E$11+SQRT(U428*($G$11-$E$11)*($F$11-$E$11)),$G$11-SQRT((1-U428)*($G$11-$E$11)*($G$11-$F$11))))</f>
        <v>0.113908208108531</v>
      </c>
      <c r="H428" s="39" t="n">
        <f aca="false">(('Business Case'!B11*$C428*'Business Case'!B12*$B428)-'Business Case'!B11*$C428*'Business Case'!B13*$D428-'Business Case'!B14*$E428)-MAX(0,(('Business Case'!B11*$C428*'Business Case'!B12*$B428)-'Business Case'!B11*$C428*'Business Case'!B13*$D428-'Business Case'!B14*$E428))*'Business Case'!$B$7-'Business Case'!$B$8*('Business Case'!B11*$C428*'Business Case'!B12*$B428)-'Business Case'!B15*$F428</f>
        <v>-2058978452.5009</v>
      </c>
      <c r="I428" s="39" t="n">
        <f aca="false">(('Business Case'!C11*$C428*'Business Case'!C12*$B428)-'Business Case'!C11*$C428*'Business Case'!C13*$D428-'Business Case'!C14*$E428)-MAX(0,(('Business Case'!C11*$C428*'Business Case'!C12*$B428)-'Business Case'!C11*$C428*'Business Case'!C13*$D428-'Business Case'!C14*$E428))*'Business Case'!$B$7-'Business Case'!$B$8*(('Business Case'!C11*$C428*'Business Case'!C12*$B428)-('Business Case'!B11*$C428*'Business Case'!B12*$B428))-'Business Case'!C15*$F428</f>
        <v>-40171460.3604502</v>
      </c>
      <c r="J428" s="39" t="n">
        <f aca="false">(('Business Case'!D11*$C428*'Business Case'!D12*$B428)-'Business Case'!D11*$C428*'Business Case'!D13*$D428-'Business Case'!D14*$E428)-MAX(0,(('Business Case'!D11*$C428*'Business Case'!D12*$B428)-'Business Case'!D11*$C428*'Business Case'!D13*$D428-'Business Case'!D14*$E428))*'Business Case'!$B$7-'Business Case'!$B$8*(('Business Case'!D11*$C428*'Business Case'!D12*$B428)-('Business Case'!C11*$C428*'Business Case'!C12*$B428))-'Business Case'!D15*$F428</f>
        <v>214528064.433339</v>
      </c>
      <c r="K428" s="39" t="n">
        <f aca="false">(('Business Case'!E11*$C428*'Business Case'!E12*$B428)-'Business Case'!E11*$C428*'Business Case'!E13*$D428-'Business Case'!E14*$E428)-MAX(0,(('Business Case'!E11*$C428*'Business Case'!E12*$B428)-'Business Case'!E11*$C428*'Business Case'!E13*$D428-'Business Case'!E14*$E428))*'Business Case'!$B$7-'Business Case'!$B$8*(('Business Case'!E11*$C428*'Business Case'!E12*$B428)-('Business Case'!D11*$C428*'Business Case'!D12*$B428))-'Business Case'!E15*$F428</f>
        <v>520702050.539651</v>
      </c>
      <c r="L428" s="39" t="n">
        <f aca="false">(('Business Case'!F11*$C428*'Business Case'!F12*$B428)-'Business Case'!F11*$C428*'Business Case'!F13*$D428-'Business Case'!F14*$E428)-MAX(0,(('Business Case'!F11*$C428*'Business Case'!F12*$B428)-'Business Case'!F11*$C428*'Business Case'!F13*$D428-'Business Case'!F14*$E428))*'Business Case'!$B$7-'Business Case'!$B$8*(('Business Case'!F11*$C428*'Business Case'!F12*$B428)-('Business Case'!E11*$C428*'Business Case'!E12*$B428))-'Business Case'!F15*$F428</f>
        <v>636831538.386379</v>
      </c>
      <c r="M428" s="39" t="n">
        <f aca="false">(('Business Case'!G11*$C428*'Business Case'!G12*$B428)-'Business Case'!G11*$C428*'Business Case'!G13*$D428-'Business Case'!G14*$E428)-MAX(0,(('Business Case'!G11*$C428*'Business Case'!G12*$B428)-'Business Case'!G11*$C428*'Business Case'!G13*$D428-'Business Case'!G14*$E428))*'Business Case'!$B$7-'Business Case'!$B$8*(('Business Case'!G11*$C428*'Business Case'!G12*$B428)-('Business Case'!F11*$C428*'Business Case'!F12*$B428))-'Business Case'!G15*$F428+'Business Case'!$B$8*('Business Case'!G11*$C428*'Business Case'!G12*$B428)</f>
        <v>808594592.75477</v>
      </c>
      <c r="N428" s="39" t="n">
        <f aca="false">IF(COUNT('Business Case'!B11:G11)=0,"",H428+NPV(G428,I428:M428))</f>
        <v>-660259905.212144</v>
      </c>
      <c r="P428" s="40" t="n">
        <f aca="true">RAND()</f>
        <v>0.250850449131759</v>
      </c>
      <c r="Q428" s="40" t="n">
        <f aca="true">RAND()</f>
        <v>0.250705830302009</v>
      </c>
      <c r="R428" s="40" t="n">
        <f aca="true">RAND()</f>
        <v>0.617754042669082</v>
      </c>
      <c r="S428" s="40" t="n">
        <f aca="true">RAND()</f>
        <v>0.575849493180028</v>
      </c>
      <c r="T428" s="40" t="n">
        <f aca="true">RAND()</f>
        <v>0.418521520706594</v>
      </c>
      <c r="U428" s="40" t="n">
        <f aca="true">RAND()</f>
        <v>0.938150119251717</v>
      </c>
    </row>
    <row r="429" customFormat="false" ht="15" hidden="false" customHeight="false" outlineLevel="0" collapsed="false">
      <c r="A429" s="36" t="n">
        <v>349</v>
      </c>
      <c r="B429" s="37" t="n">
        <f aca="false">1+IF($G$6=$E$6,$F$6,IF(P429&lt;($F$6-$E$6)/($G$6-$E$6),$E$6+SQRT(P429*($G$6-$E$6)*($F$6-$E$6)),$G$6-SQRT((1-P429)*($G$6-$E$6)*($G$6-$F$6))))</f>
        <v>0.973434701029498</v>
      </c>
      <c r="C429" s="37" t="n">
        <f aca="false">1+IF($G$7=$E$7,$F$7,IF(Q429&lt;($F$7-$E$7)/($G$7-$E$7),$E$7+SQRT(Q429*($G$7-$E$7)*($F$7-$E$7)),$G$7-SQRT((1-Q429)*($G$7-$E$7)*($G$7-$F$7))))</f>
        <v>1.00992815867151</v>
      </c>
      <c r="D429" s="37" t="n">
        <f aca="false">1+IF($G$8=$E$8,$F$8,IF(R429&lt;($F$8-$E$8)/($G$8-$E$8),$E$8+SQRT(R429*($G$8-$E$8)*($F$8-$E$8)),$G$8-SQRT((1-R429)*($G$8-$E$8)*($G$8-$F$8))))</f>
        <v>1.00042295365618</v>
      </c>
      <c r="E429" s="37" t="n">
        <f aca="false">1+IF($G$9=$E$9,$F$9,IF(S429&lt;($F$9-$E$9)/($G$9-$E$9),$E$9+SQRT(S429*($G$9-$E$9)*($F$9-$E$9)),$G$9-SQRT((1-S429)*($G$9-$E$9)*($G$9-$F$9))))</f>
        <v>0.987087395786999</v>
      </c>
      <c r="F429" s="37" t="n">
        <f aca="false">1+IF($G$10=$E$10,$F$10,IF(T429&lt;($F$10-$E$10)/($G$10-$E$10),$E$10+SQRT(T429*($G$10-$E$10)*($F$10-$E$10)),$G$10-SQRT((1-T429)*($G$10-$E$10)*($G$10-$F$10))))</f>
        <v>1.13890843066629</v>
      </c>
      <c r="G429" s="38" t="n">
        <f aca="false">IF($G$11=$E$11,$F$11,IF(U429&lt;($F$11-$E$11)/($G$11-$E$11),$E$11+SQRT(U429*($G$11-$E$11)*($F$11-$E$11)),$G$11-SQRT((1-U429)*($G$11-$E$11)*($G$11-$F$11))))</f>
        <v>0.103253524362559</v>
      </c>
      <c r="H429" s="39" t="n">
        <f aca="false">(('Business Case'!B11*$C429*'Business Case'!B12*$B429)-'Business Case'!B11*$C429*'Business Case'!B13*$D429-'Business Case'!B14*$E429)-MAX(0,(('Business Case'!B11*$C429*'Business Case'!B12*$B429)-'Business Case'!B11*$C429*'Business Case'!B13*$D429-'Business Case'!B14*$E429))*'Business Case'!$B$7-'Business Case'!$B$8*('Business Case'!B11*$C429*'Business Case'!B12*$B429)-'Business Case'!B15*$F429</f>
        <v>-2277816861.33258</v>
      </c>
      <c r="I429" s="39" t="n">
        <f aca="false">(('Business Case'!C11*$C429*'Business Case'!C12*$B429)-'Business Case'!C11*$C429*'Business Case'!C13*$D429-'Business Case'!C14*$E429)-MAX(0,(('Business Case'!C11*$C429*'Business Case'!C12*$B429)-'Business Case'!C11*$C429*'Business Case'!C13*$D429-'Business Case'!C14*$E429))*'Business Case'!$B$7-'Business Case'!$B$8*(('Business Case'!C11*$C429*'Business Case'!C12*$B429)-('Business Case'!B11*$C429*'Business Case'!B12*$B429))-'Business Case'!C15*$F429</f>
        <v>-17210661.448376</v>
      </c>
      <c r="J429" s="39" t="n">
        <f aca="false">(('Business Case'!D11*$C429*'Business Case'!D12*$B429)-'Business Case'!D11*$C429*'Business Case'!D13*$D429-'Business Case'!D14*$E429)-MAX(0,(('Business Case'!D11*$C429*'Business Case'!D12*$B429)-'Business Case'!D11*$C429*'Business Case'!D13*$D429-'Business Case'!D14*$E429))*'Business Case'!$B$7-'Business Case'!$B$8*(('Business Case'!D11*$C429*'Business Case'!D12*$B429)-('Business Case'!C11*$C429*'Business Case'!C12*$B429))-'Business Case'!D15*$F429</f>
        <v>270797205.982636</v>
      </c>
      <c r="K429" s="39" t="n">
        <f aca="false">(('Business Case'!E11*$C429*'Business Case'!E12*$B429)-'Business Case'!E11*$C429*'Business Case'!E13*$D429-'Business Case'!E14*$E429)-MAX(0,(('Business Case'!E11*$C429*'Business Case'!E12*$B429)-'Business Case'!E11*$C429*'Business Case'!E13*$D429-'Business Case'!E14*$E429))*'Business Case'!$B$7-'Business Case'!$B$8*(('Business Case'!E11*$C429*'Business Case'!E12*$B429)-('Business Case'!D11*$C429*'Business Case'!D12*$B429))-'Business Case'!E15*$F429</f>
        <v>615750494.946962</v>
      </c>
      <c r="L429" s="39" t="n">
        <f aca="false">(('Business Case'!F11*$C429*'Business Case'!F12*$B429)-'Business Case'!F11*$C429*'Business Case'!F13*$D429-'Business Case'!F14*$E429)-MAX(0,(('Business Case'!F11*$C429*'Business Case'!F12*$B429)-'Business Case'!F11*$C429*'Business Case'!F13*$D429-'Business Case'!F14*$E429))*'Business Case'!$B$7-'Business Case'!$B$8*(('Business Case'!F11*$C429*'Business Case'!F12*$B429)-('Business Case'!E11*$C429*'Business Case'!E12*$B429))-'Business Case'!F15*$F429</f>
        <v>745729022.845197</v>
      </c>
      <c r="M429" s="39" t="n">
        <f aca="false">(('Business Case'!G11*$C429*'Business Case'!G12*$B429)-'Business Case'!G11*$C429*'Business Case'!G13*$D429-'Business Case'!G14*$E429)-MAX(0,(('Business Case'!G11*$C429*'Business Case'!G12*$B429)-'Business Case'!G11*$C429*'Business Case'!G13*$D429-'Business Case'!G14*$E429))*'Business Case'!$B$7-'Business Case'!$B$8*(('Business Case'!G11*$C429*'Business Case'!G12*$B429)-('Business Case'!F11*$C429*'Business Case'!F12*$B429))-'Business Case'!G15*$F429+'Business Case'!$B$8*('Business Case'!G11*$C429*'Business Case'!G12*$B429)</f>
        <v>932596502.661971</v>
      </c>
      <c r="N429" s="39" t="n">
        <f aca="false">IF(COUNT('Business Case'!B11:G11)=0,"",H429+NPV(G429,I429:M429))</f>
        <v>-538451773.808319</v>
      </c>
      <c r="P429" s="40" t="n">
        <f aca="true">RAND()</f>
        <v>0.297423674386654</v>
      </c>
      <c r="Q429" s="40" t="n">
        <f aca="true">RAND()</f>
        <v>0.626283414606615</v>
      </c>
      <c r="R429" s="40" t="n">
        <f aca="true">RAND()</f>
        <v>0.391105162999446</v>
      </c>
      <c r="S429" s="40" t="n">
        <f aca="true">RAND()</f>
        <v>0.183396656834863</v>
      </c>
      <c r="T429" s="40" t="n">
        <f aca="true">RAND()</f>
        <v>0.925356403126885</v>
      </c>
      <c r="U429" s="40" t="n">
        <f aca="true">RAND()</f>
        <v>0.532592589540979</v>
      </c>
    </row>
    <row r="430" customFormat="false" ht="15" hidden="false" customHeight="false" outlineLevel="0" collapsed="false">
      <c r="A430" s="36" t="n">
        <v>350</v>
      </c>
      <c r="B430" s="37" t="n">
        <f aca="false">1+IF($G$6=$E$6,$F$6,IF(P430&lt;($F$6-$E$6)/($G$6-$E$6),$E$6+SQRT(P430*($G$6-$E$6)*($F$6-$E$6)),$G$6-SQRT((1-P430)*($G$6-$E$6)*($G$6-$F$6))))</f>
        <v>1.00049087923909</v>
      </c>
      <c r="C430" s="37" t="n">
        <f aca="false">1+IF($G$7=$E$7,$F$7,IF(Q430&lt;($F$7-$E$7)/($G$7-$E$7),$E$7+SQRT(Q430*($G$7-$E$7)*($F$7-$E$7)),$G$7-SQRT((1-Q430)*($G$7-$E$7)*($G$7-$F$7))))</f>
        <v>1.01962881323147</v>
      </c>
      <c r="D430" s="37" t="n">
        <f aca="false">1+IF($G$8=$E$8,$F$8,IF(R430&lt;($F$8-$E$8)/($G$8-$E$8),$E$8+SQRT(R430*($G$8-$E$8)*($F$8-$E$8)),$G$8-SQRT((1-R430)*($G$8-$E$8)*($G$8-$F$8))))</f>
        <v>1.03948285034643</v>
      </c>
      <c r="E430" s="37" t="n">
        <f aca="false">1+IF($G$9=$E$9,$F$9,IF(S430&lt;($F$9-$E$9)/($G$9-$E$9),$E$9+SQRT(S430*($G$9-$E$9)*($F$9-$E$9)),$G$9-SQRT((1-S430)*($G$9-$E$9)*($G$9-$F$9))))</f>
        <v>1.0000176034952</v>
      </c>
      <c r="F430" s="37" t="n">
        <f aca="false">1+IF($G$10=$E$10,$F$10,IF(T430&lt;($F$10-$E$10)/($G$10-$E$10),$E$10+SQRT(T430*($G$10-$E$10)*($F$10-$E$10)),$G$10-SQRT((1-T430)*($G$10-$E$10)*($G$10-$F$10))))</f>
        <v>1.01814337919387</v>
      </c>
      <c r="G430" s="38" t="n">
        <f aca="false">IF($G$11=$E$11,$F$11,IF(U430&lt;($F$11-$E$11)/($G$11-$E$11),$E$11+SQRT(U430*($G$11-$E$11)*($F$11-$E$11)),$G$11-SQRT((1-U430)*($G$11-$E$11)*($G$11-$F$11))))</f>
        <v>0.101780338965069</v>
      </c>
      <c r="H430" s="39" t="n">
        <f aca="false">(('Business Case'!B11*$C430*'Business Case'!B12*$B430)-'Business Case'!B11*$C430*'Business Case'!B13*$D430-'Business Case'!B14*$E430)-MAX(0,(('Business Case'!B11*$C430*'Business Case'!B12*$B430)-'Business Case'!B11*$C430*'Business Case'!B13*$D430-'Business Case'!B14*$E430))*'Business Case'!$B$7-'Business Case'!$B$8*('Business Case'!B11*$C430*'Business Case'!B12*$B430)-'Business Case'!B15*$F430</f>
        <v>-2036286758.38775</v>
      </c>
      <c r="I430" s="39" t="n">
        <f aca="false">(('Business Case'!C11*$C430*'Business Case'!C12*$B430)-'Business Case'!C11*$C430*'Business Case'!C13*$D430-'Business Case'!C14*$E430)-MAX(0,(('Business Case'!C11*$C430*'Business Case'!C12*$B430)-'Business Case'!C11*$C430*'Business Case'!C13*$D430-'Business Case'!C14*$E430))*'Business Case'!$B$7-'Business Case'!$B$8*(('Business Case'!C11*$C430*'Business Case'!C12*$B430)-('Business Case'!B11*$C430*'Business Case'!B12*$B430))-'Business Case'!C15*$F430</f>
        <v>-3918158.25761342</v>
      </c>
      <c r="J430" s="39" t="n">
        <f aca="false">(('Business Case'!D11*$C430*'Business Case'!D12*$B430)-'Business Case'!D11*$C430*'Business Case'!D13*$D430-'Business Case'!D14*$E430)-MAX(0,(('Business Case'!D11*$C430*'Business Case'!D12*$B430)-'Business Case'!D11*$C430*'Business Case'!D13*$D430-'Business Case'!D14*$E430))*'Business Case'!$B$7-'Business Case'!$B$8*(('Business Case'!D11*$C430*'Business Case'!D12*$B430)-('Business Case'!C11*$C430*'Business Case'!C12*$B430))-'Business Case'!D15*$F430</f>
        <v>289064028.976791</v>
      </c>
      <c r="K430" s="39" t="n">
        <f aca="false">(('Business Case'!E11*$C430*'Business Case'!E12*$B430)-'Business Case'!E11*$C430*'Business Case'!E13*$D430-'Business Case'!E14*$E430)-MAX(0,(('Business Case'!E11*$C430*'Business Case'!E12*$B430)-'Business Case'!E11*$C430*'Business Case'!E13*$D430-'Business Case'!E14*$E430))*'Business Case'!$B$7-'Business Case'!$B$8*(('Business Case'!E11*$C430*'Business Case'!E12*$B430)-('Business Case'!D11*$C430*'Business Case'!D12*$B430))-'Business Case'!E15*$F430</f>
        <v>632953385.170889</v>
      </c>
      <c r="L430" s="39" t="n">
        <f aca="false">(('Business Case'!F11*$C430*'Business Case'!F12*$B430)-'Business Case'!F11*$C430*'Business Case'!F13*$D430-'Business Case'!F14*$E430)-MAX(0,(('Business Case'!F11*$C430*'Business Case'!F12*$B430)-'Business Case'!F11*$C430*'Business Case'!F13*$D430-'Business Case'!F14*$E430))*'Business Case'!$B$7-'Business Case'!$B$8*(('Business Case'!F11*$C430*'Business Case'!F12*$B430)-('Business Case'!E11*$C430*'Business Case'!E12*$B430))-'Business Case'!F15*$F430</f>
        <v>765869783.819432</v>
      </c>
      <c r="M430" s="39" t="n">
        <f aca="false">(('Business Case'!G11*$C430*'Business Case'!G12*$B430)-'Business Case'!G11*$C430*'Business Case'!G13*$D430-'Business Case'!G14*$E430)-MAX(0,(('Business Case'!G11*$C430*'Business Case'!G12*$B430)-'Business Case'!G11*$C430*'Business Case'!G13*$D430-'Business Case'!G14*$E430))*'Business Case'!$B$7-'Business Case'!$B$8*(('Business Case'!G11*$C430*'Business Case'!G12*$B430)-('Business Case'!F11*$C430*'Business Case'!F12*$B430))-'Business Case'!G15*$F430+'Business Case'!$B$8*('Business Case'!G11*$C430*'Business Case'!G12*$B430)</f>
        <v>959775966.456677</v>
      </c>
      <c r="N430" s="39" t="n">
        <f aca="false">IF(COUNT('Business Case'!B11:G11)=0,"",H430+NPV(G430,I430:M430))</f>
        <v>-217600271.01239</v>
      </c>
      <c r="P430" s="40" t="n">
        <f aca="true">RAND()</f>
        <v>0.674797786812464</v>
      </c>
      <c r="Q430" s="40" t="n">
        <f aca="true">RAND()</f>
        <v>0.676254355439324</v>
      </c>
      <c r="R430" s="40" t="n">
        <f aca="true">RAND()</f>
        <v>0.842150056149086</v>
      </c>
      <c r="S430" s="40" t="n">
        <f aca="true">RAND()</f>
        <v>0.333568025943853</v>
      </c>
      <c r="T430" s="40" t="n">
        <f aca="true">RAND()</f>
        <v>0.33856338937953</v>
      </c>
      <c r="U430" s="40" t="n">
        <f aca="true">RAND()</f>
        <v>0.446739919620379</v>
      </c>
    </row>
    <row r="431" customFormat="false" ht="15" hidden="false" customHeight="false" outlineLevel="0" collapsed="false">
      <c r="A431" s="36" t="n">
        <v>351</v>
      </c>
      <c r="B431" s="37" t="n">
        <f aca="false">1+IF($G$6=$E$6,$F$6,IF(P431&lt;($F$6-$E$6)/($G$6-$E$6),$E$6+SQRT(P431*($G$6-$E$6)*($F$6-$E$6)),$G$6-SQRT((1-P431)*($G$6-$E$6)*($G$6-$F$6))))</f>
        <v>0.981836077667047</v>
      </c>
      <c r="C431" s="37" t="n">
        <f aca="false">1+IF($G$7=$E$7,$F$7,IF(Q431&lt;($F$7-$E$7)/($G$7-$E$7),$E$7+SQRT(Q431*($G$7-$E$7)*($F$7-$E$7)),$G$7-SQRT((1-Q431)*($G$7-$E$7)*($G$7-$F$7))))</f>
        <v>1.02707412840503</v>
      </c>
      <c r="D431" s="37" t="n">
        <f aca="false">1+IF($G$8=$E$8,$F$8,IF(R431&lt;($F$8-$E$8)/($G$8-$E$8),$E$8+SQRT(R431*($G$8-$E$8)*($F$8-$E$8)),$G$8-SQRT((1-R431)*($G$8-$E$8)*($G$8-$F$8))))</f>
        <v>1.00606640309483</v>
      </c>
      <c r="E431" s="37" t="n">
        <f aca="false">1+IF($G$9=$E$9,$F$9,IF(S431&lt;($F$9-$E$9)/($G$9-$E$9),$E$9+SQRT(S431*($G$9-$E$9)*($F$9-$E$9)),$G$9-SQRT((1-S431)*($G$9-$E$9)*($G$9-$F$9))))</f>
        <v>1.02746741927497</v>
      </c>
      <c r="F431" s="37" t="n">
        <f aca="false">1+IF($G$10=$E$10,$F$10,IF(T431&lt;($F$10-$E$10)/($G$10-$E$10),$E$10+SQRT(T431*($G$10-$E$10)*($F$10-$E$10)),$G$10-SQRT((1-T431)*($G$10-$E$10)*($G$10-$F$10))))</f>
        <v>1.04330403431336</v>
      </c>
      <c r="G431" s="38" t="n">
        <f aca="false">IF($G$11=$E$11,$F$11,IF(U431&lt;($F$11-$E$11)/($G$11-$E$11),$E$11+SQRT(U431*($G$11-$E$11)*($F$11-$E$11)),$G$11-SQRT((1-U431)*($G$11-$E$11)*($G$11-$F$11))))</f>
        <v>0.0997767678455523</v>
      </c>
      <c r="H431" s="39" t="n">
        <f aca="false">(('Business Case'!B11*$C431*'Business Case'!B12*$B431)-'Business Case'!B11*$C431*'Business Case'!B13*$D431-'Business Case'!B14*$E431)-MAX(0,(('Business Case'!B11*$C431*'Business Case'!B12*$B431)-'Business Case'!B11*$C431*'Business Case'!B13*$D431-'Business Case'!B14*$E431))*'Business Case'!$B$7-'Business Case'!$B$8*('Business Case'!B11*$C431*'Business Case'!B12*$B431)-'Business Case'!B15*$F431</f>
        <v>-2086608068.62673</v>
      </c>
      <c r="I431" s="39" t="n">
        <f aca="false">(('Business Case'!C11*$C431*'Business Case'!C12*$B431)-'Business Case'!C11*$C431*'Business Case'!C13*$D431-'Business Case'!C14*$E431)-MAX(0,(('Business Case'!C11*$C431*'Business Case'!C12*$B431)-'Business Case'!C11*$C431*'Business Case'!C13*$D431-'Business Case'!C14*$E431))*'Business Case'!$B$7-'Business Case'!$B$8*(('Business Case'!C11*$C431*'Business Case'!C12*$B431)-('Business Case'!B11*$C431*'Business Case'!B12*$B431))-'Business Case'!C15*$F431</f>
        <v>-5714758.66782583</v>
      </c>
      <c r="J431" s="39" t="n">
        <f aca="false">(('Business Case'!D11*$C431*'Business Case'!D12*$B431)-'Business Case'!D11*$C431*'Business Case'!D13*$D431-'Business Case'!D14*$E431)-MAX(0,(('Business Case'!D11*$C431*'Business Case'!D12*$B431)-'Business Case'!D11*$C431*'Business Case'!D13*$D431-'Business Case'!D14*$E431))*'Business Case'!$B$7-'Business Case'!$B$8*(('Business Case'!D11*$C431*'Business Case'!D12*$B431)-('Business Case'!C11*$C431*'Business Case'!C12*$B431))-'Business Case'!D15*$F431</f>
        <v>291283164.71993</v>
      </c>
      <c r="K431" s="39" t="n">
        <f aca="false">(('Business Case'!E11*$C431*'Business Case'!E12*$B431)-'Business Case'!E11*$C431*'Business Case'!E13*$D431-'Business Case'!E14*$E431)-MAX(0,(('Business Case'!E11*$C431*'Business Case'!E12*$B431)-'Business Case'!E11*$C431*'Business Case'!E13*$D431-'Business Case'!E14*$E431))*'Business Case'!$B$7-'Business Case'!$B$8*(('Business Case'!E11*$C431*'Business Case'!E12*$B431)-('Business Case'!D11*$C431*'Business Case'!D12*$B431))-'Business Case'!E15*$F431</f>
        <v>640446289.823354</v>
      </c>
      <c r="L431" s="39" t="n">
        <f aca="false">(('Business Case'!F11*$C431*'Business Case'!F12*$B431)-'Business Case'!F11*$C431*'Business Case'!F13*$D431-'Business Case'!F14*$E431)-MAX(0,(('Business Case'!F11*$C431*'Business Case'!F12*$B431)-'Business Case'!F11*$C431*'Business Case'!F13*$D431-'Business Case'!F14*$E431))*'Business Case'!$B$7-'Business Case'!$B$8*(('Business Case'!F11*$C431*'Business Case'!F12*$B431)-('Business Case'!E11*$C431*'Business Case'!E12*$B431))-'Business Case'!F15*$F431</f>
        <v>774296538.688169</v>
      </c>
      <c r="M431" s="39" t="n">
        <f aca="false">(('Business Case'!G11*$C431*'Business Case'!G12*$B431)-'Business Case'!G11*$C431*'Business Case'!G13*$D431-'Business Case'!G14*$E431)-MAX(0,(('Business Case'!G11*$C431*'Business Case'!G12*$B431)-'Business Case'!G11*$C431*'Business Case'!G13*$D431-'Business Case'!G14*$E431))*'Business Case'!$B$7-'Business Case'!$B$8*(('Business Case'!G11*$C431*'Business Case'!G12*$B431)-('Business Case'!F11*$C431*'Business Case'!F12*$B431))-'Business Case'!G15*$F431+'Business Case'!$B$8*('Business Case'!G11*$C431*'Business Case'!G12*$B431)</f>
        <v>965976714.5671</v>
      </c>
      <c r="N431" s="39" t="n">
        <f aca="false">IF(COUNT('Business Case'!B11:G11)=0,"",H431+NPV(G431,I431:M431))</f>
        <v>-239817900.558755</v>
      </c>
      <c r="P431" s="40" t="n">
        <f aca="true">RAND()</f>
        <v>0.398302135546362</v>
      </c>
      <c r="Q431" s="40" t="n">
        <f aca="true">RAND()</f>
        <v>0.712175811287947</v>
      </c>
      <c r="R431" s="40" t="n">
        <f aca="true">RAND()</f>
        <v>0.474406081602284</v>
      </c>
      <c r="S431" s="40" t="n">
        <f aca="true">RAND()</f>
        <v>0.649268315557791</v>
      </c>
      <c r="T431" s="40" t="n">
        <f aca="true">RAND()</f>
        <v>0.50892748675065</v>
      </c>
      <c r="U431" s="40" t="n">
        <f aca="true">RAND()</f>
        <v>0.318617298352751</v>
      </c>
    </row>
    <row r="432" customFormat="false" ht="15" hidden="false" customHeight="false" outlineLevel="0" collapsed="false">
      <c r="A432" s="36" t="n">
        <v>352</v>
      </c>
      <c r="B432" s="37" t="n">
        <f aca="false">1+IF($G$6=$E$6,$F$6,IF(P432&lt;($F$6-$E$6)/($G$6-$E$6),$E$6+SQRT(P432*($G$6-$E$6)*($F$6-$E$6)),$G$6-SQRT((1-P432)*($G$6-$E$6)*($G$6-$F$6))))</f>
        <v>1.03276221426649</v>
      </c>
      <c r="C432" s="37" t="n">
        <f aca="false">1+IF($G$7=$E$7,$F$7,IF(Q432&lt;($F$7-$E$7)/($G$7-$E$7),$E$7+SQRT(Q432*($G$7-$E$7)*($F$7-$E$7)),$G$7-SQRT((1-Q432)*($G$7-$E$7)*($G$7-$F$7))))</f>
        <v>0.996639398361266</v>
      </c>
      <c r="D432" s="37" t="n">
        <f aca="false">1+IF($G$8=$E$8,$F$8,IF(R432&lt;($F$8-$E$8)/($G$8-$E$8),$E$8+SQRT(R432*($G$8-$E$8)*($F$8-$E$8)),$G$8-SQRT((1-R432)*($G$8-$E$8)*($G$8-$F$8))))</f>
        <v>0.997659077210574</v>
      </c>
      <c r="E432" s="37" t="n">
        <f aca="false">1+IF($G$9=$E$9,$F$9,IF(S432&lt;($F$9-$E$9)/($G$9-$E$9),$E$9+SQRT(S432*($G$9-$E$9)*($F$9-$E$9)),$G$9-SQRT((1-S432)*($G$9-$E$9)*($G$9-$F$9))))</f>
        <v>0.957792052372121</v>
      </c>
      <c r="F432" s="37" t="n">
        <f aca="false">1+IF($G$10=$E$10,$F$10,IF(T432&lt;($F$10-$E$10)/($G$10-$E$10),$E$10+SQRT(T432*($G$10-$E$10)*($F$10-$E$10)),$G$10-SQRT((1-T432)*($G$10-$E$10)*($G$10-$F$10))))</f>
        <v>0.982526079146268</v>
      </c>
      <c r="G432" s="38" t="n">
        <f aca="false">IF($G$11=$E$11,$F$11,IF(U432&lt;($F$11-$E$11)/($G$11-$E$11),$E$11+SQRT(U432*($G$11-$E$11)*($F$11-$E$11)),$G$11-SQRT((1-U432)*($G$11-$E$11)*($G$11-$F$11))))</f>
        <v>0.113242354221762</v>
      </c>
      <c r="H432" s="39" t="n">
        <f aca="false">(('Business Case'!B11*$C432*'Business Case'!B12*$B432)-'Business Case'!B11*$C432*'Business Case'!B13*$D432-'Business Case'!B14*$E432)-MAX(0,(('Business Case'!B11*$C432*'Business Case'!B12*$B432)-'Business Case'!B11*$C432*'Business Case'!B13*$D432-'Business Case'!B14*$E432))*'Business Case'!$B$7-'Business Case'!$B$8*('Business Case'!B11*$C432*'Business Case'!B12*$B432)-'Business Case'!B15*$F432</f>
        <v>-1965052158.29254</v>
      </c>
      <c r="I432" s="39" t="n">
        <f aca="false">(('Business Case'!C11*$C432*'Business Case'!C12*$B432)-'Business Case'!C11*$C432*'Business Case'!C13*$D432-'Business Case'!C14*$E432)-MAX(0,(('Business Case'!C11*$C432*'Business Case'!C12*$B432)-'Business Case'!C11*$C432*'Business Case'!C13*$D432-'Business Case'!C14*$E432))*'Business Case'!$B$7-'Business Case'!$B$8*(('Business Case'!C11*$C432*'Business Case'!C12*$B432)-('Business Case'!B11*$C432*'Business Case'!B12*$B432))-'Business Case'!C15*$F432</f>
        <v>46249444.635552</v>
      </c>
      <c r="J432" s="39" t="n">
        <f aca="false">(('Business Case'!D11*$C432*'Business Case'!D12*$B432)-'Business Case'!D11*$C432*'Business Case'!D13*$D432-'Business Case'!D14*$E432)-MAX(0,(('Business Case'!D11*$C432*'Business Case'!D12*$B432)-'Business Case'!D11*$C432*'Business Case'!D13*$D432-'Business Case'!D14*$E432))*'Business Case'!$B$7-'Business Case'!$B$8*(('Business Case'!D11*$C432*'Business Case'!D12*$B432)-('Business Case'!C11*$C432*'Business Case'!C12*$B432))-'Business Case'!D15*$F432</f>
        <v>380307999.00874</v>
      </c>
      <c r="K432" s="39" t="n">
        <f aca="false">(('Business Case'!E11*$C432*'Business Case'!E12*$B432)-'Business Case'!E11*$C432*'Business Case'!E13*$D432-'Business Case'!E14*$E432)-MAX(0,(('Business Case'!E11*$C432*'Business Case'!E12*$B432)-'Business Case'!E11*$C432*'Business Case'!E13*$D432-'Business Case'!E14*$E432))*'Business Case'!$B$7-'Business Case'!$B$8*(('Business Case'!E11*$C432*'Business Case'!E12*$B432)-('Business Case'!D11*$C432*'Business Case'!D12*$B432))-'Business Case'!E15*$F432</f>
        <v>763492857.339242</v>
      </c>
      <c r="L432" s="39" t="n">
        <f aca="false">(('Business Case'!F11*$C432*'Business Case'!F12*$B432)-'Business Case'!F11*$C432*'Business Case'!F13*$D432-'Business Case'!F14*$E432)-MAX(0,(('Business Case'!F11*$C432*'Business Case'!F12*$B432)-'Business Case'!F11*$C432*'Business Case'!F13*$D432-'Business Case'!F14*$E432))*'Business Case'!$B$7-'Business Case'!$B$8*(('Business Case'!F11*$C432*'Business Case'!F12*$B432)-('Business Case'!E11*$C432*'Business Case'!E12*$B432))-'Business Case'!F15*$F432</f>
        <v>910418023.447433</v>
      </c>
      <c r="M432" s="39" t="n">
        <f aca="false">(('Business Case'!G11*$C432*'Business Case'!G12*$B432)-'Business Case'!G11*$C432*'Business Case'!G13*$D432-'Business Case'!G14*$E432)-MAX(0,(('Business Case'!G11*$C432*'Business Case'!G12*$B432)-'Business Case'!G11*$C432*'Business Case'!G13*$D432-'Business Case'!G14*$E432))*'Business Case'!$B$7-'Business Case'!$B$8*(('Business Case'!G11*$C432*'Business Case'!G12*$B432)-('Business Case'!F11*$C432*'Business Case'!F12*$B432))-'Business Case'!G15*$F432+'Business Case'!$B$8*('Business Case'!G11*$C432*'Business Case'!G12*$B432)</f>
        <v>1106065754.02498</v>
      </c>
      <c r="N432" s="39" t="n">
        <f aca="false">IF(COUNT('Business Case'!B11:G11)=0,"",H432+NPV(G432,I432:M432))</f>
        <v>176416547.311782</v>
      </c>
      <c r="P432" s="40" t="n">
        <f aca="true">RAND()</f>
        <v>0.989086345349135</v>
      </c>
      <c r="Q432" s="40" t="n">
        <f aca="true">RAND()</f>
        <v>0.552386471255439</v>
      </c>
      <c r="R432" s="40" t="n">
        <f aca="true">RAND()</f>
        <v>0.34944425239437</v>
      </c>
      <c r="S432" s="40" t="n">
        <f aca="true">RAND()</f>
        <v>0.00809547735598367</v>
      </c>
      <c r="T432" s="40" t="n">
        <f aca="true">RAND()</f>
        <v>0.0846356659703409</v>
      </c>
      <c r="U432" s="40" t="n">
        <f aca="true">RAND()</f>
        <v>0.923890372559771</v>
      </c>
    </row>
    <row r="433" customFormat="false" ht="15" hidden="false" customHeight="false" outlineLevel="0" collapsed="false">
      <c r="A433" s="36" t="n">
        <v>353</v>
      </c>
      <c r="B433" s="37" t="n">
        <f aca="false">1+IF($G$6=$E$6,$F$6,IF(P433&lt;($F$6-$E$6)/($G$6-$E$6),$E$6+SQRT(P433*($G$6-$E$6)*($F$6-$E$6)),$G$6-SQRT((1-P433)*($G$6-$E$6)*($G$6-$F$6))))</f>
        <v>0.954391075465073</v>
      </c>
      <c r="C433" s="37" t="n">
        <f aca="false">1+IF($G$7=$E$7,$F$7,IF(Q433&lt;($F$7-$E$7)/($G$7-$E$7),$E$7+SQRT(Q433*($G$7-$E$7)*($F$7-$E$7)),$G$7-SQRT((1-Q433)*($G$7-$E$7)*($G$7-$F$7))))</f>
        <v>1.00379532246063</v>
      </c>
      <c r="D433" s="37" t="n">
        <f aca="false">1+IF($G$8=$E$8,$F$8,IF(R433&lt;($F$8-$E$8)/($G$8-$E$8),$E$8+SQRT(R433*($G$8-$E$8)*($F$8-$E$8)),$G$8-SQRT((1-R433)*($G$8-$E$8)*($G$8-$F$8))))</f>
        <v>1.0026511548844</v>
      </c>
      <c r="E433" s="37" t="n">
        <f aca="false">1+IF($G$9=$E$9,$F$9,IF(S433&lt;($F$9-$E$9)/($G$9-$E$9),$E$9+SQRT(S433*($G$9-$E$9)*($F$9-$E$9)),$G$9-SQRT((1-S433)*($G$9-$E$9)*($G$9-$F$9))))</f>
        <v>1.0448759264094</v>
      </c>
      <c r="F433" s="37" t="n">
        <f aca="false">1+IF($G$10=$E$10,$F$10,IF(T433&lt;($F$10-$E$10)/($G$10-$E$10),$E$10+SQRT(T433*($G$10-$E$10)*($F$10-$E$10)),$G$10-SQRT((1-T433)*($G$10-$E$10)*($G$10-$F$10))))</f>
        <v>1.09959819585135</v>
      </c>
      <c r="G433" s="38" t="n">
        <f aca="false">IF($G$11=$E$11,$F$11,IF(U433&lt;($F$11-$E$11)/($G$11-$E$11),$E$11+SQRT(U433*($G$11-$E$11)*($F$11-$E$11)),$G$11-SQRT((1-U433)*($G$11-$E$11)*($G$11-$F$11))))</f>
        <v>0.10944555395024</v>
      </c>
      <c r="H433" s="39" t="n">
        <f aca="false">(('Business Case'!B11*$C433*'Business Case'!B12*$B433)-'Business Case'!B11*$C433*'Business Case'!B13*$D433-'Business Case'!B14*$E433)-MAX(0,(('Business Case'!B11*$C433*'Business Case'!B12*$B433)-'Business Case'!B11*$C433*'Business Case'!B13*$D433-'Business Case'!B14*$E433))*'Business Case'!$B$7-'Business Case'!$B$8*('Business Case'!B11*$C433*'Business Case'!B12*$B433)-'Business Case'!B15*$F433</f>
        <v>-2199196391.70269</v>
      </c>
      <c r="I433" s="39" t="n">
        <f aca="false">(('Business Case'!C11*$C433*'Business Case'!C12*$B433)-'Business Case'!C11*$C433*'Business Case'!C13*$D433-'Business Case'!C14*$E433)-MAX(0,(('Business Case'!C11*$C433*'Business Case'!C12*$B433)-'Business Case'!C11*$C433*'Business Case'!C13*$D433-'Business Case'!C14*$E433))*'Business Case'!$B$7-'Business Case'!$B$8*(('Business Case'!C11*$C433*'Business Case'!C12*$B433)-('Business Case'!B11*$C433*'Business Case'!B12*$B433))-'Business Case'!C15*$F433</f>
        <v>-38747949.7833107</v>
      </c>
      <c r="J433" s="39" t="n">
        <f aca="false">(('Business Case'!D11*$C433*'Business Case'!D12*$B433)-'Business Case'!D11*$C433*'Business Case'!D13*$D433-'Business Case'!D14*$E433)-MAX(0,(('Business Case'!D11*$C433*'Business Case'!D12*$B433)-'Business Case'!D11*$C433*'Business Case'!D13*$D433-'Business Case'!D14*$E433))*'Business Case'!$B$7-'Business Case'!$B$8*(('Business Case'!D11*$C433*'Business Case'!D12*$B433)-('Business Case'!C11*$C433*'Business Case'!C12*$B433))-'Business Case'!D15*$F433</f>
        <v>230708686.088555</v>
      </c>
      <c r="K433" s="39" t="n">
        <f aca="false">(('Business Case'!E11*$C433*'Business Case'!E12*$B433)-'Business Case'!E11*$C433*'Business Case'!E13*$D433-'Business Case'!E14*$E433)-MAX(0,(('Business Case'!E11*$C433*'Business Case'!E12*$B433)-'Business Case'!E11*$C433*'Business Case'!E13*$D433-'Business Case'!E14*$E433))*'Business Case'!$B$7-'Business Case'!$B$8*(('Business Case'!E11*$C433*'Business Case'!E12*$B433)-('Business Case'!D11*$C433*'Business Case'!D12*$B433))-'Business Case'!E15*$F433</f>
        <v>555145231.752989</v>
      </c>
      <c r="L433" s="39" t="n">
        <f aca="false">(('Business Case'!F11*$C433*'Business Case'!F12*$B433)-'Business Case'!F11*$C433*'Business Case'!F13*$D433-'Business Case'!F14*$E433)-MAX(0,(('Business Case'!F11*$C433*'Business Case'!F12*$B433)-'Business Case'!F11*$C433*'Business Case'!F13*$D433-'Business Case'!F14*$E433))*'Business Case'!$B$7-'Business Case'!$B$8*(('Business Case'!F11*$C433*'Business Case'!F12*$B433)-('Business Case'!E11*$C433*'Business Case'!E12*$B433))-'Business Case'!F15*$F433</f>
        <v>678073049.933361</v>
      </c>
      <c r="M433" s="39" t="n">
        <f aca="false">(('Business Case'!G11*$C433*'Business Case'!G12*$B433)-'Business Case'!G11*$C433*'Business Case'!G13*$D433-'Business Case'!G14*$E433)-MAX(0,(('Business Case'!G11*$C433*'Business Case'!G12*$B433)-'Business Case'!G11*$C433*'Business Case'!G13*$D433-'Business Case'!G14*$E433))*'Business Case'!$B$7-'Business Case'!$B$8*(('Business Case'!G11*$C433*'Business Case'!G12*$B433)-('Business Case'!F11*$C433*'Business Case'!F12*$B433))-'Business Case'!G15*$F433+'Business Case'!$B$8*('Business Case'!G11*$C433*'Business Case'!G12*$B433)</f>
        <v>860172217.493651</v>
      </c>
      <c r="N433" s="39" t="n">
        <f aca="false">IF(COUNT('Business Case'!B11:G11)=0,"",H433+NPV(G433,I433:M433))</f>
        <v>-680851627.956902</v>
      </c>
      <c r="P433" s="40" t="n">
        <f aca="true">RAND()</f>
        <v>0.123202715796283</v>
      </c>
      <c r="Q433" s="40" t="n">
        <f aca="true">RAND()</f>
        <v>0.592841757440194</v>
      </c>
      <c r="R433" s="40" t="n">
        <f aca="true">RAND()</f>
        <v>0.424726553777263</v>
      </c>
      <c r="S433" s="40" t="n">
        <f aca="true">RAND()</f>
        <v>0.7974224340519</v>
      </c>
      <c r="T433" s="40" t="n">
        <f aca="true">RAND()</f>
        <v>0.798389554473911</v>
      </c>
      <c r="U433" s="40" t="n">
        <f aca="true">RAND()</f>
        <v>0.814339447637839</v>
      </c>
    </row>
    <row r="434" customFormat="false" ht="15" hidden="false" customHeight="false" outlineLevel="0" collapsed="false">
      <c r="A434" s="36" t="n">
        <v>354</v>
      </c>
      <c r="B434" s="37" t="n">
        <f aca="false">1+IF($G$6=$E$6,$F$6,IF(P434&lt;($F$6-$E$6)/($G$6-$E$6),$E$6+SQRT(P434*($G$6-$E$6)*($F$6-$E$6)),$G$6-SQRT((1-P434)*($G$6-$E$6)*($G$6-$F$6))))</f>
        <v>1.03058826243998</v>
      </c>
      <c r="C434" s="37" t="n">
        <f aca="false">1+IF($G$7=$E$7,$F$7,IF(Q434&lt;($F$7-$E$7)/($G$7-$E$7),$E$7+SQRT(Q434*($G$7-$E$7)*($F$7-$E$7)),$G$7-SQRT((1-Q434)*($G$7-$E$7)*($G$7-$F$7))))</f>
        <v>0.942951884281989</v>
      </c>
      <c r="D434" s="37" t="n">
        <f aca="false">1+IF($G$8=$E$8,$F$8,IF(R434&lt;($F$8-$E$8)/($G$8-$E$8),$E$8+SQRT(R434*($G$8-$E$8)*($F$8-$E$8)),$G$8-SQRT((1-R434)*($G$8-$E$8)*($G$8-$F$8))))</f>
        <v>1.07566933490302</v>
      </c>
      <c r="E434" s="37" t="n">
        <f aca="false">1+IF($G$9=$E$9,$F$9,IF(S434&lt;($F$9-$E$9)/($G$9-$E$9),$E$9+SQRT(S434*($G$9-$E$9)*($F$9-$E$9)),$G$9-SQRT((1-S434)*($G$9-$E$9)*($G$9-$F$9))))</f>
        <v>1.02207415943621</v>
      </c>
      <c r="F434" s="37" t="n">
        <f aca="false">1+IF($G$10=$E$10,$F$10,IF(T434&lt;($F$10-$E$10)/($G$10-$E$10),$E$10+SQRT(T434*($G$10-$E$10)*($F$10-$E$10)),$G$10-SQRT((1-T434)*($G$10-$E$10)*($G$10-$F$10))))</f>
        <v>1.04210175639074</v>
      </c>
      <c r="G434" s="38" t="n">
        <f aca="false">IF($G$11=$E$11,$F$11,IF(U434&lt;($F$11-$E$11)/($G$11-$E$11),$E$11+SQRT(U434*($G$11-$E$11)*($F$11-$E$11)),$G$11-SQRT((1-U434)*($G$11-$E$11)*($G$11-$F$11))))</f>
        <v>0.0948145469694721</v>
      </c>
      <c r="H434" s="39" t="n">
        <f aca="false">(('Business Case'!B11*$C434*'Business Case'!B12*$B434)-'Business Case'!B11*$C434*'Business Case'!B13*$D434-'Business Case'!B14*$E434)-MAX(0,(('Business Case'!B11*$C434*'Business Case'!B12*$B434)-'Business Case'!B11*$C434*'Business Case'!B13*$D434-'Business Case'!B14*$E434))*'Business Case'!$B$7-'Business Case'!$B$8*('Business Case'!B11*$C434*'Business Case'!B12*$B434)-'Business Case'!B15*$F434</f>
        <v>-2084203512.78149</v>
      </c>
      <c r="I434" s="39" t="n">
        <f aca="false">(('Business Case'!C11*$C434*'Business Case'!C12*$B434)-'Business Case'!C11*$C434*'Business Case'!C13*$D434-'Business Case'!C14*$E434)-MAX(0,(('Business Case'!C11*$C434*'Business Case'!C12*$B434)-'Business Case'!C11*$C434*'Business Case'!C13*$D434-'Business Case'!C14*$E434))*'Business Case'!$B$7-'Business Case'!$B$8*(('Business Case'!C11*$C434*'Business Case'!C12*$B434)-('Business Case'!B11*$C434*'Business Case'!B12*$B434))-'Business Case'!C15*$F434</f>
        <v>-23199511.0657255</v>
      </c>
      <c r="J434" s="39" t="n">
        <f aca="false">(('Business Case'!D11*$C434*'Business Case'!D12*$B434)-'Business Case'!D11*$C434*'Business Case'!D13*$D434-'Business Case'!D14*$E434)-MAX(0,(('Business Case'!D11*$C434*'Business Case'!D12*$B434)-'Business Case'!D11*$C434*'Business Case'!D13*$D434-'Business Case'!D14*$E434))*'Business Case'!$B$7-'Business Case'!$B$8*(('Business Case'!D11*$C434*'Business Case'!D12*$B434)-('Business Case'!C11*$C434*'Business Case'!C12*$B434))-'Business Case'!D15*$F434</f>
        <v>253527959.243723</v>
      </c>
      <c r="K434" s="39" t="n">
        <f aca="false">(('Business Case'!E11*$C434*'Business Case'!E12*$B434)-'Business Case'!E11*$C434*'Business Case'!E13*$D434-'Business Case'!E14*$E434)-MAX(0,(('Business Case'!E11*$C434*'Business Case'!E12*$B434)-'Business Case'!E11*$C434*'Business Case'!E13*$D434-'Business Case'!E14*$E434))*'Business Case'!$B$7-'Business Case'!$B$8*(('Business Case'!E11*$C434*'Business Case'!E12*$B434)-('Business Case'!D11*$C434*'Business Case'!D12*$B434))-'Business Case'!E15*$F434</f>
        <v>582360517.372708</v>
      </c>
      <c r="L434" s="39" t="n">
        <f aca="false">(('Business Case'!F11*$C434*'Business Case'!F12*$B434)-'Business Case'!F11*$C434*'Business Case'!F13*$D434-'Business Case'!F14*$E434)-MAX(0,(('Business Case'!F11*$C434*'Business Case'!F12*$B434)-'Business Case'!F11*$C434*'Business Case'!F13*$D434-'Business Case'!F14*$E434))*'Business Case'!$B$7-'Business Case'!$B$8*(('Business Case'!F11*$C434*'Business Case'!F12*$B434)-('Business Case'!E11*$C434*'Business Case'!E12*$B434))-'Business Case'!F15*$F434</f>
        <v>708188247.652037</v>
      </c>
      <c r="M434" s="39" t="n">
        <f aca="false">(('Business Case'!G11*$C434*'Business Case'!G12*$B434)-'Business Case'!G11*$C434*'Business Case'!G13*$D434-'Business Case'!G14*$E434)-MAX(0,(('Business Case'!G11*$C434*'Business Case'!G12*$B434)-'Business Case'!G11*$C434*'Business Case'!G13*$D434-'Business Case'!G14*$E434))*'Business Case'!$B$7-'Business Case'!$B$8*(('Business Case'!G11*$C434*'Business Case'!G12*$B434)-('Business Case'!F11*$C434*'Business Case'!F12*$B434))-'Business Case'!G15*$F434+'Business Case'!$B$8*('Business Case'!G11*$C434*'Business Case'!G12*$B434)</f>
        <v>892907068.621026</v>
      </c>
      <c r="N434" s="39" t="n">
        <f aca="false">IF(COUNT('Business Case'!B11:G11)=0,"",H434+NPV(G434,I434:M434))</f>
        <v>-389483331.968017</v>
      </c>
      <c r="P434" s="40" t="n">
        <f aca="true">RAND()</f>
        <v>0.981545665854458</v>
      </c>
      <c r="Q434" s="40" t="n">
        <f aca="true">RAND()</f>
        <v>0.291932017425302</v>
      </c>
      <c r="R434" s="40" t="n">
        <f aca="true">RAND()</f>
        <v>0.99819666729017</v>
      </c>
      <c r="S434" s="40" t="n">
        <f aca="true">RAND()</f>
        <v>0.595170891495138</v>
      </c>
      <c r="T434" s="40" t="n">
        <f aca="true">RAND()</f>
        <v>0.501362893302246</v>
      </c>
      <c r="U434" s="40" t="n">
        <f aca="true">RAND()</f>
        <v>0.0772662084041764</v>
      </c>
    </row>
    <row r="435" customFormat="false" ht="15" hidden="false" customHeight="false" outlineLevel="0" collapsed="false">
      <c r="A435" s="36" t="n">
        <v>355</v>
      </c>
      <c r="B435" s="37" t="n">
        <f aca="false">1+IF($G$6=$E$6,$F$6,IF(P435&lt;($F$6-$E$6)/($G$6-$E$6),$E$6+SQRT(P435*($G$6-$E$6)*($F$6-$E$6)),$G$6-SQRT((1-P435)*($G$6-$E$6)*($G$6-$F$6))))</f>
        <v>0.935947096432185</v>
      </c>
      <c r="C435" s="37" t="n">
        <f aca="false">1+IF($G$7=$E$7,$F$7,IF(Q435&lt;($F$7-$E$7)/($G$7-$E$7),$E$7+SQRT(Q435*($G$7-$E$7)*($F$7-$E$7)),$G$7-SQRT((1-Q435)*($G$7-$E$7)*($G$7-$F$7))))</f>
        <v>1.09633095032785</v>
      </c>
      <c r="D435" s="37" t="n">
        <f aca="false">1+IF($G$8=$E$8,$F$8,IF(R435&lt;($F$8-$E$8)/($G$8-$E$8),$E$8+SQRT(R435*($G$8-$E$8)*($F$8-$E$8)),$G$8-SQRT((1-R435)*($G$8-$E$8)*($G$8-$F$8))))</f>
        <v>1.03789501650073</v>
      </c>
      <c r="E435" s="37" t="n">
        <f aca="false">1+IF($G$9=$E$9,$F$9,IF(S435&lt;($F$9-$E$9)/($G$9-$E$9),$E$9+SQRT(S435*($G$9-$E$9)*($F$9-$E$9)),$G$9-SQRT((1-S435)*($G$9-$E$9)*($G$9-$F$9))))</f>
        <v>0.985287135523339</v>
      </c>
      <c r="F435" s="37" t="n">
        <f aca="false">1+IF($G$10=$E$10,$F$10,IF(T435&lt;($F$10-$E$10)/($G$10-$E$10),$E$10+SQRT(T435*($G$10-$E$10)*($F$10-$E$10)),$G$10-SQRT((1-T435)*($G$10-$E$10)*($G$10-$F$10))))</f>
        <v>1.05556231949788</v>
      </c>
      <c r="G435" s="38" t="n">
        <f aca="false">IF($G$11=$E$11,$F$11,IF(U435&lt;($F$11-$E$11)/($G$11-$E$11),$E$11+SQRT(U435*($G$11-$E$11)*($F$11-$E$11)),$G$11-SQRT((1-U435)*($G$11-$E$11)*($G$11-$F$11))))</f>
        <v>0.097243281466621</v>
      </c>
      <c r="H435" s="39" t="n">
        <f aca="false">(('Business Case'!B11*$C435*'Business Case'!B12*$B435)-'Business Case'!B11*$C435*'Business Case'!B13*$D435-'Business Case'!B14*$E435)-MAX(0,(('Business Case'!B11*$C435*'Business Case'!B12*$B435)-'Business Case'!B11*$C435*'Business Case'!B13*$D435-'Business Case'!B14*$E435))*'Business Case'!$B$7-'Business Case'!$B$8*('Business Case'!B11*$C435*'Business Case'!B12*$B435)-'Business Case'!B15*$F435</f>
        <v>-2111124638.99576</v>
      </c>
      <c r="I435" s="39" t="n">
        <f aca="false">(('Business Case'!C11*$C435*'Business Case'!C12*$B435)-'Business Case'!C11*$C435*'Business Case'!C13*$D435-'Business Case'!C14*$E435)-MAX(0,(('Business Case'!C11*$C435*'Business Case'!C12*$B435)-'Business Case'!C11*$C435*'Business Case'!C13*$D435-'Business Case'!C14*$E435))*'Business Case'!$B$7-'Business Case'!$B$8*(('Business Case'!C11*$C435*'Business Case'!C12*$B435)-('Business Case'!B11*$C435*'Business Case'!B12*$B435))-'Business Case'!C15*$F435</f>
        <v>-40903048.2012535</v>
      </c>
      <c r="J435" s="39" t="n">
        <f aca="false">(('Business Case'!D11*$C435*'Business Case'!D12*$B435)-'Business Case'!D11*$C435*'Business Case'!D13*$D435-'Business Case'!D14*$E435)-MAX(0,(('Business Case'!D11*$C435*'Business Case'!D12*$B435)-'Business Case'!D11*$C435*'Business Case'!D13*$D435-'Business Case'!D14*$E435))*'Business Case'!$B$7-'Business Case'!$B$8*(('Business Case'!D11*$C435*'Business Case'!D12*$B435)-('Business Case'!C11*$C435*'Business Case'!C12*$B435))-'Business Case'!D15*$F435</f>
        <v>217051392.99933</v>
      </c>
      <c r="K435" s="39" t="n">
        <f aca="false">(('Business Case'!E11*$C435*'Business Case'!E12*$B435)-'Business Case'!E11*$C435*'Business Case'!E13*$D435-'Business Case'!E14*$E435)-MAX(0,(('Business Case'!E11*$C435*'Business Case'!E12*$B435)-'Business Case'!E11*$C435*'Business Case'!E13*$D435-'Business Case'!E14*$E435))*'Business Case'!$B$7-'Business Case'!$B$8*(('Business Case'!E11*$C435*'Business Case'!E12*$B435)-('Business Case'!D11*$C435*'Business Case'!D12*$B435))-'Business Case'!E15*$F435</f>
        <v>527783950.174808</v>
      </c>
      <c r="L435" s="39" t="n">
        <f aca="false">(('Business Case'!F11*$C435*'Business Case'!F12*$B435)-'Business Case'!F11*$C435*'Business Case'!F13*$D435-'Business Case'!F14*$E435)-MAX(0,(('Business Case'!F11*$C435*'Business Case'!F12*$B435)-'Business Case'!F11*$C435*'Business Case'!F13*$D435-'Business Case'!F14*$E435))*'Business Case'!$B$7-'Business Case'!$B$8*(('Business Case'!F11*$C435*'Business Case'!F12*$B435)-('Business Case'!E11*$C435*'Business Case'!E12*$B435))-'Business Case'!F15*$F435</f>
        <v>649231048.428756</v>
      </c>
      <c r="M435" s="39" t="n">
        <f aca="false">(('Business Case'!G11*$C435*'Business Case'!G12*$B435)-'Business Case'!G11*$C435*'Business Case'!G13*$D435-'Business Case'!G14*$E435)-MAX(0,(('Business Case'!G11*$C435*'Business Case'!G12*$B435)-'Business Case'!G11*$C435*'Business Case'!G13*$D435-'Business Case'!G14*$E435))*'Business Case'!$B$7-'Business Case'!$B$8*(('Business Case'!G11*$C435*'Business Case'!G12*$B435)-('Business Case'!F11*$C435*'Business Case'!F12*$B435))-'Business Case'!G15*$F435+'Business Case'!$B$8*('Business Case'!G11*$C435*'Business Case'!G12*$B435)</f>
        <v>844273613.291067</v>
      </c>
      <c r="N435" s="39" t="n">
        <f aca="false">IF(COUNT('Business Case'!B11:G11)=0,"",H435+NPV(G435,I435:M435))</f>
        <v>-589837971.766574</v>
      </c>
      <c r="P435" s="40" t="n">
        <f aca="true">RAND()</f>
        <v>0.0264906129809795</v>
      </c>
      <c r="Q435" s="40" t="n">
        <f aca="true">RAND()</f>
        <v>0.945135868710244</v>
      </c>
      <c r="R435" s="40" t="n">
        <f aca="true">RAND()</f>
        <v>0.829535611973651</v>
      </c>
      <c r="S435" s="40" t="n">
        <f aca="true">RAND()</f>
        <v>0.166024257792333</v>
      </c>
      <c r="T435" s="40" t="n">
        <f aca="true">RAND()</f>
        <v>0.58275512902335</v>
      </c>
      <c r="U435" s="40" t="n">
        <f aca="true">RAND()</f>
        <v>0.174883754682315</v>
      </c>
    </row>
    <row r="436" customFormat="false" ht="15" hidden="false" customHeight="false" outlineLevel="0" collapsed="false">
      <c r="A436" s="36" t="n">
        <v>356</v>
      </c>
      <c r="B436" s="37" t="n">
        <f aca="false">1+IF($G$6=$E$6,$F$6,IF(P436&lt;($F$6-$E$6)/($G$6-$E$6),$E$6+SQRT(P436*($G$6-$E$6)*($F$6-$E$6)),$G$6-SQRT((1-P436)*($G$6-$E$6)*($G$6-$F$6))))</f>
        <v>0.944218222776503</v>
      </c>
      <c r="C436" s="37" t="n">
        <f aca="false">1+IF($G$7=$E$7,$F$7,IF(Q436&lt;($F$7-$E$7)/($G$7-$E$7),$E$7+SQRT(Q436*($G$7-$E$7)*($F$7-$E$7)),$G$7-SQRT((1-Q436)*($G$7-$E$7)*($G$7-$F$7))))</f>
        <v>0.981492541305318</v>
      </c>
      <c r="D436" s="37" t="n">
        <f aca="false">1+IF($G$8=$E$8,$F$8,IF(R436&lt;($F$8-$E$8)/($G$8-$E$8),$E$8+SQRT(R436*($G$8-$E$8)*($F$8-$E$8)),$G$8-SQRT((1-R436)*($G$8-$E$8)*($G$8-$F$8))))</f>
        <v>0.967578430717001</v>
      </c>
      <c r="E436" s="37" t="n">
        <f aca="false">1+IF($G$9=$E$9,$F$9,IF(S436&lt;($F$9-$E$9)/($G$9-$E$9),$E$9+SQRT(S436*($G$9-$E$9)*($F$9-$E$9)),$G$9-SQRT((1-S436)*($G$9-$E$9)*($G$9-$F$9))))</f>
        <v>1.03437031986631</v>
      </c>
      <c r="F436" s="37" t="n">
        <f aca="false">1+IF($G$10=$E$10,$F$10,IF(T436&lt;($F$10-$E$10)/($G$10-$E$10),$E$10+SQRT(T436*($G$10-$E$10)*($F$10-$E$10)),$G$10-SQRT((1-T436)*($G$10-$E$10)*($G$10-$F$10))))</f>
        <v>0.995987762117708</v>
      </c>
      <c r="G436" s="38" t="n">
        <f aca="false">IF($G$11=$E$11,$F$11,IF(U436&lt;($F$11-$E$11)/($G$11-$E$11),$E$11+SQRT(U436*($G$11-$E$11)*($F$11-$E$11)),$G$11-SQRT((1-U436)*($G$11-$E$11)*($G$11-$F$11))))</f>
        <v>0.0985118386908553</v>
      </c>
      <c r="H436" s="39" t="n">
        <f aca="false">(('Business Case'!B11*$C436*'Business Case'!B12*$B436)-'Business Case'!B11*$C436*'Business Case'!B13*$D436-'Business Case'!B14*$E436)-MAX(0,(('Business Case'!B11*$C436*'Business Case'!B12*$B436)-'Business Case'!B11*$C436*'Business Case'!B13*$D436-'Business Case'!B14*$E436))*'Business Case'!$B$7-'Business Case'!$B$8*('Business Case'!B11*$C436*'Business Case'!B12*$B436)-'Business Case'!B15*$F436</f>
        <v>-1991975524.23542</v>
      </c>
      <c r="I436" s="39" t="n">
        <f aca="false">(('Business Case'!C11*$C436*'Business Case'!C12*$B436)-'Business Case'!C11*$C436*'Business Case'!C13*$D436-'Business Case'!C14*$E436)-MAX(0,(('Business Case'!C11*$C436*'Business Case'!C12*$B436)-'Business Case'!C11*$C436*'Business Case'!C13*$D436-'Business Case'!C14*$E436))*'Business Case'!$B$7-'Business Case'!$B$8*(('Business Case'!C11*$C436*'Business Case'!C12*$B436)-('Business Case'!B11*$C436*'Business Case'!B12*$B436))-'Business Case'!C15*$F436</f>
        <v>-21814825.5032789</v>
      </c>
      <c r="J436" s="39" t="n">
        <f aca="false">(('Business Case'!D11*$C436*'Business Case'!D12*$B436)-'Business Case'!D11*$C436*'Business Case'!D13*$D436-'Business Case'!D14*$E436)-MAX(0,(('Business Case'!D11*$C436*'Business Case'!D12*$B436)-'Business Case'!D11*$C436*'Business Case'!D13*$D436-'Business Case'!D14*$E436))*'Business Case'!$B$7-'Business Case'!$B$8*(('Business Case'!D11*$C436*'Business Case'!D12*$B436)-('Business Case'!C11*$C436*'Business Case'!C12*$B436))-'Business Case'!D15*$F436</f>
        <v>251098949.224343</v>
      </c>
      <c r="K436" s="39" t="n">
        <f aca="false">(('Business Case'!E11*$C436*'Business Case'!E12*$B436)-'Business Case'!E11*$C436*'Business Case'!E13*$D436-'Business Case'!E14*$E436)-MAX(0,(('Business Case'!E11*$C436*'Business Case'!E12*$B436)-'Business Case'!E11*$C436*'Business Case'!E13*$D436-'Business Case'!E14*$E436))*'Business Case'!$B$7-'Business Case'!$B$8*(('Business Case'!E11*$C436*'Business Case'!E12*$B436)-('Business Case'!D11*$C436*'Business Case'!D12*$B436))-'Business Case'!E15*$F436</f>
        <v>573812112.057851</v>
      </c>
      <c r="L436" s="39" t="n">
        <f aca="false">(('Business Case'!F11*$C436*'Business Case'!F12*$B436)-'Business Case'!F11*$C436*'Business Case'!F13*$D436-'Business Case'!F14*$E436)-MAX(0,(('Business Case'!F11*$C436*'Business Case'!F12*$B436)-'Business Case'!F11*$C436*'Business Case'!F13*$D436-'Business Case'!F14*$E436))*'Business Case'!$B$7-'Business Case'!$B$8*(('Business Case'!F11*$C436*'Business Case'!F12*$B436)-('Business Case'!E11*$C436*'Business Case'!E12*$B436))-'Business Case'!F15*$F436</f>
        <v>696811613.323153</v>
      </c>
      <c r="M436" s="39" t="n">
        <f aca="false">(('Business Case'!G11*$C436*'Business Case'!G12*$B436)-'Business Case'!G11*$C436*'Business Case'!G13*$D436-'Business Case'!G14*$E436)-MAX(0,(('Business Case'!G11*$C436*'Business Case'!G12*$B436)-'Business Case'!G11*$C436*'Business Case'!G13*$D436-'Business Case'!G14*$E436))*'Business Case'!$B$7-'Business Case'!$B$8*(('Business Case'!G11*$C436*'Business Case'!G12*$B436)-('Business Case'!F11*$C436*'Business Case'!F12*$B436))-'Business Case'!G15*$F436+'Business Case'!$B$8*('Business Case'!G11*$C436*'Business Case'!G12*$B436)</f>
        <v>872966949.948338</v>
      </c>
      <c r="N436" s="39" t="n">
        <f aca="false">IF(COUNT('Business Case'!B11:G11)=0,"",H436+NPV(G436,I436:M436))</f>
        <v>-346642363.811504</v>
      </c>
      <c r="P436" s="40" t="n">
        <f aca="true">RAND()</f>
        <v>0.0610960744221156</v>
      </c>
      <c r="Q436" s="40" t="n">
        <f aca="true">RAND()</f>
        <v>0.470564893563753</v>
      </c>
      <c r="R436" s="40" t="n">
        <f aca="true">RAND()</f>
        <v>0.0475386502265221</v>
      </c>
      <c r="S436" s="40" t="n">
        <f aca="true">RAND()</f>
        <v>0.712849672369959</v>
      </c>
      <c r="T436" s="40" t="n">
        <f aca="true">RAND()</f>
        <v>0.16918994116759</v>
      </c>
      <c r="U436" s="40" t="n">
        <f aca="true">RAND()</f>
        <v>0.241504659663806</v>
      </c>
    </row>
    <row r="437" customFormat="false" ht="15" hidden="false" customHeight="false" outlineLevel="0" collapsed="false">
      <c r="A437" s="36" t="n">
        <v>357</v>
      </c>
      <c r="B437" s="37" t="n">
        <f aca="false">1+IF($G$6=$E$6,$F$6,IF(P437&lt;($F$6-$E$6)/($G$6-$E$6),$E$6+SQRT(P437*($G$6-$E$6)*($F$6-$E$6)),$G$6-SQRT((1-P437)*($G$6-$E$6)*($G$6-$F$6))))</f>
        <v>1.02380338369071</v>
      </c>
      <c r="C437" s="37" t="n">
        <f aca="false">1+IF($G$7=$E$7,$F$7,IF(Q437&lt;($F$7-$E$7)/($G$7-$E$7),$E$7+SQRT(Q437*($G$7-$E$7)*($F$7-$E$7)),$G$7-SQRT((1-Q437)*($G$7-$E$7)*($G$7-$F$7))))</f>
        <v>1.02919897775412</v>
      </c>
      <c r="D437" s="37" t="n">
        <f aca="false">1+IF($G$8=$E$8,$F$8,IF(R437&lt;($F$8-$E$8)/($G$8-$E$8),$E$8+SQRT(R437*($G$8-$E$8)*($F$8-$E$8)),$G$8-SQRT((1-R437)*($G$8-$E$8)*($G$8-$F$8))))</f>
        <v>0.966594138356382</v>
      </c>
      <c r="E437" s="37" t="n">
        <f aca="false">1+IF($G$9=$E$9,$F$9,IF(S437&lt;($F$9-$E$9)/($G$9-$E$9),$E$9+SQRT(S437*($G$9-$E$9)*($F$9-$E$9)),$G$9-SQRT((1-S437)*($G$9-$E$9)*($G$9-$F$9))))</f>
        <v>1.0592166402862</v>
      </c>
      <c r="F437" s="37" t="n">
        <f aca="false">1+IF($G$10=$E$10,$F$10,IF(T437&lt;($F$10-$E$10)/($G$10-$E$10),$E$10+SQRT(T437*($G$10-$E$10)*($F$10-$E$10)),$G$10-SQRT((1-T437)*($G$10-$E$10)*($G$10-$F$10))))</f>
        <v>1.02259023650011</v>
      </c>
      <c r="G437" s="38" t="n">
        <f aca="false">IF($G$11=$E$11,$F$11,IF(U437&lt;($F$11-$E$11)/($G$11-$E$11),$E$11+SQRT(U437*($G$11-$E$11)*($F$11-$E$11)),$G$11-SQRT((1-U437)*($G$11-$E$11)*($G$11-$F$11))))</f>
        <v>0.0994968112296416</v>
      </c>
      <c r="H437" s="39" t="n">
        <f aca="false">(('Business Case'!B11*$C437*'Business Case'!B12*$B437)-'Business Case'!B11*$C437*'Business Case'!B13*$D437-'Business Case'!B14*$E437)-MAX(0,(('Business Case'!B11*$C437*'Business Case'!B12*$B437)-'Business Case'!B11*$C437*'Business Case'!B13*$D437-'Business Case'!B14*$E437))*'Business Case'!$B$7-'Business Case'!$B$8*('Business Case'!B11*$C437*'Business Case'!B12*$B437)-'Business Case'!B15*$F437</f>
        <v>-2045180473.00022</v>
      </c>
      <c r="I437" s="39" t="n">
        <f aca="false">(('Business Case'!C11*$C437*'Business Case'!C12*$B437)-'Business Case'!C11*$C437*'Business Case'!C13*$D437-'Business Case'!C14*$E437)-MAX(0,(('Business Case'!C11*$C437*'Business Case'!C12*$B437)-'Business Case'!C11*$C437*'Business Case'!C13*$D437-'Business Case'!C14*$E437))*'Business Case'!$B$7-'Business Case'!$B$8*(('Business Case'!C11*$C437*'Business Case'!C12*$B437)-('Business Case'!B11*$C437*'Business Case'!B12*$B437))-'Business Case'!C15*$F437</f>
        <v>46283654.0414525</v>
      </c>
      <c r="J437" s="39" t="n">
        <f aca="false">(('Business Case'!D11*$C437*'Business Case'!D12*$B437)-'Business Case'!D11*$C437*'Business Case'!D13*$D437-'Business Case'!D14*$E437)-MAX(0,(('Business Case'!D11*$C437*'Business Case'!D12*$B437)-'Business Case'!D11*$C437*'Business Case'!D13*$D437-'Business Case'!D14*$E437))*'Business Case'!$B$7-'Business Case'!$B$8*(('Business Case'!D11*$C437*'Business Case'!D12*$B437)-('Business Case'!C11*$C437*'Business Case'!C12*$B437))-'Business Case'!D15*$F437</f>
        <v>400070610.985883</v>
      </c>
      <c r="K437" s="39" t="n">
        <f aca="false">(('Business Case'!E11*$C437*'Business Case'!E12*$B437)-'Business Case'!E11*$C437*'Business Case'!E13*$D437-'Business Case'!E14*$E437)-MAX(0,(('Business Case'!E11*$C437*'Business Case'!E12*$B437)-'Business Case'!E11*$C437*'Business Case'!E13*$D437-'Business Case'!E14*$E437))*'Business Case'!$B$7-'Business Case'!$B$8*(('Business Case'!E11*$C437*'Business Case'!E12*$B437)-('Business Case'!D11*$C437*'Business Case'!D12*$B437))-'Business Case'!E15*$F437</f>
        <v>804987079.755319</v>
      </c>
      <c r="L437" s="39" t="n">
        <f aca="false">(('Business Case'!F11*$C437*'Business Case'!F12*$B437)-'Business Case'!F11*$C437*'Business Case'!F13*$D437-'Business Case'!F14*$E437)-MAX(0,(('Business Case'!F11*$C437*'Business Case'!F12*$B437)-'Business Case'!F11*$C437*'Business Case'!F13*$D437-'Business Case'!F14*$E437))*'Business Case'!$B$7-'Business Case'!$B$8*(('Business Case'!F11*$C437*'Business Case'!F12*$B437)-('Business Case'!E11*$C437*'Business Case'!E12*$B437))-'Business Case'!F15*$F437</f>
        <v>959331847.406308</v>
      </c>
      <c r="M437" s="39" t="n">
        <f aca="false">(('Business Case'!G11*$C437*'Business Case'!G12*$B437)-'Business Case'!G11*$C437*'Business Case'!G13*$D437-'Business Case'!G14*$E437)-MAX(0,(('Business Case'!G11*$C437*'Business Case'!G12*$B437)-'Business Case'!G11*$C437*'Business Case'!G13*$D437-'Business Case'!G14*$E437))*'Business Case'!$B$7-'Business Case'!$B$8*(('Business Case'!G11*$C437*'Business Case'!G12*$B437)-('Business Case'!F11*$C437*'Business Case'!F12*$B437))-'Business Case'!G15*$F437+'Business Case'!$B$8*('Business Case'!G11*$C437*'Business Case'!G12*$B437)</f>
        <v>1159618648.42196</v>
      </c>
      <c r="N437" s="39" t="n">
        <f aca="false">IF(COUNT('Business Case'!B11:G11)=0,"",H437+NPV(G437,I437:M437))</f>
        <v>311601807.193582</v>
      </c>
      <c r="P437" s="40" t="n">
        <f aca="true">RAND()</f>
        <v>0.945347837527012</v>
      </c>
      <c r="Q437" s="40" t="n">
        <f aca="true">RAND()</f>
        <v>0.722040248082848</v>
      </c>
      <c r="R437" s="40" t="n">
        <f aca="true">RAND()</f>
        <v>0.0423639119678093</v>
      </c>
      <c r="S437" s="40" t="n">
        <f aca="true">RAND()</f>
        <v>0.889114504697007</v>
      </c>
      <c r="T437" s="40" t="n">
        <f aca="true">RAND()</f>
        <v>0.37051551629825</v>
      </c>
      <c r="U437" s="40" t="n">
        <f aca="true">RAND()</f>
        <v>0.300631411771486</v>
      </c>
    </row>
    <row r="438" customFormat="false" ht="15" hidden="false" customHeight="false" outlineLevel="0" collapsed="false">
      <c r="A438" s="36" t="n">
        <v>358</v>
      </c>
      <c r="B438" s="37" t="n">
        <f aca="false">1+IF($G$6=$E$6,$F$6,IF(P438&lt;($F$6-$E$6)/($G$6-$E$6),$E$6+SQRT(P438*($G$6-$E$6)*($F$6-$E$6)),$G$6-SQRT((1-P438)*($G$6-$E$6)*($G$6-$F$6))))</f>
        <v>0.979112201336189</v>
      </c>
      <c r="C438" s="37" t="n">
        <f aca="false">1+IF($G$7=$E$7,$F$7,IF(Q438&lt;($F$7-$E$7)/($G$7-$E$7),$E$7+SQRT(Q438*($G$7-$E$7)*($F$7-$E$7)),$G$7-SQRT((1-Q438)*($G$7-$E$7)*($G$7-$F$7))))</f>
        <v>0.879007599686863</v>
      </c>
      <c r="D438" s="37" t="n">
        <f aca="false">1+IF($G$8=$E$8,$F$8,IF(R438&lt;($F$8-$E$8)/($G$8-$E$8),$E$8+SQRT(R438*($G$8-$E$8)*($F$8-$E$8)),$G$8-SQRT((1-R438)*($G$8-$E$8)*($G$8-$F$8))))</f>
        <v>1.00676798624525</v>
      </c>
      <c r="E438" s="37" t="n">
        <f aca="false">1+IF($G$9=$E$9,$F$9,IF(S438&lt;($F$9-$E$9)/($G$9-$E$9),$E$9+SQRT(S438*($G$9-$E$9)*($F$9-$E$9)),$G$9-SQRT((1-S438)*($G$9-$E$9)*($G$9-$F$9))))</f>
        <v>1.03588119017219</v>
      </c>
      <c r="F438" s="37" t="n">
        <f aca="false">1+IF($G$10=$E$10,$F$10,IF(T438&lt;($F$10-$E$10)/($G$10-$E$10),$E$10+SQRT(T438*($G$10-$E$10)*($F$10-$E$10)),$G$10-SQRT((1-T438)*($G$10-$E$10)*($G$10-$F$10))))</f>
        <v>1.17986935452518</v>
      </c>
      <c r="G438" s="38" t="n">
        <f aca="false">IF($G$11=$E$11,$F$11,IF(U438&lt;($F$11-$E$11)/($G$11-$E$11),$E$11+SQRT(U438*($G$11-$E$11)*($F$11-$E$11)),$G$11-SQRT((1-U438)*($G$11-$E$11)*($G$11-$F$11))))</f>
        <v>0.0949204063111546</v>
      </c>
      <c r="H438" s="39" t="n">
        <f aca="false">(('Business Case'!B11*$C438*'Business Case'!B12*$B438)-'Business Case'!B11*$C438*'Business Case'!B13*$D438-'Business Case'!B14*$E438)-MAX(0,(('Business Case'!B11*$C438*'Business Case'!B12*$B438)-'Business Case'!B11*$C438*'Business Case'!B13*$D438-'Business Case'!B14*$E438))*'Business Case'!$B$7-'Business Case'!$B$8*('Business Case'!B11*$C438*'Business Case'!B12*$B438)-'Business Case'!B15*$F438</f>
        <v>-2359738709.05036</v>
      </c>
      <c r="I438" s="39" t="n">
        <f aca="false">(('Business Case'!C11*$C438*'Business Case'!C12*$B438)-'Business Case'!C11*$C438*'Business Case'!C13*$D438-'Business Case'!C14*$E438)-MAX(0,(('Business Case'!C11*$C438*'Business Case'!C12*$B438)-'Business Case'!C11*$C438*'Business Case'!C13*$D438-'Business Case'!C14*$E438))*'Business Case'!$B$7-'Business Case'!$B$8*(('Business Case'!C11*$C438*'Business Case'!C12*$B438)-('Business Case'!B11*$C438*'Business Case'!B12*$B438))-'Business Case'!C15*$F438</f>
        <v>-58000310.525575</v>
      </c>
      <c r="J438" s="39" t="n">
        <f aca="false">(('Business Case'!D11*$C438*'Business Case'!D12*$B438)-'Business Case'!D11*$C438*'Business Case'!D13*$D438-'Business Case'!D14*$E438)-MAX(0,(('Business Case'!D11*$C438*'Business Case'!D12*$B438)-'Business Case'!D11*$C438*'Business Case'!D13*$D438-'Business Case'!D14*$E438))*'Business Case'!$B$7-'Business Case'!$B$8*(('Business Case'!D11*$C438*'Business Case'!D12*$B438)-('Business Case'!C11*$C438*'Business Case'!C12*$B438))-'Business Case'!D15*$F438</f>
        <v>193904563.54118</v>
      </c>
      <c r="K438" s="39" t="n">
        <f aca="false">(('Business Case'!E11*$C438*'Business Case'!E12*$B438)-'Business Case'!E11*$C438*'Business Case'!E13*$D438-'Business Case'!E14*$E438)-MAX(0,(('Business Case'!E11*$C438*'Business Case'!E12*$B438)-'Business Case'!E11*$C438*'Business Case'!E13*$D438-'Business Case'!E14*$E438))*'Business Case'!$B$7-'Business Case'!$B$8*(('Business Case'!E11*$C438*'Business Case'!E12*$B438)-('Business Case'!D11*$C438*'Business Case'!D12*$B438))-'Business Case'!E15*$F438</f>
        <v>504802905.334194</v>
      </c>
      <c r="L438" s="39" t="n">
        <f aca="false">(('Business Case'!F11*$C438*'Business Case'!F12*$B438)-'Business Case'!F11*$C438*'Business Case'!F13*$D438-'Business Case'!F14*$E438)-MAX(0,(('Business Case'!F11*$C438*'Business Case'!F12*$B438)-'Business Case'!F11*$C438*'Business Case'!F13*$D438-'Business Case'!F14*$E438))*'Business Case'!$B$7-'Business Case'!$B$8*(('Business Case'!F11*$C438*'Business Case'!F12*$B438)-('Business Case'!E11*$C438*'Business Case'!E12*$B438))-'Business Case'!F15*$F438</f>
        <v>618515159.287996</v>
      </c>
      <c r="M438" s="39" t="n">
        <f aca="false">(('Business Case'!G11*$C438*'Business Case'!G12*$B438)-'Business Case'!G11*$C438*'Business Case'!G13*$D438-'Business Case'!G14*$E438)-MAX(0,(('Business Case'!G11*$C438*'Business Case'!G12*$B438)-'Business Case'!G11*$C438*'Business Case'!G13*$D438-'Business Case'!G14*$E438))*'Business Case'!$B$7-'Business Case'!$B$8*(('Business Case'!G11*$C438*'Business Case'!G12*$B438)-('Business Case'!F11*$C438*'Business Case'!F12*$B438))-'Business Case'!G15*$F438+'Business Case'!$B$8*('Business Case'!G11*$C438*'Business Case'!G12*$B438)</f>
        <v>782106953.578192</v>
      </c>
      <c r="N438" s="39" t="n">
        <f aca="false">IF(COUNT('Business Case'!B11:G11)=0,"",H438+NPV(G438,I438:M438))</f>
        <v>-939054968.959595</v>
      </c>
      <c r="P438" s="40" t="n">
        <f aca="true">RAND()</f>
        <v>0.363984619459393</v>
      </c>
      <c r="Q438" s="40" t="n">
        <f aca="true">RAND()</f>
        <v>0.0891742972611363</v>
      </c>
      <c r="R438" s="40" t="n">
        <f aca="true">RAND()</f>
        <v>0.484333861675463</v>
      </c>
      <c r="S438" s="40" t="n">
        <f aca="true">RAND()</f>
        <v>0.725918548417708</v>
      </c>
      <c r="T438" s="40" t="n">
        <f aca="true">RAND()</f>
        <v>0.991895142255341</v>
      </c>
      <c r="U438" s="40" t="n">
        <f aca="true">RAND()</f>
        <v>0.0807013275561658</v>
      </c>
    </row>
    <row r="439" customFormat="false" ht="15" hidden="false" customHeight="false" outlineLevel="0" collapsed="false">
      <c r="A439" s="36" t="n">
        <v>359</v>
      </c>
      <c r="B439" s="37" t="n">
        <f aca="false">1+IF($G$6=$E$6,$F$6,IF(P439&lt;($F$6-$E$6)/($G$6-$E$6),$E$6+SQRT(P439*($G$6-$E$6)*($F$6-$E$6)),$G$6-SQRT((1-P439)*($G$6-$E$6)*($G$6-$F$6))))</f>
        <v>0.993532725779572</v>
      </c>
      <c r="C439" s="37" t="n">
        <f aca="false">1+IF($G$7=$E$7,$F$7,IF(Q439&lt;($F$7-$E$7)/($G$7-$E$7),$E$7+SQRT(Q439*($G$7-$E$7)*($F$7-$E$7)),$G$7-SQRT((1-Q439)*($G$7-$E$7)*($G$7-$F$7))))</f>
        <v>0.883066753657603</v>
      </c>
      <c r="D439" s="37" t="n">
        <f aca="false">1+IF($G$8=$E$8,$F$8,IF(R439&lt;($F$8-$E$8)/($G$8-$E$8),$E$8+SQRT(R439*($G$8-$E$8)*($F$8-$E$8)),$G$8-SQRT((1-R439)*($G$8-$E$8)*($G$8-$F$8))))</f>
        <v>1.01319339630014</v>
      </c>
      <c r="E439" s="37" t="n">
        <f aca="false">1+IF($G$9=$E$9,$F$9,IF(S439&lt;($F$9-$E$9)/($G$9-$E$9),$E$9+SQRT(S439*($G$9-$E$9)*($F$9-$E$9)),$G$9-SQRT((1-S439)*($G$9-$E$9)*($G$9-$F$9))))</f>
        <v>1.02994977052211</v>
      </c>
      <c r="F439" s="37" t="n">
        <f aca="false">1+IF($G$10=$E$10,$F$10,IF(T439&lt;($F$10-$E$10)/($G$10-$E$10),$E$10+SQRT(T439*($G$10-$E$10)*($F$10-$E$10)),$G$10-SQRT((1-T439)*($G$10-$E$10)*($G$10-$F$10))))</f>
        <v>0.967509742462674</v>
      </c>
      <c r="G439" s="38" t="n">
        <f aca="false">IF($G$11=$E$11,$F$11,IF(U439&lt;($F$11-$E$11)/($G$11-$E$11),$E$11+SQRT(U439*($G$11-$E$11)*($F$11-$E$11)),$G$11-SQRT((1-U439)*($G$11-$E$11)*($G$11-$F$11))))</f>
        <v>0.0977992650789993</v>
      </c>
      <c r="H439" s="39" t="n">
        <f aca="false">(('Business Case'!B11*$C439*'Business Case'!B12*$B439)-'Business Case'!B11*$C439*'Business Case'!B13*$D439-'Business Case'!B14*$E439)-MAX(0,(('Business Case'!B11*$C439*'Business Case'!B12*$B439)-'Business Case'!B11*$C439*'Business Case'!B13*$D439-'Business Case'!B14*$E439))*'Business Case'!$B$7-'Business Case'!$B$8*('Business Case'!B11*$C439*'Business Case'!B12*$B439)-'Business Case'!B15*$F439</f>
        <v>-1935019484.92535</v>
      </c>
      <c r="I439" s="39" t="n">
        <f aca="false">(('Business Case'!C11*$C439*'Business Case'!C12*$B439)-'Business Case'!C11*$C439*'Business Case'!C13*$D439-'Business Case'!C14*$E439)-MAX(0,(('Business Case'!C11*$C439*'Business Case'!C12*$B439)-'Business Case'!C11*$C439*'Business Case'!C13*$D439-'Business Case'!C14*$E439))*'Business Case'!$B$7-'Business Case'!$B$8*(('Business Case'!C11*$C439*'Business Case'!C12*$B439)-('Business Case'!B11*$C439*'Business Case'!B12*$B439))-'Business Case'!C15*$F439</f>
        <v>-28098181.8593204</v>
      </c>
      <c r="J439" s="39" t="n">
        <f aca="false">(('Business Case'!D11*$C439*'Business Case'!D12*$B439)-'Business Case'!D11*$C439*'Business Case'!D13*$D439-'Business Case'!D14*$E439)-MAX(0,(('Business Case'!D11*$C439*'Business Case'!D12*$B439)-'Business Case'!D11*$C439*'Business Case'!D13*$D439-'Business Case'!D14*$E439))*'Business Case'!$B$7-'Business Case'!$B$8*(('Business Case'!D11*$C439*'Business Case'!D12*$B439)-('Business Case'!C11*$C439*'Business Case'!C12*$B439))-'Business Case'!D15*$F439</f>
        <v>232495588.358813</v>
      </c>
      <c r="K439" s="39" t="n">
        <f aca="false">(('Business Case'!E11*$C439*'Business Case'!E12*$B439)-'Business Case'!E11*$C439*'Business Case'!E13*$D439-'Business Case'!E14*$E439)-MAX(0,(('Business Case'!E11*$C439*'Business Case'!E12*$B439)-'Business Case'!E11*$C439*'Business Case'!E13*$D439-'Business Case'!E14*$E439))*'Business Case'!$B$7-'Business Case'!$B$8*(('Business Case'!E11*$C439*'Business Case'!E12*$B439)-('Business Case'!D11*$C439*'Business Case'!D12*$B439))-'Business Case'!E15*$F439</f>
        <v>541464845.70008</v>
      </c>
      <c r="L439" s="39" t="n">
        <f aca="false">(('Business Case'!F11*$C439*'Business Case'!F12*$B439)-'Business Case'!F11*$C439*'Business Case'!F13*$D439-'Business Case'!F14*$E439)-MAX(0,(('Business Case'!F11*$C439*'Business Case'!F12*$B439)-'Business Case'!F11*$C439*'Business Case'!F13*$D439-'Business Case'!F14*$E439))*'Business Case'!$B$7-'Business Case'!$B$8*(('Business Case'!F11*$C439*'Business Case'!F12*$B439)-('Business Case'!E11*$C439*'Business Case'!E12*$B439))-'Business Case'!F15*$F439</f>
        <v>658650849.414753</v>
      </c>
      <c r="M439" s="39" t="n">
        <f aca="false">(('Business Case'!G11*$C439*'Business Case'!G12*$B439)-'Business Case'!G11*$C439*'Business Case'!G13*$D439-'Business Case'!G14*$E439)-MAX(0,(('Business Case'!G11*$C439*'Business Case'!G12*$B439)-'Business Case'!G11*$C439*'Business Case'!G13*$D439-'Business Case'!G14*$E439))*'Business Case'!$B$7-'Business Case'!$B$8*(('Business Case'!G11*$C439*'Business Case'!G12*$B439)-('Business Case'!F11*$C439*'Business Case'!F12*$B439))-'Business Case'!G15*$F439+'Business Case'!$B$8*('Business Case'!G11*$C439*'Business Case'!G12*$B439)</f>
        <v>825418624.445541</v>
      </c>
      <c r="N439" s="39" t="n">
        <f aca="false">IF(COUNT('Business Case'!B11:G11)=0,"",H439+NPV(G439,I439:M439))</f>
        <v>-387272729.001941</v>
      </c>
      <c r="P439" s="40" t="n">
        <f aca="true">RAND()</f>
        <v>0.563235600059765</v>
      </c>
      <c r="Q439" s="40" t="n">
        <f aca="true">RAND()</f>
        <v>0.0985726509030417</v>
      </c>
      <c r="R439" s="40" t="n">
        <f aca="true">RAND()</f>
        <v>0.57085362520089</v>
      </c>
      <c r="S439" s="40" t="n">
        <f aca="true">RAND()</f>
        <v>0.672864356673001</v>
      </c>
      <c r="T439" s="40" t="n">
        <f aca="true">RAND()</f>
        <v>0.024527286488733</v>
      </c>
      <c r="U439" s="40" t="n">
        <f aca="true">RAND()</f>
        <v>0.202761785908328</v>
      </c>
    </row>
    <row r="440" customFormat="false" ht="15" hidden="false" customHeight="false" outlineLevel="0" collapsed="false">
      <c r="A440" s="36" t="n">
        <v>360</v>
      </c>
      <c r="B440" s="37" t="n">
        <f aca="false">1+IF($G$6=$E$6,$F$6,IF(P440&lt;($F$6-$E$6)/($G$6-$E$6),$E$6+SQRT(P440*($G$6-$E$6)*($F$6-$E$6)),$G$6-SQRT((1-P440)*($G$6-$E$6)*($G$6-$F$6))))</f>
        <v>0.986945149699407</v>
      </c>
      <c r="C440" s="37" t="n">
        <f aca="false">1+IF($G$7=$E$7,$F$7,IF(Q440&lt;($F$7-$E$7)/($G$7-$E$7),$E$7+SQRT(Q440*($G$7-$E$7)*($F$7-$E$7)),$G$7-SQRT((1-Q440)*($G$7-$E$7)*($G$7-$F$7))))</f>
        <v>1.03124004313219</v>
      </c>
      <c r="D440" s="37" t="n">
        <f aca="false">1+IF($G$8=$E$8,$F$8,IF(R440&lt;($F$8-$E$8)/($G$8-$E$8),$E$8+SQRT(R440*($G$8-$E$8)*($F$8-$E$8)),$G$8-SQRT((1-R440)*($G$8-$E$8)*($G$8-$F$8))))</f>
        <v>0.975713669956745</v>
      </c>
      <c r="E440" s="37" t="n">
        <f aca="false">1+IF($G$9=$E$9,$F$9,IF(S440&lt;($F$9-$E$9)/($G$9-$E$9),$E$9+SQRT(S440*($G$9-$E$9)*($F$9-$E$9)),$G$9-SQRT((1-S440)*($G$9-$E$9)*($G$9-$F$9))))</f>
        <v>1.00551045628189</v>
      </c>
      <c r="F440" s="37" t="n">
        <f aca="false">1+IF($G$10=$E$10,$F$10,IF(T440&lt;($F$10-$E$10)/($G$10-$E$10),$E$10+SQRT(T440*($G$10-$E$10)*($F$10-$E$10)),$G$10-SQRT((1-T440)*($G$10-$E$10)*($G$10-$F$10))))</f>
        <v>1.09287446111729</v>
      </c>
      <c r="G440" s="38" t="n">
        <f aca="false">IF($G$11=$E$11,$F$11,IF(U440&lt;($F$11-$E$11)/($G$11-$E$11),$E$11+SQRT(U440*($G$11-$E$11)*($F$11-$E$11)),$G$11-SQRT((1-U440)*($G$11-$E$11)*($G$11-$F$11))))</f>
        <v>0.1139163265992</v>
      </c>
      <c r="H440" s="39" t="n">
        <f aca="false">(('Business Case'!B11*$C440*'Business Case'!B12*$B440)-'Business Case'!B11*$C440*'Business Case'!B13*$D440-'Business Case'!B14*$E440)-MAX(0,(('Business Case'!B11*$C440*'Business Case'!B12*$B440)-'Business Case'!B11*$C440*'Business Case'!B13*$D440-'Business Case'!B14*$E440))*'Business Case'!$B$7-'Business Case'!$B$8*('Business Case'!B11*$C440*'Business Case'!B12*$B440)-'Business Case'!B15*$F440</f>
        <v>-2185748922.23459</v>
      </c>
      <c r="I440" s="39" t="n">
        <f aca="false">(('Business Case'!C11*$C440*'Business Case'!C12*$B440)-'Business Case'!C11*$C440*'Business Case'!C13*$D440-'Business Case'!C14*$E440)-MAX(0,(('Business Case'!C11*$C440*'Business Case'!C12*$B440)-'Business Case'!C11*$C440*'Business Case'!C13*$D440-'Business Case'!C14*$E440))*'Business Case'!$B$7-'Business Case'!$B$8*(('Business Case'!C11*$C440*'Business Case'!C12*$B440)-('Business Case'!B11*$C440*'Business Case'!B12*$B440))-'Business Case'!C15*$F440</f>
        <v>13508977.4797686</v>
      </c>
      <c r="J440" s="39" t="n">
        <f aca="false">(('Business Case'!D11*$C440*'Business Case'!D12*$B440)-'Business Case'!D11*$C440*'Business Case'!D13*$D440-'Business Case'!D14*$E440)-MAX(0,(('Business Case'!D11*$C440*'Business Case'!D12*$B440)-'Business Case'!D11*$C440*'Business Case'!D13*$D440-'Business Case'!D14*$E440))*'Business Case'!$B$7-'Business Case'!$B$8*(('Business Case'!D11*$C440*'Business Case'!D12*$B440)-('Business Case'!C11*$C440*'Business Case'!C12*$B440))-'Business Case'!D15*$F440</f>
        <v>332050566.231898</v>
      </c>
      <c r="K440" s="39" t="n">
        <f aca="false">(('Business Case'!E11*$C440*'Business Case'!E12*$B440)-'Business Case'!E11*$C440*'Business Case'!E13*$D440-'Business Case'!E14*$E440)-MAX(0,(('Business Case'!E11*$C440*'Business Case'!E12*$B440)-'Business Case'!E11*$C440*'Business Case'!E13*$D440-'Business Case'!E14*$E440))*'Business Case'!$B$7-'Business Case'!$B$8*(('Business Case'!E11*$C440*'Business Case'!E12*$B440)-('Business Case'!D11*$C440*'Business Case'!D12*$B440))-'Business Case'!E15*$F440</f>
        <v>705235878.039892</v>
      </c>
      <c r="L440" s="39" t="n">
        <f aca="false">(('Business Case'!F11*$C440*'Business Case'!F12*$B440)-'Business Case'!F11*$C440*'Business Case'!F13*$D440-'Business Case'!F14*$E440)-MAX(0,(('Business Case'!F11*$C440*'Business Case'!F12*$B440)-'Business Case'!F11*$C440*'Business Case'!F13*$D440-'Business Case'!F14*$E440))*'Business Case'!$B$7-'Business Case'!$B$8*(('Business Case'!F11*$C440*'Business Case'!F12*$B440)-('Business Case'!E11*$C440*'Business Case'!E12*$B440))-'Business Case'!F15*$F440</f>
        <v>846590793.142166</v>
      </c>
      <c r="M440" s="39" t="n">
        <f aca="false">(('Business Case'!G11*$C440*'Business Case'!G12*$B440)-'Business Case'!G11*$C440*'Business Case'!G13*$D440-'Business Case'!G14*$E440)-MAX(0,(('Business Case'!G11*$C440*'Business Case'!G12*$B440)-'Business Case'!G11*$C440*'Business Case'!G13*$D440-'Business Case'!G14*$E440))*'Business Case'!$B$7-'Business Case'!$B$8*(('Business Case'!G11*$C440*'Business Case'!G12*$B440)-('Business Case'!F11*$C440*'Business Case'!F12*$B440))-'Business Case'!G15*$F440+'Business Case'!$B$8*('Business Case'!G11*$C440*'Business Case'!G12*$B440)</f>
        <v>1040049913.49244</v>
      </c>
      <c r="N440" s="39" t="n">
        <f aca="false">IF(COUNT('Business Case'!B11:G11)=0,"",H440+NPV(G440,I440:M440))</f>
        <v>-239451912.461615</v>
      </c>
      <c r="P440" s="40" t="n">
        <f aca="true">RAND()</f>
        <v>0.466838861278747</v>
      </c>
      <c r="Q440" s="40" t="n">
        <f aca="true">RAND()</f>
        <v>0.731353764661995</v>
      </c>
      <c r="R440" s="40" t="n">
        <f aca="true">RAND()</f>
        <v>0.101721972714528</v>
      </c>
      <c r="S440" s="40" t="n">
        <f aca="true">RAND()</f>
        <v>0.404781741862859</v>
      </c>
      <c r="T440" s="40" t="n">
        <f aca="true">RAND()</f>
        <v>0.770482378381793</v>
      </c>
      <c r="U440" s="40" t="n">
        <f aca="true">RAND()</f>
        <v>0.938314863253998</v>
      </c>
    </row>
    <row r="441" customFormat="false" ht="15" hidden="false" customHeight="false" outlineLevel="0" collapsed="false">
      <c r="A441" s="36" t="n">
        <v>361</v>
      </c>
      <c r="B441" s="37" t="n">
        <f aca="false">1+IF($G$6=$E$6,$F$6,IF(P441&lt;($F$6-$E$6)/($G$6-$E$6),$E$6+SQRT(P441*($G$6-$E$6)*($F$6-$E$6)),$G$6-SQRT((1-P441)*($G$6-$E$6)*($G$6-$F$6))))</f>
        <v>1.0260111014771</v>
      </c>
      <c r="C441" s="37" t="n">
        <f aca="false">1+IF($G$7=$E$7,$F$7,IF(Q441&lt;($F$7-$E$7)/($G$7-$E$7),$E$7+SQRT(Q441*($G$7-$E$7)*($F$7-$E$7)),$G$7-SQRT((1-Q441)*($G$7-$E$7)*($G$7-$F$7))))</f>
        <v>1.02297044286273</v>
      </c>
      <c r="D441" s="37" t="n">
        <f aca="false">1+IF($G$8=$E$8,$F$8,IF(R441&lt;($F$8-$E$8)/($G$8-$E$8),$E$8+SQRT(R441*($G$8-$E$8)*($F$8-$E$8)),$G$8-SQRT((1-R441)*($G$8-$E$8)*($G$8-$F$8))))</f>
        <v>1.03215956006716</v>
      </c>
      <c r="E441" s="37" t="n">
        <f aca="false">1+IF($G$9=$E$9,$F$9,IF(S441&lt;($F$9-$E$9)/($G$9-$E$9),$E$9+SQRT(S441*($G$9-$E$9)*($F$9-$E$9)),$G$9-SQRT((1-S441)*($G$9-$E$9)*($G$9-$F$9))))</f>
        <v>1.03771032515193</v>
      </c>
      <c r="F441" s="37" t="n">
        <f aca="false">1+IF($G$10=$E$10,$F$10,IF(T441&lt;($F$10-$E$10)/($G$10-$E$10),$E$10+SQRT(T441*($G$10-$E$10)*($F$10-$E$10)),$G$10-SQRT((1-T441)*($G$10-$E$10)*($G$10-$F$10))))</f>
        <v>1.02502495622195</v>
      </c>
      <c r="G441" s="38" t="n">
        <f aca="false">IF($G$11=$E$11,$F$11,IF(U441&lt;($F$11-$E$11)/($G$11-$E$11),$E$11+SQRT(U441*($G$11-$E$11)*($F$11-$E$11)),$G$11-SQRT((1-U441)*($G$11-$E$11)*($G$11-$F$11))))</f>
        <v>0.10492988967558</v>
      </c>
      <c r="H441" s="39" t="n">
        <f aca="false">(('Business Case'!B11*$C441*'Business Case'!B12*$B441)-'Business Case'!B11*$C441*'Business Case'!B13*$D441-'Business Case'!B14*$E441)-MAX(0,(('Business Case'!B11*$C441*'Business Case'!B12*$B441)-'Business Case'!B11*$C441*'Business Case'!B13*$D441-'Business Case'!B14*$E441))*'Business Case'!$B$7-'Business Case'!$B$8*('Business Case'!B11*$C441*'Business Case'!B12*$B441)-'Business Case'!B15*$F441</f>
        <v>-2050049912.44391</v>
      </c>
      <c r="I441" s="39" t="n">
        <f aca="false">(('Business Case'!C11*$C441*'Business Case'!C12*$B441)-'Business Case'!C11*$C441*'Business Case'!C13*$D441-'Business Case'!C14*$E441)-MAX(0,(('Business Case'!C11*$C441*'Business Case'!C12*$B441)-'Business Case'!C11*$C441*'Business Case'!C13*$D441-'Business Case'!C14*$E441))*'Business Case'!$B$7-'Business Case'!$B$8*(('Business Case'!C11*$C441*'Business Case'!C12*$B441)-('Business Case'!B11*$C441*'Business Case'!B12*$B441))-'Business Case'!C15*$F441</f>
        <v>14685398.8431881</v>
      </c>
      <c r="J441" s="39" t="n">
        <f aca="false">(('Business Case'!D11*$C441*'Business Case'!D12*$B441)-'Business Case'!D11*$C441*'Business Case'!D13*$D441-'Business Case'!D14*$E441)-MAX(0,(('Business Case'!D11*$C441*'Business Case'!D12*$B441)-'Business Case'!D11*$C441*'Business Case'!D13*$D441-'Business Case'!D14*$E441))*'Business Case'!$B$7-'Business Case'!$B$8*(('Business Case'!D11*$C441*'Business Case'!D12*$B441)-('Business Case'!C11*$C441*'Business Case'!C12*$B441))-'Business Case'!D15*$F441</f>
        <v>333845878.504964</v>
      </c>
      <c r="K441" s="39" t="n">
        <f aca="false">(('Business Case'!E11*$C441*'Business Case'!E12*$B441)-'Business Case'!E11*$C441*'Business Case'!E13*$D441-'Business Case'!E14*$E441)-MAX(0,(('Business Case'!E11*$C441*'Business Case'!E12*$B441)-'Business Case'!E11*$C441*'Business Case'!E13*$D441-'Business Case'!E14*$E441))*'Business Case'!$B$7-'Business Case'!$B$8*(('Business Case'!E11*$C441*'Business Case'!E12*$B441)-('Business Case'!D11*$C441*'Business Case'!D12*$B441))-'Business Case'!E15*$F441</f>
        <v>704257605.977837</v>
      </c>
      <c r="L441" s="39" t="n">
        <f aca="false">(('Business Case'!F11*$C441*'Business Case'!F12*$B441)-'Business Case'!F11*$C441*'Business Case'!F13*$D441-'Business Case'!F14*$E441)-MAX(0,(('Business Case'!F11*$C441*'Business Case'!F12*$B441)-'Business Case'!F11*$C441*'Business Case'!F13*$D441-'Business Case'!F14*$E441))*'Business Case'!$B$7-'Business Case'!$B$8*(('Business Case'!F11*$C441*'Business Case'!F12*$B441)-('Business Case'!E11*$C441*'Business Case'!E12*$B441))-'Business Case'!F15*$F441</f>
        <v>846917883.838288</v>
      </c>
      <c r="M441" s="39" t="n">
        <f aca="false">(('Business Case'!G11*$C441*'Business Case'!G12*$B441)-'Business Case'!G11*$C441*'Business Case'!G13*$D441-'Business Case'!G14*$E441)-MAX(0,(('Business Case'!G11*$C441*'Business Case'!G12*$B441)-'Business Case'!G11*$C441*'Business Case'!G13*$D441-'Business Case'!G14*$E441))*'Business Case'!$B$7-'Business Case'!$B$8*(('Business Case'!G11*$C441*'Business Case'!G12*$B441)-('Business Case'!F11*$C441*'Business Case'!F12*$B441))-'Business Case'!G15*$F441+'Business Case'!$B$8*('Business Case'!G11*$C441*'Business Case'!G12*$B441)</f>
        <v>1046421866.02418</v>
      </c>
      <c r="N441" s="39" t="n">
        <f aca="false">IF(COUNT('Business Case'!B11:G11)=0,"",H441+NPV(G441,I441:M441))</f>
        <v>-37660549.4733179</v>
      </c>
      <c r="P441" s="40" t="n">
        <f aca="true">RAND()</f>
        <v>0.959231399607506</v>
      </c>
      <c r="Q441" s="40" t="n">
        <f aca="true">RAND()</f>
        <v>0.692637935495405</v>
      </c>
      <c r="R441" s="40" t="n">
        <f aca="true">RAND()</f>
        <v>0.77993195259927</v>
      </c>
      <c r="S441" s="40" t="n">
        <f aca="true">RAND()</f>
        <v>0.741333093821446</v>
      </c>
      <c r="T441" s="40" t="n">
        <f aca="true">RAND()</f>
        <v>0.38767468109741</v>
      </c>
      <c r="U441" s="40" t="n">
        <f aca="true">RAND()</f>
        <v>0.621486291349688</v>
      </c>
    </row>
    <row r="442" customFormat="false" ht="15" hidden="false" customHeight="false" outlineLevel="0" collapsed="false">
      <c r="A442" s="36" t="n">
        <v>362</v>
      </c>
      <c r="B442" s="37" t="n">
        <f aca="false">1+IF($G$6=$E$6,$F$6,IF(P442&lt;($F$6-$E$6)/($G$6-$E$6),$E$6+SQRT(P442*($G$6-$E$6)*($F$6-$E$6)),$G$6-SQRT((1-P442)*($G$6-$E$6)*($G$6-$F$6))))</f>
        <v>1.01023832323758</v>
      </c>
      <c r="C442" s="37" t="n">
        <f aca="false">1+IF($G$7=$E$7,$F$7,IF(Q442&lt;($F$7-$E$7)/($G$7-$E$7),$E$7+SQRT(Q442*($G$7-$E$7)*($F$7-$E$7)),$G$7-SQRT((1-Q442)*($G$7-$E$7)*($G$7-$F$7))))</f>
        <v>0.949029181509292</v>
      </c>
      <c r="D442" s="37" t="n">
        <f aca="false">1+IF($G$8=$E$8,$F$8,IF(R442&lt;($F$8-$E$8)/($G$8-$E$8),$E$8+SQRT(R442*($G$8-$E$8)*($F$8-$E$8)),$G$8-SQRT((1-R442)*($G$8-$E$8)*($G$8-$F$8))))</f>
        <v>1.00929397132264</v>
      </c>
      <c r="E442" s="37" t="n">
        <f aca="false">1+IF($G$9=$E$9,$F$9,IF(S442&lt;($F$9-$E$9)/($G$9-$E$9),$E$9+SQRT(S442*($G$9-$E$9)*($F$9-$E$9)),$G$9-SQRT((1-S442)*($G$9-$E$9)*($G$9-$F$9))))</f>
        <v>1.01087710702407</v>
      </c>
      <c r="F442" s="37" t="n">
        <f aca="false">1+IF($G$10=$E$10,$F$10,IF(T442&lt;($F$10-$E$10)/($G$10-$E$10),$E$10+SQRT(T442*($G$10-$E$10)*($F$10-$E$10)),$G$10-SQRT((1-T442)*($G$10-$E$10)*($G$10-$F$10))))</f>
        <v>1.03136882289139</v>
      </c>
      <c r="G442" s="38" t="n">
        <f aca="false">IF($G$11=$E$11,$F$11,IF(U442&lt;($F$11-$E$11)/($G$11-$E$11),$E$11+SQRT(U442*($G$11-$E$11)*($F$11-$E$11)),$G$11-SQRT((1-U442)*($G$11-$E$11)*($G$11-$F$11))))</f>
        <v>0.102880703305399</v>
      </c>
      <c r="H442" s="39" t="n">
        <f aca="false">(('Business Case'!B11*$C442*'Business Case'!B12*$B442)-'Business Case'!B11*$C442*'Business Case'!B13*$D442-'Business Case'!B14*$E442)-MAX(0,(('Business Case'!B11*$C442*'Business Case'!B12*$B442)-'Business Case'!B11*$C442*'Business Case'!B13*$D442-'Business Case'!B14*$E442))*'Business Case'!$B$7-'Business Case'!$B$8*('Business Case'!B11*$C442*'Business Case'!B12*$B442)-'Business Case'!B15*$F442</f>
        <v>-2062737645.78277</v>
      </c>
      <c r="I442" s="39" t="n">
        <f aca="false">(('Business Case'!C11*$C442*'Business Case'!C12*$B442)-'Business Case'!C11*$C442*'Business Case'!C13*$D442-'Business Case'!C14*$E442)-MAX(0,(('Business Case'!C11*$C442*'Business Case'!C12*$B442)-'Business Case'!C11*$C442*'Business Case'!C13*$D442-'Business Case'!C14*$E442))*'Business Case'!$B$7-'Business Case'!$B$8*(('Business Case'!C11*$C442*'Business Case'!C12*$B442)-('Business Case'!B11*$C442*'Business Case'!B12*$B442))-'Business Case'!C15*$F442</f>
        <v>-1645546.08709736</v>
      </c>
      <c r="J442" s="39" t="n">
        <f aca="false">(('Business Case'!D11*$C442*'Business Case'!D12*$B442)-'Business Case'!D11*$C442*'Business Case'!D13*$D442-'Business Case'!D14*$E442)-MAX(0,(('Business Case'!D11*$C442*'Business Case'!D12*$B442)-'Business Case'!D11*$C442*'Business Case'!D13*$D442-'Business Case'!D14*$E442))*'Business Case'!$B$7-'Business Case'!$B$8*(('Business Case'!D11*$C442*'Business Case'!D12*$B442)-('Business Case'!C11*$C442*'Business Case'!C12*$B442))-'Business Case'!D15*$F442</f>
        <v>293293889.179559</v>
      </c>
      <c r="K442" s="39" t="n">
        <f aca="false">(('Business Case'!E11*$C442*'Business Case'!E12*$B442)-'Business Case'!E11*$C442*'Business Case'!E13*$D442-'Business Case'!E14*$E442)-MAX(0,(('Business Case'!E11*$C442*'Business Case'!E12*$B442)-'Business Case'!E11*$C442*'Business Case'!E13*$D442-'Business Case'!E14*$E442))*'Business Case'!$B$7-'Business Case'!$B$8*(('Business Case'!E11*$C442*'Business Case'!E12*$B442)-('Business Case'!D11*$C442*'Business Case'!D12*$B442))-'Business Case'!E15*$F442</f>
        <v>639801765.590784</v>
      </c>
      <c r="L442" s="39" t="n">
        <f aca="false">(('Business Case'!F11*$C442*'Business Case'!F12*$B442)-'Business Case'!F11*$C442*'Business Case'!F13*$D442-'Business Case'!F14*$E442)-MAX(0,(('Business Case'!F11*$C442*'Business Case'!F12*$B442)-'Business Case'!F11*$C442*'Business Case'!F13*$D442-'Business Case'!F14*$E442))*'Business Case'!$B$7-'Business Case'!$B$8*(('Business Case'!F11*$C442*'Business Case'!F12*$B442)-('Business Case'!E11*$C442*'Business Case'!E12*$B442))-'Business Case'!F15*$F442</f>
        <v>771249160.310198</v>
      </c>
      <c r="M442" s="39" t="n">
        <f aca="false">(('Business Case'!G11*$C442*'Business Case'!G12*$B442)-'Business Case'!G11*$C442*'Business Case'!G13*$D442-'Business Case'!G14*$E442)-MAX(0,(('Business Case'!G11*$C442*'Business Case'!G12*$B442)-'Business Case'!G11*$C442*'Business Case'!G13*$D442-'Business Case'!G14*$E442))*'Business Case'!$B$7-'Business Case'!$B$8*(('Business Case'!G11*$C442*'Business Case'!G12*$B442)-('Business Case'!F11*$C442*'Business Case'!F12*$B442))-'Business Case'!G15*$F442+'Business Case'!$B$8*('Business Case'!G11*$C442*'Business Case'!G12*$B442)</f>
        <v>953487533.278101</v>
      </c>
      <c r="N442" s="39" t="n">
        <f aca="false">IF(COUNT('Business Case'!B11:G11)=0,"",H442+NPV(G442,I442:M442))</f>
        <v>-240526528.058667</v>
      </c>
      <c r="P442" s="40" t="n">
        <f aca="true">RAND()</f>
        <v>0.815467207560192</v>
      </c>
      <c r="Q442" s="40" t="n">
        <f aca="true">RAND()</f>
        <v>0.317281384876134</v>
      </c>
      <c r="R442" s="40" t="n">
        <f aca="true">RAND()</f>
        <v>0.519293991218872</v>
      </c>
      <c r="S442" s="40" t="n">
        <f aca="true">RAND()</f>
        <v>0.470473996506768</v>
      </c>
      <c r="T442" s="40" t="n">
        <f aca="true">RAND()</f>
        <v>0.431270522139264</v>
      </c>
      <c r="U442" s="40" t="n">
        <f aca="true">RAND()</f>
        <v>0.511549467803697</v>
      </c>
    </row>
    <row r="443" customFormat="false" ht="15" hidden="false" customHeight="false" outlineLevel="0" collapsed="false">
      <c r="A443" s="36" t="n">
        <v>363</v>
      </c>
      <c r="B443" s="37" t="n">
        <f aca="false">1+IF($G$6=$E$6,$F$6,IF(P443&lt;($F$6-$E$6)/($G$6-$E$6),$E$6+SQRT(P443*($G$6-$E$6)*($F$6-$E$6)),$G$6-SQRT((1-P443)*($G$6-$E$6)*($G$6-$F$6))))</f>
        <v>0.964757746290878</v>
      </c>
      <c r="C443" s="37" t="n">
        <f aca="false">1+IF($G$7=$E$7,$F$7,IF(Q443&lt;($F$7-$E$7)/($G$7-$E$7),$E$7+SQRT(Q443*($G$7-$E$7)*($F$7-$E$7)),$G$7-SQRT((1-Q443)*($G$7-$E$7)*($G$7-$F$7))))</f>
        <v>1.03527946802252</v>
      </c>
      <c r="D443" s="37" t="n">
        <f aca="false">1+IF($G$8=$E$8,$F$8,IF(R443&lt;($F$8-$E$8)/($G$8-$E$8),$E$8+SQRT(R443*($G$8-$E$8)*($F$8-$E$8)),$G$8-SQRT((1-R443)*($G$8-$E$8)*($G$8-$F$8))))</f>
        <v>1.05531925633517</v>
      </c>
      <c r="E443" s="37" t="n">
        <f aca="false">1+IF($G$9=$E$9,$F$9,IF(S443&lt;($F$9-$E$9)/($G$9-$E$9),$E$9+SQRT(S443*($G$9-$E$9)*($F$9-$E$9)),$G$9-SQRT((1-S443)*($G$9-$E$9)*($G$9-$F$9))))</f>
        <v>0.988866518152618</v>
      </c>
      <c r="F443" s="37" t="n">
        <f aca="false">1+IF($G$10=$E$10,$F$10,IF(T443&lt;($F$10-$E$10)/($G$10-$E$10),$E$10+SQRT(T443*($G$10-$E$10)*($F$10-$E$10)),$G$10-SQRT((1-T443)*($G$10-$E$10)*($G$10-$F$10))))</f>
        <v>1.13685072493642</v>
      </c>
      <c r="G443" s="38" t="n">
        <f aca="false">IF($G$11=$E$11,$F$11,IF(U443&lt;($F$11-$E$11)/($G$11-$E$11),$E$11+SQRT(U443*($G$11-$E$11)*($F$11-$E$11)),$G$11-SQRT((1-U443)*($G$11-$E$11)*($G$11-$F$11))))</f>
        <v>0.101068663261986</v>
      </c>
      <c r="H443" s="39" t="n">
        <f aca="false">(('Business Case'!B11*$C443*'Business Case'!B12*$B443)-'Business Case'!B11*$C443*'Business Case'!B13*$D443-'Business Case'!B14*$E443)-MAX(0,(('Business Case'!B11*$C443*'Business Case'!B12*$B443)-'Business Case'!B11*$C443*'Business Case'!B13*$D443-'Business Case'!B14*$E443))*'Business Case'!$B$7-'Business Case'!$B$8*('Business Case'!B11*$C443*'Business Case'!B12*$B443)-'Business Case'!B15*$F443</f>
        <v>-2273701449.87283</v>
      </c>
      <c r="I443" s="39" t="n">
        <f aca="false">(('Business Case'!C11*$C443*'Business Case'!C12*$B443)-'Business Case'!C11*$C443*'Business Case'!C13*$D443-'Business Case'!C14*$E443)-MAX(0,(('Business Case'!C11*$C443*'Business Case'!C12*$B443)-'Business Case'!C11*$C443*'Business Case'!C13*$D443-'Business Case'!C14*$E443))*'Business Case'!$B$7-'Business Case'!$B$8*(('Business Case'!C11*$C443*'Business Case'!C12*$B443)-('Business Case'!B11*$C443*'Business Case'!B12*$B443))-'Business Case'!C15*$F443</f>
        <v>-47293639.7795242</v>
      </c>
      <c r="J443" s="39" t="n">
        <f aca="false">(('Business Case'!D11*$C443*'Business Case'!D12*$B443)-'Business Case'!D11*$C443*'Business Case'!D13*$D443-'Business Case'!D14*$E443)-MAX(0,(('Business Case'!D11*$C443*'Business Case'!D12*$B443)-'Business Case'!D11*$C443*'Business Case'!D13*$D443-'Business Case'!D14*$E443))*'Business Case'!$B$7-'Business Case'!$B$8*(('Business Case'!D11*$C443*'Business Case'!D12*$B443)-('Business Case'!C11*$C443*'Business Case'!C12*$B443))-'Business Case'!D15*$F443</f>
        <v>211492086.884312</v>
      </c>
      <c r="K443" s="39" t="n">
        <f aca="false">(('Business Case'!E11*$C443*'Business Case'!E12*$B443)-'Business Case'!E11*$C443*'Business Case'!E13*$D443-'Business Case'!E14*$E443)-MAX(0,(('Business Case'!E11*$C443*'Business Case'!E12*$B443)-'Business Case'!E11*$C443*'Business Case'!E13*$D443-'Business Case'!E14*$E443))*'Business Case'!$B$7-'Business Case'!$B$8*(('Business Case'!E11*$C443*'Business Case'!E12*$B443)-('Business Case'!D11*$C443*'Business Case'!D12*$B443))-'Business Case'!E15*$F443</f>
        <v>527120349.794969</v>
      </c>
      <c r="L443" s="39" t="n">
        <f aca="false">(('Business Case'!F11*$C443*'Business Case'!F12*$B443)-'Business Case'!F11*$C443*'Business Case'!F13*$D443-'Business Case'!F14*$E443)-MAX(0,(('Business Case'!F11*$C443*'Business Case'!F12*$B443)-'Business Case'!F11*$C443*'Business Case'!F13*$D443-'Business Case'!F14*$E443))*'Business Case'!$B$7-'Business Case'!$B$8*(('Business Case'!F11*$C443*'Business Case'!F12*$B443)-('Business Case'!E11*$C443*'Business Case'!E12*$B443))-'Business Case'!F15*$F443</f>
        <v>647900575.395193</v>
      </c>
      <c r="M443" s="39" t="n">
        <f aca="false">(('Business Case'!G11*$C443*'Business Case'!G12*$B443)-'Business Case'!G11*$C443*'Business Case'!G13*$D443-'Business Case'!G14*$E443)-MAX(0,(('Business Case'!G11*$C443*'Business Case'!G12*$B443)-'Business Case'!G11*$C443*'Business Case'!G13*$D443-'Business Case'!G14*$E443))*'Business Case'!$B$7-'Business Case'!$B$8*(('Business Case'!G11*$C443*'Business Case'!G12*$B443)-('Business Case'!F11*$C443*'Business Case'!F12*$B443))-'Business Case'!G15*$F443+'Business Case'!$B$8*('Business Case'!G11*$C443*'Business Case'!G12*$B443)</f>
        <v>837751317.31272</v>
      </c>
      <c r="N443" s="39" t="n">
        <f aca="false">IF(COUNT('Business Case'!B11:G11)=0,"",H443+NPV(G443,I443:M443))</f>
        <v>-788857388.411067</v>
      </c>
      <c r="P443" s="40" t="n">
        <f aca="true">RAND()</f>
        <v>0.208672484691523</v>
      </c>
      <c r="Q443" s="40" t="n">
        <f aca="true">RAND()</f>
        <v>0.749318086529598</v>
      </c>
      <c r="R443" s="40" t="n">
        <f aca="true">RAND()</f>
        <v>0.941428931937569</v>
      </c>
      <c r="S443" s="40" t="n">
        <f aca="true">RAND()</f>
        <v>0.20141416444104</v>
      </c>
      <c r="T443" s="40" t="n">
        <f aca="true">RAND()</f>
        <v>0.920243381178876</v>
      </c>
      <c r="U443" s="40" t="n">
        <f aca="true">RAND()</f>
        <v>0.402674148853215</v>
      </c>
    </row>
    <row r="444" customFormat="false" ht="15" hidden="false" customHeight="false" outlineLevel="0" collapsed="false">
      <c r="A444" s="36" t="n">
        <v>364</v>
      </c>
      <c r="B444" s="37" t="n">
        <f aca="false">1+IF($G$6=$E$6,$F$6,IF(P444&lt;($F$6-$E$6)/($G$6-$E$6),$E$6+SQRT(P444*($G$6-$E$6)*($F$6-$E$6)),$G$6-SQRT((1-P444)*($G$6-$E$6)*($G$6-$F$6))))</f>
        <v>1.01841902532972</v>
      </c>
      <c r="C444" s="37" t="n">
        <f aca="false">1+IF($G$7=$E$7,$F$7,IF(Q444&lt;($F$7-$E$7)/($G$7-$E$7),$E$7+SQRT(Q444*($G$7-$E$7)*($F$7-$E$7)),$G$7-SQRT((1-Q444)*($G$7-$E$7)*($G$7-$F$7))))</f>
        <v>0.994454024041341</v>
      </c>
      <c r="D444" s="37" t="n">
        <f aca="false">1+IF($G$8=$E$8,$F$8,IF(R444&lt;($F$8-$E$8)/($G$8-$E$8),$E$8+SQRT(R444*($G$8-$E$8)*($F$8-$E$8)),$G$8-SQRT((1-R444)*($G$8-$E$8)*($G$8-$F$8))))</f>
        <v>0.979443460269771</v>
      </c>
      <c r="E444" s="37" t="n">
        <f aca="false">1+IF($G$9=$E$9,$F$9,IF(S444&lt;($F$9-$E$9)/($G$9-$E$9),$E$9+SQRT(S444*($G$9-$E$9)*($F$9-$E$9)),$G$9-SQRT((1-S444)*($G$9-$E$9)*($G$9-$F$9))))</f>
        <v>1.01124534917854</v>
      </c>
      <c r="F444" s="37" t="n">
        <f aca="false">1+IF($G$10=$E$10,$F$10,IF(T444&lt;($F$10-$E$10)/($G$10-$E$10),$E$10+SQRT(T444*($G$10-$E$10)*($F$10-$E$10)),$G$10-SQRT((1-T444)*($G$10-$E$10)*($G$10-$F$10))))</f>
        <v>1.04575542580521</v>
      </c>
      <c r="G444" s="38" t="n">
        <f aca="false">IF($G$11=$E$11,$F$11,IF(U444&lt;($F$11-$E$11)/($G$11-$E$11),$E$11+SQRT(U444*($G$11-$E$11)*($F$11-$E$11)),$G$11-SQRT((1-U444)*($G$11-$E$11)*($G$11-$F$11))))</f>
        <v>0.102356880479745</v>
      </c>
      <c r="H444" s="39" t="n">
        <f aca="false">(('Business Case'!B11*$C444*'Business Case'!B12*$B444)-'Business Case'!B11*$C444*'Business Case'!B13*$D444-'Business Case'!B14*$E444)-MAX(0,(('Business Case'!B11*$C444*'Business Case'!B12*$B444)-'Business Case'!B11*$C444*'Business Case'!B13*$D444-'Business Case'!B14*$E444))*'Business Case'!$B$7-'Business Case'!$B$8*('Business Case'!B11*$C444*'Business Case'!B12*$B444)-'Business Case'!B15*$F444</f>
        <v>-2091510851.61043</v>
      </c>
      <c r="I444" s="39" t="n">
        <f aca="false">(('Business Case'!C11*$C444*'Business Case'!C12*$B444)-'Business Case'!C11*$C444*'Business Case'!C13*$D444-'Business Case'!C14*$E444)-MAX(0,(('Business Case'!C11*$C444*'Business Case'!C12*$B444)-'Business Case'!C11*$C444*'Business Case'!C13*$D444-'Business Case'!C14*$E444))*'Business Case'!$B$7-'Business Case'!$B$8*(('Business Case'!C11*$C444*'Business Case'!C12*$B444)-('Business Case'!B11*$C444*'Business Case'!B12*$B444))-'Business Case'!C15*$F444</f>
        <v>30039648.1449167</v>
      </c>
      <c r="J444" s="39" t="n">
        <f aca="false">(('Business Case'!D11*$C444*'Business Case'!D12*$B444)-'Business Case'!D11*$C444*'Business Case'!D13*$D444-'Business Case'!D14*$E444)-MAX(0,(('Business Case'!D11*$C444*'Business Case'!D12*$B444)-'Business Case'!D11*$C444*'Business Case'!D13*$D444-'Business Case'!D14*$E444))*'Business Case'!$B$7-'Business Case'!$B$8*(('Business Case'!D11*$C444*'Business Case'!D12*$B444)-('Business Case'!C11*$C444*'Business Case'!C12*$B444))-'Business Case'!D15*$F444</f>
        <v>360955970.870648</v>
      </c>
      <c r="K444" s="39" t="n">
        <f aca="false">(('Business Case'!E11*$C444*'Business Case'!E12*$B444)-'Business Case'!E11*$C444*'Business Case'!E13*$D444-'Business Case'!E14*$E444)-MAX(0,(('Business Case'!E11*$C444*'Business Case'!E12*$B444)-'Business Case'!E11*$C444*'Business Case'!E13*$D444-'Business Case'!E14*$E444))*'Business Case'!$B$7-'Business Case'!$B$8*(('Business Case'!E11*$C444*'Business Case'!E12*$B444)-('Business Case'!D11*$C444*'Business Case'!D12*$B444))-'Business Case'!E15*$F444</f>
        <v>744160064.88664</v>
      </c>
      <c r="L444" s="39" t="n">
        <f aca="false">(('Business Case'!F11*$C444*'Business Case'!F12*$B444)-'Business Case'!F11*$C444*'Business Case'!F13*$D444-'Business Case'!F14*$E444)-MAX(0,(('Business Case'!F11*$C444*'Business Case'!F12*$B444)-'Business Case'!F11*$C444*'Business Case'!F13*$D444-'Business Case'!F14*$E444))*'Business Case'!$B$7-'Business Case'!$B$8*(('Business Case'!F11*$C444*'Business Case'!F12*$B444)-('Business Case'!E11*$C444*'Business Case'!E12*$B444))-'Business Case'!F15*$F444</f>
        <v>889466868.026621</v>
      </c>
      <c r="M444" s="39" t="n">
        <f aca="false">(('Business Case'!G11*$C444*'Business Case'!G12*$B444)-'Business Case'!G11*$C444*'Business Case'!G13*$D444-'Business Case'!G14*$E444)-MAX(0,(('Business Case'!G11*$C444*'Business Case'!G12*$B444)-'Business Case'!G11*$C444*'Business Case'!G13*$D444-'Business Case'!G14*$E444))*'Business Case'!$B$7-'Business Case'!$B$8*(('Business Case'!G11*$C444*'Business Case'!G12*$B444)-('Business Case'!F11*$C444*'Business Case'!F12*$B444))-'Business Case'!G15*$F444+'Business Case'!$B$8*('Business Case'!G11*$C444*'Business Case'!G12*$B444)</f>
        <v>1081974360.29934</v>
      </c>
      <c r="N444" s="39" t="n">
        <f aca="false">IF(COUNT('Business Case'!B11:G11)=0,"",H444+NPV(G444,I444:M444))</f>
        <v>55304626.114116</v>
      </c>
      <c r="P444" s="40" t="n">
        <f aca="true">RAND()</f>
        <v>0.902971152558512</v>
      </c>
      <c r="Q444" s="40" t="n">
        <f aca="true">RAND()</f>
        <v>0.540176678083864</v>
      </c>
      <c r="R444" s="40" t="n">
        <f aca="true">RAND()</f>
        <v>0.13337190040886</v>
      </c>
      <c r="S444" s="40" t="n">
        <f aca="true">RAND()</f>
        <v>0.474840797170713</v>
      </c>
      <c r="T444" s="40" t="n">
        <f aca="true">RAND()</f>
        <v>0.524172226629378</v>
      </c>
      <c r="U444" s="40" t="n">
        <f aca="true">RAND()</f>
        <v>0.481200555989979</v>
      </c>
    </row>
    <row r="445" customFormat="false" ht="15" hidden="false" customHeight="false" outlineLevel="0" collapsed="false">
      <c r="A445" s="36" t="n">
        <v>365</v>
      </c>
      <c r="B445" s="37" t="n">
        <f aca="false">1+IF($G$6=$E$6,$F$6,IF(P445&lt;($F$6-$E$6)/($G$6-$E$6),$E$6+SQRT(P445*($G$6-$E$6)*($F$6-$E$6)),$G$6-SQRT((1-P445)*($G$6-$E$6)*($G$6-$F$6))))</f>
        <v>0.944053736142411</v>
      </c>
      <c r="C445" s="37" t="n">
        <f aca="false">1+IF($G$7=$E$7,$F$7,IF(Q445&lt;($F$7-$E$7)/($G$7-$E$7),$E$7+SQRT(Q445*($G$7-$E$7)*($F$7-$E$7)),$G$7-SQRT((1-Q445)*($G$7-$E$7)*($G$7-$F$7))))</f>
        <v>1.08598984187706</v>
      </c>
      <c r="D445" s="37" t="n">
        <f aca="false">1+IF($G$8=$E$8,$F$8,IF(R445&lt;($F$8-$E$8)/($G$8-$E$8),$E$8+SQRT(R445*($G$8-$E$8)*($F$8-$E$8)),$G$8-SQRT((1-R445)*($G$8-$E$8)*($G$8-$F$8))))</f>
        <v>1.00148193555713</v>
      </c>
      <c r="E445" s="37" t="n">
        <f aca="false">1+IF($G$9=$E$9,$F$9,IF(S445&lt;($F$9-$E$9)/($G$9-$E$9),$E$9+SQRT(S445*($G$9-$E$9)*($F$9-$E$9)),$G$9-SQRT((1-S445)*($G$9-$E$9)*($G$9-$F$9))))</f>
        <v>1.0189551085332</v>
      </c>
      <c r="F445" s="37" t="n">
        <f aca="false">1+IF($G$10=$E$10,$F$10,IF(T445&lt;($F$10-$E$10)/($G$10-$E$10),$E$10+SQRT(T445*($G$10-$E$10)*($F$10-$E$10)),$G$10-SQRT((1-T445)*($G$10-$E$10)*($G$10-$F$10))))</f>
        <v>1.01952283727083</v>
      </c>
      <c r="G445" s="38" t="n">
        <f aca="false">IF($G$11=$E$11,$F$11,IF(U445&lt;($F$11-$E$11)/($G$11-$E$11),$E$11+SQRT(U445*($G$11-$E$11)*($F$11-$E$11)),$G$11-SQRT((1-U445)*($G$11-$E$11)*($G$11-$F$11))))</f>
        <v>0.116091737502928</v>
      </c>
      <c r="H445" s="39" t="n">
        <f aca="false">(('Business Case'!B11*$C445*'Business Case'!B12*$B445)-'Business Case'!B11*$C445*'Business Case'!B13*$D445-'Business Case'!B14*$E445)-MAX(0,(('Business Case'!B11*$C445*'Business Case'!B12*$B445)-'Business Case'!B11*$C445*'Business Case'!B13*$D445-'Business Case'!B14*$E445))*'Business Case'!$B$7-'Business Case'!$B$8*('Business Case'!B11*$C445*'Business Case'!B12*$B445)-'Business Case'!B15*$F445</f>
        <v>-2039045674.54165</v>
      </c>
      <c r="I445" s="39" t="n">
        <f aca="false">(('Business Case'!C11*$C445*'Business Case'!C12*$B445)-'Business Case'!C11*$C445*'Business Case'!C13*$D445-'Business Case'!C14*$E445)-MAX(0,(('Business Case'!C11*$C445*'Business Case'!C12*$B445)-'Business Case'!C11*$C445*'Business Case'!C13*$D445-'Business Case'!C14*$E445))*'Business Case'!$B$7-'Business Case'!$B$8*(('Business Case'!C11*$C445*'Business Case'!C12*$B445)-('Business Case'!B11*$C445*'Business Case'!B12*$B445))-'Business Case'!C15*$F445</f>
        <v>-17020100.3695923</v>
      </c>
      <c r="J445" s="39" t="n">
        <f aca="false">(('Business Case'!D11*$C445*'Business Case'!D12*$B445)-'Business Case'!D11*$C445*'Business Case'!D13*$D445-'Business Case'!D14*$E445)-MAX(0,(('Business Case'!D11*$C445*'Business Case'!D12*$B445)-'Business Case'!D11*$C445*'Business Case'!D13*$D445-'Business Case'!D14*$E445))*'Business Case'!$B$7-'Business Case'!$B$8*(('Business Case'!D11*$C445*'Business Case'!D12*$B445)-('Business Case'!C11*$C445*'Business Case'!C12*$B445))-'Business Case'!D15*$F445</f>
        <v>265955566.095608</v>
      </c>
      <c r="K445" s="39" t="n">
        <f aca="false">(('Business Case'!E11*$C445*'Business Case'!E12*$B445)-'Business Case'!E11*$C445*'Business Case'!E13*$D445-'Business Case'!E14*$E445)-MAX(0,(('Business Case'!E11*$C445*'Business Case'!E12*$B445)-'Business Case'!E11*$C445*'Business Case'!E13*$D445-'Business Case'!E14*$E445))*'Business Case'!$B$7-'Business Case'!$B$8*(('Business Case'!E11*$C445*'Business Case'!E12*$B445)-('Business Case'!D11*$C445*'Business Case'!D12*$B445))-'Business Case'!E15*$F445</f>
        <v>599907374.42435</v>
      </c>
      <c r="L445" s="39" t="n">
        <f aca="false">(('Business Case'!F11*$C445*'Business Case'!F12*$B445)-'Business Case'!F11*$C445*'Business Case'!F13*$D445-'Business Case'!F14*$E445)-MAX(0,(('Business Case'!F11*$C445*'Business Case'!F12*$B445)-'Business Case'!F11*$C445*'Business Case'!F13*$D445-'Business Case'!F14*$E445))*'Business Case'!$B$7-'Business Case'!$B$8*(('Business Case'!F11*$C445*'Business Case'!F12*$B445)-('Business Case'!E11*$C445*'Business Case'!E12*$B445))-'Business Case'!F15*$F445</f>
        <v>729664641.028943</v>
      </c>
      <c r="M445" s="39" t="n">
        <f aca="false">(('Business Case'!G11*$C445*'Business Case'!G12*$B445)-'Business Case'!G11*$C445*'Business Case'!G13*$D445-'Business Case'!G14*$E445)-MAX(0,(('Business Case'!G11*$C445*'Business Case'!G12*$B445)-'Business Case'!G11*$C445*'Business Case'!G13*$D445-'Business Case'!G14*$E445))*'Business Case'!$B$7-'Business Case'!$B$8*(('Business Case'!G11*$C445*'Business Case'!G12*$B445)-('Business Case'!F11*$C445*'Business Case'!F12*$B445))-'Business Case'!G15*$F445+'Business Case'!$B$8*('Business Case'!G11*$C445*'Business Case'!G12*$B445)</f>
        <v>924540885.501336</v>
      </c>
      <c r="N445" s="39" t="n">
        <f aca="false">IF(COUNT('Business Case'!B11:G11)=0,"",H445+NPV(G445,I445:M445))</f>
        <v>-405182483.566594</v>
      </c>
      <c r="P445" s="40" t="n">
        <f aca="true">RAND()</f>
        <v>0.0602689815009076</v>
      </c>
      <c r="Q445" s="40" t="n">
        <f aca="true">RAND()</f>
        <v>0.921956183944315</v>
      </c>
      <c r="R445" s="40" t="n">
        <f aca="true">RAND()</f>
        <v>0.407203226552426</v>
      </c>
      <c r="S445" s="40" t="n">
        <f aca="true">RAND()</f>
        <v>0.562115037808986</v>
      </c>
      <c r="T445" s="40" t="n">
        <f aca="true">RAND()</f>
        <v>0.348559874664548</v>
      </c>
      <c r="U445" s="40" t="n">
        <f aca="true">RAND()</f>
        <v>0.974542473756636</v>
      </c>
    </row>
    <row r="446" customFormat="false" ht="15" hidden="false" customHeight="false" outlineLevel="0" collapsed="false">
      <c r="A446" s="36" t="n">
        <v>366</v>
      </c>
      <c r="B446" s="37" t="n">
        <f aca="false">1+IF($G$6=$E$6,$F$6,IF(P446&lt;($F$6-$E$6)/($G$6-$E$6),$E$6+SQRT(P446*($G$6-$E$6)*($F$6-$E$6)),$G$6-SQRT((1-P446)*($G$6-$E$6)*($G$6-$F$6))))</f>
        <v>0.992170450832164</v>
      </c>
      <c r="C446" s="37" t="n">
        <f aca="false">1+IF($G$7=$E$7,$F$7,IF(Q446&lt;($F$7-$E$7)/($G$7-$E$7),$E$7+SQRT(Q446*($G$7-$E$7)*($F$7-$E$7)),$G$7-SQRT((1-Q446)*($G$7-$E$7)*($G$7-$F$7))))</f>
        <v>0.861563786969973</v>
      </c>
      <c r="D446" s="37" t="n">
        <f aca="false">1+IF($G$8=$E$8,$F$8,IF(R446&lt;($F$8-$E$8)/($G$8-$E$8),$E$8+SQRT(R446*($G$8-$E$8)*($F$8-$E$8)),$G$8-SQRT((1-R446)*($G$8-$E$8)*($G$8-$F$8))))</f>
        <v>1.01267256941201</v>
      </c>
      <c r="E446" s="37" t="n">
        <f aca="false">1+IF($G$9=$E$9,$F$9,IF(S446&lt;($F$9-$E$9)/($G$9-$E$9),$E$9+SQRT(S446*($G$9-$E$9)*($F$9-$E$9)),$G$9-SQRT((1-S446)*($G$9-$E$9)*($G$9-$F$9))))</f>
        <v>1.07430422255498</v>
      </c>
      <c r="F446" s="37" t="n">
        <f aca="false">1+IF($G$10=$E$10,$F$10,IF(T446&lt;($F$10-$E$10)/($G$10-$E$10),$E$10+SQRT(T446*($G$10-$E$10)*($F$10-$E$10)),$G$10-SQRT((1-T446)*($G$10-$E$10)*($G$10-$F$10))))</f>
        <v>1.14952588545979</v>
      </c>
      <c r="G446" s="38" t="n">
        <f aca="false">IF($G$11=$E$11,$F$11,IF(U446&lt;($F$11-$E$11)/($G$11-$E$11),$E$11+SQRT(U446*($G$11-$E$11)*($F$11-$E$11)),$G$11-SQRT((1-U446)*($G$11-$E$11)*($G$11-$F$11))))</f>
        <v>0.0939194844460521</v>
      </c>
      <c r="H446" s="39" t="n">
        <f aca="false">(('Business Case'!B11*$C446*'Business Case'!B12*$B446)-'Business Case'!B11*$C446*'Business Case'!B13*$D446-'Business Case'!B14*$E446)-MAX(0,(('Business Case'!B11*$C446*'Business Case'!B12*$B446)-'Business Case'!B11*$C446*'Business Case'!B13*$D446-'Business Case'!B14*$E446))*'Business Case'!$B$7-'Business Case'!$B$8*('Business Case'!B11*$C446*'Business Case'!B12*$B446)-'Business Case'!B15*$F446</f>
        <v>-2299051770.91958</v>
      </c>
      <c r="I446" s="39" t="n">
        <f aca="false">(('Business Case'!C11*$C446*'Business Case'!C12*$B446)-'Business Case'!C11*$C446*'Business Case'!C13*$D446-'Business Case'!C14*$E446)-MAX(0,(('Business Case'!C11*$C446*'Business Case'!C12*$B446)-'Business Case'!C11*$C446*'Business Case'!C13*$D446-'Business Case'!C14*$E446))*'Business Case'!$B$7-'Business Case'!$B$8*(('Business Case'!C11*$C446*'Business Case'!C12*$B446)-('Business Case'!B11*$C446*'Business Case'!B12*$B446))-'Business Case'!C15*$F446</f>
        <v>-58515817.2938261</v>
      </c>
      <c r="J446" s="39" t="n">
        <f aca="false">(('Business Case'!D11*$C446*'Business Case'!D12*$B446)-'Business Case'!D11*$C446*'Business Case'!D13*$D446-'Business Case'!D14*$E446)-MAX(0,(('Business Case'!D11*$C446*'Business Case'!D12*$B446)-'Business Case'!D11*$C446*'Business Case'!D13*$D446-'Business Case'!D14*$E446))*'Business Case'!$B$7-'Business Case'!$B$8*(('Business Case'!D11*$C446*'Business Case'!D12*$B446)-('Business Case'!C11*$C446*'Business Case'!C12*$B446))-'Business Case'!D15*$F446</f>
        <v>195000786.313505</v>
      </c>
      <c r="K446" s="39" t="n">
        <f aca="false">(('Business Case'!E11*$C446*'Business Case'!E12*$B446)-'Business Case'!E11*$C446*'Business Case'!E13*$D446-'Business Case'!E14*$E446)-MAX(0,(('Business Case'!E11*$C446*'Business Case'!E12*$B446)-'Business Case'!E11*$C446*'Business Case'!E13*$D446-'Business Case'!E14*$E446))*'Business Case'!$B$7-'Business Case'!$B$8*(('Business Case'!E11*$C446*'Business Case'!E12*$B446)-('Business Case'!D11*$C446*'Business Case'!D12*$B446))-'Business Case'!E15*$F446</f>
        <v>505993684.193826</v>
      </c>
      <c r="L446" s="39" t="n">
        <f aca="false">(('Business Case'!F11*$C446*'Business Case'!F12*$B446)-'Business Case'!F11*$C446*'Business Case'!F13*$D446-'Business Case'!F14*$E446)-MAX(0,(('Business Case'!F11*$C446*'Business Case'!F12*$B446)-'Business Case'!F11*$C446*'Business Case'!F13*$D446-'Business Case'!F14*$E446))*'Business Case'!$B$7-'Business Case'!$B$8*(('Business Case'!F11*$C446*'Business Case'!F12*$B446)-('Business Case'!E11*$C446*'Business Case'!E12*$B446))-'Business Case'!F15*$F446</f>
        <v>620041733.334843</v>
      </c>
      <c r="M446" s="39" t="n">
        <f aca="false">(('Business Case'!G11*$C446*'Business Case'!G12*$B446)-'Business Case'!G11*$C446*'Business Case'!G13*$D446-'Business Case'!G14*$E446)-MAX(0,(('Business Case'!G11*$C446*'Business Case'!G12*$B446)-'Business Case'!G11*$C446*'Business Case'!G13*$D446-'Business Case'!G14*$E446))*'Business Case'!$B$7-'Business Case'!$B$8*(('Business Case'!G11*$C446*'Business Case'!G12*$B446)-('Business Case'!F11*$C446*'Business Case'!F12*$B446))-'Business Case'!G15*$F446+'Business Case'!$B$8*('Business Case'!G11*$C446*'Business Case'!G12*$B446)</f>
        <v>782525563.663665</v>
      </c>
      <c r="N446" s="39" t="n">
        <f aca="false">IF(COUNT('Business Case'!B11:G11)=0,"",H446+NPV(G446,I446:M446))</f>
        <v>-870520932.840702</v>
      </c>
      <c r="P446" s="40" t="n">
        <f aca="true">RAND()</f>
        <v>0.542559788887277</v>
      </c>
      <c r="Q446" s="40" t="n">
        <f aca="true">RAND()</f>
        <v>0.0541442838012038</v>
      </c>
      <c r="R446" s="40" t="n">
        <f aca="true">RAND()</f>
        <v>0.564136258694216</v>
      </c>
      <c r="S446" s="40" t="n">
        <f aca="true">RAND()</f>
        <v>0.955981801433057</v>
      </c>
      <c r="T446" s="40" t="n">
        <f aca="true">RAND()</f>
        <v>0.949047275227636</v>
      </c>
      <c r="U446" s="40" t="n">
        <f aca="true">RAND()</f>
        <v>0.0512078610761476</v>
      </c>
    </row>
    <row r="447" customFormat="false" ht="15" hidden="false" customHeight="false" outlineLevel="0" collapsed="false">
      <c r="A447" s="36" t="n">
        <v>367</v>
      </c>
      <c r="B447" s="37" t="n">
        <f aca="false">1+IF($G$6=$E$6,$F$6,IF(P447&lt;($F$6-$E$6)/($G$6-$E$6),$E$6+SQRT(P447*($G$6-$E$6)*($F$6-$E$6)),$G$6-SQRT((1-P447)*($G$6-$E$6)*($G$6-$F$6))))</f>
        <v>1.01037386848593</v>
      </c>
      <c r="C447" s="37" t="n">
        <f aca="false">1+IF($G$7=$E$7,$F$7,IF(Q447&lt;($F$7-$E$7)/($G$7-$E$7),$E$7+SQRT(Q447*($G$7-$E$7)*($F$7-$E$7)),$G$7-SQRT((1-Q447)*($G$7-$E$7)*($G$7-$F$7))))</f>
        <v>0.993681247174747</v>
      </c>
      <c r="D447" s="37" t="n">
        <f aca="false">1+IF($G$8=$E$8,$F$8,IF(R447&lt;($F$8-$E$8)/($G$8-$E$8),$E$8+SQRT(R447*($G$8-$E$8)*($F$8-$E$8)),$G$8-SQRT((1-R447)*($G$8-$E$8)*($G$8-$F$8))))</f>
        <v>1.04249643483869</v>
      </c>
      <c r="E447" s="37" t="n">
        <f aca="false">1+IF($G$9=$E$9,$F$9,IF(S447&lt;($F$9-$E$9)/($G$9-$E$9),$E$9+SQRT(S447*($G$9-$E$9)*($F$9-$E$9)),$G$9-SQRT((1-S447)*($G$9-$E$9)*($G$9-$F$9))))</f>
        <v>1.08336349949784</v>
      </c>
      <c r="F447" s="37" t="n">
        <f aca="false">1+IF($G$10=$E$10,$F$10,IF(T447&lt;($F$10-$E$10)/($G$10-$E$10),$E$10+SQRT(T447*($G$10-$E$10)*($F$10-$E$10)),$G$10-SQRT((1-T447)*($G$10-$E$10)*($G$10-$F$10))))</f>
        <v>1.14219206520226</v>
      </c>
      <c r="G447" s="38" t="n">
        <f aca="false">IF($G$11=$E$11,$F$11,IF(U447&lt;($F$11-$E$11)/($G$11-$E$11),$E$11+SQRT(U447*($G$11-$E$11)*($F$11-$E$11)),$G$11-SQRT((1-U447)*($G$11-$E$11)*($G$11-$F$11))))</f>
        <v>0.10485386960044</v>
      </c>
      <c r="H447" s="39" t="n">
        <f aca="false">(('Business Case'!B11*$C447*'Business Case'!B12*$B447)-'Business Case'!B11*$C447*'Business Case'!B13*$D447-'Business Case'!B14*$E447)-MAX(0,(('Business Case'!B11*$C447*'Business Case'!B12*$B447)-'Business Case'!B11*$C447*'Business Case'!B13*$D447-'Business Case'!B14*$E447))*'Business Case'!$B$7-'Business Case'!$B$8*('Business Case'!B11*$C447*'Business Case'!B12*$B447)-'Business Case'!B15*$F447</f>
        <v>-2284384130.40452</v>
      </c>
      <c r="I447" s="39" t="n">
        <f aca="false">(('Business Case'!C11*$C447*'Business Case'!C12*$B447)-'Business Case'!C11*$C447*'Business Case'!C13*$D447-'Business Case'!C14*$E447)-MAX(0,(('Business Case'!C11*$C447*'Business Case'!C12*$B447)-'Business Case'!C11*$C447*'Business Case'!C13*$D447-'Business Case'!C14*$E447))*'Business Case'!$B$7-'Business Case'!$B$8*(('Business Case'!C11*$C447*'Business Case'!C12*$B447)-('Business Case'!B11*$C447*'Business Case'!B12*$B447))-'Business Case'!C15*$F447</f>
        <v>-28283189.5702271</v>
      </c>
      <c r="J447" s="39" t="n">
        <f aca="false">(('Business Case'!D11*$C447*'Business Case'!D12*$B447)-'Business Case'!D11*$C447*'Business Case'!D13*$D447-'Business Case'!D14*$E447)-MAX(0,(('Business Case'!D11*$C447*'Business Case'!D12*$B447)-'Business Case'!D11*$C447*'Business Case'!D13*$D447-'Business Case'!D14*$E447))*'Business Case'!$B$7-'Business Case'!$B$8*(('Business Case'!D11*$C447*'Business Case'!D12*$B447)-('Business Case'!C11*$C447*'Business Case'!C12*$B447))-'Business Case'!D15*$F447</f>
        <v>263753936.096838</v>
      </c>
      <c r="K447" s="39" t="n">
        <f aca="false">(('Business Case'!E11*$C447*'Business Case'!E12*$B447)-'Business Case'!E11*$C447*'Business Case'!E13*$D447-'Business Case'!E14*$E447)-MAX(0,(('Business Case'!E11*$C447*'Business Case'!E12*$B447)-'Business Case'!E11*$C447*'Business Case'!E13*$D447-'Business Case'!E14*$E447))*'Business Case'!$B$7-'Business Case'!$B$8*(('Business Case'!E11*$C447*'Business Case'!E12*$B447)-('Business Case'!D11*$C447*'Business Case'!D12*$B447))-'Business Case'!E15*$F447</f>
        <v>612900665.024016</v>
      </c>
      <c r="L447" s="39" t="n">
        <f aca="false">(('Business Case'!F11*$C447*'Business Case'!F12*$B447)-'Business Case'!F11*$C447*'Business Case'!F13*$D447-'Business Case'!F14*$E447)-MAX(0,(('Business Case'!F11*$C447*'Business Case'!F12*$B447)-'Business Case'!F11*$C447*'Business Case'!F13*$D447-'Business Case'!F14*$E447))*'Business Case'!$B$7-'Business Case'!$B$8*(('Business Case'!F11*$C447*'Business Case'!F12*$B447)-('Business Case'!E11*$C447*'Business Case'!E12*$B447))-'Business Case'!F15*$F447</f>
        <v>744944252.97202</v>
      </c>
      <c r="M447" s="39" t="n">
        <f aca="false">(('Business Case'!G11*$C447*'Business Case'!G12*$B447)-'Business Case'!G11*$C447*'Business Case'!G13*$D447-'Business Case'!G14*$E447)-MAX(0,(('Business Case'!G11*$C447*'Business Case'!G12*$B447)-'Business Case'!G11*$C447*'Business Case'!G13*$D447-'Business Case'!G14*$E447))*'Business Case'!$B$7-'Business Case'!$B$8*(('Business Case'!G11*$C447*'Business Case'!G12*$B447)-('Business Case'!F11*$C447*'Business Case'!F12*$B447))-'Business Case'!G15*$F447+'Business Case'!$B$8*('Business Case'!G11*$C447*'Business Case'!G12*$B447)</f>
        <v>935782589.629757</v>
      </c>
      <c r="N447" s="39" t="n">
        <f aca="false">IF(COUNT('Business Case'!B11:G11)=0,"",H447+NPV(G447,I447:M447))</f>
        <v>-571156629.094189</v>
      </c>
      <c r="P447" s="40" t="n">
        <f aca="true">RAND()</f>
        <v>0.817144235731477</v>
      </c>
      <c r="Q447" s="40" t="n">
        <f aca="true">RAND()</f>
        <v>0.535891792959508</v>
      </c>
      <c r="R447" s="40" t="n">
        <f aca="true">RAND()</f>
        <v>0.864757942326121</v>
      </c>
      <c r="S447" s="40" t="n">
        <f aca="true">RAND()</f>
        <v>0.981548456736107</v>
      </c>
      <c r="T447" s="40" t="n">
        <f aca="true">RAND()</f>
        <v>0.933164853488406</v>
      </c>
      <c r="U447" s="40" t="n">
        <f aca="true">RAND()</f>
        <v>0.617657889865889</v>
      </c>
    </row>
    <row r="448" customFormat="false" ht="15" hidden="false" customHeight="false" outlineLevel="0" collapsed="false">
      <c r="A448" s="36" t="n">
        <v>368</v>
      </c>
      <c r="B448" s="37" t="n">
        <f aca="false">1+IF($G$6=$E$6,$F$6,IF(P448&lt;($F$6-$E$6)/($G$6-$E$6),$E$6+SQRT(P448*($G$6-$E$6)*($F$6-$E$6)),$G$6-SQRT((1-P448)*($G$6-$E$6)*($G$6-$F$6))))</f>
        <v>0.982898310956737</v>
      </c>
      <c r="C448" s="37" t="n">
        <f aca="false">1+IF($G$7=$E$7,$F$7,IF(Q448&lt;($F$7-$E$7)/($G$7-$E$7),$E$7+SQRT(Q448*($G$7-$E$7)*($F$7-$E$7)),$G$7-SQRT((1-Q448)*($G$7-$E$7)*($G$7-$F$7))))</f>
        <v>0.903566474501979</v>
      </c>
      <c r="D448" s="37" t="n">
        <f aca="false">1+IF($G$8=$E$8,$F$8,IF(R448&lt;($F$8-$E$8)/($G$8-$E$8),$E$8+SQRT(R448*($G$8-$E$8)*($F$8-$E$8)),$G$8-SQRT((1-R448)*($G$8-$E$8)*($G$8-$F$8))))</f>
        <v>0.982883662885767</v>
      </c>
      <c r="E448" s="37" t="n">
        <f aca="false">1+IF($G$9=$E$9,$F$9,IF(S448&lt;($F$9-$E$9)/($G$9-$E$9),$E$9+SQRT(S448*($G$9-$E$9)*($F$9-$E$9)),$G$9-SQRT((1-S448)*($G$9-$E$9)*($G$9-$F$9))))</f>
        <v>1.03176956455553</v>
      </c>
      <c r="F448" s="37" t="n">
        <f aca="false">1+IF($G$10=$E$10,$F$10,IF(T448&lt;($F$10-$E$10)/($G$10-$E$10),$E$10+SQRT(T448*($G$10-$E$10)*($F$10-$E$10)),$G$10-SQRT((1-T448)*($G$10-$E$10)*($G$10-$F$10))))</f>
        <v>1.12447996783456</v>
      </c>
      <c r="G448" s="38" t="n">
        <f aca="false">IF($G$11=$E$11,$F$11,IF(U448&lt;($F$11-$E$11)/($G$11-$E$11),$E$11+SQRT(U448*($G$11-$E$11)*($F$11-$E$11)),$G$11-SQRT((1-U448)*($G$11-$E$11)*($G$11-$F$11))))</f>
        <v>0.113733134334669</v>
      </c>
      <c r="H448" s="39" t="n">
        <f aca="false">(('Business Case'!B11*$C448*'Business Case'!B12*$B448)-'Business Case'!B11*$C448*'Business Case'!B13*$D448-'Business Case'!B14*$E448)-MAX(0,(('Business Case'!B11*$C448*'Business Case'!B12*$B448)-'Business Case'!B11*$C448*'Business Case'!B13*$D448-'Business Case'!B14*$E448))*'Business Case'!$B$7-'Business Case'!$B$8*('Business Case'!B11*$C448*'Business Case'!B12*$B448)-'Business Case'!B15*$F448</f>
        <v>-2248959935.66913</v>
      </c>
      <c r="I448" s="39" t="n">
        <f aca="false">(('Business Case'!C11*$C448*'Business Case'!C12*$B448)-'Business Case'!C11*$C448*'Business Case'!C13*$D448-'Business Case'!C14*$E448)-MAX(0,(('Business Case'!C11*$C448*'Business Case'!C12*$B448)-'Business Case'!C11*$C448*'Business Case'!C13*$D448-'Business Case'!C14*$E448))*'Business Case'!$B$7-'Business Case'!$B$8*(('Business Case'!C11*$C448*'Business Case'!C12*$B448)-('Business Case'!B11*$C448*'Business Case'!B12*$B448))-'Business Case'!C15*$F448</f>
        <v>-32412701.5726653</v>
      </c>
      <c r="J448" s="39" t="n">
        <f aca="false">(('Business Case'!D11*$C448*'Business Case'!D12*$B448)-'Business Case'!D11*$C448*'Business Case'!D13*$D448-'Business Case'!D14*$E448)-MAX(0,(('Business Case'!D11*$C448*'Business Case'!D12*$B448)-'Business Case'!D11*$C448*'Business Case'!D13*$D448-'Business Case'!D14*$E448))*'Business Case'!$B$7-'Business Case'!$B$8*(('Business Case'!D11*$C448*'Business Case'!D12*$B448)-('Business Case'!C11*$C448*'Business Case'!C12*$B448))-'Business Case'!D15*$F448</f>
        <v>240380053.488568</v>
      </c>
      <c r="K448" s="39" t="n">
        <f aca="false">(('Business Case'!E11*$C448*'Business Case'!E12*$B448)-'Business Case'!E11*$C448*'Business Case'!E13*$D448-'Business Case'!E14*$E448)-MAX(0,(('Business Case'!E11*$C448*'Business Case'!E12*$B448)-'Business Case'!E11*$C448*'Business Case'!E13*$D448-'Business Case'!E14*$E448))*'Business Case'!$B$7-'Business Case'!$B$8*(('Business Case'!E11*$C448*'Business Case'!E12*$B448)-('Business Case'!D11*$C448*'Business Case'!D12*$B448))-'Business Case'!E15*$F448</f>
        <v>569396806.94153</v>
      </c>
      <c r="L448" s="39" t="n">
        <f aca="false">(('Business Case'!F11*$C448*'Business Case'!F12*$B448)-'Business Case'!F11*$C448*'Business Case'!F13*$D448-'Business Case'!F14*$E448)-MAX(0,(('Business Case'!F11*$C448*'Business Case'!F12*$B448)-'Business Case'!F11*$C448*'Business Case'!F13*$D448-'Business Case'!F14*$E448))*'Business Case'!$B$7-'Business Case'!$B$8*(('Business Case'!F11*$C448*'Business Case'!F12*$B448)-('Business Case'!E11*$C448*'Business Case'!E12*$B448))-'Business Case'!F15*$F448</f>
        <v>691020943.809039</v>
      </c>
      <c r="M448" s="39" t="n">
        <f aca="false">(('Business Case'!G11*$C448*'Business Case'!G12*$B448)-'Business Case'!G11*$C448*'Business Case'!G13*$D448-'Business Case'!G14*$E448)-MAX(0,(('Business Case'!G11*$C448*'Business Case'!G12*$B448)-'Business Case'!G11*$C448*'Business Case'!G13*$D448-'Business Case'!G14*$E448))*'Business Case'!$B$7-'Business Case'!$B$8*(('Business Case'!G11*$C448*'Business Case'!G12*$B448)-('Business Case'!F11*$C448*'Business Case'!F12*$B448))-'Business Case'!G15*$F448+'Business Case'!$B$8*('Business Case'!G11*$C448*'Business Case'!G12*$B448)</f>
        <v>859833645.634744</v>
      </c>
      <c r="N448" s="39" t="n">
        <f aca="false">IF(COUNT('Business Case'!B11:G11)=0,"",H448+NPV(G448,I448:M448))</f>
        <v>-721206016.401729</v>
      </c>
      <c r="P448" s="40" t="n">
        <f aca="true">RAND()</f>
        <v>0.412103908459411</v>
      </c>
      <c r="Q448" s="40" t="n">
        <f aca="true">RAND()</f>
        <v>0.153228780582416</v>
      </c>
      <c r="R448" s="40" t="n">
        <f aca="true">RAND()</f>
        <v>0.166359274582269</v>
      </c>
      <c r="S448" s="40" t="n">
        <f aca="true">RAND()</f>
        <v>0.689640511937163</v>
      </c>
      <c r="T448" s="40" t="n">
        <f aca="true">RAND()</f>
        <v>0.88593449483463</v>
      </c>
      <c r="U448" s="40" t="n">
        <f aca="true">RAND()</f>
        <v>0.934543991221151</v>
      </c>
    </row>
    <row r="449" customFormat="false" ht="15" hidden="false" customHeight="false" outlineLevel="0" collapsed="false">
      <c r="A449" s="36" t="n">
        <v>369</v>
      </c>
      <c r="B449" s="37" t="n">
        <f aca="false">1+IF($G$6=$E$6,$F$6,IF(P449&lt;($F$6-$E$6)/($G$6-$E$6),$E$6+SQRT(P449*($G$6-$E$6)*($F$6-$E$6)),$G$6-SQRT((1-P449)*($G$6-$E$6)*($G$6-$F$6))))</f>
        <v>0.992399013737445</v>
      </c>
      <c r="C449" s="37" t="n">
        <f aca="false">1+IF($G$7=$E$7,$F$7,IF(Q449&lt;($F$7-$E$7)/($G$7-$E$7),$E$7+SQRT(Q449*($G$7-$E$7)*($F$7-$E$7)),$G$7-SQRT((1-Q449)*($G$7-$E$7)*($G$7-$F$7))))</f>
        <v>0.946091033217495</v>
      </c>
      <c r="D449" s="37" t="n">
        <f aca="false">1+IF($G$8=$E$8,$F$8,IF(R449&lt;($F$8-$E$8)/($G$8-$E$8),$E$8+SQRT(R449*($G$8-$E$8)*($F$8-$E$8)),$G$8-SQRT((1-R449)*($G$8-$E$8)*($G$8-$F$8))))</f>
        <v>0.992413155423529</v>
      </c>
      <c r="E449" s="37" t="n">
        <f aca="false">1+IF($G$9=$E$9,$F$9,IF(S449&lt;($F$9-$E$9)/($G$9-$E$9),$E$9+SQRT(S449*($G$9-$E$9)*($F$9-$E$9)),$G$9-SQRT((1-S449)*($G$9-$E$9)*($G$9-$F$9))))</f>
        <v>1.05605967388589</v>
      </c>
      <c r="F449" s="37" t="n">
        <f aca="false">1+IF($G$10=$E$10,$F$10,IF(T449&lt;($F$10-$E$10)/($G$10-$E$10),$E$10+SQRT(T449*($G$10-$E$10)*($F$10-$E$10)),$G$10-SQRT((1-T449)*($G$10-$E$10)*($G$10-$F$10))))</f>
        <v>1.10712710522937</v>
      </c>
      <c r="G449" s="38" t="n">
        <f aca="false">IF($G$11=$E$11,$F$11,IF(U449&lt;($F$11-$E$11)/($G$11-$E$11),$E$11+SQRT(U449*($G$11-$E$11)*($F$11-$E$11)),$G$11-SQRT((1-U449)*($G$11-$E$11)*($G$11-$F$11))))</f>
        <v>0.091436817968434</v>
      </c>
      <c r="H449" s="39" t="n">
        <f aca="false">(('Business Case'!B11*$C449*'Business Case'!B12*$B449)-'Business Case'!B11*$C449*'Business Case'!B13*$D449-'Business Case'!B14*$E449)-MAX(0,(('Business Case'!B11*$C449*'Business Case'!B12*$B449)-'Business Case'!B11*$C449*'Business Case'!B13*$D449-'Business Case'!B14*$E449))*'Business Case'!$B$7-'Business Case'!$B$8*('Business Case'!B11*$C449*'Business Case'!B12*$B449)-'Business Case'!B15*$F449</f>
        <v>-2214254210.45875</v>
      </c>
      <c r="I449" s="39" t="n">
        <f aca="false">(('Business Case'!C11*$C449*'Business Case'!C12*$B449)-'Business Case'!C11*$C449*'Business Case'!C13*$D449-'Business Case'!C14*$E449)-MAX(0,(('Business Case'!C11*$C449*'Business Case'!C12*$B449)-'Business Case'!C11*$C449*'Business Case'!C13*$D449-'Business Case'!C14*$E449))*'Business Case'!$B$7-'Business Case'!$B$8*(('Business Case'!C11*$C449*'Business Case'!C12*$B449)-('Business Case'!B11*$C449*'Business Case'!B12*$B449))-'Business Case'!C15*$F449</f>
        <v>-21178857.4429773</v>
      </c>
      <c r="J449" s="39" t="n">
        <f aca="false">(('Business Case'!D11*$C449*'Business Case'!D12*$B449)-'Business Case'!D11*$C449*'Business Case'!D13*$D449-'Business Case'!D14*$E449)-MAX(0,(('Business Case'!D11*$C449*'Business Case'!D12*$B449)-'Business Case'!D11*$C449*'Business Case'!D13*$D449-'Business Case'!D14*$E449))*'Business Case'!$B$7-'Business Case'!$B$8*(('Business Case'!D11*$C449*'Business Case'!D12*$B449)-('Business Case'!C11*$C449*'Business Case'!C12*$B449))-'Business Case'!D15*$F449</f>
        <v>267199247.324318</v>
      </c>
      <c r="K449" s="39" t="n">
        <f aca="false">(('Business Case'!E11*$C449*'Business Case'!E12*$B449)-'Business Case'!E11*$C449*'Business Case'!E13*$D449-'Business Case'!E14*$E449)-MAX(0,(('Business Case'!E11*$C449*'Business Case'!E12*$B449)-'Business Case'!E11*$C449*'Business Case'!E13*$D449-'Business Case'!E14*$E449))*'Business Case'!$B$7-'Business Case'!$B$8*(('Business Case'!E11*$C449*'Business Case'!E12*$B449)-('Business Case'!D11*$C449*'Business Case'!D12*$B449))-'Business Case'!E15*$F449</f>
        <v>610933707.353083</v>
      </c>
      <c r="L449" s="39" t="n">
        <f aca="false">(('Business Case'!F11*$C449*'Business Case'!F12*$B449)-'Business Case'!F11*$C449*'Business Case'!F13*$D449-'Business Case'!F14*$E449)-MAX(0,(('Business Case'!F11*$C449*'Business Case'!F12*$B449)-'Business Case'!F11*$C449*'Business Case'!F13*$D449-'Business Case'!F14*$E449))*'Business Case'!$B$7-'Business Case'!$B$8*(('Business Case'!F11*$C449*'Business Case'!F12*$B449)-('Business Case'!E11*$C449*'Business Case'!E12*$B449))-'Business Case'!F15*$F449</f>
        <v>739508119.649356</v>
      </c>
      <c r="M449" s="39" t="n">
        <f aca="false">(('Business Case'!G11*$C449*'Business Case'!G12*$B449)-'Business Case'!G11*$C449*'Business Case'!G13*$D449-'Business Case'!G14*$E449)-MAX(0,(('Business Case'!G11*$C449*'Business Case'!G12*$B449)-'Business Case'!G11*$C449*'Business Case'!G13*$D449-'Business Case'!G14*$E449))*'Business Case'!$B$7-'Business Case'!$B$8*(('Business Case'!G11*$C449*'Business Case'!G12*$B449)-('Business Case'!F11*$C449*'Business Case'!F12*$B449))-'Business Case'!G15*$F449+'Business Case'!$B$8*('Business Case'!G11*$C449*'Business Case'!G12*$B449)</f>
        <v>917974195.205486</v>
      </c>
      <c r="N449" s="39" t="n">
        <f aca="false">IF(COUNT('Business Case'!B11:G11)=0,"",H449+NPV(G449,I449:M449))</f>
        <v>-425625556.772501</v>
      </c>
      <c r="P449" s="40" t="n">
        <f aca="true">RAND()</f>
        <v>0.546001790641119</v>
      </c>
      <c r="Q449" s="40" t="n">
        <f aca="true">RAND()</f>
        <v>0.304894142665076</v>
      </c>
      <c r="R449" s="40" t="n">
        <f aca="true">RAND()</f>
        <v>0.276750115843144</v>
      </c>
      <c r="S449" s="40" t="n">
        <f aca="true">RAND()</f>
        <v>0.871283182732357</v>
      </c>
      <c r="T449" s="40" t="n">
        <f aca="true">RAND()</f>
        <v>0.827492508338486</v>
      </c>
      <c r="U449" s="40" t="n">
        <f aca="true">RAND()</f>
        <v>0.00688148624804904</v>
      </c>
    </row>
    <row r="450" customFormat="false" ht="15" hidden="false" customHeight="false" outlineLevel="0" collapsed="false">
      <c r="A450" s="36" t="n">
        <v>370</v>
      </c>
      <c r="B450" s="37" t="n">
        <f aca="false">1+IF($G$6=$E$6,$F$6,IF(P450&lt;($F$6-$E$6)/($G$6-$E$6),$E$6+SQRT(P450*($G$6-$E$6)*($F$6-$E$6)),$G$6-SQRT((1-P450)*($G$6-$E$6)*($G$6-$F$6))))</f>
        <v>0.988820966448779</v>
      </c>
      <c r="C450" s="37" t="n">
        <f aca="false">1+IF($G$7=$E$7,$F$7,IF(Q450&lt;($F$7-$E$7)/($G$7-$E$7),$E$7+SQRT(Q450*($G$7-$E$7)*($F$7-$E$7)),$G$7-SQRT((1-Q450)*($G$7-$E$7)*($G$7-$F$7))))</f>
        <v>1.04007589197093</v>
      </c>
      <c r="D450" s="37" t="n">
        <f aca="false">1+IF($G$8=$E$8,$F$8,IF(R450&lt;($F$8-$E$8)/($G$8-$E$8),$E$8+SQRT(R450*($G$8-$E$8)*($F$8-$E$8)),$G$8-SQRT((1-R450)*($G$8-$E$8)*($G$8-$F$8))))</f>
        <v>0.988956464785177</v>
      </c>
      <c r="E450" s="37" t="n">
        <f aca="false">1+IF($G$9=$E$9,$F$9,IF(S450&lt;($F$9-$E$9)/($G$9-$E$9),$E$9+SQRT(S450*($G$9-$E$9)*($F$9-$E$9)),$G$9-SQRT((1-S450)*($G$9-$E$9)*($G$9-$F$9))))</f>
        <v>1.02750480722253</v>
      </c>
      <c r="F450" s="37" t="n">
        <f aca="false">1+IF($G$10=$E$10,$F$10,IF(T450&lt;($F$10-$E$10)/($G$10-$E$10),$E$10+SQRT(T450*($G$10-$E$10)*($F$10-$E$10)),$G$10-SQRT((1-T450)*($G$10-$E$10)*($G$10-$F$10))))</f>
        <v>1.13546284101973</v>
      </c>
      <c r="G450" s="38" t="n">
        <f aca="false">IF($G$11=$E$11,$F$11,IF(U450&lt;($F$11-$E$11)/($G$11-$E$11),$E$11+SQRT(U450*($G$11-$E$11)*($F$11-$E$11)),$G$11-SQRT((1-U450)*($G$11-$E$11)*($G$11-$F$11))))</f>
        <v>0.0993575138362422</v>
      </c>
      <c r="H450" s="39" t="n">
        <f aca="false">(('Business Case'!B11*$C450*'Business Case'!B12*$B450)-'Business Case'!B11*$C450*'Business Case'!B13*$D450-'Business Case'!B14*$E450)-MAX(0,(('Business Case'!B11*$C450*'Business Case'!B12*$B450)-'Business Case'!B11*$C450*'Business Case'!B13*$D450-'Business Case'!B14*$E450))*'Business Case'!$B$7-'Business Case'!$B$8*('Business Case'!B11*$C450*'Business Case'!B12*$B450)-'Business Case'!B15*$F450</f>
        <v>-2270925682.03945</v>
      </c>
      <c r="I450" s="39" t="n">
        <f aca="false">(('Business Case'!C11*$C450*'Business Case'!C12*$B450)-'Business Case'!C11*$C450*'Business Case'!C13*$D450-'Business Case'!C14*$E450)-MAX(0,(('Business Case'!C11*$C450*'Business Case'!C12*$B450)-'Business Case'!C11*$C450*'Business Case'!C13*$D450-'Business Case'!C14*$E450))*'Business Case'!$B$7-'Business Case'!$B$8*(('Business Case'!C11*$C450*'Business Case'!C12*$B450)-('Business Case'!B11*$C450*'Business Case'!B12*$B450))-'Business Case'!C15*$F450</f>
        <v>2845720.61996114</v>
      </c>
      <c r="J450" s="39" t="n">
        <f aca="false">(('Business Case'!D11*$C450*'Business Case'!D12*$B450)-'Business Case'!D11*$C450*'Business Case'!D13*$D450-'Business Case'!D14*$E450)-MAX(0,(('Business Case'!D11*$C450*'Business Case'!D12*$B450)-'Business Case'!D11*$C450*'Business Case'!D13*$D450-'Business Case'!D14*$E450))*'Business Case'!$B$7-'Business Case'!$B$8*(('Business Case'!D11*$C450*'Business Case'!D12*$B450)-('Business Case'!C11*$C450*'Business Case'!C12*$B450))-'Business Case'!D15*$F450</f>
        <v>318663697.244446</v>
      </c>
      <c r="K450" s="39" t="n">
        <f aca="false">(('Business Case'!E11*$C450*'Business Case'!E12*$B450)-'Business Case'!E11*$C450*'Business Case'!E13*$D450-'Business Case'!E14*$E450)-MAX(0,(('Business Case'!E11*$C450*'Business Case'!E12*$B450)-'Business Case'!E11*$C450*'Business Case'!E13*$D450-'Business Case'!E14*$E450))*'Business Case'!$B$7-'Business Case'!$B$8*(('Business Case'!E11*$C450*'Business Case'!E12*$B450)-('Business Case'!D11*$C450*'Business Case'!D12*$B450))-'Business Case'!E15*$F450</f>
        <v>691254815.919918</v>
      </c>
      <c r="L450" s="39" t="n">
        <f aca="false">(('Business Case'!F11*$C450*'Business Case'!F12*$B450)-'Business Case'!F11*$C450*'Business Case'!F13*$D450-'Business Case'!F14*$E450)-MAX(0,(('Business Case'!F11*$C450*'Business Case'!F12*$B450)-'Business Case'!F11*$C450*'Business Case'!F13*$D450-'Business Case'!F14*$E450))*'Business Case'!$B$7-'Business Case'!$B$8*(('Business Case'!F11*$C450*'Business Case'!F12*$B450)-('Business Case'!E11*$C450*'Business Case'!E12*$B450))-'Business Case'!F15*$F450</f>
        <v>832070667.005084</v>
      </c>
      <c r="M450" s="39" t="n">
        <f aca="false">(('Business Case'!G11*$C450*'Business Case'!G12*$B450)-'Business Case'!G11*$C450*'Business Case'!G13*$D450-'Business Case'!G14*$E450)-MAX(0,(('Business Case'!G11*$C450*'Business Case'!G12*$B450)-'Business Case'!G11*$C450*'Business Case'!G13*$D450-'Business Case'!G14*$E450))*'Business Case'!$B$7-'Business Case'!$B$8*(('Business Case'!G11*$C450*'Business Case'!G12*$B450)-('Business Case'!F11*$C450*'Business Case'!F12*$B450))-'Business Case'!G15*$F450+'Business Case'!$B$8*('Business Case'!G11*$C450*'Business Case'!G12*$B450)</f>
        <v>1027558224.16195</v>
      </c>
      <c r="N450" s="39" t="n">
        <f aca="false">IF(COUNT('Business Case'!B11:G11)=0,"",H450+NPV(G450,I450:M450))</f>
        <v>-274865195.997846</v>
      </c>
      <c r="P450" s="40" t="n">
        <f aca="true">RAND()</f>
        <v>0.493367231556669</v>
      </c>
      <c r="Q450" s="40" t="n">
        <f aca="true">RAND()</f>
        <v>0.769841723314544</v>
      </c>
      <c r="R450" s="40" t="n">
        <f aca="true">RAND()</f>
        <v>0.233477869009031</v>
      </c>
      <c r="S450" s="40" t="n">
        <f aca="true">RAND()</f>
        <v>0.64962980161049</v>
      </c>
      <c r="T450" s="40" t="n">
        <f aca="true">RAND()</f>
        <v>0.916699102215099</v>
      </c>
      <c r="U450" s="40" t="n">
        <f aca="true">RAND()</f>
        <v>0.291876883984881</v>
      </c>
    </row>
    <row r="451" customFormat="false" ht="15" hidden="false" customHeight="false" outlineLevel="0" collapsed="false">
      <c r="A451" s="36" t="n">
        <v>371</v>
      </c>
      <c r="B451" s="37" t="n">
        <f aca="false">1+IF($G$6=$E$6,$F$6,IF(P451&lt;($F$6-$E$6)/($G$6-$E$6),$E$6+SQRT(P451*($G$6-$E$6)*($F$6-$E$6)),$G$6-SQRT((1-P451)*($G$6-$E$6)*($G$6-$F$6))))</f>
        <v>1.01326290457491</v>
      </c>
      <c r="C451" s="37" t="n">
        <f aca="false">1+IF($G$7=$E$7,$F$7,IF(Q451&lt;($F$7-$E$7)/($G$7-$E$7),$E$7+SQRT(Q451*($G$7-$E$7)*($F$7-$E$7)),$G$7-SQRT((1-Q451)*($G$7-$E$7)*($G$7-$F$7))))</f>
        <v>1.02639273314482</v>
      </c>
      <c r="D451" s="37" t="n">
        <f aca="false">1+IF($G$8=$E$8,$F$8,IF(R451&lt;($F$8-$E$8)/($G$8-$E$8),$E$8+SQRT(R451*($G$8-$E$8)*($F$8-$E$8)),$G$8-SQRT((1-R451)*($G$8-$E$8)*($G$8-$F$8))))</f>
        <v>1.04616693241026</v>
      </c>
      <c r="E451" s="37" t="n">
        <f aca="false">1+IF($G$9=$E$9,$F$9,IF(S451&lt;($F$9-$E$9)/($G$9-$E$9),$E$9+SQRT(S451*($G$9-$E$9)*($F$9-$E$9)),$G$9-SQRT((1-S451)*($G$9-$E$9)*($G$9-$F$9))))</f>
        <v>1.06416964868007</v>
      </c>
      <c r="F451" s="37" t="n">
        <f aca="false">1+IF($G$10=$E$10,$F$10,IF(T451&lt;($F$10-$E$10)/($G$10-$E$10),$E$10+SQRT(T451*($G$10-$E$10)*($F$10-$E$10)),$G$10-SQRT((1-T451)*($G$10-$E$10)*($G$10-$F$10))))</f>
        <v>0.988976745713827</v>
      </c>
      <c r="G451" s="38" t="n">
        <f aca="false">IF($G$11=$E$11,$F$11,IF(U451&lt;($F$11-$E$11)/($G$11-$E$11),$E$11+SQRT(U451*($G$11-$E$11)*($F$11-$E$11)),$G$11-SQRT((1-U451)*($G$11-$E$11)*($G$11-$F$11))))</f>
        <v>0.0972534612884859</v>
      </c>
      <c r="H451" s="39" t="n">
        <f aca="false">(('Business Case'!B11*$C451*'Business Case'!B12*$B451)-'Business Case'!B11*$C451*'Business Case'!B13*$D451-'Business Case'!B14*$E451)-MAX(0,(('Business Case'!B11*$C451*'Business Case'!B12*$B451)-'Business Case'!B11*$C451*'Business Case'!B13*$D451-'Business Case'!B14*$E451))*'Business Case'!$B$7-'Business Case'!$B$8*('Business Case'!B11*$C451*'Business Case'!B12*$B451)-'Business Case'!B15*$F451</f>
        <v>-1977953491.42765</v>
      </c>
      <c r="I451" s="39" t="n">
        <f aca="false">(('Business Case'!C11*$C451*'Business Case'!C12*$B451)-'Business Case'!C11*$C451*'Business Case'!C13*$D451-'Business Case'!C14*$E451)-MAX(0,(('Business Case'!C11*$C451*'Business Case'!C12*$B451)-'Business Case'!C11*$C451*'Business Case'!C13*$D451-'Business Case'!C14*$E451))*'Business Case'!$B$7-'Business Case'!$B$8*(('Business Case'!C11*$C451*'Business Case'!C12*$B451)-('Business Case'!B11*$C451*'Business Case'!B12*$B451))-'Business Case'!C15*$F451</f>
        <v>-1985463.12060086</v>
      </c>
      <c r="J451" s="39" t="n">
        <f aca="false">(('Business Case'!D11*$C451*'Business Case'!D12*$B451)-'Business Case'!D11*$C451*'Business Case'!D13*$D451-'Business Case'!D14*$E451)-MAX(0,(('Business Case'!D11*$C451*'Business Case'!D12*$B451)-'Business Case'!D11*$C451*'Business Case'!D13*$D451-'Business Case'!D14*$E451))*'Business Case'!$B$7-'Business Case'!$B$8*(('Business Case'!D11*$C451*'Business Case'!D12*$B451)-('Business Case'!C11*$C451*'Business Case'!C12*$B451))-'Business Case'!D15*$F451</f>
        <v>300165566.92845</v>
      </c>
      <c r="K451" s="39" t="n">
        <f aca="false">(('Business Case'!E11*$C451*'Business Case'!E12*$B451)-'Business Case'!E11*$C451*'Business Case'!E13*$D451-'Business Case'!E14*$E451)-MAX(0,(('Business Case'!E11*$C451*'Business Case'!E12*$B451)-'Business Case'!E11*$C451*'Business Case'!E13*$D451-'Business Case'!E14*$E451))*'Business Case'!$B$7-'Business Case'!$B$8*(('Business Case'!E11*$C451*'Business Case'!E12*$B451)-('Business Case'!D11*$C451*'Business Case'!D12*$B451))-'Business Case'!E15*$F451</f>
        <v>651765434.263192</v>
      </c>
      <c r="L451" s="39" t="n">
        <f aca="false">(('Business Case'!F11*$C451*'Business Case'!F12*$B451)-'Business Case'!F11*$C451*'Business Case'!F13*$D451-'Business Case'!F14*$E451)-MAX(0,(('Business Case'!F11*$C451*'Business Case'!F12*$B451)-'Business Case'!F11*$C451*'Business Case'!F13*$D451-'Business Case'!F14*$E451))*'Business Case'!$B$7-'Business Case'!$B$8*(('Business Case'!F11*$C451*'Business Case'!F12*$B451)-('Business Case'!E11*$C451*'Business Case'!E12*$B451))-'Business Case'!F15*$F451</f>
        <v>788425040.650184</v>
      </c>
      <c r="M451" s="39" t="n">
        <f aca="false">(('Business Case'!G11*$C451*'Business Case'!G12*$B451)-'Business Case'!G11*$C451*'Business Case'!G13*$D451-'Business Case'!G14*$E451)-MAX(0,(('Business Case'!G11*$C451*'Business Case'!G12*$B451)-'Business Case'!G11*$C451*'Business Case'!G13*$D451-'Business Case'!G14*$E451))*'Business Case'!$B$7-'Business Case'!$B$8*(('Business Case'!G11*$C451*'Business Case'!G12*$B451)-('Business Case'!F11*$C451*'Business Case'!F12*$B451))-'Business Case'!G15*$F451+'Business Case'!$B$8*('Business Case'!G11*$C451*'Business Case'!G12*$B451)</f>
        <v>986109320.688716</v>
      </c>
      <c r="N451" s="39" t="n">
        <f aca="false">IF(COUNT('Business Case'!B11:G11)=0,"",H451+NPV(G451,I451:M451))</f>
        <v>-73166525.0095186</v>
      </c>
      <c r="P451" s="40" t="n">
        <f aca="true">RAND()</f>
        <v>0.851068276714484</v>
      </c>
      <c r="Q451" s="40" t="n">
        <f aca="true">RAND()</f>
        <v>0.70897606820176</v>
      </c>
      <c r="R451" s="40" t="n">
        <f aca="true">RAND()</f>
        <v>0.889934955525787</v>
      </c>
      <c r="S451" s="40" t="n">
        <f aca="true">RAND()</f>
        <v>0.914412394952671</v>
      </c>
      <c r="T451" s="40" t="n">
        <f aca="true">RAND()</f>
        <v>0.121534936515224</v>
      </c>
      <c r="U451" s="40" t="n">
        <f aca="true">RAND()</f>
        <v>0.175375668878543</v>
      </c>
    </row>
    <row r="452" customFormat="false" ht="15" hidden="false" customHeight="false" outlineLevel="0" collapsed="false">
      <c r="A452" s="36" t="n">
        <v>372</v>
      </c>
      <c r="B452" s="37" t="n">
        <f aca="false">1+IF($G$6=$E$6,$F$6,IF(P452&lt;($F$6-$E$6)/($G$6-$E$6),$E$6+SQRT(P452*($G$6-$E$6)*($F$6-$E$6)),$G$6-SQRT((1-P452)*($G$6-$E$6)*($G$6-$F$6))))</f>
        <v>0.953988868861306</v>
      </c>
      <c r="C452" s="37" t="n">
        <f aca="false">1+IF($G$7=$E$7,$F$7,IF(Q452&lt;($F$7-$E$7)/($G$7-$E$7),$E$7+SQRT(Q452*($G$7-$E$7)*($F$7-$E$7)),$G$7-SQRT((1-Q452)*($G$7-$E$7)*($G$7-$F$7))))</f>
        <v>1.01669016762705</v>
      </c>
      <c r="D452" s="37" t="n">
        <f aca="false">1+IF($G$8=$E$8,$F$8,IF(R452&lt;($F$8-$E$8)/($G$8-$E$8),$E$8+SQRT(R452*($G$8-$E$8)*($F$8-$E$8)),$G$8-SQRT((1-R452)*($G$8-$E$8)*($G$8-$F$8))))</f>
        <v>0.987522835512491</v>
      </c>
      <c r="E452" s="37" t="n">
        <f aca="false">1+IF($G$9=$E$9,$F$9,IF(S452&lt;($F$9-$E$9)/($G$9-$E$9),$E$9+SQRT(S452*($G$9-$E$9)*($F$9-$E$9)),$G$9-SQRT((1-S452)*($G$9-$E$9)*($G$9-$F$9))))</f>
        <v>0.998877005954387</v>
      </c>
      <c r="F452" s="37" t="n">
        <f aca="false">1+IF($G$10=$E$10,$F$10,IF(T452&lt;($F$10-$E$10)/($G$10-$E$10),$E$10+SQRT(T452*($G$10-$E$10)*($F$10-$E$10)),$G$10-SQRT((1-T452)*($G$10-$E$10)*($G$10-$F$10))))</f>
        <v>1.04114669557063</v>
      </c>
      <c r="G452" s="38" t="n">
        <f aca="false">IF($G$11=$E$11,$F$11,IF(U452&lt;($F$11-$E$11)/($G$11-$E$11),$E$11+SQRT(U452*($G$11-$E$11)*($F$11-$E$11)),$G$11-SQRT((1-U452)*($G$11-$E$11)*($G$11-$F$11))))</f>
        <v>0.104469675292904</v>
      </c>
      <c r="H452" s="39" t="n">
        <f aca="false">(('Business Case'!B11*$C452*'Business Case'!B12*$B452)-'Business Case'!B11*$C452*'Business Case'!B13*$D452-'Business Case'!B14*$E452)-MAX(0,(('Business Case'!B11*$C452*'Business Case'!B12*$B452)-'Business Case'!B11*$C452*'Business Case'!B13*$D452-'Business Case'!B14*$E452))*'Business Case'!$B$7-'Business Case'!$B$8*('Business Case'!B11*$C452*'Business Case'!B12*$B452)-'Business Case'!B15*$F452</f>
        <v>-2082293391.14126</v>
      </c>
      <c r="I452" s="39" t="n">
        <f aca="false">(('Business Case'!C11*$C452*'Business Case'!C12*$B452)-'Business Case'!C11*$C452*'Business Case'!C13*$D452-'Business Case'!C14*$E452)-MAX(0,(('Business Case'!C11*$C452*'Business Case'!C12*$B452)-'Business Case'!C11*$C452*'Business Case'!C13*$D452-'Business Case'!C14*$E452))*'Business Case'!$B$7-'Business Case'!$B$8*(('Business Case'!C11*$C452*'Business Case'!C12*$B452)-('Business Case'!B11*$C452*'Business Case'!B12*$B452))-'Business Case'!C15*$F452</f>
        <v>-15978259.7210942</v>
      </c>
      <c r="J452" s="39" t="n">
        <f aca="false">(('Business Case'!D11*$C452*'Business Case'!D12*$B452)-'Business Case'!D11*$C452*'Business Case'!D13*$D452-'Business Case'!D14*$E452)-MAX(0,(('Business Case'!D11*$C452*'Business Case'!D12*$B452)-'Business Case'!D11*$C452*'Business Case'!D13*$D452-'Business Case'!D14*$E452))*'Business Case'!$B$7-'Business Case'!$B$8*(('Business Case'!D11*$C452*'Business Case'!D12*$B452)-('Business Case'!C11*$C452*'Business Case'!C12*$B452))-'Business Case'!D15*$F452</f>
        <v>264478651.94095</v>
      </c>
      <c r="K452" s="39" t="n">
        <f aca="false">(('Business Case'!E11*$C452*'Business Case'!E12*$B452)-'Business Case'!E11*$C452*'Business Case'!E13*$D452-'Business Case'!E14*$E452)-MAX(0,(('Business Case'!E11*$C452*'Business Case'!E12*$B452)-'Business Case'!E11*$C452*'Business Case'!E13*$D452-'Business Case'!E14*$E452))*'Business Case'!$B$7-'Business Case'!$B$8*(('Business Case'!E11*$C452*'Business Case'!E12*$B452)-('Business Case'!D11*$C452*'Business Case'!D12*$B452))-'Business Case'!E15*$F452</f>
        <v>596992898.381524</v>
      </c>
      <c r="L452" s="39" t="n">
        <f aca="false">(('Business Case'!F11*$C452*'Business Case'!F12*$B452)-'Business Case'!F11*$C452*'Business Case'!F13*$D452-'Business Case'!F14*$E452)-MAX(0,(('Business Case'!F11*$C452*'Business Case'!F12*$B452)-'Business Case'!F11*$C452*'Business Case'!F13*$D452-'Business Case'!F14*$E452))*'Business Case'!$B$7-'Business Case'!$B$8*(('Business Case'!F11*$C452*'Business Case'!F12*$B452)-('Business Case'!E11*$C452*'Business Case'!E12*$B452))-'Business Case'!F15*$F452</f>
        <v>723998663.321781</v>
      </c>
      <c r="M452" s="39" t="n">
        <f aca="false">(('Business Case'!G11*$C452*'Business Case'!G12*$B452)-'Business Case'!G11*$C452*'Business Case'!G13*$D452-'Business Case'!G14*$E452)-MAX(0,(('Business Case'!G11*$C452*'Business Case'!G12*$B452)-'Business Case'!G11*$C452*'Business Case'!G13*$D452-'Business Case'!G14*$E452))*'Business Case'!$B$7-'Business Case'!$B$8*(('Business Case'!G11*$C452*'Business Case'!G12*$B452)-('Business Case'!F11*$C452*'Business Case'!F12*$B452))-'Business Case'!G15*$F452+'Business Case'!$B$8*('Business Case'!G11*$C452*'Business Case'!G12*$B452)</f>
        <v>908359365.779439</v>
      </c>
      <c r="N452" s="39" t="n">
        <f aca="false">IF(COUNT('Business Case'!B11:G11)=0,"",H452+NPV(G452,I452:M452))</f>
        <v>-397598729.622727</v>
      </c>
      <c r="P452" s="40" t="n">
        <f aca="true">RAND()</f>
        <v>0.120337834007402</v>
      </c>
      <c r="Q452" s="40" t="n">
        <f aca="true">RAND()</f>
        <v>0.661495020813242</v>
      </c>
      <c r="R452" s="40" t="n">
        <f aca="true">RAND()</f>
        <v>0.216609720753452</v>
      </c>
      <c r="S452" s="40" t="n">
        <f aca="true">RAND()</f>
        <v>0.318528228142021</v>
      </c>
      <c r="T452" s="40" t="n">
        <f aca="true">RAND()</f>
        <v>0.495312553437385</v>
      </c>
      <c r="U452" s="40" t="n">
        <f aca="true">RAND()</f>
        <v>0.598015024153612</v>
      </c>
    </row>
    <row r="453" customFormat="false" ht="15" hidden="false" customHeight="false" outlineLevel="0" collapsed="false">
      <c r="A453" s="36" t="n">
        <v>373</v>
      </c>
      <c r="B453" s="37" t="n">
        <f aca="false">1+IF($G$6=$E$6,$F$6,IF(P453&lt;($F$6-$E$6)/($G$6-$E$6),$E$6+SQRT(P453*($G$6-$E$6)*($F$6-$E$6)),$G$6-SQRT((1-P453)*($G$6-$E$6)*($G$6-$F$6))))</f>
        <v>0.999751000321365</v>
      </c>
      <c r="C453" s="37" t="n">
        <f aca="false">1+IF($G$7=$E$7,$F$7,IF(Q453&lt;($F$7-$E$7)/($G$7-$E$7),$E$7+SQRT(Q453*($G$7-$E$7)*($F$7-$E$7)),$G$7-SQRT((1-Q453)*($G$7-$E$7)*($G$7-$F$7))))</f>
        <v>0.895620618113757</v>
      </c>
      <c r="D453" s="37" t="n">
        <f aca="false">1+IF($G$8=$E$8,$F$8,IF(R453&lt;($F$8-$E$8)/($G$8-$E$8),$E$8+SQRT(R453*($G$8-$E$8)*($F$8-$E$8)),$G$8-SQRT((1-R453)*($G$8-$E$8)*($G$8-$F$8))))</f>
        <v>1.02680771022983</v>
      </c>
      <c r="E453" s="37" t="n">
        <f aca="false">1+IF($G$9=$E$9,$F$9,IF(S453&lt;($F$9-$E$9)/($G$9-$E$9),$E$9+SQRT(S453*($G$9-$E$9)*($F$9-$E$9)),$G$9-SQRT((1-S453)*($G$9-$E$9)*($G$9-$F$9))))</f>
        <v>0.96999225777874</v>
      </c>
      <c r="F453" s="37" t="n">
        <f aca="false">1+IF($G$10=$E$10,$F$10,IF(T453&lt;($F$10-$E$10)/($G$10-$E$10),$E$10+SQRT(T453*($G$10-$E$10)*($F$10-$E$10)),$G$10-SQRT((1-T453)*($G$10-$E$10)*($G$10-$F$10))))</f>
        <v>0.993357742736233</v>
      </c>
      <c r="G453" s="38" t="n">
        <f aca="false">IF($G$11=$E$11,$F$11,IF(U453&lt;($F$11-$E$11)/($G$11-$E$11),$E$11+SQRT(U453*($G$11-$E$11)*($F$11-$E$11)),$G$11-SQRT((1-U453)*($G$11-$E$11)*($G$11-$F$11))))</f>
        <v>0.107950882881426</v>
      </c>
      <c r="H453" s="39" t="n">
        <f aca="false">(('Business Case'!B11*$C453*'Business Case'!B12*$B453)-'Business Case'!B11*$C453*'Business Case'!B13*$D453-'Business Case'!B14*$E453)-MAX(0,(('Business Case'!B11*$C453*'Business Case'!B12*$B453)-'Business Case'!B11*$C453*'Business Case'!B13*$D453-'Business Case'!B14*$E453))*'Business Case'!$B$7-'Business Case'!$B$8*('Business Case'!B11*$C453*'Business Case'!B12*$B453)-'Business Case'!B15*$F453</f>
        <v>-1986715485.47247</v>
      </c>
      <c r="I453" s="39" t="n">
        <f aca="false">(('Business Case'!C11*$C453*'Business Case'!C12*$B453)-'Business Case'!C11*$C453*'Business Case'!C13*$D453-'Business Case'!C14*$E453)-MAX(0,(('Business Case'!C11*$C453*'Business Case'!C12*$B453)-'Business Case'!C11*$C453*'Business Case'!C13*$D453-'Business Case'!C14*$E453))*'Business Case'!$B$7-'Business Case'!$B$8*(('Business Case'!C11*$C453*'Business Case'!C12*$B453)-('Business Case'!B11*$C453*'Business Case'!B12*$B453))-'Business Case'!C15*$F453</f>
        <v>-21068044.6039594</v>
      </c>
      <c r="J453" s="39" t="n">
        <f aca="false">(('Business Case'!D11*$C453*'Business Case'!D12*$B453)-'Business Case'!D11*$C453*'Business Case'!D13*$D453-'Business Case'!D14*$E453)-MAX(0,(('Business Case'!D11*$C453*'Business Case'!D12*$B453)-'Business Case'!D11*$C453*'Business Case'!D13*$D453-'Business Case'!D14*$E453))*'Business Case'!$B$7-'Business Case'!$B$8*(('Business Case'!D11*$C453*'Business Case'!D12*$B453)-('Business Case'!C11*$C453*'Business Case'!C12*$B453))-'Business Case'!D15*$F453</f>
        <v>241549996.165541</v>
      </c>
      <c r="K453" s="39" t="n">
        <f aca="false">(('Business Case'!E11*$C453*'Business Case'!E12*$B453)-'Business Case'!E11*$C453*'Business Case'!E13*$D453-'Business Case'!E14*$E453)-MAX(0,(('Business Case'!E11*$C453*'Business Case'!E12*$B453)-'Business Case'!E11*$C453*'Business Case'!E13*$D453-'Business Case'!E14*$E453))*'Business Case'!$B$7-'Business Case'!$B$8*(('Business Case'!E11*$C453*'Business Case'!E12*$B453)-('Business Case'!D11*$C453*'Business Case'!D12*$B453))-'Business Case'!E15*$F453</f>
        <v>553835924.071854</v>
      </c>
      <c r="L453" s="39" t="n">
        <f aca="false">(('Business Case'!F11*$C453*'Business Case'!F12*$B453)-'Business Case'!F11*$C453*'Business Case'!F13*$D453-'Business Case'!F14*$E453)-MAX(0,(('Business Case'!F11*$C453*'Business Case'!F12*$B453)-'Business Case'!F11*$C453*'Business Case'!F13*$D453-'Business Case'!F14*$E453))*'Business Case'!$B$7-'Business Case'!$B$8*(('Business Case'!F11*$C453*'Business Case'!F12*$B453)-('Business Case'!E11*$C453*'Business Case'!E12*$B453))-'Business Case'!F15*$F453</f>
        <v>672320212.357487</v>
      </c>
      <c r="M453" s="39" t="n">
        <f aca="false">(('Business Case'!G11*$C453*'Business Case'!G12*$B453)-'Business Case'!G11*$C453*'Business Case'!G13*$D453-'Business Case'!G14*$E453)-MAX(0,(('Business Case'!G11*$C453*'Business Case'!G12*$B453)-'Business Case'!G11*$C453*'Business Case'!G13*$D453-'Business Case'!G14*$E453))*'Business Case'!$B$7-'Business Case'!$B$8*(('Business Case'!G11*$C453*'Business Case'!G12*$B453)-('Business Case'!F11*$C453*'Business Case'!F12*$B453))-'Business Case'!G15*$F453+'Business Case'!$B$8*('Business Case'!G11*$C453*'Business Case'!G12*$B453)</f>
        <v>842517389.851054</v>
      </c>
      <c r="N453" s="39" t="n">
        <f aca="false">IF(COUNT('Business Case'!B11:G11)=0,"",H453+NPV(G453,I453:M453))</f>
        <v>-450949086.858586</v>
      </c>
      <c r="P453" s="40" t="n">
        <f aca="true">RAND()</f>
        <v>0.662523130443572</v>
      </c>
      <c r="Q453" s="40" t="n">
        <f aca="true">RAND()</f>
        <v>0.130618608692242</v>
      </c>
      <c r="R453" s="40" t="n">
        <f aca="true">RAND()</f>
        <v>0.727940414327546</v>
      </c>
      <c r="S453" s="40" t="n">
        <f aca="true">RAND()</f>
        <v>0.0532920494788812</v>
      </c>
      <c r="T453" s="40" t="n">
        <f aca="true">RAND()</f>
        <v>0.15039150841451</v>
      </c>
      <c r="U453" s="40" t="n">
        <f aca="true">RAND()</f>
        <v>0.758031294438143</v>
      </c>
    </row>
    <row r="454" customFormat="false" ht="15" hidden="false" customHeight="false" outlineLevel="0" collapsed="false">
      <c r="A454" s="36" t="n">
        <v>374</v>
      </c>
      <c r="B454" s="37" t="n">
        <f aca="false">1+IF($G$6=$E$6,$F$6,IF(P454&lt;($F$6-$E$6)/($G$6-$E$6),$E$6+SQRT(P454*($G$6-$E$6)*($F$6-$E$6)),$G$6-SQRT((1-P454)*($G$6-$E$6)*($G$6-$F$6))))</f>
        <v>1.02361810829107</v>
      </c>
      <c r="C454" s="37" t="n">
        <f aca="false">1+IF($G$7=$E$7,$F$7,IF(Q454&lt;($F$7-$E$7)/($G$7-$E$7),$E$7+SQRT(Q454*($G$7-$E$7)*($F$7-$E$7)),$G$7-SQRT((1-Q454)*($G$7-$E$7)*($G$7-$F$7))))</f>
        <v>0.838776538733617</v>
      </c>
      <c r="D454" s="37" t="n">
        <f aca="false">1+IF($G$8=$E$8,$F$8,IF(R454&lt;($F$8-$E$8)/($G$8-$E$8),$E$8+SQRT(R454*($G$8-$E$8)*($F$8-$E$8)),$G$8-SQRT((1-R454)*($G$8-$E$8)*($G$8-$F$8))))</f>
        <v>0.963564325284096</v>
      </c>
      <c r="E454" s="37" t="n">
        <f aca="false">1+IF($G$9=$E$9,$F$9,IF(S454&lt;($F$9-$E$9)/($G$9-$E$9),$E$9+SQRT(S454*($G$9-$E$9)*($F$9-$E$9)),$G$9-SQRT((1-S454)*($G$9-$E$9)*($G$9-$F$9))))</f>
        <v>1.04584523841823</v>
      </c>
      <c r="F454" s="37" t="n">
        <f aca="false">1+IF($G$10=$E$10,$F$10,IF(T454&lt;($F$10-$E$10)/($G$10-$E$10),$E$10+SQRT(T454*($G$10-$E$10)*($F$10-$E$10)),$G$10-SQRT((1-T454)*($G$10-$E$10)*($G$10-$F$10))))</f>
        <v>1.12644104846327</v>
      </c>
      <c r="G454" s="38" t="n">
        <f aca="false">IF($G$11=$E$11,$F$11,IF(U454&lt;($F$11-$E$11)/($G$11-$E$11),$E$11+SQRT(U454*($G$11-$E$11)*($F$11-$E$11)),$G$11-SQRT((1-U454)*($G$11-$E$11)*($G$11-$F$11))))</f>
        <v>0.104387836308473</v>
      </c>
      <c r="H454" s="39" t="n">
        <f aca="false">(('Business Case'!B11*$C454*'Business Case'!B12*$B454)-'Business Case'!B11*$C454*'Business Case'!B13*$D454-'Business Case'!B14*$E454)-MAX(0,(('Business Case'!B11*$C454*'Business Case'!B12*$B454)-'Business Case'!B11*$C454*'Business Case'!B13*$D454-'Business Case'!B14*$E454))*'Business Case'!$B$7-'Business Case'!$B$8*('Business Case'!B11*$C454*'Business Case'!B12*$B454)-'Business Case'!B15*$F454</f>
        <v>-2252882096.92654</v>
      </c>
      <c r="I454" s="39" t="n">
        <f aca="false">(('Business Case'!C11*$C454*'Business Case'!C12*$B454)-'Business Case'!C11*$C454*'Business Case'!C13*$D454-'Business Case'!C14*$E454)-MAX(0,(('Business Case'!C11*$C454*'Business Case'!C12*$B454)-'Business Case'!C11*$C454*'Business Case'!C13*$D454-'Business Case'!C14*$E454))*'Business Case'!$B$7-'Business Case'!$B$8*(('Business Case'!C11*$C454*'Business Case'!C12*$B454)-('Business Case'!B11*$C454*'Business Case'!B12*$B454))-'Business Case'!C15*$F454</f>
        <v>-16369488.0784834</v>
      </c>
      <c r="J454" s="39" t="n">
        <f aca="false">(('Business Case'!D11*$C454*'Business Case'!D12*$B454)-'Business Case'!D11*$C454*'Business Case'!D13*$D454-'Business Case'!D14*$E454)-MAX(0,(('Business Case'!D11*$C454*'Business Case'!D12*$B454)-'Business Case'!D11*$C454*'Business Case'!D13*$D454-'Business Case'!D14*$E454))*'Business Case'!$B$7-'Business Case'!$B$8*(('Business Case'!D11*$C454*'Business Case'!D12*$B454)-('Business Case'!C11*$C454*'Business Case'!C12*$B454))-'Business Case'!D15*$F454</f>
        <v>273133464.096402</v>
      </c>
      <c r="K454" s="39" t="n">
        <f aca="false">(('Business Case'!E11*$C454*'Business Case'!E12*$B454)-'Business Case'!E11*$C454*'Business Case'!E13*$D454-'Business Case'!E14*$E454)-MAX(0,(('Business Case'!E11*$C454*'Business Case'!E12*$B454)-'Business Case'!E11*$C454*'Business Case'!E13*$D454-'Business Case'!E14*$E454))*'Business Case'!$B$7-'Business Case'!$B$8*(('Business Case'!E11*$C454*'Business Case'!E12*$B454)-('Business Case'!D11*$C454*'Business Case'!D12*$B454))-'Business Case'!E15*$F454</f>
        <v>618958468.694451</v>
      </c>
      <c r="L454" s="39" t="n">
        <f aca="false">(('Business Case'!F11*$C454*'Business Case'!F12*$B454)-'Business Case'!F11*$C454*'Business Case'!F13*$D454-'Business Case'!F14*$E454)-MAX(0,(('Business Case'!F11*$C454*'Business Case'!F12*$B454)-'Business Case'!F11*$C454*'Business Case'!F13*$D454-'Business Case'!F14*$E454))*'Business Case'!$B$7-'Business Case'!$B$8*(('Business Case'!F11*$C454*'Business Case'!F12*$B454)-('Business Case'!E11*$C454*'Business Case'!E12*$B454))-'Business Case'!F15*$F454</f>
        <v>745132214.422059</v>
      </c>
      <c r="M454" s="39" t="n">
        <f aca="false">(('Business Case'!G11*$C454*'Business Case'!G12*$B454)-'Business Case'!G11*$C454*'Business Case'!G13*$D454-'Business Case'!G14*$E454)-MAX(0,(('Business Case'!G11*$C454*'Business Case'!G12*$B454)-'Business Case'!G11*$C454*'Business Case'!G13*$D454-'Business Case'!G14*$E454))*'Business Case'!$B$7-'Business Case'!$B$8*(('Business Case'!G11*$C454*'Business Case'!G12*$B454)-('Business Case'!F11*$C454*'Business Case'!F12*$B454))-'Business Case'!G15*$F454+'Business Case'!$B$8*('Business Case'!G11*$C454*'Business Case'!G12*$B454)</f>
        <v>908332403.603281</v>
      </c>
      <c r="N454" s="39" t="n">
        <f aca="false">IF(COUNT('Business Case'!B11:G11)=0,"",H454+NPV(G454,I454:M454))</f>
        <v>-530469857.72124</v>
      </c>
      <c r="P454" s="40" t="n">
        <f aca="true">RAND()</f>
        <v>0.944090338341015</v>
      </c>
      <c r="Q454" s="40" t="n">
        <f aca="true">RAND()</f>
        <v>0.0214802850879959</v>
      </c>
      <c r="R454" s="40" t="n">
        <f aca="true">RAND()</f>
        <v>0.0283062954481162</v>
      </c>
      <c r="S454" s="40" t="n">
        <f aca="true">RAND()</f>
        <v>0.804484119868102</v>
      </c>
      <c r="T454" s="40" t="n">
        <f aca="true">RAND()</f>
        <v>0.891781612976343</v>
      </c>
      <c r="U454" s="40" t="n">
        <f aca="true">RAND()</f>
        <v>0.593767241448281</v>
      </c>
    </row>
    <row r="455" customFormat="false" ht="15" hidden="false" customHeight="false" outlineLevel="0" collapsed="false">
      <c r="A455" s="36" t="n">
        <v>375</v>
      </c>
      <c r="B455" s="37" t="n">
        <f aca="false">1+IF($G$6=$E$6,$F$6,IF(P455&lt;($F$6-$E$6)/($G$6-$E$6),$E$6+SQRT(P455*($G$6-$E$6)*($F$6-$E$6)),$G$6-SQRT((1-P455)*($G$6-$E$6)*($G$6-$F$6))))</f>
        <v>1.00568403913495</v>
      </c>
      <c r="C455" s="37" t="n">
        <f aca="false">1+IF($G$7=$E$7,$F$7,IF(Q455&lt;($F$7-$E$7)/($G$7-$E$7),$E$7+SQRT(Q455*($G$7-$E$7)*($F$7-$E$7)),$G$7-SQRT((1-Q455)*($G$7-$E$7)*($G$7-$F$7))))</f>
        <v>0.908196111068041</v>
      </c>
      <c r="D455" s="37" t="n">
        <f aca="false">1+IF($G$8=$E$8,$F$8,IF(R455&lt;($F$8-$E$8)/($G$8-$E$8),$E$8+SQRT(R455*($G$8-$E$8)*($F$8-$E$8)),$G$8-SQRT((1-R455)*($G$8-$E$8)*($G$8-$F$8))))</f>
        <v>0.992192178111086</v>
      </c>
      <c r="E455" s="37" t="n">
        <f aca="false">1+IF($G$9=$E$9,$F$9,IF(S455&lt;($F$9-$E$9)/($G$9-$E$9),$E$9+SQRT(S455*($G$9-$E$9)*($F$9-$E$9)),$G$9-SQRT((1-S455)*($G$9-$E$9)*($G$9-$F$9))))</f>
        <v>1.00226945618531</v>
      </c>
      <c r="F455" s="37" t="n">
        <f aca="false">1+IF($G$10=$E$10,$F$10,IF(T455&lt;($F$10-$E$10)/($G$10-$E$10),$E$10+SQRT(T455*($G$10-$E$10)*($F$10-$E$10)),$G$10-SQRT((1-T455)*($G$10-$E$10)*($G$10-$F$10))))</f>
        <v>1.01125113697931</v>
      </c>
      <c r="G455" s="38" t="n">
        <f aca="false">IF($G$11=$E$11,$F$11,IF(U455&lt;($F$11-$E$11)/($G$11-$E$11),$E$11+SQRT(U455*($G$11-$E$11)*($F$11-$E$11)),$G$11-SQRT((1-U455)*($G$11-$E$11)*($G$11-$F$11))))</f>
        <v>0.114024648182428</v>
      </c>
      <c r="H455" s="39" t="n">
        <f aca="false">(('Business Case'!B11*$C455*'Business Case'!B12*$B455)-'Business Case'!B11*$C455*'Business Case'!B13*$D455-'Business Case'!B14*$E455)-MAX(0,(('Business Case'!B11*$C455*'Business Case'!B12*$B455)-'Business Case'!B11*$C455*'Business Case'!B13*$D455-'Business Case'!B14*$E455))*'Business Case'!$B$7-'Business Case'!$B$8*('Business Case'!B11*$C455*'Business Case'!B12*$B455)-'Business Case'!B15*$F455</f>
        <v>-2022502273.95862</v>
      </c>
      <c r="I455" s="39" t="n">
        <f aca="false">(('Business Case'!C11*$C455*'Business Case'!C12*$B455)-'Business Case'!C11*$C455*'Business Case'!C13*$D455-'Business Case'!C14*$E455)-MAX(0,(('Business Case'!C11*$C455*'Business Case'!C12*$B455)-'Business Case'!C11*$C455*'Business Case'!C13*$D455-'Business Case'!C14*$E455))*'Business Case'!$B$7-'Business Case'!$B$8*(('Business Case'!C11*$C455*'Business Case'!C12*$B455)-('Business Case'!B11*$C455*'Business Case'!B12*$B455))-'Business Case'!C15*$F455</f>
        <v>-4183800.91000217</v>
      </c>
      <c r="J455" s="39" t="n">
        <f aca="false">(('Business Case'!D11*$C455*'Business Case'!D12*$B455)-'Business Case'!D11*$C455*'Business Case'!D13*$D455-'Business Case'!D14*$E455)-MAX(0,(('Business Case'!D11*$C455*'Business Case'!D12*$B455)-'Business Case'!D11*$C455*'Business Case'!D13*$D455-'Business Case'!D14*$E455))*'Business Case'!$B$7-'Business Case'!$B$8*(('Business Case'!D11*$C455*'Business Case'!D12*$B455)-('Business Case'!C11*$C455*'Business Case'!C12*$B455))-'Business Case'!D15*$F455</f>
        <v>282628724.546037</v>
      </c>
      <c r="K455" s="39" t="n">
        <f aca="false">(('Business Case'!E11*$C455*'Business Case'!E12*$B455)-'Business Case'!E11*$C455*'Business Case'!E13*$D455-'Business Case'!E14*$E455)-MAX(0,(('Business Case'!E11*$C455*'Business Case'!E12*$B455)-'Business Case'!E11*$C455*'Business Case'!E13*$D455-'Business Case'!E14*$E455))*'Business Case'!$B$7-'Business Case'!$B$8*(('Business Case'!E11*$C455*'Business Case'!E12*$B455)-('Business Case'!D11*$C455*'Business Case'!D12*$B455))-'Business Case'!E15*$F455</f>
        <v>620003806.851042</v>
      </c>
      <c r="L455" s="39" t="n">
        <f aca="false">(('Business Case'!F11*$C455*'Business Case'!F12*$B455)-'Business Case'!F11*$C455*'Business Case'!F13*$D455-'Business Case'!F14*$E455)-MAX(0,(('Business Case'!F11*$C455*'Business Case'!F12*$B455)-'Business Case'!F11*$C455*'Business Case'!F13*$D455-'Business Case'!F14*$E455))*'Business Case'!$B$7-'Business Case'!$B$8*(('Business Case'!F11*$C455*'Business Case'!F12*$B455)-('Business Case'!E11*$C455*'Business Case'!E12*$B455))-'Business Case'!F15*$F455</f>
        <v>747173646.002095</v>
      </c>
      <c r="M455" s="39" t="n">
        <f aca="false">(('Business Case'!G11*$C455*'Business Case'!G12*$B455)-'Business Case'!G11*$C455*'Business Case'!G13*$D455-'Business Case'!G14*$E455)-MAX(0,(('Business Case'!G11*$C455*'Business Case'!G12*$B455)-'Business Case'!G11*$C455*'Business Case'!G13*$D455-'Business Case'!G14*$E455))*'Business Case'!$B$7-'Business Case'!$B$8*(('Business Case'!G11*$C455*'Business Case'!G12*$B455)-('Business Case'!F11*$C455*'Business Case'!F12*$B455))-'Business Case'!G15*$F455+'Business Case'!$B$8*('Business Case'!G11*$C455*'Business Case'!G12*$B455)</f>
        <v>920784797.996816</v>
      </c>
      <c r="N455" s="39" t="n">
        <f aca="false">IF(COUNT('Business Case'!B11:G11)=0,"",H455+NPV(G455,I455:M455))</f>
        <v>-328324941.765287</v>
      </c>
      <c r="P455" s="40" t="n">
        <f aca="true">RAND()</f>
        <v>0.754669756230899</v>
      </c>
      <c r="Q455" s="40" t="n">
        <f aca="true">RAND()</f>
        <v>0.167234263574969</v>
      </c>
      <c r="R455" s="40" t="n">
        <f aca="true">RAND()</f>
        <v>0.273873829808861</v>
      </c>
      <c r="S455" s="40" t="n">
        <f aca="true">RAND()</f>
        <v>0.363249387045602</v>
      </c>
      <c r="T455" s="40" t="n">
        <f aca="true">RAND()</f>
        <v>0.287477334167926</v>
      </c>
      <c r="U455" s="40" t="n">
        <f aca="true">RAND()</f>
        <v>0.940491951093739</v>
      </c>
    </row>
    <row r="456" customFormat="false" ht="15" hidden="false" customHeight="false" outlineLevel="0" collapsed="false">
      <c r="A456" s="36" t="n">
        <v>376</v>
      </c>
      <c r="B456" s="37" t="n">
        <f aca="false">1+IF($G$6=$E$6,$F$6,IF(P456&lt;($F$6-$E$6)/($G$6-$E$6),$E$6+SQRT(P456*($G$6-$E$6)*($F$6-$E$6)),$G$6-SQRT((1-P456)*($G$6-$E$6)*($G$6-$F$6))))</f>
        <v>0.989867498512395</v>
      </c>
      <c r="C456" s="37" t="n">
        <f aca="false">1+IF($G$7=$E$7,$F$7,IF(Q456&lt;($F$7-$E$7)/($G$7-$E$7),$E$7+SQRT(Q456*($G$7-$E$7)*($F$7-$E$7)),$G$7-SQRT((1-Q456)*($G$7-$E$7)*($G$7-$F$7))))</f>
        <v>1.06439729096801</v>
      </c>
      <c r="D456" s="37" t="n">
        <f aca="false">1+IF($G$8=$E$8,$F$8,IF(R456&lt;($F$8-$E$8)/($G$8-$E$8),$E$8+SQRT(R456*($G$8-$E$8)*($F$8-$E$8)),$G$8-SQRT((1-R456)*($G$8-$E$8)*($G$8-$F$8))))</f>
        <v>0.979186915681129</v>
      </c>
      <c r="E456" s="37" t="n">
        <f aca="false">1+IF($G$9=$E$9,$F$9,IF(S456&lt;($F$9-$E$9)/($G$9-$E$9),$E$9+SQRT(S456*($G$9-$E$9)*($F$9-$E$9)),$G$9-SQRT((1-S456)*($G$9-$E$9)*($G$9-$F$9))))</f>
        <v>0.988477500838549</v>
      </c>
      <c r="F456" s="37" t="n">
        <f aca="false">1+IF($G$10=$E$10,$F$10,IF(T456&lt;($F$10-$E$10)/($G$10-$E$10),$E$10+SQRT(T456*($G$10-$E$10)*($F$10-$E$10)),$G$10-SQRT((1-T456)*($G$10-$E$10)*($G$10-$F$10))))</f>
        <v>1.14208455089988</v>
      </c>
      <c r="G456" s="38" t="n">
        <f aca="false">IF($G$11=$E$11,$F$11,IF(U456&lt;($F$11-$E$11)/($G$11-$E$11),$E$11+SQRT(U456*($G$11-$E$11)*($F$11-$E$11)),$G$11-SQRT((1-U456)*($G$11-$E$11)*($G$11-$F$11))))</f>
        <v>0.0918512097879241</v>
      </c>
      <c r="H456" s="39" t="n">
        <f aca="false">(('Business Case'!B11*$C456*'Business Case'!B12*$B456)-'Business Case'!B11*$C456*'Business Case'!B13*$D456-'Business Case'!B14*$E456)-MAX(0,(('Business Case'!B11*$C456*'Business Case'!B12*$B456)-'Business Case'!B11*$C456*'Business Case'!B13*$D456-'Business Case'!B14*$E456))*'Business Case'!$B$7-'Business Case'!$B$8*('Business Case'!B11*$C456*'Business Case'!B12*$B456)-'Business Case'!B15*$F456</f>
        <v>-2284169101.79976</v>
      </c>
      <c r="I456" s="39" t="n">
        <f aca="false">(('Business Case'!C11*$C456*'Business Case'!C12*$B456)-'Business Case'!C11*$C456*'Business Case'!C13*$D456-'Business Case'!C14*$E456)-MAX(0,(('Business Case'!C11*$C456*'Business Case'!C12*$B456)-'Business Case'!C11*$C456*'Business Case'!C13*$D456-'Business Case'!C14*$E456))*'Business Case'!$B$7-'Business Case'!$B$8*(('Business Case'!C11*$C456*'Business Case'!C12*$B456)-('Business Case'!B11*$C456*'Business Case'!B12*$B456))-'Business Case'!C15*$F456</f>
        <v>20049606.5472482</v>
      </c>
      <c r="J456" s="39" t="n">
        <f aca="false">(('Business Case'!D11*$C456*'Business Case'!D12*$B456)-'Business Case'!D11*$C456*'Business Case'!D13*$D456-'Business Case'!D14*$E456)-MAX(0,(('Business Case'!D11*$C456*'Business Case'!D12*$B456)-'Business Case'!D11*$C456*'Business Case'!D13*$D456-'Business Case'!D14*$E456))*'Business Case'!$B$7-'Business Case'!$B$8*(('Business Case'!D11*$C456*'Business Case'!D12*$B456)-('Business Case'!C11*$C456*'Business Case'!C12*$B456))-'Business Case'!D15*$F456</f>
        <v>349488429.597674</v>
      </c>
      <c r="K456" s="39" t="n">
        <f aca="false">(('Business Case'!E11*$C456*'Business Case'!E12*$B456)-'Business Case'!E11*$C456*'Business Case'!E13*$D456-'Business Case'!E14*$E456)-MAX(0,(('Business Case'!E11*$C456*'Business Case'!E12*$B456)-'Business Case'!E11*$C456*'Business Case'!E13*$D456-'Business Case'!E14*$E456))*'Business Case'!$B$7-'Business Case'!$B$8*(('Business Case'!E11*$C456*'Business Case'!E12*$B456)-('Business Case'!D11*$C456*'Business Case'!D12*$B456))-'Business Case'!E15*$F456</f>
        <v>736031480.193094</v>
      </c>
      <c r="L456" s="39" t="n">
        <f aca="false">(('Business Case'!F11*$C456*'Business Case'!F12*$B456)-'Business Case'!F11*$C456*'Business Case'!F13*$D456-'Business Case'!F14*$E456)-MAX(0,(('Business Case'!F11*$C456*'Business Case'!F12*$B456)-'Business Case'!F11*$C456*'Business Case'!F13*$D456-'Business Case'!F14*$E456))*'Business Case'!$B$7-'Business Case'!$B$8*(('Business Case'!F11*$C456*'Business Case'!F12*$B456)-('Business Case'!E11*$C456*'Business Case'!E12*$B456))-'Business Case'!F15*$F456</f>
        <v>882257261.739201</v>
      </c>
      <c r="M456" s="39" t="n">
        <f aca="false">(('Business Case'!G11*$C456*'Business Case'!G12*$B456)-'Business Case'!G11*$C456*'Business Case'!G13*$D456-'Business Case'!G14*$E456)-MAX(0,(('Business Case'!G11*$C456*'Business Case'!G12*$B456)-'Business Case'!G11*$C456*'Business Case'!G13*$D456-'Business Case'!G14*$E456))*'Business Case'!$B$7-'Business Case'!$B$8*(('Business Case'!G11*$C456*'Business Case'!G12*$B456)-('Business Case'!F11*$C456*'Business Case'!F12*$B456))-'Business Case'!G15*$F456+'Business Case'!$B$8*('Business Case'!G11*$C456*'Business Case'!G12*$B456)</f>
        <v>1082527884.65034</v>
      </c>
      <c r="N456" s="39" t="n">
        <f aca="false">IF(COUNT('Business Case'!B11:G11)=0,"",H456+NPV(G456,I456:M456))</f>
        <v>-88770116.3634067</v>
      </c>
      <c r="P456" s="40" t="n">
        <f aca="true">RAND()</f>
        <v>0.508486182122862</v>
      </c>
      <c r="Q456" s="40" t="n">
        <f aca="true">RAND()</f>
        <v>0.860422403931136</v>
      </c>
      <c r="R456" s="40" t="n">
        <f aca="true">RAND()</f>
        <v>0.13105785338113</v>
      </c>
      <c r="S456" s="40" t="n">
        <f aca="true">RAND()</f>
        <v>0.197402409437407</v>
      </c>
      <c r="T456" s="40" t="n">
        <f aca="true">RAND()</f>
        <v>0.932916015110623</v>
      </c>
      <c r="U456" s="40" t="n">
        <f aca="true">RAND()</f>
        <v>0.0114232589296865</v>
      </c>
    </row>
    <row r="457" customFormat="false" ht="15" hidden="false" customHeight="false" outlineLevel="0" collapsed="false">
      <c r="A457" s="36" t="n">
        <v>377</v>
      </c>
      <c r="B457" s="37" t="n">
        <f aca="false">1+IF($G$6=$E$6,$F$6,IF(P457&lt;($F$6-$E$6)/($G$6-$E$6),$E$6+SQRT(P457*($G$6-$E$6)*($F$6-$E$6)),$G$6-SQRT((1-P457)*($G$6-$E$6)*($G$6-$F$6))))</f>
        <v>0.996682050611214</v>
      </c>
      <c r="C457" s="37" t="n">
        <f aca="false">1+IF($G$7=$E$7,$F$7,IF(Q457&lt;($F$7-$E$7)/($G$7-$E$7),$E$7+SQRT(Q457*($G$7-$E$7)*($F$7-$E$7)),$G$7-SQRT((1-Q457)*($G$7-$E$7)*($G$7-$F$7))))</f>
        <v>1.07965624331766</v>
      </c>
      <c r="D457" s="37" t="n">
        <f aca="false">1+IF($G$8=$E$8,$F$8,IF(R457&lt;($F$8-$E$8)/($G$8-$E$8),$E$8+SQRT(R457*($G$8-$E$8)*($F$8-$E$8)),$G$8-SQRT((1-R457)*($G$8-$E$8)*($G$8-$F$8))))</f>
        <v>0.968479402909617</v>
      </c>
      <c r="E457" s="37" t="n">
        <f aca="false">1+IF($G$9=$E$9,$F$9,IF(S457&lt;($F$9-$E$9)/($G$9-$E$9),$E$9+SQRT(S457*($G$9-$E$9)*($F$9-$E$9)),$G$9-SQRT((1-S457)*($G$9-$E$9)*($G$9-$F$9))))</f>
        <v>1.05782459242847</v>
      </c>
      <c r="F457" s="37" t="n">
        <f aca="false">1+IF($G$10=$E$10,$F$10,IF(T457&lt;($F$10-$E$10)/($G$10-$E$10),$E$10+SQRT(T457*($G$10-$E$10)*($F$10-$E$10)),$G$10-SQRT((1-T457)*($G$10-$E$10)*($G$10-$F$10))))</f>
        <v>1.0403197283372</v>
      </c>
      <c r="G457" s="38" t="n">
        <f aca="false">IF($G$11=$E$11,$F$11,IF(U457&lt;($F$11-$E$11)/($G$11-$E$11),$E$11+SQRT(U457*($G$11-$E$11)*($F$11-$E$11)),$G$11-SQRT((1-U457)*($G$11-$E$11)*($G$11-$F$11))))</f>
        <v>0.109139572372701</v>
      </c>
      <c r="H457" s="39" t="n">
        <f aca="false">(('Business Case'!B11*$C457*'Business Case'!B12*$B457)-'Business Case'!B11*$C457*'Business Case'!B13*$D457-'Business Case'!B14*$E457)-MAX(0,(('Business Case'!B11*$C457*'Business Case'!B12*$B457)-'Business Case'!B11*$C457*'Business Case'!B13*$D457-'Business Case'!B14*$E457))*'Business Case'!$B$7-'Business Case'!$B$8*('Business Case'!B11*$C457*'Business Case'!B12*$B457)-'Business Case'!B15*$F457</f>
        <v>-2080639456.6744</v>
      </c>
      <c r="I457" s="39" t="n">
        <f aca="false">(('Business Case'!C11*$C457*'Business Case'!C12*$B457)-'Business Case'!C11*$C457*'Business Case'!C13*$D457-'Business Case'!C14*$E457)-MAX(0,(('Business Case'!C11*$C457*'Business Case'!C12*$B457)-'Business Case'!C11*$C457*'Business Case'!C13*$D457-'Business Case'!C14*$E457))*'Business Case'!$B$7-'Business Case'!$B$8*(('Business Case'!C11*$C457*'Business Case'!C12*$B457)-('Business Case'!B11*$C457*'Business Case'!B12*$B457))-'Business Case'!C15*$F457</f>
        <v>35867511.2168997</v>
      </c>
      <c r="J457" s="39" t="n">
        <f aca="false">(('Business Case'!D11*$C457*'Business Case'!D12*$B457)-'Business Case'!D11*$C457*'Business Case'!D13*$D457-'Business Case'!D14*$E457)-MAX(0,(('Business Case'!D11*$C457*'Business Case'!D12*$B457)-'Business Case'!D11*$C457*'Business Case'!D13*$D457-'Business Case'!D14*$E457))*'Business Case'!$B$7-'Business Case'!$B$8*(('Business Case'!D11*$C457*'Business Case'!D12*$B457)-('Business Case'!C11*$C457*'Business Case'!C12*$B457))-'Business Case'!D15*$F457</f>
        <v>381973328.395424</v>
      </c>
      <c r="K457" s="39" t="n">
        <f aca="false">(('Business Case'!E11*$C457*'Business Case'!E12*$B457)-'Business Case'!E11*$C457*'Business Case'!E13*$D457-'Business Case'!E14*$E457)-MAX(0,(('Business Case'!E11*$C457*'Business Case'!E12*$B457)-'Business Case'!E11*$C457*'Business Case'!E13*$D457-'Business Case'!E14*$E457))*'Business Case'!$B$7-'Business Case'!$B$8*(('Business Case'!E11*$C457*'Business Case'!E12*$B457)-('Business Case'!D11*$C457*'Business Case'!D12*$B457))-'Business Case'!E15*$F457</f>
        <v>780095131.990808</v>
      </c>
      <c r="L457" s="39" t="n">
        <f aca="false">(('Business Case'!F11*$C457*'Business Case'!F12*$B457)-'Business Case'!F11*$C457*'Business Case'!F13*$D457-'Business Case'!F14*$E457)-MAX(0,(('Business Case'!F11*$C457*'Business Case'!F12*$B457)-'Business Case'!F11*$C457*'Business Case'!F13*$D457-'Business Case'!F14*$E457))*'Business Case'!$B$7-'Business Case'!$B$8*(('Business Case'!F11*$C457*'Business Case'!F12*$B457)-('Business Case'!E11*$C457*'Business Case'!E12*$B457))-'Business Case'!F15*$F457</f>
        <v>932652855.106699</v>
      </c>
      <c r="M457" s="39" t="n">
        <f aca="false">(('Business Case'!G11*$C457*'Business Case'!G12*$B457)-'Business Case'!G11*$C457*'Business Case'!G13*$D457-'Business Case'!G14*$E457)-MAX(0,(('Business Case'!G11*$C457*'Business Case'!G12*$B457)-'Business Case'!G11*$C457*'Business Case'!G13*$D457-'Business Case'!G14*$E457))*'Business Case'!$B$7-'Business Case'!$B$8*(('Business Case'!G11*$C457*'Business Case'!G12*$B457)-('Business Case'!F11*$C457*'Business Case'!F12*$B457))-'Business Case'!G15*$F457+'Business Case'!$B$8*('Business Case'!G11*$C457*'Business Case'!G12*$B457)</f>
        <v>1137193000.75014</v>
      </c>
      <c r="N457" s="39" t="n">
        <f aca="false">IF(COUNT('Business Case'!B11:G11)=0,"",H457+NPV(G457,I457:M457))</f>
        <v>127691739.455276</v>
      </c>
      <c r="P457" s="40" t="n">
        <f aca="true">RAND()</f>
        <v>0.612514258952167</v>
      </c>
      <c r="Q457" s="40" t="n">
        <f aca="true">RAND()</f>
        <v>0.905747731348881</v>
      </c>
      <c r="R457" s="40" t="n">
        <f aca="true">RAND()</f>
        <v>0.0525366664455303</v>
      </c>
      <c r="S457" s="40" t="n">
        <f aca="true">RAND()</f>
        <v>0.881415666411698</v>
      </c>
      <c r="T457" s="40" t="n">
        <f aca="true">RAND()</f>
        <v>0.490044216833899</v>
      </c>
      <c r="U457" s="40" t="n">
        <f aca="true">RAND()</f>
        <v>0.803418519586984</v>
      </c>
    </row>
    <row r="458" customFormat="false" ht="15" hidden="false" customHeight="false" outlineLevel="0" collapsed="false">
      <c r="A458" s="36" t="n">
        <v>378</v>
      </c>
      <c r="B458" s="37" t="n">
        <f aca="false">1+IF($G$6=$E$6,$F$6,IF(P458&lt;($F$6-$E$6)/($G$6-$E$6),$E$6+SQRT(P458*($G$6-$E$6)*($F$6-$E$6)),$G$6-SQRT((1-P458)*($G$6-$E$6)*($G$6-$F$6))))</f>
        <v>0.963519764573824</v>
      </c>
      <c r="C458" s="37" t="n">
        <f aca="false">1+IF($G$7=$E$7,$F$7,IF(Q458&lt;($F$7-$E$7)/($G$7-$E$7),$E$7+SQRT(Q458*($G$7-$E$7)*($F$7-$E$7)),$G$7-SQRT((1-Q458)*($G$7-$E$7)*($G$7-$F$7))))</f>
        <v>1.05052999141341</v>
      </c>
      <c r="D458" s="37" t="n">
        <f aca="false">1+IF($G$8=$E$8,$F$8,IF(R458&lt;($F$8-$E$8)/($G$8-$E$8),$E$8+SQRT(R458*($G$8-$E$8)*($F$8-$E$8)),$G$8-SQRT((1-R458)*($G$8-$E$8)*($G$8-$F$8))))</f>
        <v>1.00103817566653</v>
      </c>
      <c r="E458" s="37" t="n">
        <f aca="false">1+IF($G$9=$E$9,$F$9,IF(S458&lt;($F$9-$E$9)/($G$9-$E$9),$E$9+SQRT(S458*($G$9-$E$9)*($F$9-$E$9)),$G$9-SQRT((1-S458)*($G$9-$E$9)*($G$9-$F$9))))</f>
        <v>0.983873076354267</v>
      </c>
      <c r="F458" s="37" t="n">
        <f aca="false">1+IF($G$10=$E$10,$F$10,IF(T458&lt;($F$10-$E$10)/($G$10-$E$10),$E$10+SQRT(T458*($G$10-$E$10)*($F$10-$E$10)),$G$10-SQRT((1-T458)*($G$10-$E$10)*($G$10-$F$10))))</f>
        <v>0.984502756131093</v>
      </c>
      <c r="G458" s="38" t="n">
        <f aca="false">IF($G$11=$E$11,$F$11,IF(U458&lt;($F$11-$E$11)/($G$11-$E$11),$E$11+SQRT(U458*($G$11-$E$11)*($F$11-$E$11)),$G$11-SQRT((1-U458)*($G$11-$E$11)*($G$11-$F$11))))</f>
        <v>0.108957624245723</v>
      </c>
      <c r="H458" s="39" t="n">
        <f aca="false">(('Business Case'!B11*$C458*'Business Case'!B12*$B458)-'Business Case'!B11*$C458*'Business Case'!B13*$D458-'Business Case'!B14*$E458)-MAX(0,(('Business Case'!B11*$C458*'Business Case'!B12*$B458)-'Business Case'!B11*$C458*'Business Case'!B13*$D458-'Business Case'!B14*$E458))*'Business Case'!$B$7-'Business Case'!$B$8*('Business Case'!B11*$C458*'Business Case'!B12*$B458)-'Business Case'!B15*$F458</f>
        <v>-1969005512.26219</v>
      </c>
      <c r="I458" s="39" t="n">
        <f aca="false">(('Business Case'!C11*$C458*'Business Case'!C12*$B458)-'Business Case'!C11*$C458*'Business Case'!C13*$D458-'Business Case'!C14*$E458)-MAX(0,(('Business Case'!C11*$C458*'Business Case'!C12*$B458)-'Business Case'!C11*$C458*'Business Case'!C13*$D458-'Business Case'!C14*$E458))*'Business Case'!$B$7-'Business Case'!$B$8*(('Business Case'!C11*$C458*'Business Case'!C12*$B458)-('Business Case'!B11*$C458*'Business Case'!B12*$B458))-'Business Case'!C15*$F458</f>
        <v>-105509.61688599</v>
      </c>
      <c r="J458" s="39" t="n">
        <f aca="false">(('Business Case'!D11*$C458*'Business Case'!D12*$B458)-'Business Case'!D11*$C458*'Business Case'!D13*$D458-'Business Case'!D14*$E458)-MAX(0,(('Business Case'!D11*$C458*'Business Case'!D12*$B458)-'Business Case'!D11*$C458*'Business Case'!D13*$D458-'Business Case'!D14*$E458))*'Business Case'!$B$7-'Business Case'!$B$8*(('Business Case'!D11*$C458*'Business Case'!D12*$B458)-('Business Case'!C11*$C458*'Business Case'!C12*$B458))-'Business Case'!D15*$F458</f>
        <v>290618788.131542</v>
      </c>
      <c r="K458" s="39" t="n">
        <f aca="false">(('Business Case'!E11*$C458*'Business Case'!E12*$B458)-'Business Case'!E11*$C458*'Business Case'!E13*$D458-'Business Case'!E14*$E458)-MAX(0,(('Business Case'!E11*$C458*'Business Case'!E12*$B458)-'Business Case'!E11*$C458*'Business Case'!E13*$D458-'Business Case'!E14*$E458))*'Business Case'!$B$7-'Business Case'!$B$8*(('Business Case'!E11*$C458*'Business Case'!E12*$B458)-('Business Case'!D11*$C458*'Business Case'!D12*$B458))-'Business Case'!E15*$F458</f>
        <v>630568223.686524</v>
      </c>
      <c r="L458" s="39" t="n">
        <f aca="false">(('Business Case'!F11*$C458*'Business Case'!F12*$B458)-'Business Case'!F11*$C458*'Business Case'!F13*$D458-'Business Case'!F14*$E458)-MAX(0,(('Business Case'!F11*$C458*'Business Case'!F12*$B458)-'Business Case'!F11*$C458*'Business Case'!F13*$D458-'Business Case'!F14*$E458))*'Business Case'!$B$7-'Business Case'!$B$8*(('Business Case'!F11*$C458*'Business Case'!F12*$B458)-('Business Case'!E11*$C458*'Business Case'!E12*$B458))-'Business Case'!F15*$F458</f>
        <v>762458176.465752</v>
      </c>
      <c r="M458" s="39" t="n">
        <f aca="false">(('Business Case'!G11*$C458*'Business Case'!G12*$B458)-'Business Case'!G11*$C458*'Business Case'!G13*$D458-'Business Case'!G14*$E458)-MAX(0,(('Business Case'!G11*$C458*'Business Case'!G12*$B458)-'Business Case'!G11*$C458*'Business Case'!G13*$D458-'Business Case'!G14*$E458))*'Business Case'!$B$7-'Business Case'!$B$8*(('Business Case'!G11*$C458*'Business Case'!G12*$B458)-('Business Case'!F11*$C458*'Business Case'!F12*$B458))-'Business Case'!G15*$F458+'Business Case'!$B$8*('Business Case'!G11*$C458*'Business Case'!G12*$B458)</f>
        <v>954858370.879387</v>
      </c>
      <c r="N458" s="39" t="n">
        <f aca="false">IF(COUNT('Business Case'!B11:G11)=0,"",H458+NPV(G458,I458:M458))</f>
        <v>-196940816.72017</v>
      </c>
      <c r="P458" s="40" t="n">
        <f aca="true">RAND()</f>
        <v>0.197288532141775</v>
      </c>
      <c r="Q458" s="40" t="n">
        <f aca="true">RAND()</f>
        <v>0.811537474129229</v>
      </c>
      <c r="R458" s="40" t="n">
        <f aca="true">RAND()</f>
        <v>0.400483682493255</v>
      </c>
      <c r="S458" s="40" t="n">
        <f aca="true">RAND()</f>
        <v>0.152984706893601</v>
      </c>
      <c r="T458" s="40" t="n">
        <f aca="true">RAND()</f>
        <v>0.0952352144513325</v>
      </c>
      <c r="U458" s="40" t="n">
        <f aca="true">RAND()</f>
        <v>0.796776562835575</v>
      </c>
    </row>
    <row r="459" customFormat="false" ht="15" hidden="false" customHeight="false" outlineLevel="0" collapsed="false">
      <c r="A459" s="36" t="n">
        <v>379</v>
      </c>
      <c r="B459" s="37" t="n">
        <f aca="false">1+IF($G$6=$E$6,$F$6,IF(P459&lt;($F$6-$E$6)/($G$6-$E$6),$E$6+SQRT(P459*($G$6-$E$6)*($F$6-$E$6)),$G$6-SQRT((1-P459)*($G$6-$E$6)*($G$6-$F$6))))</f>
        <v>0.971890728120108</v>
      </c>
      <c r="C459" s="37" t="n">
        <f aca="false">1+IF($G$7=$E$7,$F$7,IF(Q459&lt;($F$7-$E$7)/($G$7-$E$7),$E$7+SQRT(Q459*($G$7-$E$7)*($F$7-$E$7)),$G$7-SQRT((1-Q459)*($G$7-$E$7)*($G$7-$F$7))))</f>
        <v>0.974084517871935</v>
      </c>
      <c r="D459" s="37" t="n">
        <f aca="false">1+IF($G$8=$E$8,$F$8,IF(R459&lt;($F$8-$E$8)/($G$8-$E$8),$E$8+SQRT(R459*($G$8-$E$8)*($F$8-$E$8)),$G$8-SQRT((1-R459)*($G$8-$E$8)*($G$8-$F$8))))</f>
        <v>0.957199358272259</v>
      </c>
      <c r="E459" s="37" t="n">
        <f aca="false">1+IF($G$9=$E$9,$F$9,IF(S459&lt;($F$9-$E$9)/($G$9-$E$9),$E$9+SQRT(S459*($G$9-$E$9)*($F$9-$E$9)),$G$9-SQRT((1-S459)*($G$9-$E$9)*($G$9-$F$9))))</f>
        <v>1.07105647727191</v>
      </c>
      <c r="F459" s="37" t="n">
        <f aca="false">1+IF($G$10=$E$10,$F$10,IF(T459&lt;($F$10-$E$10)/($G$10-$E$10),$E$10+SQRT(T459*($G$10-$E$10)*($F$10-$E$10)),$G$10-SQRT((1-T459)*($G$10-$E$10)*($G$10-$F$10))))</f>
        <v>1.00214125140896</v>
      </c>
      <c r="G459" s="38" t="n">
        <f aca="false">IF($G$11=$E$11,$F$11,IF(U459&lt;($F$11-$E$11)/($G$11-$E$11),$E$11+SQRT(U459*($G$11-$E$11)*($F$11-$E$11)),$G$11-SQRT((1-U459)*($G$11-$E$11)*($G$11-$F$11))))</f>
        <v>0.109700206703825</v>
      </c>
      <c r="H459" s="39" t="n">
        <f aca="false">(('Business Case'!B11*$C459*'Business Case'!B12*$B459)-'Business Case'!B11*$C459*'Business Case'!B13*$D459-'Business Case'!B14*$E459)-MAX(0,(('Business Case'!B11*$C459*'Business Case'!B12*$B459)-'Business Case'!B11*$C459*'Business Case'!B13*$D459-'Business Case'!B14*$E459))*'Business Case'!$B$7-'Business Case'!$B$8*('Business Case'!B11*$C459*'Business Case'!B12*$B459)-'Business Case'!B15*$F459</f>
        <v>-2004282502.81793</v>
      </c>
      <c r="I459" s="39" t="n">
        <f aca="false">(('Business Case'!C11*$C459*'Business Case'!C12*$B459)-'Business Case'!C11*$C459*'Business Case'!C13*$D459-'Business Case'!C14*$E459)-MAX(0,(('Business Case'!C11*$C459*'Business Case'!C12*$B459)-'Business Case'!C11*$C459*'Business Case'!C13*$D459-'Business Case'!C14*$E459))*'Business Case'!$B$7-'Business Case'!$B$8*(('Business Case'!C11*$C459*'Business Case'!C12*$B459)-('Business Case'!B11*$C459*'Business Case'!B12*$B459))-'Business Case'!C15*$F459</f>
        <v>-3487637.52546562</v>
      </c>
      <c r="J459" s="39" t="n">
        <f aca="false">(('Business Case'!D11*$C459*'Business Case'!D12*$B459)-'Business Case'!D11*$C459*'Business Case'!D13*$D459-'Business Case'!D14*$E459)-MAX(0,(('Business Case'!D11*$C459*'Business Case'!D12*$B459)-'Business Case'!D11*$C459*'Business Case'!D13*$D459-'Business Case'!D14*$E459))*'Business Case'!$B$7-'Business Case'!$B$8*(('Business Case'!D11*$C459*'Business Case'!D12*$B459)-('Business Case'!C11*$C459*'Business Case'!C12*$B459))-'Business Case'!D15*$F459</f>
        <v>294620201.553123</v>
      </c>
      <c r="K459" s="39" t="n">
        <f aca="false">(('Business Case'!E11*$C459*'Business Case'!E12*$B459)-'Business Case'!E11*$C459*'Business Case'!E13*$D459-'Business Case'!E14*$E459)-MAX(0,(('Business Case'!E11*$C459*'Business Case'!E12*$B459)-'Business Case'!E11*$C459*'Business Case'!E13*$D459-'Business Case'!E14*$E459))*'Business Case'!$B$7-'Business Case'!$B$8*(('Business Case'!E11*$C459*'Business Case'!E12*$B459)-('Business Case'!D11*$C459*'Business Case'!D12*$B459))-'Business Case'!E15*$F459</f>
        <v>642835103.20216</v>
      </c>
      <c r="L459" s="39" t="n">
        <f aca="false">(('Business Case'!F11*$C459*'Business Case'!F12*$B459)-'Business Case'!F11*$C459*'Business Case'!F13*$D459-'Business Case'!F14*$E459)-MAX(0,(('Business Case'!F11*$C459*'Business Case'!F12*$B459)-'Business Case'!F11*$C459*'Business Case'!F13*$D459-'Business Case'!F14*$E459))*'Business Case'!$B$7-'Business Case'!$B$8*(('Business Case'!F11*$C459*'Business Case'!F12*$B459)-('Business Case'!E11*$C459*'Business Case'!E12*$B459))-'Business Case'!F15*$F459</f>
        <v>774922463.158418</v>
      </c>
      <c r="M459" s="39" t="n">
        <f aca="false">(('Business Case'!G11*$C459*'Business Case'!G12*$B459)-'Business Case'!G11*$C459*'Business Case'!G13*$D459-'Business Case'!G14*$E459)-MAX(0,(('Business Case'!G11*$C459*'Business Case'!G12*$B459)-'Business Case'!G11*$C459*'Business Case'!G13*$D459-'Business Case'!G14*$E459))*'Business Case'!$B$7-'Business Case'!$B$8*(('Business Case'!G11*$C459*'Business Case'!G12*$B459)-('Business Case'!F11*$C459*'Business Case'!F12*$B459))-'Business Case'!G15*$F459+'Business Case'!$B$8*('Business Case'!G11*$C459*'Business Case'!G12*$B459)</f>
        <v>954871904.607089</v>
      </c>
      <c r="N459" s="39" t="n">
        <f aca="false">IF(COUNT('Business Case'!B11:G11)=0,"",H459+NPV(G459,I459:M459))</f>
        <v>-219306106.019674</v>
      </c>
      <c r="P459" s="40" t="n">
        <f aca="true">RAND()</f>
        <v>0.280484131753637</v>
      </c>
      <c r="Q459" s="40" t="n">
        <f aca="true">RAND()</f>
        <v>0.432934562324344</v>
      </c>
      <c r="R459" s="40" t="n">
        <f aca="true">RAND()</f>
        <v>0.00797396300497604</v>
      </c>
      <c r="S459" s="40" t="n">
        <f aca="true">RAND()</f>
        <v>0.944151499472582</v>
      </c>
      <c r="T459" s="40" t="n">
        <f aca="true">RAND()</f>
        <v>0.217038312119773</v>
      </c>
      <c r="U459" s="40" t="n">
        <f aca="true">RAND()</f>
        <v>0.823190430093444</v>
      </c>
    </row>
    <row r="460" customFormat="false" ht="15" hidden="false" customHeight="false" outlineLevel="0" collapsed="false">
      <c r="A460" s="36" t="n">
        <v>380</v>
      </c>
      <c r="B460" s="37" t="n">
        <f aca="false">1+IF($G$6=$E$6,$F$6,IF(P460&lt;($F$6-$E$6)/($G$6-$E$6),$E$6+SQRT(P460*($G$6-$E$6)*($F$6-$E$6)),$G$6-SQRT((1-P460)*($G$6-$E$6)*($G$6-$F$6))))</f>
        <v>0.964221194634429</v>
      </c>
      <c r="C460" s="37" t="n">
        <f aca="false">1+IF($G$7=$E$7,$F$7,IF(Q460&lt;($F$7-$E$7)/($G$7-$E$7),$E$7+SQRT(Q460*($G$7-$E$7)*($F$7-$E$7)),$G$7-SQRT((1-Q460)*($G$7-$E$7)*($G$7-$F$7))))</f>
        <v>0.901722765495962</v>
      </c>
      <c r="D460" s="37" t="n">
        <f aca="false">1+IF($G$8=$E$8,$F$8,IF(R460&lt;($F$8-$E$8)/($G$8-$E$8),$E$8+SQRT(R460*($G$8-$E$8)*($F$8-$E$8)),$G$8-SQRT((1-R460)*($G$8-$E$8)*($G$8-$F$8))))</f>
        <v>1.05119282223543</v>
      </c>
      <c r="E460" s="37" t="n">
        <f aca="false">1+IF($G$9=$E$9,$F$9,IF(S460&lt;($F$9-$E$9)/($G$9-$E$9),$E$9+SQRT(S460*($G$9-$E$9)*($F$9-$E$9)),$G$9-SQRT((1-S460)*($G$9-$E$9)*($G$9-$F$9))))</f>
        <v>1.01959924708851</v>
      </c>
      <c r="F460" s="37" t="n">
        <f aca="false">1+IF($G$10=$E$10,$F$10,IF(T460&lt;($F$10-$E$10)/($G$10-$E$10),$E$10+SQRT(T460*($G$10-$E$10)*($F$10-$E$10)),$G$10-SQRT((1-T460)*($G$10-$E$10)*($G$10-$F$10))))</f>
        <v>1.05739641399368</v>
      </c>
      <c r="G460" s="38" t="n">
        <f aca="false">IF($G$11=$E$11,$F$11,IF(U460&lt;($F$11-$E$11)/($G$11-$E$11),$E$11+SQRT(U460*($G$11-$E$11)*($F$11-$E$11)),$G$11-SQRT((1-U460)*($G$11-$E$11)*($G$11-$F$11))))</f>
        <v>0.0981932099208689</v>
      </c>
      <c r="H460" s="39" t="n">
        <f aca="false">(('Business Case'!B11*$C460*'Business Case'!B12*$B460)-'Business Case'!B11*$C460*'Business Case'!B13*$D460-'Business Case'!B14*$E460)-MAX(0,(('Business Case'!B11*$C460*'Business Case'!B12*$B460)-'Business Case'!B11*$C460*'Business Case'!B13*$D460-'Business Case'!B14*$E460))*'Business Case'!$B$7-'Business Case'!$B$8*('Business Case'!B11*$C460*'Business Case'!B12*$B460)-'Business Case'!B15*$F460</f>
        <v>-2114792827.98735</v>
      </c>
      <c r="I460" s="39" t="n">
        <f aca="false">(('Business Case'!C11*$C460*'Business Case'!C12*$B460)-'Business Case'!C11*$C460*'Business Case'!C13*$D460-'Business Case'!C14*$E460)-MAX(0,(('Business Case'!C11*$C460*'Business Case'!C12*$B460)-'Business Case'!C11*$C460*'Business Case'!C13*$D460-'Business Case'!C14*$E460))*'Business Case'!$B$7-'Business Case'!$B$8*(('Business Case'!C11*$C460*'Business Case'!C12*$B460)-('Business Case'!B11*$C460*'Business Case'!B12*$B460))-'Business Case'!C15*$F460</f>
        <v>-68889997.0925272</v>
      </c>
      <c r="J460" s="39" t="n">
        <f aca="false">(('Business Case'!D11*$C460*'Business Case'!D12*$B460)-'Business Case'!D11*$C460*'Business Case'!D13*$D460-'Business Case'!D14*$E460)-MAX(0,(('Business Case'!D11*$C460*'Business Case'!D12*$B460)-'Business Case'!D11*$C460*'Business Case'!D13*$D460-'Business Case'!D14*$E460))*'Business Case'!$B$7-'Business Case'!$B$8*(('Business Case'!D11*$C460*'Business Case'!D12*$B460)-('Business Case'!C11*$C460*'Business Case'!C12*$B460))-'Business Case'!D15*$F460</f>
        <v>158019477.031081</v>
      </c>
      <c r="K460" s="39" t="n">
        <f aca="false">(('Business Case'!E11*$C460*'Business Case'!E12*$B460)-'Business Case'!E11*$C460*'Business Case'!E13*$D460-'Business Case'!E14*$E460)-MAX(0,(('Business Case'!E11*$C460*'Business Case'!E12*$B460)-'Business Case'!E11*$C460*'Business Case'!E13*$D460-'Business Case'!E14*$E460))*'Business Case'!$B$7-'Business Case'!$B$8*(('Business Case'!E11*$C460*'Business Case'!E12*$B460)-('Business Case'!D11*$C460*'Business Case'!D12*$B460))-'Business Case'!E15*$F460</f>
        <v>437798771.854373</v>
      </c>
      <c r="L460" s="39" t="n">
        <f aca="false">(('Business Case'!F11*$C460*'Business Case'!F12*$B460)-'Business Case'!F11*$C460*'Business Case'!F13*$D460-'Business Case'!F14*$E460)-MAX(0,(('Business Case'!F11*$C460*'Business Case'!F12*$B460)-'Business Case'!F11*$C460*'Business Case'!F13*$D460-'Business Case'!F14*$E460))*'Business Case'!$B$7-'Business Case'!$B$8*(('Business Case'!F11*$C460*'Business Case'!F12*$B460)-('Business Case'!E11*$C460*'Business Case'!E12*$B460))-'Business Case'!F15*$F460</f>
        <v>543483807.816097</v>
      </c>
      <c r="M460" s="39" t="n">
        <f aca="false">(('Business Case'!G11*$C460*'Business Case'!G12*$B460)-'Business Case'!G11*$C460*'Business Case'!G13*$D460-'Business Case'!G14*$E460)-MAX(0,(('Business Case'!G11*$C460*'Business Case'!G12*$B460)-'Business Case'!G11*$C460*'Business Case'!G13*$D460-'Business Case'!G14*$E460))*'Business Case'!$B$7-'Business Case'!$B$8*(('Business Case'!G11*$C460*'Business Case'!G12*$B460)-('Business Case'!F11*$C460*'Business Case'!F12*$B460))-'Business Case'!G15*$F460+'Business Case'!$B$8*('Business Case'!G11*$C460*'Business Case'!G12*$B460)</f>
        <v>708750803.045631</v>
      </c>
      <c r="N460" s="39" t="n">
        <f aca="false">IF(COUNT('Business Case'!B11:G11)=0,"",H460+NPV(G460,I460:M460))</f>
        <v>-898581332.113254</v>
      </c>
      <c r="P460" s="40" t="n">
        <f aca="true">RAND()</f>
        <v>0.20369938071834</v>
      </c>
      <c r="Q460" s="40" t="n">
        <f aca="true">RAND()</f>
        <v>0.147821728859235</v>
      </c>
      <c r="R460" s="40" t="n">
        <f aca="true">RAND()</f>
        <v>0.920206395119265</v>
      </c>
      <c r="S460" s="40" t="n">
        <f aca="true">RAND()</f>
        <v>0.569047928751017</v>
      </c>
      <c r="T460" s="40" t="n">
        <f aca="true">RAND()</f>
        <v>0.593284345162742</v>
      </c>
      <c r="U460" s="40" t="n">
        <f aca="true">RAND()</f>
        <v>0.223762296024747</v>
      </c>
    </row>
    <row r="461" customFormat="false" ht="15" hidden="false" customHeight="false" outlineLevel="0" collapsed="false">
      <c r="A461" s="36" t="n">
        <v>381</v>
      </c>
      <c r="B461" s="37" t="n">
        <f aca="false">1+IF($G$6=$E$6,$F$6,IF(P461&lt;($F$6-$E$6)/($G$6-$E$6),$E$6+SQRT(P461*($G$6-$E$6)*($F$6-$E$6)),$G$6-SQRT((1-P461)*($G$6-$E$6)*($G$6-$F$6))))</f>
        <v>0.984147541369621</v>
      </c>
      <c r="C461" s="37" t="n">
        <f aca="false">1+IF($G$7=$E$7,$F$7,IF(Q461&lt;($F$7-$E$7)/($G$7-$E$7),$E$7+SQRT(Q461*($G$7-$E$7)*($F$7-$E$7)),$G$7-SQRT((1-Q461)*($G$7-$E$7)*($G$7-$F$7))))</f>
        <v>0.883545580678677</v>
      </c>
      <c r="D461" s="37" t="n">
        <f aca="false">1+IF($G$8=$E$8,$F$8,IF(R461&lt;($F$8-$E$8)/($G$8-$E$8),$E$8+SQRT(R461*($G$8-$E$8)*($F$8-$E$8)),$G$8-SQRT((1-R461)*($G$8-$E$8)*($G$8-$F$8))))</f>
        <v>1.04183168222815</v>
      </c>
      <c r="E461" s="37" t="n">
        <f aca="false">1+IF($G$9=$E$9,$F$9,IF(S461&lt;($F$9-$E$9)/($G$9-$E$9),$E$9+SQRT(S461*($G$9-$E$9)*($F$9-$E$9)),$G$9-SQRT((1-S461)*($G$9-$E$9)*($G$9-$F$9))))</f>
        <v>0.982202098094667</v>
      </c>
      <c r="F461" s="37" t="n">
        <f aca="false">1+IF($G$10=$E$10,$F$10,IF(T461&lt;($F$10-$E$10)/($G$10-$E$10),$E$10+SQRT(T461*($G$10-$E$10)*($F$10-$E$10)),$G$10-SQRT((1-T461)*($G$10-$E$10)*($G$10-$F$10))))</f>
        <v>1.01544883530525</v>
      </c>
      <c r="G461" s="38" t="n">
        <f aca="false">IF($G$11=$E$11,$F$11,IF(U461&lt;($F$11-$E$11)/($G$11-$E$11),$E$11+SQRT(U461*($G$11-$E$11)*($F$11-$E$11)),$G$11-SQRT((1-U461)*($G$11-$E$11)*($G$11-$F$11))))</f>
        <v>0.0947844158974895</v>
      </c>
      <c r="H461" s="39" t="n">
        <f aca="false">(('Business Case'!B11*$C461*'Business Case'!B12*$B461)-'Business Case'!B11*$C461*'Business Case'!B13*$D461-'Business Case'!B14*$E461)-MAX(0,(('Business Case'!B11*$C461*'Business Case'!B12*$B461)-'Business Case'!B11*$C461*'Business Case'!B13*$D461-'Business Case'!B14*$E461))*'Business Case'!$B$7-'Business Case'!$B$8*('Business Case'!B11*$C461*'Business Case'!B12*$B461)-'Business Case'!B15*$F461</f>
        <v>-2030897670.61051</v>
      </c>
      <c r="I461" s="39" t="n">
        <f aca="false">(('Business Case'!C11*$C461*'Business Case'!C12*$B461)-'Business Case'!C11*$C461*'Business Case'!C13*$D461-'Business Case'!C14*$E461)-MAX(0,(('Business Case'!C11*$C461*'Business Case'!C12*$B461)-'Business Case'!C11*$C461*'Business Case'!C13*$D461-'Business Case'!C14*$E461))*'Business Case'!$B$7-'Business Case'!$B$8*(('Business Case'!C11*$C461*'Business Case'!C12*$B461)-('Business Case'!B11*$C461*'Business Case'!B12*$B461))-'Business Case'!C15*$F461</f>
        <v>-45301032.2157393</v>
      </c>
      <c r="J461" s="39" t="n">
        <f aca="false">(('Business Case'!D11*$C461*'Business Case'!D12*$B461)-'Business Case'!D11*$C461*'Business Case'!D13*$D461-'Business Case'!D14*$E461)-MAX(0,(('Business Case'!D11*$C461*'Business Case'!D12*$B461)-'Business Case'!D11*$C461*'Business Case'!D13*$D461-'Business Case'!D14*$E461))*'Business Case'!$B$7-'Business Case'!$B$8*(('Business Case'!D11*$C461*'Business Case'!D12*$B461)-('Business Case'!C11*$C461*'Business Case'!C12*$B461))-'Business Case'!D15*$F461</f>
        <v>195688870.141834</v>
      </c>
      <c r="K461" s="39" t="n">
        <f aca="false">(('Business Case'!E11*$C461*'Business Case'!E12*$B461)-'Business Case'!E11*$C461*'Business Case'!E13*$D461-'Business Case'!E14*$E461)-MAX(0,(('Business Case'!E11*$C461*'Business Case'!E12*$B461)-'Business Case'!E11*$C461*'Business Case'!E13*$D461-'Business Case'!E14*$E461))*'Business Case'!$B$7-'Business Case'!$B$8*(('Business Case'!E11*$C461*'Business Case'!E12*$B461)-('Business Case'!D11*$C461*'Business Case'!D12*$B461))-'Business Case'!E15*$F461</f>
        <v>487451214.26467</v>
      </c>
      <c r="L461" s="39" t="n">
        <f aca="false">(('Business Case'!F11*$C461*'Business Case'!F12*$B461)-'Business Case'!F11*$C461*'Business Case'!F13*$D461-'Business Case'!F14*$E461)-MAX(0,(('Business Case'!F11*$C461*'Business Case'!F12*$B461)-'Business Case'!F11*$C461*'Business Case'!F13*$D461-'Business Case'!F14*$E461))*'Business Case'!$B$7-'Business Case'!$B$8*(('Business Case'!F11*$C461*'Business Case'!F12*$B461)-('Business Case'!E11*$C461*'Business Case'!E12*$B461))-'Business Case'!F15*$F461</f>
        <v>597832456.846345</v>
      </c>
      <c r="M461" s="39" t="n">
        <f aca="false">(('Business Case'!G11*$C461*'Business Case'!G12*$B461)-'Business Case'!G11*$C461*'Business Case'!G13*$D461-'Business Case'!G14*$E461)-MAX(0,(('Business Case'!G11*$C461*'Business Case'!G12*$B461)-'Business Case'!G11*$C461*'Business Case'!G13*$D461-'Business Case'!G14*$E461))*'Business Case'!$B$7-'Business Case'!$B$8*(('Business Case'!G11*$C461*'Business Case'!G12*$B461)-('Business Case'!F11*$C461*'Business Case'!F12*$B461))-'Business Case'!G15*$F461+'Business Case'!$B$8*('Business Case'!G11*$C461*'Business Case'!G12*$B461)</f>
        <v>763114470.056671</v>
      </c>
      <c r="N461" s="39" t="n">
        <f aca="false">IF(COUNT('Business Case'!B11:G11)=0,"",H461+NPV(G461,I461:M461))</f>
        <v>-636123781.557239</v>
      </c>
      <c r="P461" s="40" t="n">
        <f aca="true">RAND()</f>
        <v>0.428636152475748</v>
      </c>
      <c r="Q461" s="40" t="n">
        <f aca="true">RAND()</f>
        <v>0.0997123435848192</v>
      </c>
      <c r="R461" s="40" t="n">
        <f aca="true">RAND()</f>
        <v>0.859921107544892</v>
      </c>
      <c r="S461" s="40" t="n">
        <f aca="true">RAND()</f>
        <v>0.138263349559807</v>
      </c>
      <c r="T461" s="40" t="n">
        <f aca="true">RAND()</f>
        <v>0.318817352196256</v>
      </c>
      <c r="U461" s="40" t="n">
        <f aca="true">RAND()</f>
        <v>0.0763021182671685</v>
      </c>
    </row>
    <row r="462" customFormat="false" ht="15" hidden="false" customHeight="false" outlineLevel="0" collapsed="false">
      <c r="A462" s="36" t="n">
        <v>382</v>
      </c>
      <c r="B462" s="37" t="n">
        <f aca="false">1+IF($G$6=$E$6,$F$6,IF(P462&lt;($F$6-$E$6)/($G$6-$E$6),$E$6+SQRT(P462*($G$6-$E$6)*($F$6-$E$6)),$G$6-SQRT((1-P462)*($G$6-$E$6)*($G$6-$F$6))))</f>
        <v>0.992856067926438</v>
      </c>
      <c r="C462" s="37" t="n">
        <f aca="false">1+IF($G$7=$E$7,$F$7,IF(Q462&lt;($F$7-$E$7)/($G$7-$E$7),$E$7+SQRT(Q462*($G$7-$E$7)*($F$7-$E$7)),$G$7-SQRT((1-Q462)*($G$7-$E$7)*($G$7-$F$7))))</f>
        <v>1.02347329194669</v>
      </c>
      <c r="D462" s="37" t="n">
        <f aca="false">1+IF($G$8=$E$8,$F$8,IF(R462&lt;($F$8-$E$8)/($G$8-$E$8),$E$8+SQRT(R462*($G$8-$E$8)*($F$8-$E$8)),$G$8-SQRT((1-R462)*($G$8-$E$8)*($G$8-$F$8))))</f>
        <v>1.00575039169401</v>
      </c>
      <c r="E462" s="37" t="n">
        <f aca="false">1+IF($G$9=$E$9,$F$9,IF(S462&lt;($F$9-$E$9)/($G$9-$E$9),$E$9+SQRT(S462*($G$9-$E$9)*($F$9-$E$9)),$G$9-SQRT((1-S462)*($G$9-$E$9)*($G$9-$F$9))))</f>
        <v>1.00833946712278</v>
      </c>
      <c r="F462" s="37" t="n">
        <f aca="false">1+IF($G$10=$E$10,$F$10,IF(T462&lt;($F$10-$E$10)/($G$10-$E$10),$E$10+SQRT(T462*($G$10-$E$10)*($F$10-$E$10)),$G$10-SQRT((1-T462)*($G$10-$E$10)*($G$10-$F$10))))</f>
        <v>0.990359633820575</v>
      </c>
      <c r="G462" s="38" t="n">
        <f aca="false">IF($G$11=$E$11,$F$11,IF(U462&lt;($F$11-$E$11)/($G$11-$E$11),$E$11+SQRT(U462*($G$11-$E$11)*($F$11-$E$11)),$G$11-SQRT((1-U462)*($G$11-$E$11)*($G$11-$F$11))))</f>
        <v>0.100987800251314</v>
      </c>
      <c r="H462" s="39" t="n">
        <f aca="false">(('Business Case'!B11*$C462*'Business Case'!B12*$B462)-'Business Case'!B11*$C462*'Business Case'!B13*$D462-'Business Case'!B14*$E462)-MAX(0,(('Business Case'!B11*$C462*'Business Case'!B12*$B462)-'Business Case'!B11*$C462*'Business Case'!B13*$D462-'Business Case'!B14*$E462))*'Business Case'!$B$7-'Business Case'!$B$8*('Business Case'!B11*$C462*'Business Case'!B12*$B462)-'Business Case'!B15*$F462</f>
        <v>-1980719267.64115</v>
      </c>
      <c r="I462" s="39" t="n">
        <f aca="false">(('Business Case'!C11*$C462*'Business Case'!C12*$B462)-'Business Case'!C11*$C462*'Business Case'!C13*$D462-'Business Case'!C14*$E462)-MAX(0,(('Business Case'!C11*$C462*'Business Case'!C12*$B462)-'Business Case'!C11*$C462*'Business Case'!C13*$D462-'Business Case'!C14*$E462))*'Business Case'!$B$7-'Business Case'!$B$8*(('Business Case'!C11*$C462*'Business Case'!C12*$B462)-('Business Case'!B11*$C462*'Business Case'!B12*$B462))-'Business Case'!C15*$F462</f>
        <v>10260626.0532555</v>
      </c>
      <c r="J462" s="39" t="n">
        <f aca="false">(('Business Case'!D11*$C462*'Business Case'!D12*$B462)-'Business Case'!D11*$C462*'Business Case'!D13*$D462-'Business Case'!D14*$E462)-MAX(0,(('Business Case'!D11*$C462*'Business Case'!D12*$B462)-'Business Case'!D11*$C462*'Business Case'!D13*$D462-'Business Case'!D14*$E462))*'Business Case'!$B$7-'Business Case'!$B$8*(('Business Case'!D11*$C462*'Business Case'!D12*$B462)-('Business Case'!C11*$C462*'Business Case'!C12*$B462))-'Business Case'!D15*$F462</f>
        <v>315620908.59654</v>
      </c>
      <c r="K462" s="39" t="n">
        <f aca="false">(('Business Case'!E11*$C462*'Business Case'!E12*$B462)-'Business Case'!E11*$C462*'Business Case'!E13*$D462-'Business Case'!E14*$E462)-MAX(0,(('Business Case'!E11*$C462*'Business Case'!E12*$B462)-'Business Case'!E11*$C462*'Business Case'!E13*$D462-'Business Case'!E14*$E462))*'Business Case'!$B$7-'Business Case'!$B$8*(('Business Case'!E11*$C462*'Business Case'!E12*$B462)-('Business Case'!D11*$C462*'Business Case'!D12*$B462))-'Business Case'!E15*$F462</f>
        <v>670499172.830853</v>
      </c>
      <c r="L462" s="39" t="n">
        <f aca="false">(('Business Case'!F11*$C462*'Business Case'!F12*$B462)-'Business Case'!F11*$C462*'Business Case'!F13*$D462-'Business Case'!F14*$E462)-MAX(0,(('Business Case'!F11*$C462*'Business Case'!F12*$B462)-'Business Case'!F11*$C462*'Business Case'!F13*$D462-'Business Case'!F14*$E462))*'Business Case'!$B$7-'Business Case'!$B$8*(('Business Case'!F11*$C462*'Business Case'!F12*$B462)-('Business Case'!E11*$C462*'Business Case'!E12*$B462))-'Business Case'!F15*$F462</f>
        <v>807404480.934023</v>
      </c>
      <c r="M462" s="39" t="n">
        <f aca="false">(('Business Case'!G11*$C462*'Business Case'!G12*$B462)-'Business Case'!G11*$C462*'Business Case'!G13*$D462-'Business Case'!G14*$E462)-MAX(0,(('Business Case'!G11*$C462*'Business Case'!G12*$B462)-'Business Case'!G11*$C462*'Business Case'!G13*$D462-'Business Case'!G14*$E462))*'Business Case'!$B$7-'Business Case'!$B$8*(('Business Case'!G11*$C462*'Business Case'!G12*$B462)-('Business Case'!F11*$C462*'Business Case'!F12*$B462))-'Business Case'!G15*$F462+'Business Case'!$B$8*('Business Case'!G11*$C462*'Business Case'!G12*$B462)</f>
        <v>1000556490.83877</v>
      </c>
      <c r="N462" s="39" t="n">
        <f aca="false">IF(COUNT('Business Case'!B11:G11)=0,"",H462+NPV(G462,I462:M462))</f>
        <v>-40646086.4935479</v>
      </c>
      <c r="P462" s="40" t="n">
        <f aca="true">RAND()</f>
        <v>0.552917357677265</v>
      </c>
      <c r="Q462" s="40" t="n">
        <f aca="true">RAND()</f>
        <v>0.695066517127469</v>
      </c>
      <c r="R462" s="40" t="n">
        <f aca="true">RAND()</f>
        <v>0.469903429462196</v>
      </c>
      <c r="S462" s="40" t="n">
        <f aca="true">RAND()</f>
        <v>0.439889780844212</v>
      </c>
      <c r="T462" s="40" t="n">
        <f aca="true">RAND()</f>
        <v>0.130312003370473</v>
      </c>
      <c r="U462" s="40" t="n">
        <f aca="true">RAND()</f>
        <v>0.397560434526757</v>
      </c>
    </row>
    <row r="463" customFormat="false" ht="15" hidden="false" customHeight="false" outlineLevel="0" collapsed="false">
      <c r="A463" s="36" t="n">
        <v>383</v>
      </c>
      <c r="B463" s="37" t="n">
        <f aca="false">1+IF($G$6=$E$6,$F$6,IF(P463&lt;($F$6-$E$6)/($G$6-$E$6),$E$6+SQRT(P463*($G$6-$E$6)*($F$6-$E$6)),$G$6-SQRT((1-P463)*($G$6-$E$6)*($G$6-$F$6))))</f>
        <v>0.991773792452419</v>
      </c>
      <c r="C463" s="37" t="n">
        <f aca="false">1+IF($G$7=$E$7,$F$7,IF(Q463&lt;($F$7-$E$7)/($G$7-$E$7),$E$7+SQRT(Q463*($G$7-$E$7)*($F$7-$E$7)),$G$7-SQRT((1-Q463)*($G$7-$E$7)*($G$7-$F$7))))</f>
        <v>1.01126374433183</v>
      </c>
      <c r="D463" s="37" t="n">
        <f aca="false">1+IF($G$8=$E$8,$F$8,IF(R463&lt;($F$8-$E$8)/($G$8-$E$8),$E$8+SQRT(R463*($G$8-$E$8)*($F$8-$E$8)),$G$8-SQRT((1-R463)*($G$8-$E$8)*($G$8-$F$8))))</f>
        <v>1.04741604663628</v>
      </c>
      <c r="E463" s="37" t="n">
        <f aca="false">1+IF($G$9=$E$9,$F$9,IF(S463&lt;($F$9-$E$9)/($G$9-$E$9),$E$9+SQRT(S463*($G$9-$E$9)*($F$9-$E$9)),$G$9-SQRT((1-S463)*($G$9-$E$9)*($G$9-$F$9))))</f>
        <v>0.982541407272447</v>
      </c>
      <c r="F463" s="37" t="n">
        <f aca="false">1+IF($G$10=$E$10,$F$10,IF(T463&lt;($F$10-$E$10)/($G$10-$E$10),$E$10+SQRT(T463*($G$10-$E$10)*($F$10-$E$10)),$G$10-SQRT((1-T463)*($G$10-$E$10)*($G$10-$F$10))))</f>
        <v>1.04562491638118</v>
      </c>
      <c r="G463" s="38" t="n">
        <f aca="false">IF($G$11=$E$11,$F$11,IF(U463&lt;($F$11-$E$11)/($G$11-$E$11),$E$11+SQRT(U463*($G$11-$E$11)*($F$11-$E$11)),$G$11-SQRT((1-U463)*($G$11-$E$11)*($G$11-$F$11))))</f>
        <v>0.0950978011609659</v>
      </c>
      <c r="H463" s="39" t="n">
        <f aca="false">(('Business Case'!B11*$C463*'Business Case'!B12*$B463)-'Business Case'!B11*$C463*'Business Case'!B13*$D463-'Business Case'!B14*$E463)-MAX(0,(('Business Case'!B11*$C463*'Business Case'!B12*$B463)-'Business Case'!B11*$C463*'Business Case'!B13*$D463-'Business Case'!B14*$E463))*'Business Case'!$B$7-'Business Case'!$B$8*('Business Case'!B11*$C463*'Business Case'!B12*$B463)-'Business Case'!B15*$F463</f>
        <v>-2091249832.76237</v>
      </c>
      <c r="I463" s="39" t="n">
        <f aca="false">(('Business Case'!C11*$C463*'Business Case'!C12*$B463)-'Business Case'!C11*$C463*'Business Case'!C13*$D463-'Business Case'!C14*$E463)-MAX(0,(('Business Case'!C11*$C463*'Business Case'!C12*$B463)-'Business Case'!C11*$C463*'Business Case'!C13*$D463-'Business Case'!C14*$E463))*'Business Case'!$B$7-'Business Case'!$B$8*(('Business Case'!C11*$C463*'Business Case'!C12*$B463)-('Business Case'!B11*$C463*'Business Case'!B12*$B463))-'Business Case'!C15*$F463</f>
        <v>-17021240.4008948</v>
      </c>
      <c r="J463" s="39" t="n">
        <f aca="false">(('Business Case'!D11*$C463*'Business Case'!D12*$B463)-'Business Case'!D11*$C463*'Business Case'!D13*$D463-'Business Case'!D14*$E463)-MAX(0,(('Business Case'!D11*$C463*'Business Case'!D12*$B463)-'Business Case'!D11*$C463*'Business Case'!D13*$D463-'Business Case'!D14*$E463))*'Business Case'!$B$7-'Business Case'!$B$8*(('Business Case'!D11*$C463*'Business Case'!D12*$B463)-('Business Case'!C11*$C463*'Business Case'!C12*$B463))-'Business Case'!D15*$F463</f>
        <v>262230061.471901</v>
      </c>
      <c r="K463" s="39" t="n">
        <f aca="false">(('Business Case'!E11*$C463*'Business Case'!E12*$B463)-'Business Case'!E11*$C463*'Business Case'!E13*$D463-'Business Case'!E14*$E463)-MAX(0,(('Business Case'!E11*$C463*'Business Case'!E12*$B463)-'Business Case'!E11*$C463*'Business Case'!E13*$D463-'Business Case'!E14*$E463))*'Business Case'!$B$7-'Business Case'!$B$8*(('Business Case'!E11*$C463*'Business Case'!E12*$B463)-('Business Case'!D11*$C463*'Business Case'!D12*$B463))-'Business Case'!E15*$F463</f>
        <v>593762609.163756</v>
      </c>
      <c r="L463" s="39" t="n">
        <f aca="false">(('Business Case'!F11*$C463*'Business Case'!F12*$B463)-'Business Case'!F11*$C463*'Business Case'!F13*$D463-'Business Case'!F14*$E463)-MAX(0,(('Business Case'!F11*$C463*'Business Case'!F12*$B463)-'Business Case'!F11*$C463*'Business Case'!F13*$D463-'Business Case'!F14*$E463))*'Business Case'!$B$7-'Business Case'!$B$8*(('Business Case'!F11*$C463*'Business Case'!F12*$B463)-('Business Case'!E11*$C463*'Business Case'!E12*$B463))-'Business Case'!F15*$F463</f>
        <v>721508151.468975</v>
      </c>
      <c r="M463" s="39" t="n">
        <f aca="false">(('Business Case'!G11*$C463*'Business Case'!G12*$B463)-'Business Case'!G11*$C463*'Business Case'!G13*$D463-'Business Case'!G14*$E463)-MAX(0,(('Business Case'!G11*$C463*'Business Case'!G12*$B463)-'Business Case'!G11*$C463*'Business Case'!G13*$D463-'Business Case'!G14*$E463))*'Business Case'!$B$7-'Business Case'!$B$8*(('Business Case'!G11*$C463*'Business Case'!G12*$B463)-('Business Case'!F11*$C463*'Business Case'!F12*$B463))-'Business Case'!G15*$F463+'Business Case'!$B$8*('Business Case'!G11*$C463*'Business Case'!G12*$B463)</f>
        <v>912147914.047553</v>
      </c>
      <c r="N463" s="39" t="n">
        <f aca="false">IF(COUNT('Business Case'!B11:G11)=0,"",H463+NPV(G463,I463:M463))</f>
        <v>-355162683.16461</v>
      </c>
      <c r="P463" s="40" t="n">
        <f aca="true">RAND()</f>
        <v>0.536612216979469</v>
      </c>
      <c r="Q463" s="40" t="n">
        <f aca="true">RAND()</f>
        <v>0.633376216441474</v>
      </c>
      <c r="R463" s="40" t="n">
        <f aca="true">RAND()</f>
        <v>0.897912113768332</v>
      </c>
      <c r="S463" s="40" t="n">
        <f aca="true">RAND()</f>
        <v>0.141192424969501</v>
      </c>
      <c r="T463" s="40" t="n">
        <f aca="true">RAND()</f>
        <v>0.523366671153668</v>
      </c>
      <c r="U463" s="40" t="n">
        <f aca="true">RAND()</f>
        <v>0.0866252555891496</v>
      </c>
    </row>
    <row r="464" customFormat="false" ht="15" hidden="false" customHeight="false" outlineLevel="0" collapsed="false">
      <c r="A464" s="36" t="n">
        <v>384</v>
      </c>
      <c r="B464" s="37" t="n">
        <f aca="false">1+IF($G$6=$E$6,$F$6,IF(P464&lt;($F$6-$E$6)/($G$6-$E$6),$E$6+SQRT(P464*($G$6-$E$6)*($F$6-$E$6)),$G$6-SQRT((1-P464)*($G$6-$E$6)*($G$6-$F$6))))</f>
        <v>0.995126176374979</v>
      </c>
      <c r="C464" s="37" t="n">
        <f aca="false">1+IF($G$7=$E$7,$F$7,IF(Q464&lt;($F$7-$E$7)/($G$7-$E$7),$E$7+SQRT(Q464*($G$7-$E$7)*($F$7-$E$7)),$G$7-SQRT((1-Q464)*($G$7-$E$7)*($G$7-$F$7))))</f>
        <v>0.951916209246192</v>
      </c>
      <c r="D464" s="37" t="n">
        <f aca="false">1+IF($G$8=$E$8,$F$8,IF(R464&lt;($F$8-$E$8)/($G$8-$E$8),$E$8+SQRT(R464*($G$8-$E$8)*($F$8-$E$8)),$G$8-SQRT((1-R464)*($G$8-$E$8)*($G$8-$F$8))))</f>
        <v>1.0257145548053</v>
      </c>
      <c r="E464" s="37" t="n">
        <f aca="false">1+IF($G$9=$E$9,$F$9,IF(S464&lt;($F$9-$E$9)/($G$9-$E$9),$E$9+SQRT(S464*($G$9-$E$9)*($F$9-$E$9)),$G$9-SQRT((1-S464)*($G$9-$E$9)*($G$9-$F$9))))</f>
        <v>1.0094145984142</v>
      </c>
      <c r="F464" s="37" t="n">
        <f aca="false">1+IF($G$10=$E$10,$F$10,IF(T464&lt;($F$10-$E$10)/($G$10-$E$10),$E$10+SQRT(T464*($G$10-$E$10)*($F$10-$E$10)),$G$10-SQRT((1-T464)*($G$10-$E$10)*($G$10-$F$10))))</f>
        <v>1.00377399333295</v>
      </c>
      <c r="G464" s="38" t="n">
        <f aca="false">IF($G$11=$E$11,$F$11,IF(U464&lt;($F$11-$E$11)/($G$11-$E$11),$E$11+SQRT(U464*($G$11-$E$11)*($F$11-$E$11)),$G$11-SQRT((1-U464)*($G$11-$E$11)*($G$11-$F$11))))</f>
        <v>0.100365204633957</v>
      </c>
      <c r="H464" s="39" t="n">
        <f aca="false">(('Business Case'!B11*$C464*'Business Case'!B12*$B464)-'Business Case'!B11*$C464*'Business Case'!B13*$D464-'Business Case'!B14*$E464)-MAX(0,(('Business Case'!B11*$C464*'Business Case'!B12*$B464)-'Business Case'!B11*$C464*'Business Case'!B13*$D464-'Business Case'!B14*$E464))*'Business Case'!$B$7-'Business Case'!$B$8*('Business Case'!B11*$C464*'Business Case'!B12*$B464)-'Business Case'!B15*$F464</f>
        <v>-2007547986.6659</v>
      </c>
      <c r="I464" s="39" t="n">
        <f aca="false">(('Business Case'!C11*$C464*'Business Case'!C12*$B464)-'Business Case'!C11*$C464*'Business Case'!C13*$D464-'Business Case'!C14*$E464)-MAX(0,(('Business Case'!C11*$C464*'Business Case'!C12*$B464)-'Business Case'!C11*$C464*'Business Case'!C13*$D464-'Business Case'!C14*$E464))*'Business Case'!$B$7-'Business Case'!$B$8*(('Business Case'!C11*$C464*'Business Case'!C12*$B464)-('Business Case'!B11*$C464*'Business Case'!B12*$B464))-'Business Case'!C15*$F464</f>
        <v>-16970904.908109</v>
      </c>
      <c r="J464" s="39" t="n">
        <f aca="false">(('Business Case'!D11*$C464*'Business Case'!D12*$B464)-'Business Case'!D11*$C464*'Business Case'!D13*$D464-'Business Case'!D14*$E464)-MAX(0,(('Business Case'!D11*$C464*'Business Case'!D12*$B464)-'Business Case'!D11*$C464*'Business Case'!D13*$D464-'Business Case'!D14*$E464))*'Business Case'!$B$7-'Business Case'!$B$8*(('Business Case'!D11*$C464*'Business Case'!D12*$B464)-('Business Case'!C11*$C464*'Business Case'!C12*$B464))-'Business Case'!D15*$F464</f>
        <v>259081171.485469</v>
      </c>
      <c r="K464" s="39" t="n">
        <f aca="false">(('Business Case'!E11*$C464*'Business Case'!E12*$B464)-'Business Case'!E11*$C464*'Business Case'!E13*$D464-'Business Case'!E14*$E464)-MAX(0,(('Business Case'!E11*$C464*'Business Case'!E12*$B464)-'Business Case'!E11*$C464*'Business Case'!E13*$D464-'Business Case'!E14*$E464))*'Business Case'!$B$7-'Business Case'!$B$8*(('Business Case'!E11*$C464*'Business Case'!E12*$B464)-('Business Case'!D11*$C464*'Business Case'!D12*$B464))-'Business Case'!E15*$F464</f>
        <v>585321947.545695</v>
      </c>
      <c r="L464" s="39" t="n">
        <f aca="false">(('Business Case'!F11*$C464*'Business Case'!F12*$B464)-'Business Case'!F11*$C464*'Business Case'!F13*$D464-'Business Case'!F14*$E464)-MAX(0,(('Business Case'!F11*$C464*'Business Case'!F12*$B464)-'Business Case'!F11*$C464*'Business Case'!F13*$D464-'Business Case'!F14*$E464))*'Business Case'!$B$7-'Business Case'!$B$8*(('Business Case'!F11*$C464*'Business Case'!F12*$B464)-('Business Case'!E11*$C464*'Business Case'!E12*$B464))-'Business Case'!F15*$F464</f>
        <v>710077190.392817</v>
      </c>
      <c r="M464" s="39" t="n">
        <f aca="false">(('Business Case'!G11*$C464*'Business Case'!G12*$B464)-'Business Case'!G11*$C464*'Business Case'!G13*$D464-'Business Case'!G14*$E464)-MAX(0,(('Business Case'!G11*$C464*'Business Case'!G12*$B464)-'Business Case'!G11*$C464*'Business Case'!G13*$D464-'Business Case'!G14*$E464))*'Business Case'!$B$7-'Business Case'!$B$8*(('Business Case'!G11*$C464*'Business Case'!G12*$B464)-('Business Case'!F11*$C464*'Business Case'!F12*$B464))-'Business Case'!G15*$F464+'Business Case'!$B$8*('Business Case'!G11*$C464*'Business Case'!G12*$B464)</f>
        <v>890135552.66376</v>
      </c>
      <c r="N464" s="39" t="n">
        <f aca="false">IF(COUNT('Business Case'!B11:G11)=0,"",H464+NPV(G464,I464:M464))</f>
        <v>-333536780.405588</v>
      </c>
      <c r="P464" s="40" t="n">
        <f aca="true">RAND()</f>
        <v>0.587910664242124</v>
      </c>
      <c r="Q464" s="40" t="n">
        <f aca="true">RAND()</f>
        <v>0.329693351881899</v>
      </c>
      <c r="R464" s="40" t="n">
        <f aca="true">RAND()</f>
        <v>0.716643311539781</v>
      </c>
      <c r="S464" s="40" t="n">
        <f aca="true">RAND()</f>
        <v>0.452952334635923</v>
      </c>
      <c r="T464" s="40" t="n">
        <f aca="true">RAND()</f>
        <v>0.229907086150047</v>
      </c>
      <c r="U464" s="40" t="n">
        <f aca="true">RAND()</f>
        <v>0.357458018222717</v>
      </c>
    </row>
    <row r="465" customFormat="false" ht="15" hidden="false" customHeight="false" outlineLevel="0" collapsed="false">
      <c r="A465" s="36" t="n">
        <v>385</v>
      </c>
      <c r="B465" s="37" t="n">
        <f aca="false">1+IF($G$6=$E$6,$F$6,IF(P465&lt;($F$6-$E$6)/($G$6-$E$6),$E$6+SQRT(P465*($G$6-$E$6)*($F$6-$E$6)),$G$6-SQRT((1-P465)*($G$6-$E$6)*($G$6-$F$6))))</f>
        <v>0.997793902120529</v>
      </c>
      <c r="C465" s="37" t="n">
        <f aca="false">1+IF($G$7=$E$7,$F$7,IF(Q465&lt;($F$7-$E$7)/($G$7-$E$7),$E$7+SQRT(Q465*($G$7-$E$7)*($F$7-$E$7)),$G$7-SQRT((1-Q465)*($G$7-$E$7)*($G$7-$F$7))))</f>
        <v>1.07031068627045</v>
      </c>
      <c r="D465" s="37" t="n">
        <f aca="false">1+IF($G$8=$E$8,$F$8,IF(R465&lt;($F$8-$E$8)/($G$8-$E$8),$E$8+SQRT(R465*($G$8-$E$8)*($F$8-$E$8)),$G$8-SQRT((1-R465)*($G$8-$E$8)*($G$8-$F$8))))</f>
        <v>0.980296431248276</v>
      </c>
      <c r="E465" s="37" t="n">
        <f aca="false">1+IF($G$9=$E$9,$F$9,IF(S465&lt;($F$9-$E$9)/($G$9-$E$9),$E$9+SQRT(S465*($G$9-$E$9)*($F$9-$E$9)),$G$9-SQRT((1-S465)*($G$9-$E$9)*($G$9-$F$9))))</f>
        <v>1.07835980034643</v>
      </c>
      <c r="F465" s="37" t="n">
        <f aca="false">1+IF($G$10=$E$10,$F$10,IF(T465&lt;($F$10-$E$10)/($G$10-$E$10),$E$10+SQRT(T465*($G$10-$E$10)*($F$10-$E$10)),$G$10-SQRT((1-T465)*($G$10-$E$10)*($G$10-$F$10))))</f>
        <v>1.06971865756156</v>
      </c>
      <c r="G465" s="38" t="n">
        <f aca="false">IF($G$11=$E$11,$F$11,IF(U465&lt;($F$11-$E$11)/($G$11-$E$11),$E$11+SQRT(U465*($G$11-$E$11)*($F$11-$E$11)),$G$11-SQRT((1-U465)*($G$11-$E$11)*($G$11-$F$11))))</f>
        <v>0.0981628339925431</v>
      </c>
      <c r="H465" s="39" t="n">
        <f aca="false">(('Business Case'!B11*$C465*'Business Case'!B12*$B465)-'Business Case'!B11*$C465*'Business Case'!B13*$D465-'Business Case'!B14*$E465)-MAX(0,(('Business Case'!B11*$C465*'Business Case'!B12*$B465)-'Business Case'!B11*$C465*'Business Case'!B13*$D465-'Business Case'!B14*$E465))*'Business Case'!$B$7-'Business Case'!$B$8*('Business Case'!B11*$C465*'Business Case'!B12*$B465)-'Business Case'!B15*$F465</f>
        <v>-2139437315.12312</v>
      </c>
      <c r="I465" s="39" t="n">
        <f aca="false">(('Business Case'!C11*$C465*'Business Case'!C12*$B465)-'Business Case'!C11*$C465*'Business Case'!C13*$D465-'Business Case'!C14*$E465)-MAX(0,(('Business Case'!C11*$C465*'Business Case'!C12*$B465)-'Business Case'!C11*$C465*'Business Case'!C13*$D465-'Business Case'!C14*$E465))*'Business Case'!$B$7-'Business Case'!$B$8*(('Business Case'!C11*$C465*'Business Case'!C12*$B465)-('Business Case'!B11*$C465*'Business Case'!B12*$B465))-'Business Case'!C15*$F465</f>
        <v>21932786.8565055</v>
      </c>
      <c r="J465" s="39" t="n">
        <f aca="false">(('Business Case'!D11*$C465*'Business Case'!D12*$B465)-'Business Case'!D11*$C465*'Business Case'!D13*$D465-'Business Case'!D14*$E465)-MAX(0,(('Business Case'!D11*$C465*'Business Case'!D12*$B465)-'Business Case'!D11*$C465*'Business Case'!D13*$D465-'Business Case'!D14*$E465))*'Business Case'!$B$7-'Business Case'!$B$8*(('Business Case'!D11*$C465*'Business Case'!D12*$B465)-('Business Case'!C11*$C465*'Business Case'!C12*$B465))-'Business Case'!D15*$F465</f>
        <v>359542703.921273</v>
      </c>
      <c r="K465" s="39" t="n">
        <f aca="false">(('Business Case'!E11*$C465*'Business Case'!E12*$B465)-'Business Case'!E11*$C465*'Business Case'!E13*$D465-'Business Case'!E14*$E465)-MAX(0,(('Business Case'!E11*$C465*'Business Case'!E12*$B465)-'Business Case'!E11*$C465*'Business Case'!E13*$D465-'Business Case'!E14*$E465))*'Business Case'!$B$7-'Business Case'!$B$8*(('Business Case'!E11*$C465*'Business Case'!E12*$B465)-('Business Case'!D11*$C465*'Business Case'!D12*$B465))-'Business Case'!E15*$F465</f>
        <v>750638553.864119</v>
      </c>
      <c r="L465" s="39" t="n">
        <f aca="false">(('Business Case'!F11*$C465*'Business Case'!F12*$B465)-'Business Case'!F11*$C465*'Business Case'!F13*$D465-'Business Case'!F14*$E465)-MAX(0,(('Business Case'!F11*$C465*'Business Case'!F12*$B465)-'Business Case'!F11*$C465*'Business Case'!F13*$D465-'Business Case'!F14*$E465))*'Business Case'!$B$7-'Business Case'!$B$8*(('Business Case'!F11*$C465*'Business Case'!F12*$B465)-('Business Case'!E11*$C465*'Business Case'!E12*$B465))-'Business Case'!F15*$F465</f>
        <v>900083526.780937</v>
      </c>
      <c r="M465" s="39" t="n">
        <f aca="false">(('Business Case'!G11*$C465*'Business Case'!G12*$B465)-'Business Case'!G11*$C465*'Business Case'!G13*$D465-'Business Case'!G14*$E465)-MAX(0,(('Business Case'!G11*$C465*'Business Case'!G12*$B465)-'Business Case'!G11*$C465*'Business Case'!G13*$D465-'Business Case'!G14*$E465))*'Business Case'!$B$7-'Business Case'!$B$8*(('Business Case'!G11*$C465*'Business Case'!G12*$B465)-('Business Case'!F11*$C465*'Business Case'!F12*$B465))-'Business Case'!G15*$F465+'Business Case'!$B$8*('Business Case'!G11*$C465*'Business Case'!G12*$B465)</f>
        <v>1103079363.2047</v>
      </c>
      <c r="N465" s="39" t="n">
        <f aca="false">IF(COUNT('Business Case'!B11:G11)=0,"",H465+NPV(G465,I465:M465))</f>
        <v>55041059.8781178</v>
      </c>
      <c r="P465" s="40" t="n">
        <f aca="true">RAND()</f>
        <v>0.630405334076916</v>
      </c>
      <c r="Q465" s="40" t="n">
        <f aca="true">RAND()</f>
        <v>0.879040252901203</v>
      </c>
      <c r="R465" s="40" t="n">
        <f aca="true">RAND()</f>
        <v>0.141211345597156</v>
      </c>
      <c r="S465" s="40" t="n">
        <f aca="true">RAND()</f>
        <v>0.968780117263589</v>
      </c>
      <c r="T465" s="40" t="n">
        <f aca="true">RAND()</f>
        <v>0.660535436248746</v>
      </c>
      <c r="U465" s="40" t="n">
        <f aca="true">RAND()</f>
        <v>0.222106195966059</v>
      </c>
    </row>
    <row r="466" customFormat="false" ht="15" hidden="false" customHeight="false" outlineLevel="0" collapsed="false">
      <c r="A466" s="36" t="n">
        <v>386</v>
      </c>
      <c r="B466" s="37" t="n">
        <f aca="false">1+IF($G$6=$E$6,$F$6,IF(P466&lt;($F$6-$E$6)/($G$6-$E$6),$E$6+SQRT(P466*($G$6-$E$6)*($F$6-$E$6)),$G$6-SQRT((1-P466)*($G$6-$E$6)*($G$6-$F$6))))</f>
        <v>1.03034718198519</v>
      </c>
      <c r="C466" s="37" t="n">
        <f aca="false">1+IF($G$7=$E$7,$F$7,IF(Q466&lt;($F$7-$E$7)/($G$7-$E$7),$E$7+SQRT(Q466*($G$7-$E$7)*($F$7-$E$7)),$G$7-SQRT((1-Q466)*($G$7-$E$7)*($G$7-$F$7))))</f>
        <v>1.03540703077168</v>
      </c>
      <c r="D466" s="37" t="n">
        <f aca="false">1+IF($G$8=$E$8,$F$8,IF(R466&lt;($F$8-$E$8)/($G$8-$E$8),$E$8+SQRT(R466*($G$8-$E$8)*($F$8-$E$8)),$G$8-SQRT((1-R466)*($G$8-$E$8)*($G$8-$F$8))))</f>
        <v>0.980666266218455</v>
      </c>
      <c r="E466" s="37" t="n">
        <f aca="false">1+IF($G$9=$E$9,$F$9,IF(S466&lt;($F$9-$E$9)/($G$9-$E$9),$E$9+SQRT(S466*($G$9-$E$9)*($F$9-$E$9)),$G$9-SQRT((1-S466)*($G$9-$E$9)*($G$9-$F$9))))</f>
        <v>1.00267149773032</v>
      </c>
      <c r="F466" s="37" t="n">
        <f aca="false">1+IF($G$10=$E$10,$F$10,IF(T466&lt;($F$10-$E$10)/($G$10-$E$10),$E$10+SQRT(T466*($G$10-$E$10)*($F$10-$E$10)),$G$10-SQRT((1-T466)*($G$10-$E$10)*($G$10-$F$10))))</f>
        <v>1.00100806622855</v>
      </c>
      <c r="G466" s="38" t="n">
        <f aca="false">IF($G$11=$E$11,$F$11,IF(U466&lt;($F$11-$E$11)/($G$11-$E$11),$E$11+SQRT(U466*($G$11-$E$11)*($F$11-$E$11)),$G$11-SQRT((1-U466)*($G$11-$E$11)*($G$11-$F$11))))</f>
        <v>0.110596538490479</v>
      </c>
      <c r="H466" s="39" t="n">
        <f aca="false">(('Business Case'!B11*$C466*'Business Case'!B12*$B466)-'Business Case'!B11*$C466*'Business Case'!B13*$D466-'Business Case'!B14*$E466)-MAX(0,(('Business Case'!B11*$C466*'Business Case'!B12*$B466)-'Business Case'!B11*$C466*'Business Case'!B13*$D466-'Business Case'!B14*$E466))*'Business Case'!$B$7-'Business Case'!$B$8*('Business Case'!B11*$C466*'Business Case'!B12*$B466)-'Business Case'!B15*$F466</f>
        <v>-2002016132.45711</v>
      </c>
      <c r="I466" s="39" t="n">
        <f aca="false">(('Business Case'!C11*$C466*'Business Case'!C12*$B466)-'Business Case'!C11*$C466*'Business Case'!C13*$D466-'Business Case'!C14*$E466)-MAX(0,(('Business Case'!C11*$C466*'Business Case'!C12*$B466)-'Business Case'!C11*$C466*'Business Case'!C13*$D466-'Business Case'!C14*$E466))*'Business Case'!$B$7-'Business Case'!$B$8*(('Business Case'!C11*$C466*'Business Case'!C12*$B466)-('Business Case'!B11*$C466*'Business Case'!B12*$B466))-'Business Case'!C15*$F466</f>
        <v>56026628.8082616</v>
      </c>
      <c r="J466" s="39" t="n">
        <f aca="false">(('Business Case'!D11*$C466*'Business Case'!D12*$B466)-'Business Case'!D11*$C466*'Business Case'!D13*$D466-'Business Case'!D14*$E466)-MAX(0,(('Business Case'!D11*$C466*'Business Case'!D12*$B466)-'Business Case'!D11*$C466*'Business Case'!D13*$D466-'Business Case'!D14*$E466))*'Business Case'!$B$7-'Business Case'!$B$8*(('Business Case'!D11*$C466*'Business Case'!D12*$B466)-('Business Case'!C11*$C466*'Business Case'!C12*$B466))-'Business Case'!D15*$F466</f>
        <v>410038351.872901</v>
      </c>
      <c r="K466" s="39" t="n">
        <f aca="false">(('Business Case'!E11*$C466*'Business Case'!E12*$B466)-'Business Case'!E11*$C466*'Business Case'!E13*$D466-'Business Case'!E14*$E466)-MAX(0,(('Business Case'!E11*$C466*'Business Case'!E12*$B466)-'Business Case'!E11*$C466*'Business Case'!E13*$D466-'Business Case'!E14*$E466))*'Business Case'!$B$7-'Business Case'!$B$8*(('Business Case'!E11*$C466*'Business Case'!E12*$B466)-('Business Case'!D11*$C466*'Business Case'!D12*$B466))-'Business Case'!E15*$F466</f>
        <v>814100478.248968</v>
      </c>
      <c r="L466" s="39" t="n">
        <f aca="false">(('Business Case'!F11*$C466*'Business Case'!F12*$B466)-'Business Case'!F11*$C466*'Business Case'!F13*$D466-'Business Case'!F14*$E466)-MAX(0,(('Business Case'!F11*$C466*'Business Case'!F12*$B466)-'Business Case'!F11*$C466*'Business Case'!F13*$D466-'Business Case'!F14*$E466))*'Business Case'!$B$7-'Business Case'!$B$8*(('Business Case'!F11*$C466*'Business Case'!F12*$B466)-('Business Case'!E11*$C466*'Business Case'!E12*$B466))-'Business Case'!F15*$F466</f>
        <v>968973986.374696</v>
      </c>
      <c r="M466" s="39" t="n">
        <f aca="false">(('Business Case'!G11*$C466*'Business Case'!G12*$B466)-'Business Case'!G11*$C466*'Business Case'!G13*$D466-'Business Case'!G14*$E466)-MAX(0,(('Business Case'!G11*$C466*'Business Case'!G12*$B466)-'Business Case'!G11*$C466*'Business Case'!G13*$D466-'Business Case'!G14*$E466))*'Business Case'!$B$7-'Business Case'!$B$8*(('Business Case'!G11*$C466*'Business Case'!G12*$B466)-('Business Case'!F11*$C466*'Business Case'!F12*$B466))-'Business Case'!G15*$F466+'Business Case'!$B$8*('Business Case'!G11*$C466*'Business Case'!G12*$B466)</f>
        <v>1171756788.78102</v>
      </c>
      <c r="N466" s="39" t="n">
        <f aca="false">IF(COUNT('Business Case'!B11:G11)=0,"",H466+NPV(G466,I466:M466))</f>
        <v>305612621.31035</v>
      </c>
      <c r="P466" s="40" t="n">
        <f aca="true">RAND()</f>
        <v>0.980588146744381</v>
      </c>
      <c r="Q466" s="40" t="n">
        <f aca="true">RAND()</f>
        <v>0.749875264827393</v>
      </c>
      <c r="R466" s="40" t="n">
        <f aca="true">RAND()</f>
        <v>0.144679982120173</v>
      </c>
      <c r="S466" s="40" t="n">
        <f aca="true">RAND()</f>
        <v>0.368477509729361</v>
      </c>
      <c r="T466" s="40" t="n">
        <f aca="true">RAND()</f>
        <v>0.208044205877998</v>
      </c>
      <c r="U466" s="40" t="n">
        <f aca="true">RAND()</f>
        <v>0.852624852731606</v>
      </c>
    </row>
    <row r="467" customFormat="false" ht="15" hidden="false" customHeight="false" outlineLevel="0" collapsed="false">
      <c r="A467" s="36" t="n">
        <v>387</v>
      </c>
      <c r="B467" s="37" t="n">
        <f aca="false">1+IF($G$6=$E$6,$F$6,IF(P467&lt;($F$6-$E$6)/($G$6-$E$6),$E$6+SQRT(P467*($G$6-$E$6)*($F$6-$E$6)),$G$6-SQRT((1-P467)*($G$6-$E$6)*($G$6-$F$6))))</f>
        <v>1.00501327494356</v>
      </c>
      <c r="C467" s="37" t="n">
        <f aca="false">1+IF($G$7=$E$7,$F$7,IF(Q467&lt;($F$7-$E$7)/($G$7-$E$7),$E$7+SQRT(Q467*($G$7-$E$7)*($F$7-$E$7)),$G$7-SQRT((1-Q467)*($G$7-$E$7)*($G$7-$F$7))))</f>
        <v>1.03432857563906</v>
      </c>
      <c r="D467" s="37" t="n">
        <f aca="false">1+IF($G$8=$E$8,$F$8,IF(R467&lt;($F$8-$E$8)/($G$8-$E$8),$E$8+SQRT(R467*($G$8-$E$8)*($F$8-$E$8)),$G$8-SQRT((1-R467)*($G$8-$E$8)*($G$8-$F$8))))</f>
        <v>1.00852969263004</v>
      </c>
      <c r="E467" s="37" t="n">
        <f aca="false">1+IF($G$9=$E$9,$F$9,IF(S467&lt;($F$9-$E$9)/($G$9-$E$9),$E$9+SQRT(S467*($G$9-$E$9)*($F$9-$E$9)),$G$9-SQRT((1-S467)*($G$9-$E$9)*($G$9-$F$9))))</f>
        <v>1.01765687043249</v>
      </c>
      <c r="F467" s="37" t="n">
        <f aca="false">1+IF($G$10=$E$10,$F$10,IF(T467&lt;($F$10-$E$10)/($G$10-$E$10),$E$10+SQRT(T467*($G$10-$E$10)*($F$10-$E$10)),$G$10-SQRT((1-T467)*($G$10-$E$10)*($G$10-$F$10))))</f>
        <v>1.00367489723557</v>
      </c>
      <c r="G467" s="38" t="n">
        <f aca="false">IF($G$11=$E$11,$F$11,IF(U467&lt;($F$11-$E$11)/($G$11-$E$11),$E$11+SQRT(U467*($G$11-$E$11)*($F$11-$E$11)),$G$11-SQRT((1-U467)*($G$11-$E$11)*($G$11-$F$11))))</f>
        <v>0.1025431051508</v>
      </c>
      <c r="H467" s="39" t="n">
        <f aca="false">(('Business Case'!B11*$C467*'Business Case'!B12*$B467)-'Business Case'!B11*$C467*'Business Case'!B13*$D467-'Business Case'!B14*$E467)-MAX(0,(('Business Case'!B11*$C467*'Business Case'!B12*$B467)-'Business Case'!B11*$C467*'Business Case'!B13*$D467-'Business Case'!B14*$E467))*'Business Case'!$B$7-'Business Case'!$B$8*('Business Case'!B11*$C467*'Business Case'!B12*$B467)-'Business Case'!B15*$F467</f>
        <v>-2007349794.47114</v>
      </c>
      <c r="I467" s="39" t="n">
        <f aca="false">(('Business Case'!C11*$C467*'Business Case'!C12*$B467)-'Business Case'!C11*$C467*'Business Case'!C13*$D467-'Business Case'!C14*$E467)-MAX(0,(('Business Case'!C11*$C467*'Business Case'!C12*$B467)-'Business Case'!C11*$C467*'Business Case'!C13*$D467-'Business Case'!C14*$E467))*'Business Case'!$B$7-'Business Case'!$B$8*(('Business Case'!C11*$C467*'Business Case'!C12*$B467)-('Business Case'!B11*$C467*'Business Case'!B12*$B467))-'Business Case'!C15*$F467</f>
        <v>18460168.43805</v>
      </c>
      <c r="J467" s="39" t="n">
        <f aca="false">(('Business Case'!D11*$C467*'Business Case'!D12*$B467)-'Business Case'!D11*$C467*'Business Case'!D13*$D467-'Business Case'!D14*$E467)-MAX(0,(('Business Case'!D11*$C467*'Business Case'!D12*$B467)-'Business Case'!D11*$C467*'Business Case'!D13*$D467-'Business Case'!D14*$E467))*'Business Case'!$B$7-'Business Case'!$B$8*(('Business Case'!D11*$C467*'Business Case'!D12*$B467)-('Business Case'!C11*$C467*'Business Case'!C12*$B467))-'Business Case'!D15*$F467</f>
        <v>335887036.700167</v>
      </c>
      <c r="K467" s="39" t="n">
        <f aca="false">(('Business Case'!E11*$C467*'Business Case'!E12*$B467)-'Business Case'!E11*$C467*'Business Case'!E13*$D467-'Business Case'!E14*$E467)-MAX(0,(('Business Case'!E11*$C467*'Business Case'!E12*$B467)-'Business Case'!E11*$C467*'Business Case'!E13*$D467-'Business Case'!E14*$E467))*'Business Case'!$B$7-'Business Case'!$B$8*(('Business Case'!E11*$C467*'Business Case'!E12*$B467)-('Business Case'!D11*$C467*'Business Case'!D12*$B467))-'Business Case'!E15*$F467</f>
        <v>703497649.824062</v>
      </c>
      <c r="L467" s="39" t="n">
        <f aca="false">(('Business Case'!F11*$C467*'Business Case'!F12*$B467)-'Business Case'!F11*$C467*'Business Case'!F13*$D467-'Business Case'!F14*$E467)-MAX(0,(('Business Case'!F11*$C467*'Business Case'!F12*$B467)-'Business Case'!F11*$C467*'Business Case'!F13*$D467-'Business Case'!F14*$E467))*'Business Case'!$B$7-'Business Case'!$B$8*(('Business Case'!F11*$C467*'Business Case'!F12*$B467)-('Business Case'!E11*$C467*'Business Case'!E12*$B467))-'Business Case'!F15*$F467</f>
        <v>845232207.994774</v>
      </c>
      <c r="M467" s="39" t="n">
        <f aca="false">(('Business Case'!G11*$C467*'Business Case'!G12*$B467)-'Business Case'!G11*$C467*'Business Case'!G13*$D467-'Business Case'!G14*$E467)-MAX(0,(('Business Case'!G11*$C467*'Business Case'!G12*$B467)-'Business Case'!G11*$C467*'Business Case'!G13*$D467-'Business Case'!G14*$E467))*'Business Case'!$B$7-'Business Case'!$B$8*(('Business Case'!G11*$C467*'Business Case'!G12*$B467)-('Business Case'!F11*$C467*'Business Case'!F12*$B467))-'Business Case'!G15*$F467+'Business Case'!$B$8*('Business Case'!G11*$C467*'Business Case'!G12*$B467)</f>
        <v>1042823019.45314</v>
      </c>
      <c r="N467" s="39" t="n">
        <f aca="false">IF(COUNT('Business Case'!B11:G11)=0,"",H467+NPV(G467,I467:M467))</f>
        <v>22680869.3411133</v>
      </c>
      <c r="P467" s="40" t="n">
        <f aca="true">RAND()</f>
        <v>0.744985222880185</v>
      </c>
      <c r="Q467" s="40" t="n">
        <f aca="true">RAND()</f>
        <v>0.745145173072589</v>
      </c>
      <c r="R467" s="40" t="n">
        <f aca="true">RAND()</f>
        <v>0.508845688888811</v>
      </c>
      <c r="S467" s="40" t="n">
        <f aca="true">RAND()</f>
        <v>0.547973934201863</v>
      </c>
      <c r="T467" s="40" t="n">
        <f aca="true">RAND()</f>
        <v>0.229129080490719</v>
      </c>
      <c r="U467" s="40" t="n">
        <f aca="true">RAND()</f>
        <v>0.49209470370662</v>
      </c>
    </row>
    <row r="468" customFormat="false" ht="15" hidden="false" customHeight="false" outlineLevel="0" collapsed="false">
      <c r="A468" s="36" t="n">
        <v>388</v>
      </c>
      <c r="B468" s="37" t="n">
        <f aca="false">1+IF($G$6=$E$6,$F$6,IF(P468&lt;($F$6-$E$6)/($G$6-$E$6),$E$6+SQRT(P468*($G$6-$E$6)*($F$6-$E$6)),$G$6-SQRT((1-P468)*($G$6-$E$6)*($G$6-$F$6))))</f>
        <v>1.00860351987618</v>
      </c>
      <c r="C468" s="37" t="n">
        <f aca="false">1+IF($G$7=$E$7,$F$7,IF(Q468&lt;($F$7-$E$7)/($G$7-$E$7),$E$7+SQRT(Q468*($G$7-$E$7)*($F$7-$E$7)),$G$7-SQRT((1-Q468)*($G$7-$E$7)*($G$7-$F$7))))</f>
        <v>0.896536146649187</v>
      </c>
      <c r="D468" s="37" t="n">
        <f aca="false">1+IF($G$8=$E$8,$F$8,IF(R468&lt;($F$8-$E$8)/($G$8-$E$8),$E$8+SQRT(R468*($G$8-$E$8)*($F$8-$E$8)),$G$8-SQRT((1-R468)*($G$8-$E$8)*($G$8-$F$8))))</f>
        <v>1.03002181879142</v>
      </c>
      <c r="E468" s="37" t="n">
        <f aca="false">1+IF($G$9=$E$9,$F$9,IF(S468&lt;($F$9-$E$9)/($G$9-$E$9),$E$9+SQRT(S468*($G$9-$E$9)*($F$9-$E$9)),$G$9-SQRT((1-S468)*($G$9-$E$9)*($G$9-$F$9))))</f>
        <v>0.992092037237023</v>
      </c>
      <c r="F468" s="37" t="n">
        <f aca="false">1+IF($G$10=$E$10,$F$10,IF(T468&lt;($F$10-$E$10)/($G$10-$E$10),$E$10+SQRT(T468*($G$10-$E$10)*($F$10-$E$10)),$G$10-SQRT((1-T468)*($G$10-$E$10)*($G$10-$F$10))))</f>
        <v>0.998441694318895</v>
      </c>
      <c r="G468" s="38" t="n">
        <f aca="false">IF($G$11=$E$11,$F$11,IF(U468&lt;($F$11-$E$11)/($G$11-$E$11),$E$11+SQRT(U468*($G$11-$E$11)*($F$11-$E$11)),$G$11-SQRT((1-U468)*($G$11-$E$11)*($G$11-$F$11))))</f>
        <v>0.0992501660789796</v>
      </c>
      <c r="H468" s="39" t="n">
        <f aca="false">(('Business Case'!B11*$C468*'Business Case'!B12*$B468)-'Business Case'!B11*$C468*'Business Case'!B13*$D468-'Business Case'!B14*$E468)-MAX(0,(('Business Case'!B11*$C468*'Business Case'!B12*$B468)-'Business Case'!B11*$C468*'Business Case'!B13*$D468-'Business Case'!B14*$E468))*'Business Case'!$B$7-'Business Case'!$B$8*('Business Case'!B11*$C468*'Business Case'!B12*$B468)-'Business Case'!B15*$F468</f>
        <v>-1996883388.63779</v>
      </c>
      <c r="I468" s="39" t="n">
        <f aca="false">(('Business Case'!C11*$C468*'Business Case'!C12*$B468)-'Business Case'!C11*$C468*'Business Case'!C13*$D468-'Business Case'!C14*$E468)-MAX(0,(('Business Case'!C11*$C468*'Business Case'!C12*$B468)-'Business Case'!C11*$C468*'Business Case'!C13*$D468-'Business Case'!C14*$E468))*'Business Case'!$B$7-'Business Case'!$B$8*(('Business Case'!C11*$C468*'Business Case'!C12*$B468)-('Business Case'!B11*$C468*'Business Case'!B12*$B468))-'Business Case'!C15*$F468</f>
        <v>-19883936.1676136</v>
      </c>
      <c r="J468" s="39" t="n">
        <f aca="false">(('Business Case'!D11*$C468*'Business Case'!D12*$B468)-'Business Case'!D11*$C468*'Business Case'!D13*$D468-'Business Case'!D14*$E468)-MAX(0,(('Business Case'!D11*$C468*'Business Case'!D12*$B468)-'Business Case'!D11*$C468*'Business Case'!D13*$D468-'Business Case'!D14*$E468))*'Business Case'!$B$7-'Business Case'!$B$8*(('Business Case'!D11*$C468*'Business Case'!D12*$B468)-('Business Case'!C11*$C468*'Business Case'!C12*$B468))-'Business Case'!D15*$F468</f>
        <v>248028079.556397</v>
      </c>
      <c r="K468" s="39" t="n">
        <f aca="false">(('Business Case'!E11*$C468*'Business Case'!E12*$B468)-'Business Case'!E11*$C468*'Business Case'!E13*$D468-'Business Case'!E14*$E468)-MAX(0,(('Business Case'!E11*$C468*'Business Case'!E12*$B468)-'Business Case'!E11*$C468*'Business Case'!E13*$D468-'Business Case'!E14*$E468))*'Business Case'!$B$7-'Business Case'!$B$8*(('Business Case'!E11*$C468*'Business Case'!E12*$B468)-('Business Case'!D11*$C468*'Business Case'!D12*$B468))-'Business Case'!E15*$F468</f>
        <v>565862179.996352</v>
      </c>
      <c r="L468" s="39" t="n">
        <f aca="false">(('Business Case'!F11*$C468*'Business Case'!F12*$B468)-'Business Case'!F11*$C468*'Business Case'!F13*$D468-'Business Case'!F14*$E468)-MAX(0,(('Business Case'!F11*$C468*'Business Case'!F12*$B468)-'Business Case'!F11*$C468*'Business Case'!F13*$D468-'Business Case'!F14*$E468))*'Business Case'!$B$7-'Business Case'!$B$8*(('Business Case'!F11*$C468*'Business Case'!F12*$B468)-('Business Case'!E11*$C468*'Business Case'!E12*$B468))-'Business Case'!F15*$F468</f>
        <v>686417048.414108</v>
      </c>
      <c r="M468" s="39" t="n">
        <f aca="false">(('Business Case'!G11*$C468*'Business Case'!G12*$B468)-'Business Case'!G11*$C468*'Business Case'!G13*$D468-'Business Case'!G14*$E468)-MAX(0,(('Business Case'!G11*$C468*'Business Case'!G12*$B468)-'Business Case'!G11*$C468*'Business Case'!G13*$D468-'Business Case'!G14*$E468))*'Business Case'!$B$7-'Business Case'!$B$8*(('Business Case'!G11*$C468*'Business Case'!G12*$B468)-('Business Case'!F11*$C468*'Business Case'!F12*$B468))-'Business Case'!G15*$F468+'Business Case'!$B$8*('Business Case'!G11*$C468*'Business Case'!G12*$B468)</f>
        <v>858296795.884418</v>
      </c>
      <c r="N468" s="39" t="n">
        <f aca="false">IF(COUNT('Business Case'!B11:G11)=0,"",H468+NPV(G468,I468:M468))</f>
        <v>-378831630.114232</v>
      </c>
      <c r="P468" s="40" t="n">
        <f aca="true">RAND()</f>
        <v>0.794637715798817</v>
      </c>
      <c r="Q468" s="40" t="n">
        <f aca="true">RAND()</f>
        <v>0.133131822998191</v>
      </c>
      <c r="R468" s="40" t="n">
        <f aca="true">RAND()</f>
        <v>0.759825134911797</v>
      </c>
      <c r="S468" s="40" t="n">
        <f aca="true">RAND()</f>
        <v>0.236231946501725</v>
      </c>
      <c r="T468" s="40" t="n">
        <f aca="true">RAND()</f>
        <v>0.187727819878824</v>
      </c>
      <c r="U468" s="40" t="n">
        <f aca="true">RAND()</f>
        <v>0.285218574962346</v>
      </c>
    </row>
    <row r="469" customFormat="false" ht="15" hidden="false" customHeight="false" outlineLevel="0" collapsed="false">
      <c r="A469" s="36" t="n">
        <v>389</v>
      </c>
      <c r="B469" s="37" t="n">
        <f aca="false">1+IF($G$6=$E$6,$F$6,IF(P469&lt;($F$6-$E$6)/($G$6-$E$6),$E$6+SQRT(P469*($G$6-$E$6)*($F$6-$E$6)),$G$6-SQRT((1-P469)*($G$6-$E$6)*($G$6-$F$6))))</f>
        <v>0.960212323891629</v>
      </c>
      <c r="C469" s="37" t="n">
        <f aca="false">1+IF($G$7=$E$7,$F$7,IF(Q469&lt;($F$7-$E$7)/($G$7-$E$7),$E$7+SQRT(Q469*($G$7-$E$7)*($F$7-$E$7)),$G$7-SQRT((1-Q469)*($G$7-$E$7)*($G$7-$F$7))))</f>
        <v>1.03176038617857</v>
      </c>
      <c r="D469" s="37" t="n">
        <f aca="false">1+IF($G$8=$E$8,$F$8,IF(R469&lt;($F$8-$E$8)/($G$8-$E$8),$E$8+SQRT(R469*($G$8-$E$8)*($F$8-$E$8)),$G$8-SQRT((1-R469)*($G$8-$E$8)*($G$8-$F$8))))</f>
        <v>0.975939277556932</v>
      </c>
      <c r="E469" s="37" t="n">
        <f aca="false">1+IF($G$9=$E$9,$F$9,IF(S469&lt;($F$9-$E$9)/($G$9-$E$9),$E$9+SQRT(S469*($G$9-$E$9)*($F$9-$E$9)),$G$9-SQRT((1-S469)*($G$9-$E$9)*($G$9-$F$9))))</f>
        <v>1.02050634032734</v>
      </c>
      <c r="F469" s="37" t="n">
        <f aca="false">1+IF($G$10=$E$10,$F$10,IF(T469&lt;($F$10-$E$10)/($G$10-$E$10),$E$10+SQRT(T469*($G$10-$E$10)*($F$10-$E$10)),$G$10-SQRT((1-T469)*($G$10-$E$10)*($G$10-$F$10))))</f>
        <v>0.996395483627546</v>
      </c>
      <c r="G469" s="38" t="n">
        <f aca="false">IF($G$11=$E$11,$F$11,IF(U469&lt;($F$11-$E$11)/($G$11-$E$11),$E$11+SQRT(U469*($G$11-$E$11)*($F$11-$E$11)),$G$11-SQRT((1-U469)*($G$11-$E$11)*($G$11-$F$11))))</f>
        <v>0.100956439968216</v>
      </c>
      <c r="H469" s="39" t="n">
        <f aca="false">(('Business Case'!B11*$C469*'Business Case'!B12*$B469)-'Business Case'!B11*$C469*'Business Case'!B13*$D469-'Business Case'!B14*$E469)-MAX(0,(('Business Case'!B11*$C469*'Business Case'!B12*$B469)-'Business Case'!B11*$C469*'Business Case'!B13*$D469-'Business Case'!B14*$E469))*'Business Case'!$B$7-'Business Case'!$B$8*('Business Case'!B11*$C469*'Business Case'!B12*$B469)-'Business Case'!B15*$F469</f>
        <v>-1992790967.25509</v>
      </c>
      <c r="I469" s="39" t="n">
        <f aca="false">(('Business Case'!C11*$C469*'Business Case'!C12*$B469)-'Business Case'!C11*$C469*'Business Case'!C13*$D469-'Business Case'!C14*$E469)-MAX(0,(('Business Case'!C11*$C469*'Business Case'!C12*$B469)-'Business Case'!C11*$C469*'Business Case'!C13*$D469-'Business Case'!C14*$E469))*'Business Case'!$B$7-'Business Case'!$B$8*(('Business Case'!C11*$C469*'Business Case'!C12*$B469)-('Business Case'!B11*$C469*'Business Case'!B12*$B469))-'Business Case'!C15*$F469</f>
        <v>-122287.170074672</v>
      </c>
      <c r="J469" s="39" t="n">
        <f aca="false">(('Business Case'!D11*$C469*'Business Case'!D12*$B469)-'Business Case'!D11*$C469*'Business Case'!D13*$D469-'Business Case'!D14*$E469)-MAX(0,(('Business Case'!D11*$C469*'Business Case'!D12*$B469)-'Business Case'!D11*$C469*'Business Case'!D13*$D469-'Business Case'!D14*$E469))*'Business Case'!$B$7-'Business Case'!$B$8*(('Business Case'!D11*$C469*'Business Case'!D12*$B469)-('Business Case'!C11*$C469*'Business Case'!C12*$B469))-'Business Case'!D15*$F469</f>
        <v>295869332.152871</v>
      </c>
      <c r="K469" s="39" t="n">
        <f aca="false">(('Business Case'!E11*$C469*'Business Case'!E12*$B469)-'Business Case'!E11*$C469*'Business Case'!E13*$D469-'Business Case'!E14*$E469)-MAX(0,(('Business Case'!E11*$C469*'Business Case'!E12*$B469)-'Business Case'!E11*$C469*'Business Case'!E13*$D469-'Business Case'!E14*$E469))*'Business Case'!$B$7-'Business Case'!$B$8*(('Business Case'!E11*$C469*'Business Case'!E12*$B469)-('Business Case'!D11*$C469*'Business Case'!D12*$B469))-'Business Case'!E15*$F469</f>
        <v>641680725.657193</v>
      </c>
      <c r="L469" s="39" t="n">
        <f aca="false">(('Business Case'!F11*$C469*'Business Case'!F12*$B469)-'Business Case'!F11*$C469*'Business Case'!F13*$D469-'Business Case'!F14*$E469)-MAX(0,(('Business Case'!F11*$C469*'Business Case'!F12*$B469)-'Business Case'!F11*$C469*'Business Case'!F13*$D469-'Business Case'!F14*$E469))*'Business Case'!$B$7-'Business Case'!$B$8*(('Business Case'!F11*$C469*'Business Case'!F12*$B469)-('Business Case'!E11*$C469*'Business Case'!E12*$B469))-'Business Case'!F15*$F469</f>
        <v>774583503.121987</v>
      </c>
      <c r="M469" s="39" t="n">
        <f aca="false">(('Business Case'!G11*$C469*'Business Case'!G12*$B469)-'Business Case'!G11*$C469*'Business Case'!G13*$D469-'Business Case'!G14*$E469)-MAX(0,(('Business Case'!G11*$C469*'Business Case'!G12*$B469)-'Business Case'!G11*$C469*'Business Case'!G13*$D469-'Business Case'!G14*$E469))*'Business Case'!$B$7-'Business Case'!$B$8*(('Business Case'!G11*$C469*'Business Case'!G12*$B469)-('Business Case'!F11*$C469*'Business Case'!F12*$B469))-'Business Case'!G15*$F469+'Business Case'!$B$8*('Business Case'!G11*$C469*'Business Case'!G12*$B469)</f>
        <v>962897477.086288</v>
      </c>
      <c r="N469" s="39" t="n">
        <f aca="false">IF(COUNT('Business Case'!B11:G11)=0,"",H469+NPV(G469,I469:M469))</f>
        <v>-145451740.999983</v>
      </c>
      <c r="P469" s="40" t="n">
        <f aca="true">RAND()</f>
        <v>0.168440728413049</v>
      </c>
      <c r="Q469" s="40" t="n">
        <f aca="true">RAND()</f>
        <v>0.733702737587794</v>
      </c>
      <c r="R469" s="40" t="n">
        <f aca="true">RAND()</f>
        <v>0.10351478771932</v>
      </c>
      <c r="S469" s="40" t="n">
        <f aca="true">RAND()</f>
        <v>0.578717204789766</v>
      </c>
      <c r="T469" s="40" t="n">
        <f aca="true">RAND()</f>
        <v>0.17220327208271</v>
      </c>
      <c r="U469" s="40" t="n">
        <f aca="true">RAND()</f>
        <v>0.395571368859745</v>
      </c>
    </row>
    <row r="470" customFormat="false" ht="15" hidden="false" customHeight="false" outlineLevel="0" collapsed="false">
      <c r="A470" s="36" t="n">
        <v>390</v>
      </c>
      <c r="B470" s="37" t="n">
        <f aca="false">1+IF($G$6=$E$6,$F$6,IF(P470&lt;($F$6-$E$6)/($G$6-$E$6),$E$6+SQRT(P470*($G$6-$E$6)*($F$6-$E$6)),$G$6-SQRT((1-P470)*($G$6-$E$6)*($G$6-$F$6))))</f>
        <v>0.940026932522547</v>
      </c>
      <c r="C470" s="37" t="n">
        <f aca="false">1+IF($G$7=$E$7,$F$7,IF(Q470&lt;($F$7-$E$7)/($G$7-$E$7),$E$7+SQRT(Q470*($G$7-$E$7)*($F$7-$E$7)),$G$7-SQRT((1-Q470)*($G$7-$E$7)*($G$7-$F$7))))</f>
        <v>0.922064067631145</v>
      </c>
      <c r="D470" s="37" t="n">
        <f aca="false">1+IF($G$8=$E$8,$F$8,IF(R470&lt;($F$8-$E$8)/($G$8-$E$8),$E$8+SQRT(R470*($G$8-$E$8)*($F$8-$E$8)),$G$8-SQRT((1-R470)*($G$8-$E$8)*($G$8-$F$8))))</f>
        <v>1.02171108754376</v>
      </c>
      <c r="E470" s="37" t="n">
        <f aca="false">1+IF($G$9=$E$9,$F$9,IF(S470&lt;($F$9-$E$9)/($G$9-$E$9),$E$9+SQRT(S470*($G$9-$E$9)*($F$9-$E$9)),$G$9-SQRT((1-S470)*($G$9-$E$9)*($G$9-$F$9))))</f>
        <v>1.00364832708284</v>
      </c>
      <c r="F470" s="37" t="n">
        <f aca="false">1+IF($G$10=$E$10,$F$10,IF(T470&lt;($F$10-$E$10)/($G$10-$E$10),$E$10+SQRT(T470*($G$10-$E$10)*($F$10-$E$10)),$G$10-SQRT((1-T470)*($G$10-$E$10)*($G$10-$F$10))))</f>
        <v>1.05759244249059</v>
      </c>
      <c r="G470" s="38" t="n">
        <f aca="false">IF($G$11=$E$11,$F$11,IF(U470&lt;($F$11-$E$11)/($G$11-$E$11),$E$11+SQRT(U470*($G$11-$E$11)*($F$11-$E$11)),$G$11-SQRT((1-U470)*($G$11-$E$11)*($G$11-$F$11))))</f>
        <v>0.10613564559597</v>
      </c>
      <c r="H470" s="39" t="n">
        <f aca="false">(('Business Case'!B11*$C470*'Business Case'!B12*$B470)-'Business Case'!B11*$C470*'Business Case'!B13*$D470-'Business Case'!B14*$E470)-MAX(0,(('Business Case'!B11*$C470*'Business Case'!B12*$B470)-'Business Case'!B11*$C470*'Business Case'!B13*$D470-'Business Case'!B14*$E470))*'Business Case'!$B$7-'Business Case'!$B$8*('Business Case'!B11*$C470*'Business Case'!B12*$B470)-'Business Case'!B15*$F470</f>
        <v>-2115184884.98119</v>
      </c>
      <c r="I470" s="39" t="n">
        <f aca="false">(('Business Case'!C11*$C470*'Business Case'!C12*$B470)-'Business Case'!C11*$C470*'Business Case'!C13*$D470-'Business Case'!C14*$E470)-MAX(0,(('Business Case'!C11*$C470*'Business Case'!C12*$B470)-'Business Case'!C11*$C470*'Business Case'!C13*$D470-'Business Case'!C14*$E470))*'Business Case'!$B$7-'Business Case'!$B$8*(('Business Case'!C11*$C470*'Business Case'!C12*$B470)-('Business Case'!B11*$C470*'Business Case'!B12*$B470))-'Business Case'!C15*$F470</f>
        <v>-65739319.0747404</v>
      </c>
      <c r="J470" s="39" t="n">
        <f aca="false">(('Business Case'!D11*$C470*'Business Case'!D12*$B470)-'Business Case'!D11*$C470*'Business Case'!D13*$D470-'Business Case'!D14*$E470)-MAX(0,(('Business Case'!D11*$C470*'Business Case'!D12*$B470)-'Business Case'!D11*$C470*'Business Case'!D13*$D470-'Business Case'!D14*$E470))*'Business Case'!$B$7-'Business Case'!$B$8*(('Business Case'!D11*$C470*'Business Case'!D12*$B470)-('Business Case'!C11*$C470*'Business Case'!C12*$B470))-'Business Case'!D15*$F470</f>
        <v>161932498.770022</v>
      </c>
      <c r="K470" s="39" t="n">
        <f aca="false">(('Business Case'!E11*$C470*'Business Case'!E12*$B470)-'Business Case'!E11*$C470*'Business Case'!E13*$D470-'Business Case'!E14*$E470)-MAX(0,(('Business Case'!E11*$C470*'Business Case'!E12*$B470)-'Business Case'!E11*$C470*'Business Case'!E13*$D470-'Business Case'!E14*$E470))*'Business Case'!$B$7-'Business Case'!$B$8*(('Business Case'!E11*$C470*'Business Case'!E12*$B470)-('Business Case'!D11*$C470*'Business Case'!D12*$B470))-'Business Case'!E15*$F470</f>
        <v>442483938.739314</v>
      </c>
      <c r="L470" s="39" t="n">
        <f aca="false">(('Business Case'!F11*$C470*'Business Case'!F12*$B470)-'Business Case'!F11*$C470*'Business Case'!F13*$D470-'Business Case'!F14*$E470)-MAX(0,(('Business Case'!F11*$C470*'Business Case'!F12*$B470)-'Business Case'!F11*$C470*'Business Case'!F13*$D470-'Business Case'!F14*$E470))*'Business Case'!$B$7-'Business Case'!$B$8*(('Business Case'!F11*$C470*'Business Case'!F12*$B470)-('Business Case'!E11*$C470*'Business Case'!E12*$B470))-'Business Case'!F15*$F470</f>
        <v>548329945.060412</v>
      </c>
      <c r="M470" s="39" t="n">
        <f aca="false">(('Business Case'!G11*$C470*'Business Case'!G12*$B470)-'Business Case'!G11*$C470*'Business Case'!G13*$D470-'Business Case'!G14*$E470)-MAX(0,(('Business Case'!G11*$C470*'Business Case'!G12*$B470)-'Business Case'!G11*$C470*'Business Case'!G13*$D470-'Business Case'!G14*$E470))*'Business Case'!$B$7-'Business Case'!$B$8*(('Business Case'!G11*$C470*'Business Case'!G12*$B470)-('Business Case'!F11*$C470*'Business Case'!F12*$B470))-'Business Case'!G15*$F470+'Business Case'!$B$8*('Business Case'!G11*$C470*'Business Case'!G12*$B470)</f>
        <v>713084647.111046</v>
      </c>
      <c r="N470" s="39" t="n">
        <f aca="false">IF(COUNT('Business Case'!B11:G11)=0,"",H470+NPV(G470,I470:M470))</f>
        <v>-918424349.276616</v>
      </c>
      <c r="P470" s="40" t="n">
        <f aca="true">RAND()</f>
        <v>0.0417789610690265</v>
      </c>
      <c r="Q470" s="40" t="n">
        <f aca="true">RAND()</f>
        <v>0.212851951523725</v>
      </c>
      <c r="R470" s="40" t="n">
        <f aca="true">RAND()</f>
        <v>0.673307950448946</v>
      </c>
      <c r="S470" s="40" t="n">
        <f aca="true">RAND()</f>
        <v>0.381090341737624</v>
      </c>
      <c r="T470" s="40" t="n">
        <f aca="true">RAND()</f>
        <v>0.594401751284098</v>
      </c>
      <c r="U470" s="40" t="n">
        <f aca="true">RAND()</f>
        <v>0.679632794932403</v>
      </c>
    </row>
    <row r="471" customFormat="false" ht="15" hidden="false" customHeight="false" outlineLevel="0" collapsed="false">
      <c r="A471" s="36" t="n">
        <v>391</v>
      </c>
      <c r="B471" s="37" t="n">
        <f aca="false">1+IF($G$6=$E$6,$F$6,IF(P471&lt;($F$6-$E$6)/($G$6-$E$6),$E$6+SQRT(P471*($G$6-$E$6)*($F$6-$E$6)),$G$6-SQRT((1-P471)*($G$6-$E$6)*($G$6-$F$6))))</f>
        <v>1.00383136144288</v>
      </c>
      <c r="C471" s="37" t="n">
        <f aca="false">1+IF($G$7=$E$7,$F$7,IF(Q471&lt;($F$7-$E$7)/($G$7-$E$7),$E$7+SQRT(Q471*($G$7-$E$7)*($F$7-$E$7)),$G$7-SQRT((1-Q471)*($G$7-$E$7)*($G$7-$F$7))))</f>
        <v>0.962186139045577</v>
      </c>
      <c r="D471" s="37" t="n">
        <f aca="false">1+IF($G$8=$E$8,$F$8,IF(R471&lt;($F$8-$E$8)/($G$8-$E$8),$E$8+SQRT(R471*($G$8-$E$8)*($F$8-$E$8)),$G$8-SQRT((1-R471)*($G$8-$E$8)*($G$8-$F$8))))</f>
        <v>1.00340733870736</v>
      </c>
      <c r="E471" s="37" t="n">
        <f aca="false">1+IF($G$9=$E$9,$F$9,IF(S471&lt;($F$9-$E$9)/($G$9-$E$9),$E$9+SQRT(S471*($G$9-$E$9)*($F$9-$E$9)),$G$9-SQRT((1-S471)*($G$9-$E$9)*($G$9-$F$9))))</f>
        <v>1.03626806511041</v>
      </c>
      <c r="F471" s="37" t="n">
        <f aca="false">1+IF($G$10=$E$10,$F$10,IF(T471&lt;($F$10-$E$10)/($G$10-$E$10),$E$10+SQRT(T471*($G$10-$E$10)*($F$10-$E$10)),$G$10-SQRT((1-T471)*($G$10-$E$10)*($G$10-$F$10))))</f>
        <v>1.06663826257811</v>
      </c>
      <c r="G471" s="38" t="n">
        <f aca="false">IF($G$11=$E$11,$F$11,IF(U471&lt;($F$11-$E$11)/($G$11-$E$11),$E$11+SQRT(U471*($G$11-$E$11)*($F$11-$E$11)),$G$11-SQRT((1-U471)*($G$11-$E$11)*($G$11-$F$11))))</f>
        <v>0.116081905586291</v>
      </c>
      <c r="H471" s="39" t="n">
        <f aca="false">(('Business Case'!B11*$C471*'Business Case'!B12*$B471)-'Business Case'!B11*$C471*'Business Case'!B13*$D471-'Business Case'!B14*$E471)-MAX(0,(('Business Case'!B11*$C471*'Business Case'!B12*$B471)-'Business Case'!B11*$C471*'Business Case'!B13*$D471-'Business Case'!B14*$E471))*'Business Case'!$B$7-'Business Case'!$B$8*('Business Case'!B11*$C471*'Business Case'!B12*$B471)-'Business Case'!B15*$F471</f>
        <v>-2133276525.15622</v>
      </c>
      <c r="I471" s="39" t="n">
        <f aca="false">(('Business Case'!C11*$C471*'Business Case'!C12*$B471)-'Business Case'!C11*$C471*'Business Case'!C13*$D471-'Business Case'!C14*$E471)-MAX(0,(('Business Case'!C11*$C471*'Business Case'!C12*$B471)-'Business Case'!C11*$C471*'Business Case'!C13*$D471-'Business Case'!C14*$E471))*'Business Case'!$B$7-'Business Case'!$B$8*(('Business Case'!C11*$C471*'Business Case'!C12*$B471)-('Business Case'!B11*$C471*'Business Case'!B12*$B471))-'Business Case'!C15*$F471</f>
        <v>-7213416.64311595</v>
      </c>
      <c r="J471" s="39" t="n">
        <f aca="false">(('Business Case'!D11*$C471*'Business Case'!D12*$B471)-'Business Case'!D11*$C471*'Business Case'!D13*$D471-'Business Case'!D14*$E471)-MAX(0,(('Business Case'!D11*$C471*'Business Case'!D12*$B471)-'Business Case'!D11*$C471*'Business Case'!D13*$D471-'Business Case'!D14*$E471))*'Business Case'!$B$7-'Business Case'!$B$8*(('Business Case'!D11*$C471*'Business Case'!D12*$B471)-('Business Case'!C11*$C471*'Business Case'!C12*$B471))-'Business Case'!D15*$F471</f>
        <v>289665148.550591</v>
      </c>
      <c r="K471" s="39" t="n">
        <f aca="false">(('Business Case'!E11*$C471*'Business Case'!E12*$B471)-'Business Case'!E11*$C471*'Business Case'!E13*$D471-'Business Case'!E14*$E471)-MAX(0,(('Business Case'!E11*$C471*'Business Case'!E12*$B471)-'Business Case'!E11*$C471*'Business Case'!E13*$D471-'Business Case'!E14*$E471))*'Business Case'!$B$7-'Business Case'!$B$8*(('Business Case'!E11*$C471*'Business Case'!E12*$B471)-('Business Case'!D11*$C471*'Business Case'!D12*$B471))-'Business Case'!E15*$F471</f>
        <v>639875626.873203</v>
      </c>
      <c r="L471" s="39" t="n">
        <f aca="false">(('Business Case'!F11*$C471*'Business Case'!F12*$B471)-'Business Case'!F11*$C471*'Business Case'!F13*$D471-'Business Case'!F14*$E471)-MAX(0,(('Business Case'!F11*$C471*'Business Case'!F12*$B471)-'Business Case'!F11*$C471*'Business Case'!F13*$D471-'Business Case'!F14*$E471))*'Business Case'!$B$7-'Business Case'!$B$8*(('Business Case'!F11*$C471*'Business Case'!F12*$B471)-('Business Case'!E11*$C471*'Business Case'!E12*$B471))-'Business Case'!F15*$F471</f>
        <v>772215706.417979</v>
      </c>
      <c r="M471" s="39" t="n">
        <f aca="false">(('Business Case'!G11*$C471*'Business Case'!G12*$B471)-'Business Case'!G11*$C471*'Business Case'!G13*$D471-'Business Case'!G14*$E471)-MAX(0,(('Business Case'!G11*$C471*'Business Case'!G12*$B471)-'Business Case'!G11*$C471*'Business Case'!G13*$D471-'Business Case'!G14*$E471))*'Business Case'!$B$7-'Business Case'!$B$8*(('Business Case'!G11*$C471*'Business Case'!G12*$B471)-('Business Case'!F11*$C471*'Business Case'!F12*$B471))-'Business Case'!G15*$F471+'Business Case'!$B$8*('Business Case'!G11*$C471*'Business Case'!G12*$B471)</f>
        <v>955808774.392455</v>
      </c>
      <c r="N471" s="39" t="n">
        <f aca="false">IF(COUNT('Business Case'!B11:G11)=0,"",H471+NPV(G471,I471:M471))</f>
        <v>-397308588.115795</v>
      </c>
      <c r="P471" s="40" t="n">
        <f aca="true">RAND()</f>
        <v>0.72746449685927</v>
      </c>
      <c r="Q471" s="40" t="n">
        <f aca="true">RAND()</f>
        <v>0.375776338550162</v>
      </c>
      <c r="R471" s="40" t="n">
        <f aca="true">RAND()</f>
        <v>0.435919638087598</v>
      </c>
      <c r="S471" s="40" t="n">
        <f aca="true">RAND()</f>
        <v>0.72921603168192</v>
      </c>
      <c r="T471" s="40" t="n">
        <f aca="true">RAND()</f>
        <v>0.644292939836286</v>
      </c>
      <c r="U471" s="40" t="n">
        <f aca="true">RAND()</f>
        <v>0.974414226942106</v>
      </c>
    </row>
    <row r="472" customFormat="false" ht="15" hidden="false" customHeight="false" outlineLevel="0" collapsed="false">
      <c r="A472" s="36" t="n">
        <v>392</v>
      </c>
      <c r="B472" s="37" t="n">
        <f aca="false">1+IF($G$6=$E$6,$F$6,IF(P472&lt;($F$6-$E$6)/($G$6-$E$6),$E$6+SQRT(P472*($G$6-$E$6)*($F$6-$E$6)),$G$6-SQRT((1-P472)*($G$6-$E$6)*($G$6-$F$6))))</f>
        <v>0.992491116350618</v>
      </c>
      <c r="C472" s="37" t="n">
        <f aca="false">1+IF($G$7=$E$7,$F$7,IF(Q472&lt;($F$7-$E$7)/($G$7-$E$7),$E$7+SQRT(Q472*($G$7-$E$7)*($F$7-$E$7)),$G$7-SQRT((1-Q472)*($G$7-$E$7)*($G$7-$F$7))))</f>
        <v>1.01845778625329</v>
      </c>
      <c r="D472" s="37" t="n">
        <f aca="false">1+IF($G$8=$E$8,$F$8,IF(R472&lt;($F$8-$E$8)/($G$8-$E$8),$E$8+SQRT(R472*($G$8-$E$8)*($F$8-$E$8)),$G$8-SQRT((1-R472)*($G$8-$E$8)*($G$8-$F$8))))</f>
        <v>0.999105372717176</v>
      </c>
      <c r="E472" s="37" t="n">
        <f aca="false">1+IF($G$9=$E$9,$F$9,IF(S472&lt;($F$9-$E$9)/($G$9-$E$9),$E$9+SQRT(S472*($G$9-$E$9)*($F$9-$E$9)),$G$9-SQRT((1-S472)*($G$9-$E$9)*($G$9-$F$9))))</f>
        <v>0.967092874515871</v>
      </c>
      <c r="F472" s="37" t="n">
        <f aca="false">1+IF($G$10=$E$10,$F$10,IF(T472&lt;($F$10-$E$10)/($G$10-$E$10),$E$10+SQRT(T472*($G$10-$E$10)*($F$10-$E$10)),$G$10-SQRT((1-T472)*($G$10-$E$10)*($G$10-$F$10))))</f>
        <v>1.1480013845665</v>
      </c>
      <c r="G472" s="38" t="n">
        <f aca="false">IF($G$11=$E$11,$F$11,IF(U472&lt;($F$11-$E$11)/($G$11-$E$11),$E$11+SQRT(U472*($G$11-$E$11)*($F$11-$E$11)),$G$11-SQRT((1-U472)*($G$11-$E$11)*($G$11-$F$11))))</f>
        <v>0.102266838630803</v>
      </c>
      <c r="H472" s="39" t="n">
        <f aca="false">(('Business Case'!B11*$C472*'Business Case'!B12*$B472)-'Business Case'!B11*$C472*'Business Case'!B13*$D472-'Business Case'!B14*$E472)-MAX(0,(('Business Case'!B11*$C472*'Business Case'!B12*$B472)-'Business Case'!B11*$C472*'Business Case'!B13*$D472-'Business Case'!B14*$E472))*'Business Case'!$B$7-'Business Case'!$B$8*('Business Case'!B11*$C472*'Business Case'!B12*$B472)-'Business Case'!B15*$F472</f>
        <v>-2296002769.13299</v>
      </c>
      <c r="I472" s="39" t="n">
        <f aca="false">(('Business Case'!C11*$C472*'Business Case'!C12*$B472)-'Business Case'!C11*$C472*'Business Case'!C13*$D472-'Business Case'!C14*$E472)-MAX(0,(('Business Case'!C11*$C472*'Business Case'!C12*$B472)-'Business Case'!C11*$C472*'Business Case'!C13*$D472-'Business Case'!C14*$E472))*'Business Case'!$B$7-'Business Case'!$B$8*(('Business Case'!C11*$C472*'Business Case'!C12*$B472)-('Business Case'!B11*$C472*'Business Case'!B12*$B472))-'Business Case'!C15*$F472</f>
        <v>2302787.80533898</v>
      </c>
      <c r="J472" s="39" t="n">
        <f aca="false">(('Business Case'!D11*$C472*'Business Case'!D12*$B472)-'Business Case'!D11*$C472*'Business Case'!D13*$D472-'Business Case'!D14*$E472)-MAX(0,(('Business Case'!D11*$C472*'Business Case'!D12*$B472)-'Business Case'!D11*$C472*'Business Case'!D13*$D472-'Business Case'!D14*$E472))*'Business Case'!$B$7-'Business Case'!$B$8*(('Business Case'!D11*$C472*'Business Case'!D12*$B472)-('Business Case'!C11*$C472*'Business Case'!C12*$B472))-'Business Case'!D15*$F472</f>
        <v>309326727.046842</v>
      </c>
      <c r="K472" s="39" t="n">
        <f aca="false">(('Business Case'!E11*$C472*'Business Case'!E12*$B472)-'Business Case'!E11*$C472*'Business Case'!E13*$D472-'Business Case'!E14*$E472)-MAX(0,(('Business Case'!E11*$C472*'Business Case'!E12*$B472)-'Business Case'!E11*$C472*'Business Case'!E13*$D472-'Business Case'!E14*$E472))*'Business Case'!$B$7-'Business Case'!$B$8*(('Business Case'!E11*$C472*'Business Case'!E12*$B472)-('Business Case'!D11*$C472*'Business Case'!D12*$B472))-'Business Case'!E15*$F472</f>
        <v>673750735.516669</v>
      </c>
      <c r="L472" s="39" t="n">
        <f aca="false">(('Business Case'!F11*$C472*'Business Case'!F12*$B472)-'Business Case'!F11*$C472*'Business Case'!F13*$D472-'Business Case'!F14*$E472)-MAX(0,(('Business Case'!F11*$C472*'Business Case'!F12*$B472)-'Business Case'!F11*$C472*'Business Case'!F13*$D472-'Business Case'!F14*$E472))*'Business Case'!$B$7-'Business Case'!$B$8*(('Business Case'!F11*$C472*'Business Case'!F12*$B472)-('Business Case'!E11*$C472*'Business Case'!E12*$B472))-'Business Case'!F15*$F472</f>
        <v>811025652.746075</v>
      </c>
      <c r="M472" s="39" t="n">
        <f aca="false">(('Business Case'!G11*$C472*'Business Case'!G12*$B472)-'Business Case'!G11*$C472*'Business Case'!G13*$D472-'Business Case'!G14*$E472)-MAX(0,(('Business Case'!G11*$C472*'Business Case'!G12*$B472)-'Business Case'!G11*$C472*'Business Case'!G13*$D472-'Business Case'!G14*$E472))*'Business Case'!$B$7-'Business Case'!$B$8*(('Business Case'!G11*$C472*'Business Case'!G12*$B472)-('Business Case'!F11*$C472*'Business Case'!F12*$B472))-'Business Case'!G15*$F472+'Business Case'!$B$8*('Business Case'!G11*$C472*'Business Case'!G12*$B472)</f>
        <v>1003160475.56505</v>
      </c>
      <c r="N472" s="39" t="n">
        <f aca="false">IF(COUNT('Business Case'!B11:G11)=0,"",H472+NPV(G472,I472:M472))</f>
        <v>-370335971.54223</v>
      </c>
      <c r="P472" s="40" t="n">
        <f aca="true">RAND()</f>
        <v>0.547391869766547</v>
      </c>
      <c r="Q472" s="40" t="n">
        <f aca="true">RAND()</f>
        <v>0.670412304811728</v>
      </c>
      <c r="R472" s="40" t="n">
        <f aca="true">RAND()</f>
        <v>0.370975019952727</v>
      </c>
      <c r="S472" s="40" t="n">
        <f aca="true">RAND()</f>
        <v>0.0389555145620439</v>
      </c>
      <c r="T472" s="40" t="n">
        <f aca="true">RAND()</f>
        <v>0.945922879859973</v>
      </c>
      <c r="U472" s="40" t="n">
        <f aca="true">RAND()</f>
        <v>0.475891646423367</v>
      </c>
    </row>
    <row r="473" customFormat="false" ht="15" hidden="false" customHeight="false" outlineLevel="0" collapsed="false">
      <c r="A473" s="36" t="n">
        <v>393</v>
      </c>
      <c r="B473" s="37" t="n">
        <f aca="false">1+IF($G$6=$E$6,$F$6,IF(P473&lt;($F$6-$E$6)/($G$6-$E$6),$E$6+SQRT(P473*($G$6-$E$6)*($F$6-$E$6)),$G$6-SQRT((1-P473)*($G$6-$E$6)*($G$6-$F$6))))</f>
        <v>0.948740643303089</v>
      </c>
      <c r="C473" s="37" t="n">
        <f aca="false">1+IF($G$7=$E$7,$F$7,IF(Q473&lt;($F$7-$E$7)/($G$7-$E$7),$E$7+SQRT(Q473*($G$7-$E$7)*($F$7-$E$7)),$G$7-SQRT((1-Q473)*($G$7-$E$7)*($G$7-$F$7))))</f>
        <v>1.07188052158859</v>
      </c>
      <c r="D473" s="37" t="n">
        <f aca="false">1+IF($G$8=$E$8,$F$8,IF(R473&lt;($F$8-$E$8)/($G$8-$E$8),$E$8+SQRT(R473*($G$8-$E$8)*($F$8-$E$8)),$G$8-SQRT((1-R473)*($G$8-$E$8)*($G$8-$F$8))))</f>
        <v>0.974845550409849</v>
      </c>
      <c r="E473" s="37" t="n">
        <f aca="false">1+IF($G$9=$E$9,$F$9,IF(S473&lt;($F$9-$E$9)/($G$9-$E$9),$E$9+SQRT(S473*($G$9-$E$9)*($F$9-$E$9)),$G$9-SQRT((1-S473)*($G$9-$E$9)*($G$9-$F$9))))</f>
        <v>1.03132672730118</v>
      </c>
      <c r="F473" s="37" t="n">
        <f aca="false">1+IF($G$10=$E$10,$F$10,IF(T473&lt;($F$10-$E$10)/($G$10-$E$10),$E$10+SQRT(T473*($G$10-$E$10)*($F$10-$E$10)),$G$10-SQRT((1-T473)*($G$10-$E$10)*($G$10-$F$10))))</f>
        <v>1.04980800593932</v>
      </c>
      <c r="G473" s="38" t="n">
        <f aca="false">IF($G$11=$E$11,$F$11,IF(U473&lt;($F$11-$E$11)/($G$11-$E$11),$E$11+SQRT(U473*($G$11-$E$11)*($F$11-$E$11)),$G$11-SQRT((1-U473)*($G$11-$E$11)*($G$11-$F$11))))</f>
        <v>0.100692880054752</v>
      </c>
      <c r="H473" s="39" t="n">
        <f aca="false">(('Business Case'!B11*$C473*'Business Case'!B12*$B473)-'Business Case'!B11*$C473*'Business Case'!B13*$D473-'Business Case'!B14*$E473)-MAX(0,(('Business Case'!B11*$C473*'Business Case'!B12*$B473)-'Business Case'!B11*$C473*'Business Case'!B13*$D473-'Business Case'!B14*$E473))*'Business Case'!$B$7-'Business Case'!$B$8*('Business Case'!B11*$C473*'Business Case'!B12*$B473)-'Business Case'!B15*$F473</f>
        <v>-2099616011.87865</v>
      </c>
      <c r="I473" s="39" t="n">
        <f aca="false">(('Business Case'!C11*$C473*'Business Case'!C12*$B473)-'Business Case'!C11*$C473*'Business Case'!C13*$D473-'Business Case'!C14*$E473)-MAX(0,(('Business Case'!C11*$C473*'Business Case'!C12*$B473)-'Business Case'!C11*$C473*'Business Case'!C13*$D473-'Business Case'!C14*$E473))*'Business Case'!$B$7-'Business Case'!$B$8*(('Business Case'!C11*$C473*'Business Case'!C12*$B473)-('Business Case'!B11*$C473*'Business Case'!B12*$B473))-'Business Case'!C15*$F473</f>
        <v>-6323548.32795116</v>
      </c>
      <c r="J473" s="39" t="n">
        <f aca="false">(('Business Case'!D11*$C473*'Business Case'!D12*$B473)-'Business Case'!D11*$C473*'Business Case'!D13*$D473-'Business Case'!D14*$E473)-MAX(0,(('Business Case'!D11*$C473*'Business Case'!D12*$B473)-'Business Case'!D11*$C473*'Business Case'!D13*$D473-'Business Case'!D14*$E473))*'Business Case'!$B$7-'Business Case'!$B$8*(('Business Case'!D11*$C473*'Business Case'!D12*$B473)-('Business Case'!C11*$C473*'Business Case'!C12*$B473))-'Business Case'!D15*$F473</f>
        <v>291706358.712755</v>
      </c>
      <c r="K473" s="39" t="n">
        <f aca="false">(('Business Case'!E11*$C473*'Business Case'!E12*$B473)-'Business Case'!E11*$C473*'Business Case'!E13*$D473-'Business Case'!E14*$E473)-MAX(0,(('Business Case'!E11*$C473*'Business Case'!E12*$B473)-'Business Case'!E11*$C473*'Business Case'!E13*$D473-'Business Case'!E14*$E473))*'Business Case'!$B$7-'Business Case'!$B$8*(('Business Case'!E11*$C473*'Business Case'!E12*$B473)-('Business Case'!D11*$C473*'Business Case'!D12*$B473))-'Business Case'!E15*$F473</f>
        <v>642226666.050428</v>
      </c>
      <c r="L473" s="39" t="n">
        <f aca="false">(('Business Case'!F11*$C473*'Business Case'!F12*$B473)-'Business Case'!F11*$C473*'Business Case'!F13*$D473-'Business Case'!F14*$E473)-MAX(0,(('Business Case'!F11*$C473*'Business Case'!F12*$B473)-'Business Case'!F11*$C473*'Business Case'!F13*$D473-'Business Case'!F14*$E473))*'Business Case'!$B$7-'Business Case'!$B$8*(('Business Case'!F11*$C473*'Business Case'!F12*$B473)-('Business Case'!E11*$C473*'Business Case'!E12*$B473))-'Business Case'!F15*$F473</f>
        <v>776715297.832328</v>
      </c>
      <c r="M473" s="39" t="n">
        <f aca="false">(('Business Case'!G11*$C473*'Business Case'!G12*$B473)-'Business Case'!G11*$C473*'Business Case'!G13*$D473-'Business Case'!G14*$E473)-MAX(0,(('Business Case'!G11*$C473*'Business Case'!G12*$B473)-'Business Case'!G11*$C473*'Business Case'!G13*$D473-'Business Case'!G14*$E473))*'Business Case'!$B$7-'Business Case'!$B$8*(('Business Case'!G11*$C473*'Business Case'!G12*$B473)-('Business Case'!F11*$C473*'Business Case'!F12*$B473))-'Business Case'!G15*$F473+'Business Case'!$B$8*('Business Case'!G11*$C473*'Business Case'!G12*$B473)</f>
        <v>970014609.724819</v>
      </c>
      <c r="N473" s="39" t="n">
        <f aca="false">IF(COUNT('Business Case'!B11:G11)=0,"",H473+NPV(G473,I473:M473))</f>
        <v>-253399242.119102</v>
      </c>
      <c r="P473" s="40" t="n">
        <f aca="true">RAND()</f>
        <v>0.0860442268203509</v>
      </c>
      <c r="Q473" s="40" t="n">
        <f aca="true">RAND()</f>
        <v>0.883758992242471</v>
      </c>
      <c r="R473" s="40" t="n">
        <f aca="true">RAND()</f>
        <v>0.0949694423335906</v>
      </c>
      <c r="S473" s="40" t="n">
        <f aca="true">RAND()</f>
        <v>0.685598774455573</v>
      </c>
      <c r="T473" s="40" t="n">
        <f aca="true">RAND()</f>
        <v>0.548847298401561</v>
      </c>
      <c r="U473" s="40" t="n">
        <f aca="true">RAND()</f>
        <v>0.378725199033029</v>
      </c>
    </row>
    <row r="474" customFormat="false" ht="15" hidden="false" customHeight="false" outlineLevel="0" collapsed="false">
      <c r="A474" s="36" t="n">
        <v>394</v>
      </c>
      <c r="B474" s="37" t="n">
        <f aca="false">1+IF($G$6=$E$6,$F$6,IF(P474&lt;($F$6-$E$6)/($G$6-$E$6),$E$6+SQRT(P474*($G$6-$E$6)*($F$6-$E$6)),$G$6-SQRT((1-P474)*($G$6-$E$6)*($G$6-$F$6))))</f>
        <v>1.01082660929238</v>
      </c>
      <c r="C474" s="37" t="n">
        <f aca="false">1+IF($G$7=$E$7,$F$7,IF(Q474&lt;($F$7-$E$7)/($G$7-$E$7),$E$7+SQRT(Q474*($G$7-$E$7)*($F$7-$E$7)),$G$7-SQRT((1-Q474)*($G$7-$E$7)*($G$7-$F$7))))</f>
        <v>1.0304967699666</v>
      </c>
      <c r="D474" s="37" t="n">
        <f aca="false">1+IF($G$8=$E$8,$F$8,IF(R474&lt;($F$8-$E$8)/($G$8-$E$8),$E$8+SQRT(R474*($G$8-$E$8)*($F$8-$E$8)),$G$8-SQRT((1-R474)*($G$8-$E$8)*($G$8-$F$8))))</f>
        <v>1.05902581061863</v>
      </c>
      <c r="E474" s="37" t="n">
        <f aca="false">1+IF($G$9=$E$9,$F$9,IF(S474&lt;($F$9-$E$9)/($G$9-$E$9),$E$9+SQRT(S474*($G$9-$E$9)*($F$9-$E$9)),$G$9-SQRT((1-S474)*($G$9-$E$9)*($G$9-$F$9))))</f>
        <v>1.03381958622881</v>
      </c>
      <c r="F474" s="37" t="n">
        <f aca="false">1+IF($G$10=$E$10,$F$10,IF(T474&lt;($F$10-$E$10)/($G$10-$E$10),$E$10+SQRT(T474*($G$10-$E$10)*($F$10-$E$10)),$G$10-SQRT((1-T474)*($G$10-$E$10)*($G$10-$F$10))))</f>
        <v>1.11810388158241</v>
      </c>
      <c r="G474" s="38" t="n">
        <f aca="false">IF($G$11=$E$11,$F$11,IF(U474&lt;($F$11-$E$11)/($G$11-$E$11),$E$11+SQRT(U474*($G$11-$E$11)*($F$11-$E$11)),$G$11-SQRT((1-U474)*($G$11-$E$11)*($G$11-$F$11))))</f>
        <v>0.111584043124335</v>
      </c>
      <c r="H474" s="39" t="n">
        <f aca="false">(('Business Case'!B11*$C474*'Business Case'!B12*$B474)-'Business Case'!B11*$C474*'Business Case'!B13*$D474-'Business Case'!B14*$E474)-MAX(0,(('Business Case'!B11*$C474*'Business Case'!B12*$B474)-'Business Case'!B11*$C474*'Business Case'!B13*$D474-'Business Case'!B14*$E474))*'Business Case'!$B$7-'Business Case'!$B$8*('Business Case'!B11*$C474*'Business Case'!B12*$B474)-'Business Case'!B15*$F474</f>
        <v>-2236207763.16482</v>
      </c>
      <c r="I474" s="39" t="n">
        <f aca="false">(('Business Case'!C11*$C474*'Business Case'!C12*$B474)-'Business Case'!C11*$C474*'Business Case'!C13*$D474-'Business Case'!C14*$E474)-MAX(0,(('Business Case'!C11*$C474*'Business Case'!C12*$B474)-'Business Case'!C11*$C474*'Business Case'!C13*$D474-'Business Case'!C14*$E474))*'Business Case'!$B$7-'Business Case'!$B$8*(('Business Case'!C11*$C474*'Business Case'!C12*$B474)-('Business Case'!B11*$C474*'Business Case'!B12*$B474))-'Business Case'!C15*$F474</f>
        <v>-18299497.2296806</v>
      </c>
      <c r="J474" s="39" t="n">
        <f aca="false">(('Business Case'!D11*$C474*'Business Case'!D12*$B474)-'Business Case'!D11*$C474*'Business Case'!D13*$D474-'Business Case'!D14*$E474)-MAX(0,(('Business Case'!D11*$C474*'Business Case'!D12*$B474)-'Business Case'!D11*$C474*'Business Case'!D13*$D474-'Business Case'!D14*$E474))*'Business Case'!$B$7-'Business Case'!$B$8*(('Business Case'!D11*$C474*'Business Case'!D12*$B474)-('Business Case'!C11*$C474*'Business Case'!C12*$B474))-'Business Case'!D15*$F474</f>
        <v>276219859.197026</v>
      </c>
      <c r="K474" s="39" t="n">
        <f aca="false">(('Business Case'!E11*$C474*'Business Case'!E12*$B474)-'Business Case'!E11*$C474*'Business Case'!E13*$D474-'Business Case'!E14*$E474)-MAX(0,(('Business Case'!E11*$C474*'Business Case'!E12*$B474)-'Business Case'!E11*$C474*'Business Case'!E13*$D474-'Business Case'!E14*$E474))*'Business Case'!$B$7-'Business Case'!$B$8*(('Business Case'!E11*$C474*'Business Case'!E12*$B474)-('Business Case'!D11*$C474*'Business Case'!D12*$B474))-'Business Case'!E15*$F474</f>
        <v>626644409.702853</v>
      </c>
      <c r="L474" s="39" t="n">
        <f aca="false">(('Business Case'!F11*$C474*'Business Case'!F12*$B474)-'Business Case'!F11*$C474*'Business Case'!F13*$D474-'Business Case'!F14*$E474)-MAX(0,(('Business Case'!F11*$C474*'Business Case'!F12*$B474)-'Business Case'!F11*$C474*'Business Case'!F13*$D474-'Business Case'!F14*$E474))*'Business Case'!$B$7-'Business Case'!$B$8*(('Business Case'!F11*$C474*'Business Case'!F12*$B474)-('Business Case'!E11*$C474*'Business Case'!E12*$B474))-'Business Case'!F15*$F474</f>
        <v>760817075.402695</v>
      </c>
      <c r="M474" s="39" t="n">
        <f aca="false">(('Business Case'!G11*$C474*'Business Case'!G12*$B474)-'Business Case'!G11*$C474*'Business Case'!G13*$D474-'Business Case'!G14*$E474)-MAX(0,(('Business Case'!G11*$C474*'Business Case'!G12*$B474)-'Business Case'!G11*$C474*'Business Case'!G13*$D474-'Business Case'!G14*$E474))*'Business Case'!$B$7-'Business Case'!$B$8*(('Business Case'!G11*$C474*'Business Case'!G12*$B474)-('Business Case'!F11*$C474*'Business Case'!F12*$B474))-'Business Case'!G15*$F474+'Business Case'!$B$8*('Business Case'!G11*$C474*'Business Case'!G12*$B474)</f>
        <v>958814583.302861</v>
      </c>
      <c r="N474" s="39" t="n">
        <f aca="false">IF(COUNT('Business Case'!B11:G11)=0,"",H474+NPV(G474,I474:M474))</f>
        <v>-509591455.696807</v>
      </c>
      <c r="P474" s="40" t="n">
        <f aca="true">RAND()</f>
        <v>0.822690265545921</v>
      </c>
      <c r="Q474" s="40" t="n">
        <f aca="true">RAND()</f>
        <v>0.727980533553983</v>
      </c>
      <c r="R474" s="40" t="n">
        <f aca="true">RAND()</f>
        <v>0.95770032498025</v>
      </c>
      <c r="S474" s="40" t="n">
        <f aca="true">RAND()</f>
        <v>0.708010188871622</v>
      </c>
      <c r="T474" s="40" t="n">
        <f aca="true">RAND()</f>
        <v>0.865860515762649</v>
      </c>
      <c r="U474" s="40" t="n">
        <f aca="true">RAND()</f>
        <v>0.881952783111585</v>
      </c>
    </row>
    <row r="475" customFormat="false" ht="15" hidden="false" customHeight="false" outlineLevel="0" collapsed="false">
      <c r="A475" s="36" t="n">
        <v>395</v>
      </c>
      <c r="B475" s="37" t="n">
        <f aca="false">1+IF($G$6=$E$6,$F$6,IF(P475&lt;($F$6-$E$6)/($G$6-$E$6),$E$6+SQRT(P475*($G$6-$E$6)*($F$6-$E$6)),$G$6-SQRT((1-P475)*($G$6-$E$6)*($G$6-$F$6))))</f>
        <v>0.953211230688027</v>
      </c>
      <c r="C475" s="37" t="n">
        <f aca="false">1+IF($G$7=$E$7,$F$7,IF(Q475&lt;($F$7-$E$7)/($G$7-$E$7),$E$7+SQRT(Q475*($G$7-$E$7)*($F$7-$E$7)),$G$7-SQRT((1-Q475)*($G$7-$E$7)*($G$7-$F$7))))</f>
        <v>0.900831625479075</v>
      </c>
      <c r="D475" s="37" t="n">
        <f aca="false">1+IF($G$8=$E$8,$F$8,IF(R475&lt;($F$8-$E$8)/($G$8-$E$8),$E$8+SQRT(R475*($G$8-$E$8)*($F$8-$E$8)),$G$8-SQRT((1-R475)*($G$8-$E$8)*($G$8-$F$8))))</f>
        <v>1.0178462796982</v>
      </c>
      <c r="E475" s="37" t="n">
        <f aca="false">1+IF($G$9=$E$9,$F$9,IF(S475&lt;($F$9-$E$9)/($G$9-$E$9),$E$9+SQRT(S475*($G$9-$E$9)*($F$9-$E$9)),$G$9-SQRT((1-S475)*($G$9-$E$9)*($G$9-$F$9))))</f>
        <v>1.05600371278899</v>
      </c>
      <c r="F475" s="37" t="n">
        <f aca="false">1+IF($G$10=$E$10,$F$10,IF(T475&lt;($F$10-$E$10)/($G$10-$E$10),$E$10+SQRT(T475*($G$10-$E$10)*($F$10-$E$10)),$G$10-SQRT((1-T475)*($G$10-$E$10)*($G$10-$F$10))))</f>
        <v>1.00650572440312</v>
      </c>
      <c r="G475" s="38" t="n">
        <f aca="false">IF($G$11=$E$11,$F$11,IF(U475&lt;($F$11-$E$11)/($G$11-$E$11),$E$11+SQRT(U475*($G$11-$E$11)*($F$11-$E$11)),$G$11-SQRT((1-U475)*($G$11-$E$11)*($G$11-$F$11))))</f>
        <v>0.103363136433556</v>
      </c>
      <c r="H475" s="39" t="n">
        <f aca="false">(('Business Case'!B11*$C475*'Business Case'!B12*$B475)-'Business Case'!B11*$C475*'Business Case'!B13*$D475-'Business Case'!B14*$E475)-MAX(0,(('Business Case'!B11*$C475*'Business Case'!B12*$B475)-'Business Case'!B11*$C475*'Business Case'!B13*$D475-'Business Case'!B14*$E475))*'Business Case'!$B$7-'Business Case'!$B$8*('Business Case'!B11*$C475*'Business Case'!B12*$B475)-'Business Case'!B15*$F475</f>
        <v>-2013011448.80624</v>
      </c>
      <c r="I475" s="39" t="n">
        <f aca="false">(('Business Case'!C11*$C475*'Business Case'!C12*$B475)-'Business Case'!C11*$C475*'Business Case'!C13*$D475-'Business Case'!C14*$E475)-MAX(0,(('Business Case'!C11*$C475*'Business Case'!C12*$B475)-'Business Case'!C11*$C475*'Business Case'!C13*$D475-'Business Case'!C14*$E475))*'Business Case'!$B$7-'Business Case'!$B$8*(('Business Case'!C11*$C475*'Business Case'!C12*$B475)-('Business Case'!B11*$C475*'Business Case'!B12*$B475))-'Business Case'!C15*$F475</f>
        <v>-61388965.3179294</v>
      </c>
      <c r="J475" s="39" t="n">
        <f aca="false">(('Business Case'!D11*$C475*'Business Case'!D12*$B475)-'Business Case'!D11*$C475*'Business Case'!D13*$D475-'Business Case'!D14*$E475)-MAX(0,(('Business Case'!D11*$C475*'Business Case'!D12*$B475)-'Business Case'!D11*$C475*'Business Case'!D13*$D475-'Business Case'!D14*$E475))*'Business Case'!$B$7-'Business Case'!$B$8*(('Business Case'!D11*$C475*'Business Case'!D12*$B475)-('Business Case'!C11*$C475*'Business Case'!C12*$B475))-'Business Case'!D15*$F475</f>
        <v>172550487.274481</v>
      </c>
      <c r="K475" s="39" t="n">
        <f aca="false">(('Business Case'!E11*$C475*'Business Case'!E12*$B475)-'Business Case'!E11*$C475*'Business Case'!E13*$D475-'Business Case'!E14*$E475)-MAX(0,(('Business Case'!E11*$C475*'Business Case'!E12*$B475)-'Business Case'!E11*$C475*'Business Case'!E13*$D475-'Business Case'!E14*$E475))*'Business Case'!$B$7-'Business Case'!$B$8*(('Business Case'!E11*$C475*'Business Case'!E12*$B475)-('Business Case'!D11*$C475*'Business Case'!D12*$B475))-'Business Case'!E15*$F475</f>
        <v>456815226.087048</v>
      </c>
      <c r="L475" s="39" t="n">
        <f aca="false">(('Business Case'!F11*$C475*'Business Case'!F12*$B475)-'Business Case'!F11*$C475*'Business Case'!F13*$D475-'Business Case'!F14*$E475)-MAX(0,(('Business Case'!F11*$C475*'Business Case'!F12*$B475)-'Business Case'!F11*$C475*'Business Case'!F13*$D475-'Business Case'!F14*$E475))*'Business Case'!$B$7-'Business Case'!$B$8*(('Business Case'!F11*$C475*'Business Case'!F12*$B475)-('Business Case'!E11*$C475*'Business Case'!E12*$B475))-'Business Case'!F15*$F475</f>
        <v>564471121.958806</v>
      </c>
      <c r="M475" s="39" t="n">
        <f aca="false">(('Business Case'!G11*$C475*'Business Case'!G12*$B475)-'Business Case'!G11*$C475*'Business Case'!G13*$D475-'Business Case'!G14*$E475)-MAX(0,(('Business Case'!G11*$C475*'Business Case'!G12*$B475)-'Business Case'!G11*$C475*'Business Case'!G13*$D475-'Business Case'!G14*$E475))*'Business Case'!$B$7-'Business Case'!$B$8*(('Business Case'!G11*$C475*'Business Case'!G12*$B475)-('Business Case'!F11*$C475*'Business Case'!F12*$B475))-'Business Case'!G15*$F475+'Business Case'!$B$8*('Business Case'!G11*$C475*'Business Case'!G12*$B475)</f>
        <v>727689552.83406</v>
      </c>
      <c r="N475" s="39" t="n">
        <f aca="false">IF(COUNT('Business Case'!B11:G11)=0,"",H475+NPV(G475,I475:M475))</f>
        <v>-760974800.889501</v>
      </c>
      <c r="P475" s="40" t="n">
        <f aca="true">RAND()</f>
        <v>0.114894358730556</v>
      </c>
      <c r="Q475" s="40" t="n">
        <f aca="true">RAND()</f>
        <v>0.145243095667893</v>
      </c>
      <c r="R475" s="40" t="n">
        <f aca="true">RAND()</f>
        <v>0.628549524292868</v>
      </c>
      <c r="S475" s="40" t="n">
        <f aca="true">RAND()</f>
        <v>0.870955114109782</v>
      </c>
      <c r="T475" s="40" t="n">
        <f aca="true">RAND()</f>
        <v>0.251199306224765</v>
      </c>
      <c r="U475" s="40" t="n">
        <f aca="true">RAND()</f>
        <v>0.538691284452531</v>
      </c>
    </row>
    <row r="476" customFormat="false" ht="15" hidden="false" customHeight="false" outlineLevel="0" collapsed="false">
      <c r="A476" s="36" t="n">
        <v>396</v>
      </c>
      <c r="B476" s="37" t="n">
        <f aca="false">1+IF($G$6=$E$6,$F$6,IF(P476&lt;($F$6-$E$6)/($G$6-$E$6),$E$6+SQRT(P476*($G$6-$E$6)*($F$6-$E$6)),$G$6-SQRT((1-P476)*($G$6-$E$6)*($G$6-$F$6))))</f>
        <v>0.99732862999293</v>
      </c>
      <c r="C476" s="37" t="n">
        <f aca="false">1+IF($G$7=$E$7,$F$7,IF(Q476&lt;($F$7-$E$7)/($G$7-$E$7),$E$7+SQRT(Q476*($G$7-$E$7)*($F$7-$E$7)),$G$7-SQRT((1-Q476)*($G$7-$E$7)*($G$7-$F$7))))</f>
        <v>1.03806591799959</v>
      </c>
      <c r="D476" s="37" t="n">
        <f aca="false">1+IF($G$8=$E$8,$F$8,IF(R476&lt;($F$8-$E$8)/($G$8-$E$8),$E$8+SQRT(R476*($G$8-$E$8)*($F$8-$E$8)),$G$8-SQRT((1-R476)*($G$8-$E$8)*($G$8-$F$8))))</f>
        <v>0.98849851844722</v>
      </c>
      <c r="E476" s="37" t="n">
        <f aca="false">1+IF($G$9=$E$9,$F$9,IF(S476&lt;($F$9-$E$9)/($G$9-$E$9),$E$9+SQRT(S476*($G$9-$E$9)*($F$9-$E$9)),$G$9-SQRT((1-S476)*($G$9-$E$9)*($G$9-$F$9))))</f>
        <v>1.00861805198546</v>
      </c>
      <c r="F476" s="37" t="n">
        <f aca="false">1+IF($G$10=$E$10,$F$10,IF(T476&lt;($F$10-$E$10)/($G$10-$E$10),$E$10+SQRT(T476*($G$10-$E$10)*($F$10-$E$10)),$G$10-SQRT((1-T476)*($G$10-$E$10)*($G$10-$F$10))))</f>
        <v>1.08377350415326</v>
      </c>
      <c r="G476" s="38" t="n">
        <f aca="false">IF($G$11=$E$11,$F$11,IF(U476&lt;($F$11-$E$11)/($G$11-$E$11),$E$11+SQRT(U476*($G$11-$E$11)*($F$11-$E$11)),$G$11-SQRT((1-U476)*($G$11-$E$11)*($G$11-$F$11))))</f>
        <v>0.103671372534471</v>
      </c>
      <c r="H476" s="39" t="n">
        <f aca="false">(('Business Case'!B11*$C476*'Business Case'!B12*$B476)-'Business Case'!B11*$C476*'Business Case'!B13*$D476-'Business Case'!B14*$E476)-MAX(0,(('Business Case'!B11*$C476*'Business Case'!B12*$B476)-'Business Case'!B11*$C476*'Business Case'!B13*$D476-'Business Case'!B14*$E476))*'Business Case'!$B$7-'Business Case'!$B$8*('Business Case'!B11*$C476*'Business Case'!B12*$B476)-'Business Case'!B15*$F476</f>
        <v>-2167547008.30651</v>
      </c>
      <c r="I476" s="39" t="n">
        <f aca="false">(('Business Case'!C11*$C476*'Business Case'!C12*$B476)-'Business Case'!C11*$C476*'Business Case'!C13*$D476-'Business Case'!C14*$E476)-MAX(0,(('Business Case'!C11*$C476*'Business Case'!C12*$B476)-'Business Case'!C11*$C476*'Business Case'!C13*$D476-'Business Case'!C14*$E476))*'Business Case'!$B$7-'Business Case'!$B$8*(('Business Case'!C11*$C476*'Business Case'!C12*$B476)-('Business Case'!B11*$C476*'Business Case'!B12*$B476))-'Business Case'!C15*$F476</f>
        <v>17212233.7030528</v>
      </c>
      <c r="J476" s="39" t="n">
        <f aca="false">(('Business Case'!D11*$C476*'Business Case'!D12*$B476)-'Business Case'!D11*$C476*'Business Case'!D13*$D476-'Business Case'!D14*$E476)-MAX(0,(('Business Case'!D11*$C476*'Business Case'!D12*$B476)-'Business Case'!D11*$C476*'Business Case'!D13*$D476-'Business Case'!D14*$E476))*'Business Case'!$B$7-'Business Case'!$B$8*(('Business Case'!D11*$C476*'Business Case'!D12*$B476)-('Business Case'!C11*$C476*'Business Case'!C12*$B476))-'Business Case'!D15*$F476</f>
        <v>339896886.667915</v>
      </c>
      <c r="K476" s="39" t="n">
        <f aca="false">(('Business Case'!E11*$C476*'Business Case'!E12*$B476)-'Business Case'!E11*$C476*'Business Case'!E13*$D476-'Business Case'!E14*$E476)-MAX(0,(('Business Case'!E11*$C476*'Business Case'!E12*$B476)-'Business Case'!E11*$C476*'Business Case'!E13*$D476-'Business Case'!E14*$E476))*'Business Case'!$B$7-'Business Case'!$B$8*(('Business Case'!E11*$C476*'Business Case'!E12*$B476)-('Business Case'!D11*$C476*'Business Case'!D12*$B476))-'Business Case'!E15*$F476</f>
        <v>716770214.84044</v>
      </c>
      <c r="L476" s="39" t="n">
        <f aca="false">(('Business Case'!F11*$C476*'Business Case'!F12*$B476)-'Business Case'!F11*$C476*'Business Case'!F13*$D476-'Business Case'!F14*$E476)-MAX(0,(('Business Case'!F11*$C476*'Business Case'!F12*$B476)-'Business Case'!F11*$C476*'Business Case'!F13*$D476-'Business Case'!F14*$E476))*'Business Case'!$B$7-'Business Case'!$B$8*(('Business Case'!F11*$C476*'Business Case'!F12*$B476)-('Business Case'!E11*$C476*'Business Case'!E12*$B476))-'Business Case'!F15*$F476</f>
        <v>860111487.064829</v>
      </c>
      <c r="M476" s="39" t="n">
        <f aca="false">(('Business Case'!G11*$C476*'Business Case'!G12*$B476)-'Business Case'!G11*$C476*'Business Case'!G13*$D476-'Business Case'!G14*$E476)-MAX(0,(('Business Case'!G11*$C476*'Business Case'!G12*$B476)-'Business Case'!G11*$C476*'Business Case'!G13*$D476-'Business Case'!G14*$E476))*'Business Case'!$B$7-'Business Case'!$B$8*(('Business Case'!G11*$C476*'Business Case'!G12*$B476)-('Business Case'!F11*$C476*'Business Case'!F12*$B476))-'Business Case'!G15*$F476+'Business Case'!$B$8*('Business Case'!G11*$C476*'Business Case'!G12*$B476)</f>
        <v>1056899953.86338</v>
      </c>
      <c r="N476" s="39" t="n">
        <f aca="false">IF(COUNT('Business Case'!B11:G11)=0,"",H476+NPV(G476,I476:M476))</f>
        <v>-114648340.840528</v>
      </c>
      <c r="P476" s="40" t="n">
        <f aca="true">RAND()</f>
        <v>0.62288718922745</v>
      </c>
      <c r="Q476" s="40" t="n">
        <f aca="true">RAND()</f>
        <v>0.761347834032887</v>
      </c>
      <c r="R476" s="40" t="n">
        <f aca="true">RAND()</f>
        <v>0.228020911173989</v>
      </c>
      <c r="S476" s="40" t="n">
        <f aca="true">RAND()</f>
        <v>0.443289305137828</v>
      </c>
      <c r="T476" s="40" t="n">
        <f aca="true">RAND()</f>
        <v>0.729828033263736</v>
      </c>
      <c r="U476" s="40" t="n">
        <f aca="true">RAND()</f>
        <v>0.555626541819966</v>
      </c>
    </row>
    <row r="477" customFormat="false" ht="15" hidden="false" customHeight="false" outlineLevel="0" collapsed="false">
      <c r="A477" s="36" t="n">
        <v>397</v>
      </c>
      <c r="B477" s="37" t="n">
        <f aca="false">1+IF($G$6=$E$6,$F$6,IF(P477&lt;($F$6-$E$6)/($G$6-$E$6),$E$6+SQRT(P477*($G$6-$E$6)*($F$6-$E$6)),$G$6-SQRT((1-P477)*($G$6-$E$6)*($G$6-$F$6))))</f>
        <v>1.00779254507651</v>
      </c>
      <c r="C477" s="37" t="n">
        <f aca="false">1+IF($G$7=$E$7,$F$7,IF(Q477&lt;($F$7-$E$7)/($G$7-$E$7),$E$7+SQRT(Q477*($G$7-$E$7)*($F$7-$E$7)),$G$7-SQRT((1-Q477)*($G$7-$E$7)*($G$7-$F$7))))</f>
        <v>0.934522175059062</v>
      </c>
      <c r="D477" s="37" t="n">
        <f aca="false">1+IF($G$8=$E$8,$F$8,IF(R477&lt;($F$8-$E$8)/($G$8-$E$8),$E$8+SQRT(R477*($G$8-$E$8)*($F$8-$E$8)),$G$8-SQRT((1-R477)*($G$8-$E$8)*($G$8-$F$8))))</f>
        <v>0.990835340784744</v>
      </c>
      <c r="E477" s="37" t="n">
        <f aca="false">1+IF($G$9=$E$9,$F$9,IF(S477&lt;($F$9-$E$9)/($G$9-$E$9),$E$9+SQRT(S477*($G$9-$E$9)*($F$9-$E$9)),$G$9-SQRT((1-S477)*($G$9-$E$9)*($G$9-$F$9))))</f>
        <v>0.991632069913029</v>
      </c>
      <c r="F477" s="37" t="n">
        <f aca="false">1+IF($G$10=$E$10,$F$10,IF(T477&lt;($F$10-$E$10)/($G$10-$E$10),$E$10+SQRT(T477*($G$10-$E$10)*($F$10-$E$10)),$G$10-SQRT((1-T477)*($G$10-$E$10)*($G$10-$F$10))))</f>
        <v>1.17253156822269</v>
      </c>
      <c r="G477" s="38" t="n">
        <f aca="false">IF($G$11=$E$11,$F$11,IF(U477&lt;($F$11-$E$11)/($G$11-$E$11),$E$11+SQRT(U477*($G$11-$E$11)*($F$11-$E$11)),$G$11-SQRT((1-U477)*($G$11-$E$11)*($G$11-$F$11))))</f>
        <v>0.109698494449584</v>
      </c>
      <c r="H477" s="39" t="n">
        <f aca="false">(('Business Case'!B11*$C477*'Business Case'!B12*$B477)-'Business Case'!B11*$C477*'Business Case'!B13*$D477-'Business Case'!B14*$E477)-MAX(0,(('Business Case'!B11*$C477*'Business Case'!B12*$B477)-'Business Case'!B11*$C477*'Business Case'!B13*$D477-'Business Case'!B14*$E477))*'Business Case'!$B$7-'Business Case'!$B$8*('Business Case'!B11*$C477*'Business Case'!B12*$B477)-'Business Case'!B15*$F477</f>
        <v>-2345063136.44539</v>
      </c>
      <c r="I477" s="39" t="n">
        <f aca="false">(('Business Case'!C11*$C477*'Business Case'!C12*$B477)-'Business Case'!C11*$C477*'Business Case'!C13*$D477-'Business Case'!C14*$E477)-MAX(0,(('Business Case'!C11*$C477*'Business Case'!C12*$B477)-'Business Case'!C11*$C477*'Business Case'!C13*$D477-'Business Case'!C14*$E477))*'Business Case'!$B$7-'Business Case'!$B$8*(('Business Case'!C11*$C477*'Business Case'!C12*$B477)-('Business Case'!B11*$C477*'Business Case'!B12*$B477))-'Business Case'!C15*$F477</f>
        <v>-9696914.88188382</v>
      </c>
      <c r="J477" s="39" t="n">
        <f aca="false">(('Business Case'!D11*$C477*'Business Case'!D12*$B477)-'Business Case'!D11*$C477*'Business Case'!D13*$D477-'Business Case'!D14*$E477)-MAX(0,(('Business Case'!D11*$C477*'Business Case'!D12*$B477)-'Business Case'!D11*$C477*'Business Case'!D13*$D477-'Business Case'!D14*$E477))*'Business Case'!$B$7-'Business Case'!$B$8*(('Business Case'!D11*$C477*'Business Case'!D12*$B477)-('Business Case'!C11*$C477*'Business Case'!C12*$B477))-'Business Case'!D15*$F477</f>
        <v>287692551.707264</v>
      </c>
      <c r="K477" s="39" t="n">
        <f aca="false">(('Business Case'!E11*$C477*'Business Case'!E12*$B477)-'Business Case'!E11*$C477*'Business Case'!E13*$D477-'Business Case'!E14*$E477)-MAX(0,(('Business Case'!E11*$C477*'Business Case'!E12*$B477)-'Business Case'!E11*$C477*'Business Case'!E13*$D477-'Business Case'!E14*$E477))*'Business Case'!$B$7-'Business Case'!$B$8*(('Business Case'!E11*$C477*'Business Case'!E12*$B477)-('Business Case'!D11*$C477*'Business Case'!D12*$B477))-'Business Case'!E15*$F477</f>
        <v>643708596.707547</v>
      </c>
      <c r="L477" s="39" t="n">
        <f aca="false">(('Business Case'!F11*$C477*'Business Case'!F12*$B477)-'Business Case'!F11*$C477*'Business Case'!F13*$D477-'Business Case'!F14*$E477)-MAX(0,(('Business Case'!F11*$C477*'Business Case'!F12*$B477)-'Business Case'!F11*$C477*'Business Case'!F13*$D477-'Business Case'!F14*$E477))*'Business Case'!$B$7-'Business Case'!$B$8*(('Business Case'!F11*$C477*'Business Case'!F12*$B477)-('Business Case'!E11*$C477*'Business Case'!E12*$B477))-'Business Case'!F15*$F477</f>
        <v>775387181.775349</v>
      </c>
      <c r="M477" s="39" t="n">
        <f aca="false">(('Business Case'!G11*$C477*'Business Case'!G12*$B477)-'Business Case'!G11*$C477*'Business Case'!G13*$D477-'Business Case'!G14*$E477)-MAX(0,(('Business Case'!G11*$C477*'Business Case'!G12*$B477)-'Business Case'!G11*$C477*'Business Case'!G13*$D477-'Business Case'!G14*$E477))*'Business Case'!$B$7-'Business Case'!$B$8*(('Business Case'!G11*$C477*'Business Case'!G12*$B477)-('Business Case'!F11*$C477*'Business Case'!F12*$B477))-'Business Case'!G15*$F477+'Business Case'!$B$8*('Business Case'!G11*$C477*'Business Case'!G12*$B477)</f>
        <v>954405377.568157</v>
      </c>
      <c r="N477" s="39" t="n">
        <f aca="false">IF(COUNT('Business Case'!B11:G11)=0,"",H477+NPV(G477,I477:M477))</f>
        <v>-570629020.483503</v>
      </c>
      <c r="P477" s="40" t="n">
        <f aca="true">RAND()</f>
        <v>0.78389163486483</v>
      </c>
      <c r="Q477" s="40" t="n">
        <f aca="true">RAND()</f>
        <v>0.258517365466012</v>
      </c>
      <c r="R477" s="40" t="n">
        <f aca="true">RAND()</f>
        <v>0.256542316462494</v>
      </c>
      <c r="S477" s="40" t="n">
        <f aca="true">RAND()</f>
        <v>0.231097232699111</v>
      </c>
      <c r="T477" s="40" t="n">
        <f aca="true">RAND()</f>
        <v>0.984909705113911</v>
      </c>
      <c r="U477" s="40" t="n">
        <f aca="true">RAND()</f>
        <v>0.82313163899124</v>
      </c>
    </row>
    <row r="478" customFormat="false" ht="15" hidden="false" customHeight="false" outlineLevel="0" collapsed="false">
      <c r="A478" s="36" t="n">
        <v>398</v>
      </c>
      <c r="B478" s="37" t="n">
        <f aca="false">1+IF($G$6=$E$6,$F$6,IF(P478&lt;($F$6-$E$6)/($G$6-$E$6),$E$6+SQRT(P478*($G$6-$E$6)*($F$6-$E$6)),$G$6-SQRT((1-P478)*($G$6-$E$6)*($G$6-$F$6))))</f>
        <v>0.980092537374331</v>
      </c>
      <c r="C478" s="37" t="n">
        <f aca="false">1+IF($G$7=$E$7,$F$7,IF(Q478&lt;($F$7-$E$7)/($G$7-$E$7),$E$7+SQRT(Q478*($G$7-$E$7)*($F$7-$E$7)),$G$7-SQRT((1-Q478)*($G$7-$E$7)*($G$7-$F$7))))</f>
        <v>0.987397272701568</v>
      </c>
      <c r="D478" s="37" t="n">
        <f aca="false">1+IF($G$8=$E$8,$F$8,IF(R478&lt;($F$8-$E$8)/($G$8-$E$8),$E$8+SQRT(R478*($G$8-$E$8)*($F$8-$E$8)),$G$8-SQRT((1-R478)*($G$8-$E$8)*($G$8-$F$8))))</f>
        <v>0.983135840846312</v>
      </c>
      <c r="E478" s="37" t="n">
        <f aca="false">1+IF($G$9=$E$9,$F$9,IF(S478&lt;($F$9-$E$9)/($G$9-$E$9),$E$9+SQRT(S478*($G$9-$E$9)*($F$9-$E$9)),$G$9-SQRT((1-S478)*($G$9-$E$9)*($G$9-$F$9))))</f>
        <v>0.986199763060629</v>
      </c>
      <c r="F478" s="37" t="n">
        <f aca="false">1+IF($G$10=$E$10,$F$10,IF(T478&lt;($F$10-$E$10)/($G$10-$E$10),$E$10+SQRT(T478*($G$10-$E$10)*($F$10-$E$10)),$G$10-SQRT((1-T478)*($G$10-$E$10)*($G$10-$F$10))))</f>
        <v>0.975335154022217</v>
      </c>
      <c r="G478" s="38" t="n">
        <f aca="false">IF($G$11=$E$11,$F$11,IF(U478&lt;($F$11-$E$11)/($G$11-$E$11),$E$11+SQRT(U478*($G$11-$E$11)*($F$11-$E$11)),$G$11-SQRT((1-U478)*($G$11-$E$11)*($G$11-$F$11))))</f>
        <v>0.116883423254092</v>
      </c>
      <c r="H478" s="39" t="n">
        <f aca="false">(('Business Case'!B11*$C478*'Business Case'!B12*$B478)-'Business Case'!B11*$C478*'Business Case'!B13*$D478-'Business Case'!B14*$E478)-MAX(0,(('Business Case'!B11*$C478*'Business Case'!B12*$B478)-'Business Case'!B11*$C478*'Business Case'!B13*$D478-'Business Case'!B14*$E478))*'Business Case'!$B$7-'Business Case'!$B$8*('Business Case'!B11*$C478*'Business Case'!B12*$B478)-'Business Case'!B15*$F478</f>
        <v>-1950670308.04443</v>
      </c>
      <c r="I478" s="39" t="n">
        <f aca="false">(('Business Case'!C11*$C478*'Business Case'!C12*$B478)-'Business Case'!C11*$C478*'Business Case'!C13*$D478-'Business Case'!C14*$E478)-MAX(0,(('Business Case'!C11*$C478*'Business Case'!C12*$B478)-'Business Case'!C11*$C478*'Business Case'!C13*$D478-'Business Case'!C14*$E478))*'Business Case'!$B$7-'Business Case'!$B$8*(('Business Case'!C11*$C478*'Business Case'!C12*$B478)-('Business Case'!B11*$C478*'Business Case'!B12*$B478))-'Business Case'!C15*$F478</f>
        <v>7766397.70735997</v>
      </c>
      <c r="J478" s="39" t="n">
        <f aca="false">(('Business Case'!D11*$C478*'Business Case'!D12*$B478)-'Business Case'!D11*$C478*'Business Case'!D13*$D478-'Business Case'!D14*$E478)-MAX(0,(('Business Case'!D11*$C478*'Business Case'!D12*$B478)-'Business Case'!D11*$C478*'Business Case'!D13*$D478-'Business Case'!D14*$E478))*'Business Case'!$B$7-'Business Case'!$B$8*(('Business Case'!D11*$C478*'Business Case'!D12*$B478)-('Business Case'!C11*$C478*'Business Case'!C12*$B478))-'Business Case'!D15*$F478</f>
        <v>303471594.929145</v>
      </c>
      <c r="K478" s="39" t="n">
        <f aca="false">(('Business Case'!E11*$C478*'Business Case'!E12*$B478)-'Business Case'!E11*$C478*'Business Case'!E13*$D478-'Business Case'!E14*$E478)-MAX(0,(('Business Case'!E11*$C478*'Business Case'!E12*$B478)-'Business Case'!E11*$C478*'Business Case'!E13*$D478-'Business Case'!E14*$E478))*'Business Case'!$B$7-'Business Case'!$B$8*(('Business Case'!E11*$C478*'Business Case'!E12*$B478)-('Business Case'!D11*$C478*'Business Case'!D12*$B478))-'Business Case'!E15*$F478</f>
        <v>647943549.852041</v>
      </c>
      <c r="L478" s="39" t="n">
        <f aca="false">(('Business Case'!F11*$C478*'Business Case'!F12*$B478)-'Business Case'!F11*$C478*'Business Case'!F13*$D478-'Business Case'!F14*$E478)-MAX(0,(('Business Case'!F11*$C478*'Business Case'!F12*$B478)-'Business Case'!F11*$C478*'Business Case'!F13*$D478-'Business Case'!F14*$E478))*'Business Case'!$B$7-'Business Case'!$B$8*(('Business Case'!F11*$C478*'Business Case'!F12*$B478)-('Business Case'!E11*$C478*'Business Case'!E12*$B478))-'Business Case'!F15*$F478</f>
        <v>779957067.462624</v>
      </c>
      <c r="M478" s="39" t="n">
        <f aca="false">(('Business Case'!G11*$C478*'Business Case'!G12*$B478)-'Business Case'!G11*$C478*'Business Case'!G13*$D478-'Business Case'!G14*$E478)-MAX(0,(('Business Case'!G11*$C478*'Business Case'!G12*$B478)-'Business Case'!G11*$C478*'Business Case'!G13*$D478-'Business Case'!G14*$E478))*'Business Case'!$B$7-'Business Case'!$B$8*(('Business Case'!G11*$C478*'Business Case'!G12*$B478)-('Business Case'!F11*$C478*'Business Case'!F12*$B478))-'Business Case'!G15*$F478+'Business Case'!$B$8*('Business Case'!G11*$C478*'Business Case'!G12*$B478)</f>
        <v>963905219.414225</v>
      </c>
      <c r="N478" s="39" t="n">
        <f aca="false">IF(COUNT('Business Case'!B11:G11)=0,"",H478+NPV(G478,I478:M478))</f>
        <v>-179521895.05427</v>
      </c>
      <c r="P478" s="40" t="n">
        <f aca="true">RAND()</f>
        <v>0.376157609175558</v>
      </c>
      <c r="Q478" s="40" t="n">
        <f aca="true">RAND()</f>
        <v>0.501681968799799</v>
      </c>
      <c r="R478" s="40" t="n">
        <f aca="true">RAND()</f>
        <v>0.168920607475712</v>
      </c>
      <c r="S478" s="40" t="n">
        <f aca="true">RAND()</f>
        <v>0.174723046086086</v>
      </c>
      <c r="T478" s="40" t="n">
        <f aca="true">RAND()</f>
        <v>0.051349602346357</v>
      </c>
      <c r="U478" s="40" t="n">
        <f aca="true">RAND()</f>
        <v>0.983811582311445</v>
      </c>
    </row>
    <row r="479" customFormat="false" ht="15" hidden="false" customHeight="false" outlineLevel="0" collapsed="false">
      <c r="A479" s="36" t="n">
        <v>399</v>
      </c>
      <c r="B479" s="37" t="n">
        <f aca="false">1+IF($G$6=$E$6,$F$6,IF(P479&lt;($F$6-$E$6)/($G$6-$E$6),$E$6+SQRT(P479*($G$6-$E$6)*($F$6-$E$6)),$G$6-SQRT((1-P479)*($G$6-$E$6)*($G$6-$F$6))))</f>
        <v>1.0053454643787</v>
      </c>
      <c r="C479" s="37" t="n">
        <f aca="false">1+IF($G$7=$E$7,$F$7,IF(Q479&lt;($F$7-$E$7)/($G$7-$E$7),$E$7+SQRT(Q479*($G$7-$E$7)*($F$7-$E$7)),$G$7-SQRT((1-Q479)*($G$7-$E$7)*($G$7-$F$7))))</f>
        <v>0.913942785366108</v>
      </c>
      <c r="D479" s="37" t="n">
        <f aca="false">1+IF($G$8=$E$8,$F$8,IF(R479&lt;($F$8-$E$8)/($G$8-$E$8),$E$8+SQRT(R479*($G$8-$E$8)*($F$8-$E$8)),$G$8-SQRT((1-R479)*($G$8-$E$8)*($G$8-$F$8))))</f>
        <v>0.995144597904928</v>
      </c>
      <c r="E479" s="37" t="n">
        <f aca="false">1+IF($G$9=$E$9,$F$9,IF(S479&lt;($F$9-$E$9)/($G$9-$E$9),$E$9+SQRT(S479*($G$9-$E$9)*($F$9-$E$9)),$G$9-SQRT((1-S479)*($G$9-$E$9)*($G$9-$F$9))))</f>
        <v>1.01660140468844</v>
      </c>
      <c r="F479" s="37" t="n">
        <f aca="false">1+IF($G$10=$E$10,$F$10,IF(T479&lt;($F$10-$E$10)/($G$10-$E$10),$E$10+SQRT(T479*($G$10-$E$10)*($F$10-$E$10)),$G$10-SQRT((1-T479)*($G$10-$E$10)*($G$10-$F$10))))</f>
        <v>1.02710703343461</v>
      </c>
      <c r="G479" s="38" t="n">
        <f aca="false">IF($G$11=$E$11,$F$11,IF(U479&lt;($F$11-$E$11)/($G$11-$E$11),$E$11+SQRT(U479*($G$11-$E$11)*($F$11-$E$11)),$G$11-SQRT((1-U479)*($G$11-$E$11)*($G$11-$F$11))))</f>
        <v>0.105196722793375</v>
      </c>
      <c r="H479" s="39" t="n">
        <f aca="false">(('Business Case'!B11*$C479*'Business Case'!B12*$B479)-'Business Case'!B11*$C479*'Business Case'!B13*$D479-'Business Case'!B14*$E479)-MAX(0,(('Business Case'!B11*$C479*'Business Case'!B12*$B479)-'Business Case'!B11*$C479*'Business Case'!B13*$D479-'Business Case'!B14*$E479))*'Business Case'!$B$7-'Business Case'!$B$8*('Business Case'!B11*$C479*'Business Case'!B12*$B479)-'Business Case'!B15*$F479</f>
        <v>-2054214066.86921</v>
      </c>
      <c r="I479" s="39" t="n">
        <f aca="false">(('Business Case'!C11*$C479*'Business Case'!C12*$B479)-'Business Case'!C11*$C479*'Business Case'!C13*$D479-'Business Case'!C14*$E479)-MAX(0,(('Business Case'!C11*$C479*'Business Case'!C12*$B479)-'Business Case'!C11*$C479*'Business Case'!C13*$D479-'Business Case'!C14*$E479))*'Business Case'!$B$7-'Business Case'!$B$8*(('Business Case'!C11*$C479*'Business Case'!C12*$B479)-('Business Case'!B11*$C479*'Business Case'!B12*$B479))-'Business Case'!C15*$F479</f>
        <v>-7910914.60070039</v>
      </c>
      <c r="J479" s="39" t="n">
        <f aca="false">(('Business Case'!D11*$C479*'Business Case'!D12*$B479)-'Business Case'!D11*$C479*'Business Case'!D13*$D479-'Business Case'!D14*$E479)-MAX(0,(('Business Case'!D11*$C479*'Business Case'!D12*$B479)-'Business Case'!D11*$C479*'Business Case'!D13*$D479-'Business Case'!D14*$E479))*'Business Case'!$B$7-'Business Case'!$B$8*(('Business Case'!D11*$C479*'Business Case'!D12*$B479)-('Business Case'!C11*$C479*'Business Case'!C12*$B479))-'Business Case'!D15*$F479</f>
        <v>279081649.537733</v>
      </c>
      <c r="K479" s="39" t="n">
        <f aca="false">(('Business Case'!E11*$C479*'Business Case'!E12*$B479)-'Business Case'!E11*$C479*'Business Case'!E13*$D479-'Business Case'!E14*$E479)-MAX(0,(('Business Case'!E11*$C479*'Business Case'!E12*$B479)-'Business Case'!E11*$C479*'Business Case'!E13*$D479-'Business Case'!E14*$E479))*'Business Case'!$B$7-'Business Case'!$B$8*(('Business Case'!E11*$C479*'Business Case'!E12*$B479)-('Business Case'!D11*$C479*'Business Case'!D12*$B479))-'Business Case'!E15*$F479</f>
        <v>617429565.347897</v>
      </c>
      <c r="L479" s="39" t="n">
        <f aca="false">(('Business Case'!F11*$C479*'Business Case'!F12*$B479)-'Business Case'!F11*$C479*'Business Case'!F13*$D479-'Business Case'!F14*$E479)-MAX(0,(('Business Case'!F11*$C479*'Business Case'!F12*$B479)-'Business Case'!F11*$C479*'Business Case'!F13*$D479-'Business Case'!F14*$E479))*'Business Case'!$B$7-'Business Case'!$B$8*(('Business Case'!F11*$C479*'Business Case'!F12*$B479)-('Business Case'!E11*$C479*'Business Case'!E12*$B479))-'Business Case'!F15*$F479</f>
        <v>744848457.160026</v>
      </c>
      <c r="M479" s="39" t="n">
        <f aca="false">(('Business Case'!G11*$C479*'Business Case'!G12*$B479)-'Business Case'!G11*$C479*'Business Case'!G13*$D479-'Business Case'!G14*$E479)-MAX(0,(('Business Case'!G11*$C479*'Business Case'!G12*$B479)-'Business Case'!G11*$C479*'Business Case'!G13*$D479-'Business Case'!G14*$E479))*'Business Case'!$B$7-'Business Case'!$B$8*(('Business Case'!G11*$C479*'Business Case'!G12*$B479)-('Business Case'!F11*$C479*'Business Case'!F12*$B479))-'Business Case'!G15*$F479+'Business Case'!$B$8*('Business Case'!G11*$C479*'Business Case'!G12*$B479)</f>
        <v>919499327.87294</v>
      </c>
      <c r="N479" s="39" t="n">
        <f aca="false">IF(COUNT('Business Case'!B11:G11)=0,"",H479+NPV(G479,I479:M479))</f>
        <v>-318639245.968596</v>
      </c>
      <c r="P479" s="40" t="n">
        <f aca="true">RAND()</f>
        <v>0.749804825181716</v>
      </c>
      <c r="Q479" s="40" t="n">
        <f aca="true">RAND()</f>
        <v>0.185470833385529</v>
      </c>
      <c r="R479" s="40" t="n">
        <f aca="true">RAND()</f>
        <v>0.31354380307656</v>
      </c>
      <c r="S479" s="40" t="n">
        <f aca="true">RAND()</f>
        <v>0.536311620003963</v>
      </c>
      <c r="T479" s="40" t="n">
        <f aca="true">RAND()</f>
        <v>0.40216044224435</v>
      </c>
      <c r="U479" s="40" t="n">
        <f aca="true">RAND()</f>
        <v>0.634771639906353</v>
      </c>
    </row>
    <row r="480" customFormat="false" ht="15" hidden="false" customHeight="false" outlineLevel="0" collapsed="false">
      <c r="A480" s="36" t="n">
        <v>400</v>
      </c>
      <c r="B480" s="37" t="n">
        <f aca="false">1+IF($G$6=$E$6,$F$6,IF(P480&lt;($F$6-$E$6)/($G$6-$E$6),$E$6+SQRT(P480*($G$6-$E$6)*($F$6-$E$6)),$G$6-SQRT((1-P480)*($G$6-$E$6)*($G$6-$F$6))))</f>
        <v>1.03318371544735</v>
      </c>
      <c r="C480" s="37" t="n">
        <f aca="false">1+IF($G$7=$E$7,$F$7,IF(Q480&lt;($F$7-$E$7)/($G$7-$E$7),$E$7+SQRT(Q480*($G$7-$E$7)*($F$7-$E$7)),$G$7-SQRT((1-Q480)*($G$7-$E$7)*($G$7-$F$7))))</f>
        <v>0.993186948487214</v>
      </c>
      <c r="D480" s="37" t="n">
        <f aca="false">1+IF($G$8=$E$8,$F$8,IF(R480&lt;($F$8-$E$8)/($G$8-$E$8),$E$8+SQRT(R480*($G$8-$E$8)*($F$8-$E$8)),$G$8-SQRT((1-R480)*($G$8-$E$8)*($G$8-$F$8))))</f>
        <v>0.964180643972344</v>
      </c>
      <c r="E480" s="37" t="n">
        <f aca="false">1+IF($G$9=$E$9,$F$9,IF(S480&lt;($F$9-$E$9)/($G$9-$E$9),$E$9+SQRT(S480*($G$9-$E$9)*($F$9-$E$9)),$G$9-SQRT((1-S480)*($G$9-$E$9)*($G$9-$F$9))))</f>
        <v>1.04575013075747</v>
      </c>
      <c r="F480" s="37" t="n">
        <f aca="false">1+IF($G$10=$E$10,$F$10,IF(T480&lt;($F$10-$E$10)/($G$10-$E$10),$E$10+SQRT(T480*($G$10-$E$10)*($F$10-$E$10)),$G$10-SQRT((1-T480)*($G$10-$E$10)*($G$10-$F$10))))</f>
        <v>1.0276805992343</v>
      </c>
      <c r="G480" s="38" t="n">
        <f aca="false">IF($G$11=$E$11,$F$11,IF(U480&lt;($F$11-$E$11)/($G$11-$E$11),$E$11+SQRT(U480*($G$11-$E$11)*($F$11-$E$11)),$G$11-SQRT((1-U480)*($G$11-$E$11)*($G$11-$F$11))))</f>
        <v>0.116420329887496</v>
      </c>
      <c r="H480" s="39" t="n">
        <f aca="false">(('Business Case'!B11*$C480*'Business Case'!B12*$B480)-'Business Case'!B11*$C480*'Business Case'!B13*$D480-'Business Case'!B14*$E480)-MAX(0,(('Business Case'!B11*$C480*'Business Case'!B12*$B480)-'Business Case'!B11*$C480*'Business Case'!B13*$D480-'Business Case'!B14*$E480))*'Business Case'!$B$7-'Business Case'!$B$8*('Business Case'!B11*$C480*'Business Case'!B12*$B480)-'Business Case'!B15*$F480</f>
        <v>-2055361198.4686</v>
      </c>
      <c r="I480" s="39" t="n">
        <f aca="false">(('Business Case'!C11*$C480*'Business Case'!C12*$B480)-'Business Case'!C11*$C480*'Business Case'!C13*$D480-'Business Case'!C14*$E480)-MAX(0,(('Business Case'!C11*$C480*'Business Case'!C12*$B480)-'Business Case'!C11*$C480*'Business Case'!C13*$D480-'Business Case'!C14*$E480))*'Business Case'!$B$7-'Business Case'!$B$8*(('Business Case'!C11*$C480*'Business Case'!C12*$B480)-('Business Case'!B11*$C480*'Business Case'!B12*$B480))-'Business Case'!C15*$F480</f>
        <v>45596684.6543156</v>
      </c>
      <c r="J480" s="39" t="n">
        <f aca="false">(('Business Case'!D11*$C480*'Business Case'!D12*$B480)-'Business Case'!D11*$C480*'Business Case'!D13*$D480-'Business Case'!D14*$E480)-MAX(0,(('Business Case'!D11*$C480*'Business Case'!D12*$B480)-'Business Case'!D11*$C480*'Business Case'!D13*$D480-'Business Case'!D14*$E480))*'Business Case'!$B$7-'Business Case'!$B$8*(('Business Case'!D11*$C480*'Business Case'!D12*$B480)-('Business Case'!C11*$C480*'Business Case'!C12*$B480))-'Business Case'!D15*$F480</f>
        <v>395862432.934458</v>
      </c>
      <c r="K480" s="39" t="n">
        <f aca="false">(('Business Case'!E11*$C480*'Business Case'!E12*$B480)-'Business Case'!E11*$C480*'Business Case'!E13*$D480-'Business Case'!E14*$E480)-MAX(0,(('Business Case'!E11*$C480*'Business Case'!E12*$B480)-'Business Case'!E11*$C480*'Business Case'!E13*$D480-'Business Case'!E14*$E480))*'Business Case'!$B$7-'Business Case'!$B$8*(('Business Case'!E11*$C480*'Business Case'!E12*$B480)-('Business Case'!D11*$C480*'Business Case'!D12*$B480))-'Business Case'!E15*$F480</f>
        <v>797512211.176315</v>
      </c>
      <c r="L480" s="39" t="n">
        <f aca="false">(('Business Case'!F11*$C480*'Business Case'!F12*$B480)-'Business Case'!F11*$C480*'Business Case'!F13*$D480-'Business Case'!F14*$E480)-MAX(0,(('Business Case'!F11*$C480*'Business Case'!F12*$B480)-'Business Case'!F11*$C480*'Business Case'!F13*$D480-'Business Case'!F14*$E480))*'Business Case'!$B$7-'Business Case'!$B$8*(('Business Case'!F11*$C480*'Business Case'!F12*$B480)-('Business Case'!E11*$C480*'Business Case'!E12*$B480))-'Business Case'!F15*$F480</f>
        <v>949731017.342152</v>
      </c>
      <c r="M480" s="39" t="n">
        <f aca="false">(('Business Case'!G11*$C480*'Business Case'!G12*$B480)-'Business Case'!G11*$C480*'Business Case'!G13*$D480-'Business Case'!G14*$E480)-MAX(0,(('Business Case'!G11*$C480*'Business Case'!G12*$B480)-'Business Case'!G11*$C480*'Business Case'!G13*$D480-'Business Case'!G14*$E480))*'Business Case'!$B$7-'Business Case'!$B$8*(('Business Case'!G11*$C480*'Business Case'!G12*$B480)-('Business Case'!F11*$C480*'Business Case'!F12*$B480))-'Business Case'!G15*$F480+'Business Case'!$B$8*('Business Case'!G11*$C480*'Business Case'!G12*$B480)</f>
        <v>1144780579.40733</v>
      </c>
      <c r="N480" s="39" t="n">
        <f aca="false">IF(COUNT('Business Case'!B11:G11)=0,"",H480+NPV(G480,I480:M480))</f>
        <v>147627957.179612</v>
      </c>
      <c r="P480" s="40" t="n">
        <f aca="true">RAND()</f>
        <v>0.990320471853613</v>
      </c>
      <c r="Q480" s="40" t="n">
        <f aca="true">RAND()</f>
        <v>0.533159958082878</v>
      </c>
      <c r="R480" s="40" t="n">
        <f aca="true">RAND()</f>
        <v>0.0309370251492887</v>
      </c>
      <c r="S480" s="40" t="n">
        <f aca="true">RAND()</f>
        <v>0.803796779144583</v>
      </c>
      <c r="T480" s="40" t="n">
        <f aca="true">RAND()</f>
        <v>0.406120482394993</v>
      </c>
      <c r="U480" s="40" t="n">
        <f aca="true">RAND()</f>
        <v>0.978643269809415</v>
      </c>
    </row>
    <row r="481" customFormat="false" ht="15" hidden="false" customHeight="false" outlineLevel="0" collapsed="false">
      <c r="A481" s="36" t="n">
        <v>401</v>
      </c>
      <c r="B481" s="37" t="n">
        <f aca="false">1+IF($G$6=$E$6,$F$6,IF(P481&lt;($F$6-$E$6)/($G$6-$E$6),$E$6+SQRT(P481*($G$6-$E$6)*($F$6-$E$6)),$G$6-SQRT((1-P481)*($G$6-$E$6)*($G$6-$F$6))))</f>
        <v>0.992594283128421</v>
      </c>
      <c r="C481" s="37" t="n">
        <f aca="false">1+IF($G$7=$E$7,$F$7,IF(Q481&lt;($F$7-$E$7)/($G$7-$E$7),$E$7+SQRT(Q481*($G$7-$E$7)*($F$7-$E$7)),$G$7-SQRT((1-Q481)*($G$7-$E$7)*($G$7-$F$7))))</f>
        <v>0.903468672112359</v>
      </c>
      <c r="D481" s="37" t="n">
        <f aca="false">1+IF($G$8=$E$8,$F$8,IF(R481&lt;($F$8-$E$8)/($G$8-$E$8),$E$8+SQRT(R481*($G$8-$E$8)*($F$8-$E$8)),$G$8-SQRT((1-R481)*($G$8-$E$8)*($G$8-$F$8))))</f>
        <v>1.00955972021401</v>
      </c>
      <c r="E481" s="37" t="n">
        <f aca="false">1+IF($G$9=$E$9,$F$9,IF(S481&lt;($F$9-$E$9)/($G$9-$E$9),$E$9+SQRT(S481*($G$9-$E$9)*($F$9-$E$9)),$G$9-SQRT((1-S481)*($G$9-$E$9)*($G$9-$F$9))))</f>
        <v>0.99322613125107</v>
      </c>
      <c r="F481" s="37" t="n">
        <f aca="false">1+IF($G$10=$E$10,$F$10,IF(T481&lt;($F$10-$E$10)/($G$10-$E$10),$E$10+SQRT(T481*($G$10-$E$10)*($F$10-$E$10)),$G$10-SQRT((1-T481)*($G$10-$E$10)*($G$10-$F$10))))</f>
        <v>1.01506706451284</v>
      </c>
      <c r="G481" s="38" t="n">
        <f aca="false">IF($G$11=$E$11,$F$11,IF(U481&lt;($F$11-$E$11)/($G$11-$E$11),$E$11+SQRT(U481*($G$11-$E$11)*($F$11-$E$11)),$G$11-SQRT((1-U481)*($G$11-$E$11)*($G$11-$F$11))))</f>
        <v>0.107961976201924</v>
      </c>
      <c r="H481" s="39" t="n">
        <f aca="false">(('Business Case'!B11*$C481*'Business Case'!B12*$B481)-'Business Case'!B11*$C481*'Business Case'!B13*$D481-'Business Case'!B14*$E481)-MAX(0,(('Business Case'!B11*$C481*'Business Case'!B12*$B481)-'Business Case'!B11*$C481*'Business Case'!B13*$D481-'Business Case'!B14*$E481))*'Business Case'!$B$7-'Business Case'!$B$8*('Business Case'!B11*$C481*'Business Case'!B12*$B481)-'Business Case'!B15*$F481</f>
        <v>-2030134129.02568</v>
      </c>
      <c r="I481" s="39" t="n">
        <f aca="false">(('Business Case'!C11*$C481*'Business Case'!C12*$B481)-'Business Case'!C11*$C481*'Business Case'!C13*$D481-'Business Case'!C14*$E481)-MAX(0,(('Business Case'!C11*$C481*'Business Case'!C12*$B481)-'Business Case'!C11*$C481*'Business Case'!C13*$D481-'Business Case'!C14*$E481))*'Business Case'!$B$7-'Business Case'!$B$8*(('Business Case'!C11*$C481*'Business Case'!C12*$B481)-('Business Case'!B11*$C481*'Business Case'!B12*$B481))-'Business Case'!C15*$F481</f>
        <v>-21631895.8332045</v>
      </c>
      <c r="J481" s="39" t="n">
        <f aca="false">(('Business Case'!D11*$C481*'Business Case'!D12*$B481)-'Business Case'!D11*$C481*'Business Case'!D13*$D481-'Business Case'!D14*$E481)-MAX(0,(('Business Case'!D11*$C481*'Business Case'!D12*$B481)-'Business Case'!D11*$C481*'Business Case'!D13*$D481-'Business Case'!D14*$E481))*'Business Case'!$B$7-'Business Case'!$B$8*(('Business Case'!D11*$C481*'Business Case'!D12*$B481)-('Business Case'!C11*$C481*'Business Case'!C12*$B481))-'Business Case'!D15*$F481</f>
        <v>245968633.818615</v>
      </c>
      <c r="K481" s="39" t="n">
        <f aca="false">(('Business Case'!E11*$C481*'Business Case'!E12*$B481)-'Business Case'!E11*$C481*'Business Case'!E13*$D481-'Business Case'!E14*$E481)-MAX(0,(('Business Case'!E11*$C481*'Business Case'!E12*$B481)-'Business Case'!E11*$C481*'Business Case'!E13*$D481-'Business Case'!E14*$E481))*'Business Case'!$B$7-'Business Case'!$B$8*(('Business Case'!E11*$C481*'Business Case'!E12*$B481)-('Business Case'!D11*$C481*'Business Case'!D12*$B481))-'Business Case'!E15*$F481</f>
        <v>564322516.696077</v>
      </c>
      <c r="L481" s="39" t="n">
        <f aca="false">(('Business Case'!F11*$C481*'Business Case'!F12*$B481)-'Business Case'!F11*$C481*'Business Case'!F13*$D481-'Business Case'!F14*$E481)-MAX(0,(('Business Case'!F11*$C481*'Business Case'!F12*$B481)-'Business Case'!F11*$C481*'Business Case'!F13*$D481-'Business Case'!F14*$E481))*'Business Case'!$B$7-'Business Case'!$B$8*(('Business Case'!F11*$C481*'Business Case'!F12*$B481)-('Business Case'!E11*$C481*'Business Case'!E12*$B481))-'Business Case'!F15*$F481</f>
        <v>684515335.359909</v>
      </c>
      <c r="M481" s="39" t="n">
        <f aca="false">(('Business Case'!G11*$C481*'Business Case'!G12*$B481)-'Business Case'!G11*$C481*'Business Case'!G13*$D481-'Business Case'!G14*$E481)-MAX(0,(('Business Case'!G11*$C481*'Business Case'!G12*$B481)-'Business Case'!G11*$C481*'Business Case'!G13*$D481-'Business Case'!G14*$E481))*'Business Case'!$B$7-'Business Case'!$B$8*(('Business Case'!G11*$C481*'Business Case'!G12*$B481)-('Business Case'!F11*$C481*'Business Case'!F12*$B481))-'Business Case'!G15*$F481+'Business Case'!$B$8*('Business Case'!G11*$C481*'Business Case'!G12*$B481)</f>
        <v>854974866.98265</v>
      </c>
      <c r="N481" s="39" t="n">
        <f aca="false">IF(COUNT('Business Case'!B11:G11)=0,"",H481+NPV(G481,I481:M481))</f>
        <v>-468072456.804609</v>
      </c>
      <c r="P481" s="40" t="n">
        <f aca="true">RAND()</f>
        <v>0.548951035721805</v>
      </c>
      <c r="Q481" s="40" t="n">
        <f aca="true">RAND()</f>
        <v>0.152939515838499</v>
      </c>
      <c r="R481" s="40" t="n">
        <f aca="true">RAND()</f>
        <v>0.522900671506831</v>
      </c>
      <c r="S481" s="40" t="n">
        <f aca="true">RAND()</f>
        <v>0.249133123057958</v>
      </c>
      <c r="T481" s="40" t="n">
        <f aca="true">RAND()</f>
        <v>0.315996187442021</v>
      </c>
      <c r="U481" s="40" t="n">
        <f aca="true">RAND()</f>
        <v>0.758476638394933</v>
      </c>
    </row>
    <row r="482" customFormat="false" ht="15" hidden="false" customHeight="false" outlineLevel="0" collapsed="false">
      <c r="A482" s="36" t="n">
        <v>402</v>
      </c>
      <c r="B482" s="37" t="n">
        <f aca="false">1+IF($G$6=$E$6,$F$6,IF(P482&lt;($F$6-$E$6)/($G$6-$E$6),$E$6+SQRT(P482*($G$6-$E$6)*($F$6-$E$6)),$G$6-SQRT((1-P482)*($G$6-$E$6)*($G$6-$F$6))))</f>
        <v>0.993632109539452</v>
      </c>
      <c r="C482" s="37" t="n">
        <f aca="false">1+IF($G$7=$E$7,$F$7,IF(Q482&lt;($F$7-$E$7)/($G$7-$E$7),$E$7+SQRT(Q482*($G$7-$E$7)*($F$7-$E$7)),$G$7-SQRT((1-Q482)*($G$7-$E$7)*($G$7-$F$7))))</f>
        <v>0.988426266370753</v>
      </c>
      <c r="D482" s="37" t="n">
        <f aca="false">1+IF($G$8=$E$8,$F$8,IF(R482&lt;($F$8-$E$8)/($G$8-$E$8),$E$8+SQRT(R482*($G$8-$E$8)*($F$8-$E$8)),$G$8-SQRT((1-R482)*($G$8-$E$8)*($G$8-$F$8))))</f>
        <v>1.03107369447349</v>
      </c>
      <c r="E482" s="37" t="n">
        <f aca="false">1+IF($G$9=$E$9,$F$9,IF(S482&lt;($F$9-$E$9)/($G$9-$E$9),$E$9+SQRT(S482*($G$9-$E$9)*($F$9-$E$9)),$G$9-SQRT((1-S482)*($G$9-$E$9)*($G$9-$F$9))))</f>
        <v>0.961664179760002</v>
      </c>
      <c r="F482" s="37" t="n">
        <f aca="false">1+IF($G$10=$E$10,$F$10,IF(T482&lt;($F$10-$E$10)/($G$10-$E$10),$E$10+SQRT(T482*($G$10-$E$10)*($F$10-$E$10)),$G$10-SQRT((1-T482)*($G$10-$E$10)*($G$10-$F$10))))</f>
        <v>1.02490983991919</v>
      </c>
      <c r="G482" s="38" t="n">
        <f aca="false">IF($G$11=$E$11,$F$11,IF(U482&lt;($F$11-$E$11)/($G$11-$E$11),$E$11+SQRT(U482*($G$11-$E$11)*($F$11-$E$11)),$G$11-SQRT((1-U482)*($G$11-$E$11)*($G$11-$F$11))))</f>
        <v>0.114636561801349</v>
      </c>
      <c r="H482" s="39" t="n">
        <f aca="false">(('Business Case'!B11*$C482*'Business Case'!B12*$B482)-'Business Case'!B11*$C482*'Business Case'!B13*$D482-'Business Case'!B14*$E482)-MAX(0,(('Business Case'!B11*$C482*'Business Case'!B12*$B482)-'Business Case'!B11*$C482*'Business Case'!B13*$D482-'Business Case'!B14*$E482))*'Business Case'!$B$7-'Business Case'!$B$8*('Business Case'!B11*$C482*'Business Case'!B12*$B482)-'Business Case'!B15*$F482</f>
        <v>-2049819679.83838</v>
      </c>
      <c r="I482" s="39" t="n">
        <f aca="false">(('Business Case'!C11*$C482*'Business Case'!C12*$B482)-'Business Case'!C11*$C482*'Business Case'!C13*$D482-'Business Case'!C14*$E482)-MAX(0,(('Business Case'!C11*$C482*'Business Case'!C12*$B482)-'Business Case'!C11*$C482*'Business Case'!C13*$D482-'Business Case'!C14*$E482))*'Business Case'!$B$7-'Business Case'!$B$8*(('Business Case'!C11*$C482*'Business Case'!C12*$B482)-('Business Case'!B11*$C482*'Business Case'!B12*$B482))-'Business Case'!C15*$F482</f>
        <v>-7434787.0146286</v>
      </c>
      <c r="J482" s="39" t="n">
        <f aca="false">(('Business Case'!D11*$C482*'Business Case'!D12*$B482)-'Business Case'!D11*$C482*'Business Case'!D13*$D482-'Business Case'!D14*$E482)-MAX(0,(('Business Case'!D11*$C482*'Business Case'!D12*$B482)-'Business Case'!D11*$C482*'Business Case'!D13*$D482-'Business Case'!D14*$E482))*'Business Case'!$B$7-'Business Case'!$B$8*(('Business Case'!D11*$C482*'Business Case'!D12*$B482)-('Business Case'!C11*$C482*'Business Case'!C12*$B482))-'Business Case'!D15*$F482</f>
        <v>275283783.153611</v>
      </c>
      <c r="K482" s="39" t="n">
        <f aca="false">(('Business Case'!E11*$C482*'Business Case'!E12*$B482)-'Business Case'!E11*$C482*'Business Case'!E13*$D482-'Business Case'!E14*$E482)-MAX(0,(('Business Case'!E11*$C482*'Business Case'!E12*$B482)-'Business Case'!E11*$C482*'Business Case'!E13*$D482-'Business Case'!E14*$E482))*'Business Case'!$B$7-'Business Case'!$B$8*(('Business Case'!E11*$C482*'Business Case'!E12*$B482)-('Business Case'!D11*$C482*'Business Case'!D12*$B482))-'Business Case'!E15*$F482</f>
        <v>609247845.317809</v>
      </c>
      <c r="L482" s="39" t="n">
        <f aca="false">(('Business Case'!F11*$C482*'Business Case'!F12*$B482)-'Business Case'!F11*$C482*'Business Case'!F13*$D482-'Business Case'!F14*$E482)-MAX(0,(('Business Case'!F11*$C482*'Business Case'!F12*$B482)-'Business Case'!F11*$C482*'Business Case'!F13*$D482-'Business Case'!F14*$E482))*'Business Case'!$B$7-'Business Case'!$B$8*(('Business Case'!F11*$C482*'Business Case'!F12*$B482)-('Business Case'!E11*$C482*'Business Case'!E12*$B482))-'Business Case'!F15*$F482</f>
        <v>737429853.25994</v>
      </c>
      <c r="M482" s="39" t="n">
        <f aca="false">(('Business Case'!G11*$C482*'Business Case'!G12*$B482)-'Business Case'!G11*$C482*'Business Case'!G13*$D482-'Business Case'!G14*$E482)-MAX(0,(('Business Case'!G11*$C482*'Business Case'!G12*$B482)-'Business Case'!G11*$C482*'Business Case'!G13*$D482-'Business Case'!G14*$E482))*'Business Case'!$B$7-'Business Case'!$B$8*(('Business Case'!G11*$C482*'Business Case'!G12*$B482)-('Business Case'!F11*$C482*'Business Case'!F12*$B482))-'Business Case'!G15*$F482+'Business Case'!$B$8*('Business Case'!G11*$C482*'Business Case'!G12*$B482)</f>
        <v>924113518.299887</v>
      </c>
      <c r="N482" s="39" t="n">
        <f aca="false">IF(COUNT('Business Case'!B11:G11)=0,"",H482+NPV(G482,I482:M482))</f>
        <v>-380137330.149025</v>
      </c>
      <c r="P482" s="40" t="n">
        <f aca="true">RAND()</f>
        <v>0.564759120336443</v>
      </c>
      <c r="Q482" s="40" t="n">
        <f aca="true">RAND()</f>
        <v>0.507206540834597</v>
      </c>
      <c r="R482" s="40" t="n">
        <f aca="true">RAND()</f>
        <v>0.769828521877601</v>
      </c>
      <c r="S482" s="40" t="n">
        <f aca="true">RAND()</f>
        <v>0.0181404119298181</v>
      </c>
      <c r="T482" s="40" t="n">
        <f aca="true">RAND()</f>
        <v>0.386868716857521</v>
      </c>
      <c r="U482" s="40" t="n">
        <f aca="true">RAND()</f>
        <v>0.952055884482091</v>
      </c>
    </row>
    <row r="483" customFormat="false" ht="15" hidden="false" customHeight="false" outlineLevel="0" collapsed="false">
      <c r="A483" s="36" t="n">
        <v>403</v>
      </c>
      <c r="B483" s="37" t="n">
        <f aca="false">1+IF($G$6=$E$6,$F$6,IF(P483&lt;($F$6-$E$6)/($G$6-$E$6),$E$6+SQRT(P483*($G$6-$E$6)*($F$6-$E$6)),$G$6-SQRT((1-P483)*($G$6-$E$6)*($G$6-$F$6))))</f>
        <v>1.00648344069039</v>
      </c>
      <c r="C483" s="37" t="n">
        <f aca="false">1+IF($G$7=$E$7,$F$7,IF(Q483&lt;($F$7-$E$7)/($G$7-$E$7),$E$7+SQRT(Q483*($G$7-$E$7)*($F$7-$E$7)),$G$7-SQRT((1-Q483)*($G$7-$E$7)*($G$7-$F$7))))</f>
        <v>1.08060240415956</v>
      </c>
      <c r="D483" s="37" t="n">
        <f aca="false">1+IF($G$8=$E$8,$F$8,IF(R483&lt;($F$8-$E$8)/($G$8-$E$8),$E$8+SQRT(R483*($G$8-$E$8)*($F$8-$E$8)),$G$8-SQRT((1-R483)*($G$8-$E$8)*($G$8-$F$8))))</f>
        <v>1.03241542845075</v>
      </c>
      <c r="E483" s="37" t="n">
        <f aca="false">1+IF($G$9=$E$9,$F$9,IF(S483&lt;($F$9-$E$9)/($G$9-$E$9),$E$9+SQRT(S483*($G$9-$E$9)*($F$9-$E$9)),$G$9-SQRT((1-S483)*($G$9-$E$9)*($G$9-$F$9))))</f>
        <v>0.987809431210183</v>
      </c>
      <c r="F483" s="37" t="n">
        <f aca="false">1+IF($G$10=$E$10,$F$10,IF(T483&lt;($F$10-$E$10)/($G$10-$E$10),$E$10+SQRT(T483*($G$10-$E$10)*($F$10-$E$10)),$G$10-SQRT((1-T483)*($G$10-$E$10)*($G$10-$F$10))))</f>
        <v>1.05673327101411</v>
      </c>
      <c r="G483" s="38" t="n">
        <f aca="false">IF($G$11=$E$11,$F$11,IF(U483&lt;($F$11-$E$11)/($G$11-$E$11),$E$11+SQRT(U483*($G$11-$E$11)*($F$11-$E$11)),$G$11-SQRT((1-U483)*($G$11-$E$11)*($G$11-$F$11))))</f>
        <v>0.113731538160664</v>
      </c>
      <c r="H483" s="39" t="n">
        <f aca="false">(('Business Case'!B11*$C483*'Business Case'!B12*$B483)-'Business Case'!B11*$C483*'Business Case'!B13*$D483-'Business Case'!B14*$E483)-MAX(0,(('Business Case'!B11*$C483*'Business Case'!B12*$B483)-'Business Case'!B11*$C483*'Business Case'!B13*$D483-'Business Case'!B14*$E483))*'Business Case'!$B$7-'Business Case'!$B$8*('Business Case'!B11*$C483*'Business Case'!B12*$B483)-'Business Case'!B15*$F483</f>
        <v>-2113466542.02823</v>
      </c>
      <c r="I483" s="39" t="n">
        <f aca="false">(('Business Case'!C11*$C483*'Business Case'!C12*$B483)-'Business Case'!C11*$C483*'Business Case'!C13*$D483-'Business Case'!C14*$E483)-MAX(0,(('Business Case'!C11*$C483*'Business Case'!C12*$B483)-'Business Case'!C11*$C483*'Business Case'!C13*$D483-'Business Case'!C14*$E483))*'Business Case'!$B$7-'Business Case'!$B$8*(('Business Case'!C11*$C483*'Business Case'!C12*$B483)-('Business Case'!B11*$C483*'Business Case'!B12*$B483))-'Business Case'!C15*$F483</f>
        <v>17194545.7717275</v>
      </c>
      <c r="J483" s="39" t="n">
        <f aca="false">(('Business Case'!D11*$C483*'Business Case'!D12*$B483)-'Business Case'!D11*$C483*'Business Case'!D13*$D483-'Business Case'!D14*$E483)-MAX(0,(('Business Case'!D11*$C483*'Business Case'!D12*$B483)-'Business Case'!D11*$C483*'Business Case'!D13*$D483-'Business Case'!D14*$E483))*'Business Case'!$B$7-'Business Case'!$B$8*(('Business Case'!D11*$C483*'Business Case'!D12*$B483)-('Business Case'!C11*$C483*'Business Case'!C12*$B483))-'Business Case'!D15*$F483</f>
        <v>336910540.554188</v>
      </c>
      <c r="K483" s="39" t="n">
        <f aca="false">(('Business Case'!E11*$C483*'Business Case'!E12*$B483)-'Business Case'!E11*$C483*'Business Case'!E13*$D483-'Business Case'!E14*$E483)-MAX(0,(('Business Case'!E11*$C483*'Business Case'!E12*$B483)-'Business Case'!E11*$C483*'Business Case'!E13*$D483-'Business Case'!E14*$E483))*'Business Case'!$B$7-'Business Case'!$B$8*(('Business Case'!E11*$C483*'Business Case'!E12*$B483)-('Business Case'!D11*$C483*'Business Case'!D12*$B483))-'Business Case'!E15*$F483</f>
        <v>709463198.887355</v>
      </c>
      <c r="L483" s="39" t="n">
        <f aca="false">(('Business Case'!F11*$C483*'Business Case'!F12*$B483)-'Business Case'!F11*$C483*'Business Case'!F13*$D483-'Business Case'!F14*$E483)-MAX(0,(('Business Case'!F11*$C483*'Business Case'!F12*$B483)-'Business Case'!F11*$C483*'Business Case'!F13*$D483-'Business Case'!F14*$E483))*'Business Case'!$B$7-'Business Case'!$B$8*(('Business Case'!F11*$C483*'Business Case'!F12*$B483)-('Business Case'!E11*$C483*'Business Case'!E12*$B483))-'Business Case'!F15*$F483</f>
        <v>853622944.34233</v>
      </c>
      <c r="M483" s="39" t="n">
        <f aca="false">(('Business Case'!G11*$C483*'Business Case'!G12*$B483)-'Business Case'!G11*$C483*'Business Case'!G13*$D483-'Business Case'!G14*$E483)-MAX(0,(('Business Case'!G11*$C483*'Business Case'!G12*$B483)-'Business Case'!G11*$C483*'Business Case'!G13*$D483-'Business Case'!G14*$E483))*'Business Case'!$B$7-'Business Case'!$B$8*(('Business Case'!G11*$C483*'Business Case'!G12*$B483)-('Business Case'!F11*$C483*'Business Case'!F12*$B483))-'Business Case'!G15*$F483+'Business Case'!$B$8*('Business Case'!G11*$C483*'Business Case'!G12*$B483)</f>
        <v>1060355553.91019</v>
      </c>
      <c r="N483" s="39" t="n">
        <f aca="false">IF(COUNT('Business Case'!B11:G11)=0,"",H483+NPV(G483,I483:M483))</f>
        <v>-139248687.691101</v>
      </c>
      <c r="P483" s="40" t="n">
        <f aca="true">RAND()</f>
        <v>0.765966719176129</v>
      </c>
      <c r="Q483" s="40" t="n">
        <f aca="true">RAND()</f>
        <v>0.908266165553645</v>
      </c>
      <c r="R483" s="40" t="n">
        <f aca="true">RAND()</f>
        <v>0.782279668314849</v>
      </c>
      <c r="S483" s="40" t="n">
        <f aca="true">RAND()</f>
        <v>0.190607078458342</v>
      </c>
      <c r="T483" s="40" t="n">
        <f aca="true">RAND()</f>
        <v>0.589492887313699</v>
      </c>
      <c r="U483" s="40" t="n">
        <f aca="true">RAND()</f>
        <v>0.934510643614639</v>
      </c>
    </row>
    <row r="484" customFormat="false" ht="15" hidden="false" customHeight="false" outlineLevel="0" collapsed="false">
      <c r="A484" s="36" t="n">
        <v>404</v>
      </c>
      <c r="B484" s="37" t="n">
        <f aca="false">1+IF($G$6=$E$6,$F$6,IF(P484&lt;($F$6-$E$6)/($G$6-$E$6),$E$6+SQRT(P484*($G$6-$E$6)*($F$6-$E$6)),$G$6-SQRT((1-P484)*($G$6-$E$6)*($G$6-$F$6))))</f>
        <v>0.975741540256043</v>
      </c>
      <c r="C484" s="37" t="n">
        <f aca="false">1+IF($G$7=$E$7,$F$7,IF(Q484&lt;($F$7-$E$7)/($G$7-$E$7),$E$7+SQRT(Q484*($G$7-$E$7)*($F$7-$E$7)),$G$7-SQRT((1-Q484)*($G$7-$E$7)*($G$7-$F$7))))</f>
        <v>0.85271270220069</v>
      </c>
      <c r="D484" s="37" t="n">
        <f aca="false">1+IF($G$8=$E$8,$F$8,IF(R484&lt;($F$8-$E$8)/($G$8-$E$8),$E$8+SQRT(R484*($G$8-$E$8)*($F$8-$E$8)),$G$8-SQRT((1-R484)*($G$8-$E$8)*($G$8-$F$8))))</f>
        <v>1.06453958750805</v>
      </c>
      <c r="E484" s="37" t="n">
        <f aca="false">1+IF($G$9=$E$9,$F$9,IF(S484&lt;($F$9-$E$9)/($G$9-$E$9),$E$9+SQRT(S484*($G$9-$E$9)*($F$9-$E$9)),$G$9-SQRT((1-S484)*($G$9-$E$9)*($G$9-$F$9))))</f>
        <v>1.04041350249554</v>
      </c>
      <c r="F484" s="37" t="n">
        <f aca="false">1+IF($G$10=$E$10,$F$10,IF(T484&lt;($F$10-$E$10)/($G$10-$E$10),$E$10+SQRT(T484*($G$10-$E$10)*($F$10-$E$10)),$G$10-SQRT((1-T484)*($G$10-$E$10)*($G$10-$F$10))))</f>
        <v>1.00959657218048</v>
      </c>
      <c r="G484" s="38" t="n">
        <f aca="false">IF($G$11=$E$11,$F$11,IF(U484&lt;($F$11-$E$11)/($G$11-$E$11),$E$11+SQRT(U484*($G$11-$E$11)*($F$11-$E$11)),$G$11-SQRT((1-U484)*($G$11-$E$11)*($G$11-$F$11))))</f>
        <v>0.0943124572059091</v>
      </c>
      <c r="H484" s="39" t="n">
        <f aca="false">(('Business Case'!B11*$C484*'Business Case'!B12*$B484)-'Business Case'!B11*$C484*'Business Case'!B13*$D484-'Business Case'!B14*$E484)-MAX(0,(('Business Case'!B11*$C484*'Business Case'!B12*$B484)-'Business Case'!B11*$C484*'Business Case'!B13*$D484-'Business Case'!B14*$E484))*'Business Case'!$B$7-'Business Case'!$B$8*('Business Case'!B11*$C484*'Business Case'!B12*$B484)-'Business Case'!B15*$F484</f>
        <v>-2019193144.36096</v>
      </c>
      <c r="I484" s="39" t="n">
        <f aca="false">(('Business Case'!C11*$C484*'Business Case'!C12*$B484)-'Business Case'!C11*$C484*'Business Case'!C13*$D484-'Business Case'!C14*$E484)-MAX(0,(('Business Case'!C11*$C484*'Business Case'!C12*$B484)-'Business Case'!C11*$C484*'Business Case'!C13*$D484-'Business Case'!C14*$E484))*'Business Case'!$B$7-'Business Case'!$B$8*(('Business Case'!C11*$C484*'Business Case'!C12*$B484)-('Business Case'!B11*$C484*'Business Case'!B12*$B484))-'Business Case'!C15*$F484</f>
        <v>-75242111.9445546</v>
      </c>
      <c r="J484" s="39" t="n">
        <f aca="false">(('Business Case'!D11*$C484*'Business Case'!D12*$B484)-'Business Case'!D11*$C484*'Business Case'!D13*$D484-'Business Case'!D14*$E484)-MAX(0,(('Business Case'!D11*$C484*'Business Case'!D12*$B484)-'Business Case'!D11*$C484*'Business Case'!D13*$D484-'Business Case'!D14*$E484))*'Business Case'!$B$7-'Business Case'!$B$8*(('Business Case'!D11*$C484*'Business Case'!D12*$B484)-('Business Case'!C11*$C484*'Business Case'!C12*$B484))-'Business Case'!D15*$F484</f>
        <v>141554523.713876</v>
      </c>
      <c r="K484" s="39" t="n">
        <f aca="false">(('Business Case'!E11*$C484*'Business Case'!E12*$B484)-'Business Case'!E11*$C484*'Business Case'!E13*$D484-'Business Case'!E14*$E484)-MAX(0,(('Business Case'!E11*$C484*'Business Case'!E12*$B484)-'Business Case'!E11*$C484*'Business Case'!E13*$D484-'Business Case'!E14*$E484))*'Business Case'!$B$7-'Business Case'!$B$8*(('Business Case'!E11*$C484*'Business Case'!E12*$B484)-('Business Case'!D11*$C484*'Business Case'!D12*$B484))-'Business Case'!E15*$F484</f>
        <v>408830987.98133</v>
      </c>
      <c r="L484" s="39" t="n">
        <f aca="false">(('Business Case'!F11*$C484*'Business Case'!F12*$B484)-'Business Case'!F11*$C484*'Business Case'!F13*$D484-'Business Case'!F14*$E484)-MAX(0,(('Business Case'!F11*$C484*'Business Case'!F12*$B484)-'Business Case'!F11*$C484*'Business Case'!F13*$D484-'Business Case'!F14*$E484))*'Business Case'!$B$7-'Business Case'!$B$8*(('Business Case'!F11*$C484*'Business Case'!F12*$B484)-('Business Case'!E11*$C484*'Business Case'!E12*$B484))-'Business Case'!F15*$F484</f>
        <v>509851393.420855</v>
      </c>
      <c r="M484" s="39" t="n">
        <f aca="false">(('Business Case'!G11*$C484*'Business Case'!G12*$B484)-'Business Case'!G11*$C484*'Business Case'!G13*$D484-'Business Case'!G14*$E484)-MAX(0,(('Business Case'!G11*$C484*'Business Case'!G12*$B484)-'Business Case'!G11*$C484*'Business Case'!G13*$D484-'Business Case'!G14*$E484))*'Business Case'!$B$7-'Business Case'!$B$8*(('Business Case'!G11*$C484*'Business Case'!G12*$B484)-('Business Case'!F11*$C484*'Business Case'!F12*$B484))-'Business Case'!G15*$F484+'Business Case'!$B$8*('Business Case'!G11*$C484*'Business Case'!G12*$B484)</f>
        <v>668003124.631117</v>
      </c>
      <c r="N484" s="39" t="n">
        <f aca="false">IF(COUNT('Business Case'!B11:G11)=0,"",H484+NPV(G484,I484:M484))</f>
        <v>-876568779.6759</v>
      </c>
      <c r="P484" s="40" t="n">
        <f aca="true">RAND()</f>
        <v>0.323658261470423</v>
      </c>
      <c r="Q484" s="40" t="n">
        <f aca="true">RAND()</f>
        <v>0.0396946996185519</v>
      </c>
      <c r="R484" s="40" t="n">
        <f aca="true">RAND()</f>
        <v>0.977016888997946</v>
      </c>
      <c r="S484" s="40" t="n">
        <f aca="true">RAND()</f>
        <v>0.763296621010046</v>
      </c>
      <c r="T484" s="40" t="n">
        <f aca="true">RAND()</f>
        <v>0.274930693491546</v>
      </c>
      <c r="U484" s="40" t="n">
        <f aca="true">RAND()</f>
        <v>0.0619909571759905</v>
      </c>
    </row>
    <row r="485" customFormat="false" ht="15" hidden="false" customHeight="false" outlineLevel="0" collapsed="false">
      <c r="A485" s="36" t="n">
        <v>405</v>
      </c>
      <c r="B485" s="37" t="n">
        <f aca="false">1+IF($G$6=$E$6,$F$6,IF(P485&lt;($F$6-$E$6)/($G$6-$E$6),$E$6+SQRT(P485*($G$6-$E$6)*($F$6-$E$6)),$G$6-SQRT((1-P485)*($G$6-$E$6)*($G$6-$F$6))))</f>
        <v>0.995731456309971</v>
      </c>
      <c r="C485" s="37" t="n">
        <f aca="false">1+IF($G$7=$E$7,$F$7,IF(Q485&lt;($F$7-$E$7)/($G$7-$E$7),$E$7+SQRT(Q485*($G$7-$E$7)*($F$7-$E$7)),$G$7-SQRT((1-Q485)*($G$7-$E$7)*($G$7-$F$7))))</f>
        <v>1.06378389506903</v>
      </c>
      <c r="D485" s="37" t="n">
        <f aca="false">1+IF($G$8=$E$8,$F$8,IF(R485&lt;($F$8-$E$8)/($G$8-$E$8),$E$8+SQRT(R485*($G$8-$E$8)*($F$8-$E$8)),$G$8-SQRT((1-R485)*($G$8-$E$8)*($G$8-$F$8))))</f>
        <v>1.03604484080626</v>
      </c>
      <c r="E485" s="37" t="n">
        <f aca="false">1+IF($G$9=$E$9,$F$9,IF(S485&lt;($F$9-$E$9)/($G$9-$E$9),$E$9+SQRT(S485*($G$9-$E$9)*($F$9-$E$9)),$G$9-SQRT((1-S485)*($G$9-$E$9)*($G$9-$F$9))))</f>
        <v>1.05252813665739</v>
      </c>
      <c r="F485" s="37" t="n">
        <f aca="false">1+IF($G$10=$E$10,$F$10,IF(T485&lt;($F$10-$E$10)/($G$10-$E$10),$E$10+SQRT(T485*($G$10-$E$10)*($F$10-$E$10)),$G$10-SQRT((1-T485)*($G$10-$E$10)*($G$10-$F$10))))</f>
        <v>0.973791938477737</v>
      </c>
      <c r="G485" s="38" t="n">
        <f aca="false">IF($G$11=$E$11,$F$11,IF(U485&lt;($F$11-$E$11)/($G$11-$E$11),$E$11+SQRT(U485*($G$11-$E$11)*($F$11-$E$11)),$G$11-SQRT((1-U485)*($G$11-$E$11)*($G$11-$F$11))))</f>
        <v>0.0964901521451422</v>
      </c>
      <c r="H485" s="39" t="n">
        <f aca="false">(('Business Case'!B11*$C485*'Business Case'!B12*$B485)-'Business Case'!B11*$C485*'Business Case'!B13*$D485-'Business Case'!B14*$E485)-MAX(0,(('Business Case'!B11*$C485*'Business Case'!B12*$B485)-'Business Case'!B11*$C485*'Business Case'!B13*$D485-'Business Case'!B14*$E485))*'Business Case'!$B$7-'Business Case'!$B$8*('Business Case'!B11*$C485*'Business Case'!B12*$B485)-'Business Case'!B15*$F485</f>
        <v>-1947583876.95547</v>
      </c>
      <c r="I485" s="39" t="n">
        <f aca="false">(('Business Case'!C11*$C485*'Business Case'!C12*$B485)-'Business Case'!C11*$C485*'Business Case'!C13*$D485-'Business Case'!C14*$E485)-MAX(0,(('Business Case'!C11*$C485*'Business Case'!C12*$B485)-'Business Case'!C11*$C485*'Business Case'!C13*$D485-'Business Case'!C14*$E485))*'Business Case'!$B$7-'Business Case'!$B$8*(('Business Case'!C11*$C485*'Business Case'!C12*$B485)-('Business Case'!B11*$C485*'Business Case'!B12*$B485))-'Business Case'!C15*$F485</f>
        <v>1435225.59362662</v>
      </c>
      <c r="J485" s="39" t="n">
        <f aca="false">(('Business Case'!D11*$C485*'Business Case'!D12*$B485)-'Business Case'!D11*$C485*'Business Case'!D13*$D485-'Business Case'!D14*$E485)-MAX(0,(('Business Case'!D11*$C485*'Business Case'!D12*$B485)-'Business Case'!D11*$C485*'Business Case'!D13*$D485-'Business Case'!D14*$E485))*'Business Case'!$B$7-'Business Case'!$B$8*(('Business Case'!D11*$C485*'Business Case'!D12*$B485)-('Business Case'!C11*$C485*'Business Case'!C12*$B485))-'Business Case'!D15*$F485</f>
        <v>304830307.699662</v>
      </c>
      <c r="K485" s="39" t="n">
        <f aca="false">(('Business Case'!E11*$C485*'Business Case'!E12*$B485)-'Business Case'!E11*$C485*'Business Case'!E13*$D485-'Business Case'!E14*$E485)-MAX(0,(('Business Case'!E11*$C485*'Business Case'!E12*$B485)-'Business Case'!E11*$C485*'Business Case'!E13*$D485-'Business Case'!E14*$E485))*'Business Case'!$B$7-'Business Case'!$B$8*(('Business Case'!E11*$C485*'Business Case'!E12*$B485)-('Business Case'!D11*$C485*'Business Case'!D12*$B485))-'Business Case'!E15*$F485</f>
        <v>656914986.729585</v>
      </c>
      <c r="L485" s="39" t="n">
        <f aca="false">(('Business Case'!F11*$C485*'Business Case'!F12*$B485)-'Business Case'!F11*$C485*'Business Case'!F13*$D485-'Business Case'!F14*$E485)-MAX(0,(('Business Case'!F11*$C485*'Business Case'!F12*$B485)-'Business Case'!F11*$C485*'Business Case'!F13*$D485-'Business Case'!F14*$E485))*'Business Case'!$B$7-'Business Case'!$B$8*(('Business Case'!F11*$C485*'Business Case'!F12*$B485)-('Business Case'!E11*$C485*'Business Case'!E12*$B485))-'Business Case'!F15*$F485</f>
        <v>794654121.852901</v>
      </c>
      <c r="M485" s="39" t="n">
        <f aca="false">(('Business Case'!G11*$C485*'Business Case'!G12*$B485)-'Business Case'!G11*$C485*'Business Case'!G13*$D485-'Business Case'!G14*$E485)-MAX(0,(('Business Case'!G11*$C485*'Business Case'!G12*$B485)-'Business Case'!G11*$C485*'Business Case'!G13*$D485-'Business Case'!G14*$E485))*'Business Case'!$B$7-'Business Case'!$B$8*(('Business Case'!G11*$C485*'Business Case'!G12*$B485)-('Business Case'!F11*$C485*'Business Case'!F12*$B485))-'Business Case'!G15*$F485+'Business Case'!$B$8*('Business Case'!G11*$C485*'Business Case'!G12*$B485)</f>
        <v>995995047.836737</v>
      </c>
      <c r="N485" s="39" t="n">
        <f aca="false">IF(COUNT('Business Case'!B11:G11)=0,"",H485+NPV(G485,I485:M485))</f>
        <v>-16290511.7150085</v>
      </c>
      <c r="P485" s="40" t="n">
        <f aca="true">RAND()</f>
        <v>0.597422236961351</v>
      </c>
      <c r="Q485" s="40" t="n">
        <f aca="true">RAND()</f>
        <v>0.858414919057737</v>
      </c>
      <c r="R485" s="40" t="n">
        <f aca="true">RAND()</f>
        <v>0.814225382716631</v>
      </c>
      <c r="S485" s="40" t="n">
        <f aca="true">RAND()</f>
        <v>0.849761479385347</v>
      </c>
      <c r="T485" s="40" t="n">
        <f aca="true">RAND()</f>
        <v>0.0452845069222749</v>
      </c>
      <c r="U485" s="40" t="n">
        <f aca="true">RAND()</f>
        <v>0.140406916223646</v>
      </c>
    </row>
    <row r="486" customFormat="false" ht="15" hidden="false" customHeight="false" outlineLevel="0" collapsed="false">
      <c r="A486" s="36" t="n">
        <v>406</v>
      </c>
      <c r="B486" s="37" t="n">
        <f aca="false">1+IF($G$6=$E$6,$F$6,IF(P486&lt;($F$6-$E$6)/($G$6-$E$6),$E$6+SQRT(P486*($G$6-$E$6)*($F$6-$E$6)),$G$6-SQRT((1-P486)*($G$6-$E$6)*($G$6-$F$6))))</f>
        <v>0.999322715423867</v>
      </c>
      <c r="C486" s="37" t="n">
        <f aca="false">1+IF($G$7=$E$7,$F$7,IF(Q486&lt;($F$7-$E$7)/($G$7-$E$7),$E$7+SQRT(Q486*($G$7-$E$7)*($F$7-$E$7)),$G$7-SQRT((1-Q486)*($G$7-$E$7)*($G$7-$F$7))))</f>
        <v>1.08897791847241</v>
      </c>
      <c r="D486" s="37" t="n">
        <f aca="false">1+IF($G$8=$E$8,$F$8,IF(R486&lt;($F$8-$E$8)/($G$8-$E$8),$E$8+SQRT(R486*($G$8-$E$8)*($F$8-$E$8)),$G$8-SQRT((1-R486)*($G$8-$E$8)*($G$8-$F$8))))</f>
        <v>1.02057388436957</v>
      </c>
      <c r="E486" s="37" t="n">
        <f aca="false">1+IF($G$9=$E$9,$F$9,IF(S486&lt;($F$9-$E$9)/($G$9-$E$9),$E$9+SQRT(S486*($G$9-$E$9)*($F$9-$E$9)),$G$9-SQRT((1-S486)*($G$9-$E$9)*($G$9-$F$9))))</f>
        <v>0.993406003565031</v>
      </c>
      <c r="F486" s="37" t="n">
        <f aca="false">1+IF($G$10=$E$10,$F$10,IF(T486&lt;($F$10-$E$10)/($G$10-$E$10),$E$10+SQRT(T486*($G$10-$E$10)*($F$10-$E$10)),$G$10-SQRT((1-T486)*($G$10-$E$10)*($G$10-$F$10))))</f>
        <v>1.11491428844617</v>
      </c>
      <c r="G486" s="38" t="n">
        <f aca="false">IF($G$11=$E$11,$F$11,IF(U486&lt;($F$11-$E$11)/($G$11-$E$11),$E$11+SQRT(U486*($G$11-$E$11)*($F$11-$E$11)),$G$11-SQRT((1-U486)*($G$11-$E$11)*($G$11-$F$11))))</f>
        <v>0.100665604956279</v>
      </c>
      <c r="H486" s="39" t="n">
        <f aca="false">(('Business Case'!B11*$C486*'Business Case'!B12*$B486)-'Business Case'!B11*$C486*'Business Case'!B13*$D486-'Business Case'!B14*$E486)-MAX(0,(('Business Case'!B11*$C486*'Business Case'!B12*$B486)-'Business Case'!B11*$C486*'Business Case'!B13*$D486-'Business Case'!B14*$E486))*'Business Case'!$B$7-'Business Case'!$B$8*('Business Case'!B11*$C486*'Business Case'!B12*$B486)-'Business Case'!B15*$F486</f>
        <v>-2229828576.89234</v>
      </c>
      <c r="I486" s="39" t="n">
        <f aca="false">(('Business Case'!C11*$C486*'Business Case'!C12*$B486)-'Business Case'!C11*$C486*'Business Case'!C13*$D486-'Business Case'!C14*$E486)-MAX(0,(('Business Case'!C11*$C486*'Business Case'!C12*$B486)-'Business Case'!C11*$C486*'Business Case'!C13*$D486-'Business Case'!C14*$E486))*'Business Case'!$B$7-'Business Case'!$B$8*(('Business Case'!C11*$C486*'Business Case'!C12*$B486)-('Business Case'!B11*$C486*'Business Case'!B12*$B486))-'Business Case'!C15*$F486</f>
        <v>13240182.785598</v>
      </c>
      <c r="J486" s="39" t="n">
        <f aca="false">(('Business Case'!D11*$C486*'Business Case'!D12*$B486)-'Business Case'!D11*$C486*'Business Case'!D13*$D486-'Business Case'!D14*$E486)-MAX(0,(('Business Case'!D11*$C486*'Business Case'!D12*$B486)-'Business Case'!D11*$C486*'Business Case'!D13*$D486-'Business Case'!D14*$E486))*'Business Case'!$B$7-'Business Case'!$B$8*(('Business Case'!D11*$C486*'Business Case'!D12*$B486)-('Business Case'!C11*$C486*'Business Case'!C12*$B486))-'Business Case'!D15*$F486</f>
        <v>335648508.930749</v>
      </c>
      <c r="K486" s="39" t="n">
        <f aca="false">(('Business Case'!E11*$C486*'Business Case'!E12*$B486)-'Business Case'!E11*$C486*'Business Case'!E13*$D486-'Business Case'!E14*$E486)-MAX(0,(('Business Case'!E11*$C486*'Business Case'!E12*$B486)-'Business Case'!E11*$C486*'Business Case'!E13*$D486-'Business Case'!E14*$E486))*'Business Case'!$B$7-'Business Case'!$B$8*(('Business Case'!E11*$C486*'Business Case'!E12*$B486)-('Business Case'!D11*$C486*'Business Case'!D12*$B486))-'Business Case'!E15*$F486</f>
        <v>713802549.498209</v>
      </c>
      <c r="L486" s="39" t="n">
        <f aca="false">(('Business Case'!F11*$C486*'Business Case'!F12*$B486)-'Business Case'!F11*$C486*'Business Case'!F13*$D486-'Business Case'!F14*$E486)-MAX(0,(('Business Case'!F11*$C486*'Business Case'!F12*$B486)-'Business Case'!F11*$C486*'Business Case'!F13*$D486-'Business Case'!F14*$E486))*'Business Case'!$B$7-'Business Case'!$B$8*(('Business Case'!F11*$C486*'Business Case'!F12*$B486)-('Business Case'!E11*$C486*'Business Case'!E12*$B486))-'Business Case'!F15*$F486</f>
        <v>858881578.751919</v>
      </c>
      <c r="M486" s="39" t="n">
        <f aca="false">(('Business Case'!G11*$C486*'Business Case'!G12*$B486)-'Business Case'!G11*$C486*'Business Case'!G13*$D486-'Business Case'!G14*$E486)-MAX(0,(('Business Case'!G11*$C486*'Business Case'!G12*$B486)-'Business Case'!G11*$C486*'Business Case'!G13*$D486-'Business Case'!G14*$E486))*'Business Case'!$B$7-'Business Case'!$B$8*(('Business Case'!G11*$C486*'Business Case'!G12*$B486)-('Business Case'!F11*$C486*'Business Case'!F12*$B486))-'Business Case'!G15*$F486+'Business Case'!$B$8*('Business Case'!G11*$C486*'Business Case'!G12*$B486)</f>
        <v>1065734308.38121</v>
      </c>
      <c r="N486" s="39" t="n">
        <f aca="false">IF(COUNT('Business Case'!B11:G11)=0,"",H486+NPV(G486,I486:M486))</f>
        <v>-160472511.632173</v>
      </c>
      <c r="P486" s="40" t="n">
        <f aca="true">RAND()</f>
        <v>0.655426373147475</v>
      </c>
      <c r="Q486" s="40" t="n">
        <f aca="true">RAND()</f>
        <v>0.929072486972189</v>
      </c>
      <c r="R486" s="40" t="n">
        <f aca="true">RAND()</f>
        <v>0.660436228949861</v>
      </c>
      <c r="S486" s="40" t="n">
        <f aca="true">RAND()</f>
        <v>0.251210819398332</v>
      </c>
      <c r="T486" s="40" t="n">
        <f aca="true">RAND()</f>
        <v>0.855208433787566</v>
      </c>
      <c r="U486" s="40" t="n">
        <f aca="true">RAND()</f>
        <v>0.376968613822221</v>
      </c>
    </row>
    <row r="487" customFormat="false" ht="15" hidden="false" customHeight="false" outlineLevel="0" collapsed="false">
      <c r="A487" s="36" t="n">
        <v>407</v>
      </c>
      <c r="B487" s="37" t="n">
        <f aca="false">1+IF($G$6=$E$6,$F$6,IF(P487&lt;($F$6-$E$6)/($G$6-$E$6),$E$6+SQRT(P487*($G$6-$E$6)*($F$6-$E$6)),$G$6-SQRT((1-P487)*($G$6-$E$6)*($G$6-$F$6))))</f>
        <v>1.00066976528197</v>
      </c>
      <c r="C487" s="37" t="n">
        <f aca="false">1+IF($G$7=$E$7,$F$7,IF(Q487&lt;($F$7-$E$7)/($G$7-$E$7),$E$7+SQRT(Q487*($G$7-$E$7)*($F$7-$E$7)),$G$7-SQRT((1-Q487)*($G$7-$E$7)*($G$7-$F$7))))</f>
        <v>0.971600964498739</v>
      </c>
      <c r="D487" s="37" t="n">
        <f aca="false">1+IF($G$8=$E$8,$F$8,IF(R487&lt;($F$8-$E$8)/($G$8-$E$8),$E$8+SQRT(R487*($G$8-$E$8)*($F$8-$E$8)),$G$8-SQRT((1-R487)*($G$8-$E$8)*($G$8-$F$8))))</f>
        <v>0.990449954962084</v>
      </c>
      <c r="E487" s="37" t="n">
        <f aca="false">1+IF($G$9=$E$9,$F$9,IF(S487&lt;($F$9-$E$9)/($G$9-$E$9),$E$9+SQRT(S487*($G$9-$E$9)*($F$9-$E$9)),$G$9-SQRT((1-S487)*($G$9-$E$9)*($G$9-$F$9))))</f>
        <v>1.01319707735947</v>
      </c>
      <c r="F487" s="37" t="n">
        <f aca="false">1+IF($G$10=$E$10,$F$10,IF(T487&lt;($F$10-$E$10)/($G$10-$E$10),$E$10+SQRT(T487*($G$10-$E$10)*($F$10-$E$10)),$G$10-SQRT((1-T487)*($G$10-$E$10)*($G$10-$F$10))))</f>
        <v>1.13981195896927</v>
      </c>
      <c r="G487" s="38" t="n">
        <f aca="false">IF($G$11=$E$11,$F$11,IF(U487&lt;($F$11-$E$11)/($G$11-$E$11),$E$11+SQRT(U487*($G$11-$E$11)*($F$11-$E$11)),$G$11-SQRT((1-U487)*($G$11-$E$11)*($G$11-$F$11))))</f>
        <v>0.0996291000038238</v>
      </c>
      <c r="H487" s="39" t="n">
        <f aca="false">(('Business Case'!B11*$C487*'Business Case'!B12*$B487)-'Business Case'!B11*$C487*'Business Case'!B13*$D487-'Business Case'!B14*$E487)-MAX(0,(('Business Case'!B11*$C487*'Business Case'!B12*$B487)-'Business Case'!B11*$C487*'Business Case'!B13*$D487-'Business Case'!B14*$E487))*'Business Case'!$B$7-'Business Case'!$B$8*('Business Case'!B11*$C487*'Business Case'!B12*$B487)-'Business Case'!B15*$F487</f>
        <v>-2279623917.93855</v>
      </c>
      <c r="I487" s="39" t="n">
        <f aca="false">(('Business Case'!C11*$C487*'Business Case'!C12*$B487)-'Business Case'!C11*$C487*'Business Case'!C13*$D487-'Business Case'!C14*$E487)-MAX(0,(('Business Case'!C11*$C487*'Business Case'!C12*$B487)-'Business Case'!C11*$C487*'Business Case'!C13*$D487-'Business Case'!C14*$E487))*'Business Case'!$B$7-'Business Case'!$B$8*(('Business Case'!C11*$C487*'Business Case'!C12*$B487)-('Business Case'!B11*$C487*'Business Case'!B12*$B487))-'Business Case'!C15*$F487</f>
        <v>-4747142.5991111</v>
      </c>
      <c r="J487" s="39" t="n">
        <f aca="false">(('Business Case'!D11*$C487*'Business Case'!D12*$B487)-'Business Case'!D11*$C487*'Business Case'!D13*$D487-'Business Case'!D14*$E487)-MAX(0,(('Business Case'!D11*$C487*'Business Case'!D12*$B487)-'Business Case'!D11*$C487*'Business Case'!D13*$D487-'Business Case'!D14*$E487))*'Business Case'!$B$7-'Business Case'!$B$8*(('Business Case'!D11*$C487*'Business Case'!D12*$B487)-('Business Case'!C11*$C487*'Business Case'!C12*$B487))-'Business Case'!D15*$F487</f>
        <v>298965063.698587</v>
      </c>
      <c r="K487" s="39" t="n">
        <f aca="false">(('Business Case'!E11*$C487*'Business Case'!E12*$B487)-'Business Case'!E11*$C487*'Business Case'!E13*$D487-'Business Case'!E14*$E487)-MAX(0,(('Business Case'!E11*$C487*'Business Case'!E12*$B487)-'Business Case'!E11*$C487*'Business Case'!E13*$D487-'Business Case'!E14*$E487))*'Business Case'!$B$7-'Business Case'!$B$8*(('Business Case'!E11*$C487*'Business Case'!E12*$B487)-('Business Case'!D11*$C487*'Business Case'!D12*$B487))-'Business Case'!E15*$F487</f>
        <v>659667867.944748</v>
      </c>
      <c r="L487" s="39" t="n">
        <f aca="false">(('Business Case'!F11*$C487*'Business Case'!F12*$B487)-'Business Case'!F11*$C487*'Business Case'!F13*$D487-'Business Case'!F14*$E487)-MAX(0,(('Business Case'!F11*$C487*'Business Case'!F12*$B487)-'Business Case'!F11*$C487*'Business Case'!F13*$D487-'Business Case'!F14*$E487))*'Business Case'!$B$7-'Business Case'!$B$8*(('Business Case'!F11*$C487*'Business Case'!F12*$B487)-('Business Case'!E11*$C487*'Business Case'!E12*$B487))-'Business Case'!F15*$F487</f>
        <v>794506289.110224</v>
      </c>
      <c r="M487" s="39" t="n">
        <f aca="false">(('Business Case'!G11*$C487*'Business Case'!G12*$B487)-'Business Case'!G11*$C487*'Business Case'!G13*$D487-'Business Case'!G14*$E487)-MAX(0,(('Business Case'!G11*$C487*'Business Case'!G12*$B487)-'Business Case'!G11*$C487*'Business Case'!G13*$D487-'Business Case'!G14*$E487))*'Business Case'!$B$7-'Business Case'!$B$8*(('Business Case'!G11*$C487*'Business Case'!G12*$B487)-('Business Case'!F11*$C487*'Business Case'!F12*$B487))-'Business Case'!G15*$F487+'Business Case'!$B$8*('Business Case'!G11*$C487*'Business Case'!G12*$B487)</f>
        <v>979311893.974563</v>
      </c>
      <c r="N487" s="39" t="n">
        <f aca="false">IF(COUNT('Business Case'!B11:G11)=0,"",H487+NPV(G487,I487:M487))</f>
        <v>-388082939.65106</v>
      </c>
      <c r="P487" s="40" t="n">
        <f aca="true">RAND()</f>
        <v>0.677735966046852</v>
      </c>
      <c r="Q487" s="40" t="n">
        <f aca="true">RAND()</f>
        <v>0.420669871669964</v>
      </c>
      <c r="R487" s="40" t="n">
        <f aca="true">RAND()</f>
        <v>0.251722900989946</v>
      </c>
      <c r="S487" s="40" t="n">
        <f aca="true">RAND()</f>
        <v>0.49768350807081</v>
      </c>
      <c r="T487" s="40" t="n">
        <f aca="true">RAND()</f>
        <v>0.927547994337669</v>
      </c>
      <c r="U487" s="40" t="n">
        <f aca="true">RAND()</f>
        <v>0.309065222945468</v>
      </c>
    </row>
    <row r="488" customFormat="false" ht="15" hidden="false" customHeight="false" outlineLevel="0" collapsed="false">
      <c r="A488" s="36" t="n">
        <v>408</v>
      </c>
      <c r="B488" s="37" t="n">
        <f aca="false">1+IF($G$6=$E$6,$F$6,IF(P488&lt;($F$6-$E$6)/($G$6-$E$6),$E$6+SQRT(P488*($G$6-$E$6)*($F$6-$E$6)),$G$6-SQRT((1-P488)*($G$6-$E$6)*($G$6-$F$6))))</f>
        <v>1.03153727608546</v>
      </c>
      <c r="C488" s="37" t="n">
        <f aca="false">1+IF($G$7=$E$7,$F$7,IF(Q488&lt;($F$7-$E$7)/($G$7-$E$7),$E$7+SQRT(Q488*($G$7-$E$7)*($F$7-$E$7)),$G$7-SQRT((1-Q488)*($G$7-$E$7)*($G$7-$F$7))))</f>
        <v>0.860820053030339</v>
      </c>
      <c r="D488" s="37" t="n">
        <f aca="false">1+IF($G$8=$E$8,$F$8,IF(R488&lt;($F$8-$E$8)/($G$8-$E$8),$E$8+SQRT(R488*($G$8-$E$8)*($F$8-$E$8)),$G$8-SQRT((1-R488)*($G$8-$E$8)*($G$8-$F$8))))</f>
        <v>1.07038957913007</v>
      </c>
      <c r="E488" s="37" t="n">
        <f aca="false">1+IF($G$9=$E$9,$F$9,IF(S488&lt;($F$9-$E$9)/($G$9-$E$9),$E$9+SQRT(S488*($G$9-$E$9)*($F$9-$E$9)),$G$9-SQRT((1-S488)*($G$9-$E$9)*($G$9-$F$9))))</f>
        <v>1.01697872084005</v>
      </c>
      <c r="F488" s="37" t="n">
        <f aca="false">1+IF($G$10=$E$10,$F$10,IF(T488&lt;($F$10-$E$10)/($G$10-$E$10),$E$10+SQRT(T488*($G$10-$E$10)*($F$10-$E$10)),$G$10-SQRT((1-T488)*($G$10-$E$10)*($G$10-$F$10))))</f>
        <v>1.09926995600428</v>
      </c>
      <c r="G488" s="38" t="n">
        <f aca="false">IF($G$11=$E$11,$F$11,IF(U488&lt;($F$11-$E$11)/($G$11-$E$11),$E$11+SQRT(U488*($G$11-$E$11)*($F$11-$E$11)),$G$11-SQRT((1-U488)*($G$11-$E$11)*($G$11-$F$11))))</f>
        <v>0.108669681121656</v>
      </c>
      <c r="H488" s="39" t="n">
        <f aca="false">(('Business Case'!B11*$C488*'Business Case'!B12*$B488)-'Business Case'!B11*$C488*'Business Case'!B13*$D488-'Business Case'!B14*$E488)-MAX(0,(('Business Case'!B11*$C488*'Business Case'!B12*$B488)-'Business Case'!B11*$C488*'Business Case'!B13*$D488-'Business Case'!B14*$E488))*'Business Case'!$B$7-'Business Case'!$B$8*('Business Case'!B11*$C488*'Business Case'!B12*$B488)-'Business Case'!B15*$F488</f>
        <v>-2198539912.00857</v>
      </c>
      <c r="I488" s="39" t="n">
        <f aca="false">(('Business Case'!C11*$C488*'Business Case'!C12*$B488)-'Business Case'!C11*$C488*'Business Case'!C13*$D488-'Business Case'!C14*$E488)-MAX(0,(('Business Case'!C11*$C488*'Business Case'!C12*$B488)-'Business Case'!C11*$C488*'Business Case'!C13*$D488-'Business Case'!C14*$E488))*'Business Case'!$B$7-'Business Case'!$B$8*(('Business Case'!C11*$C488*'Business Case'!C12*$B488)-('Business Case'!B11*$C488*'Business Case'!B12*$B488))-'Business Case'!C15*$F488</f>
        <v>-44953573.9523094</v>
      </c>
      <c r="J488" s="39" t="n">
        <f aca="false">(('Business Case'!D11*$C488*'Business Case'!D12*$B488)-'Business Case'!D11*$C488*'Business Case'!D13*$D488-'Business Case'!D14*$E488)-MAX(0,(('Business Case'!D11*$C488*'Business Case'!D12*$B488)-'Business Case'!D11*$C488*'Business Case'!D13*$D488-'Business Case'!D14*$E488))*'Business Case'!$B$7-'Business Case'!$B$8*(('Business Case'!D11*$C488*'Business Case'!D12*$B488)-('Business Case'!C11*$C488*'Business Case'!C12*$B488))-'Business Case'!D15*$F488</f>
        <v>210666481.50417</v>
      </c>
      <c r="K488" s="39" t="n">
        <f aca="false">(('Business Case'!E11*$C488*'Business Case'!E12*$B488)-'Business Case'!E11*$C488*'Business Case'!E13*$D488-'Business Case'!E14*$E488)-MAX(0,(('Business Case'!E11*$C488*'Business Case'!E12*$B488)-'Business Case'!E11*$C488*'Business Case'!E13*$D488-'Business Case'!E14*$E488))*'Business Case'!$B$7-'Business Case'!$B$8*(('Business Case'!E11*$C488*'Business Case'!E12*$B488)-('Business Case'!D11*$C488*'Business Case'!D12*$B488))-'Business Case'!E15*$F488</f>
        <v>521250034.760865</v>
      </c>
      <c r="L488" s="39" t="n">
        <f aca="false">(('Business Case'!F11*$C488*'Business Case'!F12*$B488)-'Business Case'!F11*$C488*'Business Case'!F13*$D488-'Business Case'!F14*$E488)-MAX(0,(('Business Case'!F11*$C488*'Business Case'!F12*$B488)-'Business Case'!F11*$C488*'Business Case'!F13*$D488-'Business Case'!F14*$E488))*'Business Case'!$B$7-'Business Case'!$B$8*(('Business Case'!F11*$C488*'Business Case'!F12*$B488)-('Business Case'!E11*$C488*'Business Case'!E12*$B488))-'Business Case'!F15*$F488</f>
        <v>637144893.049628</v>
      </c>
      <c r="M488" s="39" t="n">
        <f aca="false">(('Business Case'!G11*$C488*'Business Case'!G12*$B488)-'Business Case'!G11*$C488*'Business Case'!G13*$D488-'Business Case'!G14*$E488)-MAX(0,(('Business Case'!G11*$C488*'Business Case'!G12*$B488)-'Business Case'!G11*$C488*'Business Case'!G13*$D488-'Business Case'!G14*$E488))*'Business Case'!$B$7-'Business Case'!$B$8*(('Business Case'!G11*$C488*'Business Case'!G12*$B488)-('Business Case'!F11*$C488*'Business Case'!F12*$B488))-'Business Case'!G15*$F488+'Business Case'!$B$8*('Business Case'!G11*$C488*'Business Case'!G12*$B488)</f>
        <v>805929845.300949</v>
      </c>
      <c r="N488" s="39" t="n">
        <f aca="false">IF(COUNT('Business Case'!B11:G11)=0,"",H488+NPV(G488,I488:M488))</f>
        <v>-782306131.039024</v>
      </c>
      <c r="P488" s="40" t="n">
        <f aca="true">RAND()</f>
        <v>0.985079646655471</v>
      </c>
      <c r="Q488" s="40" t="n">
        <f aca="true">RAND()</f>
        <v>0.0528439835801884</v>
      </c>
      <c r="R488" s="40" t="n">
        <f aca="true">RAND()</f>
        <v>0.991119212567574</v>
      </c>
      <c r="S488" s="40" t="n">
        <f aca="true">RAND()</f>
        <v>0.540497813776368</v>
      </c>
      <c r="T488" s="40" t="n">
        <f aca="true">RAND()</f>
        <v>0.797069164732421</v>
      </c>
      <c r="U488" s="40" t="n">
        <f aca="true">RAND()</f>
        <v>0.786039790191738</v>
      </c>
    </row>
    <row r="489" customFormat="false" ht="15" hidden="false" customHeight="false" outlineLevel="0" collapsed="false">
      <c r="A489" s="36" t="n">
        <v>409</v>
      </c>
      <c r="B489" s="37" t="n">
        <f aca="false">1+IF($G$6=$E$6,$F$6,IF(P489&lt;($F$6-$E$6)/($G$6-$E$6),$E$6+SQRT(P489*($G$6-$E$6)*($F$6-$E$6)),$G$6-SQRT((1-P489)*($G$6-$E$6)*($G$6-$F$6))))</f>
        <v>0.976275472613545</v>
      </c>
      <c r="C489" s="37" t="n">
        <f aca="false">1+IF($G$7=$E$7,$F$7,IF(Q489&lt;($F$7-$E$7)/($G$7-$E$7),$E$7+SQRT(Q489*($G$7-$E$7)*($F$7-$E$7)),$G$7-SQRT((1-Q489)*($G$7-$E$7)*($G$7-$F$7))))</f>
        <v>0.812410020784118</v>
      </c>
      <c r="D489" s="37" t="n">
        <f aca="false">1+IF($G$8=$E$8,$F$8,IF(R489&lt;($F$8-$E$8)/($G$8-$E$8),$E$8+SQRT(R489*($G$8-$E$8)*($F$8-$E$8)),$G$8-SQRT((1-R489)*($G$8-$E$8)*($G$8-$F$8))))</f>
        <v>1.03323401882782</v>
      </c>
      <c r="E489" s="37" t="n">
        <f aca="false">1+IF($G$9=$E$9,$F$9,IF(S489&lt;($F$9-$E$9)/($G$9-$E$9),$E$9+SQRT(S489*($G$9-$E$9)*($F$9-$E$9)),$G$9-SQRT((1-S489)*($G$9-$E$9)*($G$9-$F$9))))</f>
        <v>0.984937136371885</v>
      </c>
      <c r="F489" s="37" t="n">
        <f aca="false">1+IF($G$10=$E$10,$F$10,IF(T489&lt;($F$10-$E$10)/($G$10-$E$10),$E$10+SQRT(T489*($G$10-$E$10)*($F$10-$E$10)),$G$10-SQRT((1-T489)*($G$10-$E$10)*($G$10-$F$10))))</f>
        <v>1.04566916540843</v>
      </c>
      <c r="G489" s="38" t="n">
        <f aca="false">IF($G$11=$E$11,$F$11,IF(U489&lt;($F$11-$E$11)/($G$11-$E$11),$E$11+SQRT(U489*($G$11-$E$11)*($F$11-$E$11)),$G$11-SQRT((1-U489)*($G$11-$E$11)*($G$11-$F$11))))</f>
        <v>0.109634780058021</v>
      </c>
      <c r="H489" s="39" t="n">
        <f aca="false">(('Business Case'!B11*$C489*'Business Case'!B12*$B489)-'Business Case'!B11*$C489*'Business Case'!B13*$D489-'Business Case'!B14*$E489)-MAX(0,(('Business Case'!B11*$C489*'Business Case'!B12*$B489)-'Business Case'!B11*$C489*'Business Case'!B13*$D489-'Business Case'!B14*$E489))*'Business Case'!$B$7-'Business Case'!$B$8*('Business Case'!B11*$C489*'Business Case'!B12*$B489)-'Business Case'!B15*$F489</f>
        <v>-2091338330.81687</v>
      </c>
      <c r="I489" s="39" t="n">
        <f aca="false">(('Business Case'!C11*$C489*'Business Case'!C12*$B489)-'Business Case'!C11*$C489*'Business Case'!C13*$D489-'Business Case'!C14*$E489)-MAX(0,(('Business Case'!C11*$C489*'Business Case'!C12*$B489)-'Business Case'!C11*$C489*'Business Case'!C13*$D489-'Business Case'!C14*$E489))*'Business Case'!$B$7-'Business Case'!$B$8*(('Business Case'!C11*$C489*'Business Case'!C12*$B489)-('Business Case'!B11*$C489*'Business Case'!B12*$B489))-'Business Case'!C15*$F489</f>
        <v>-65816274.0598221</v>
      </c>
      <c r="J489" s="39" t="n">
        <f aca="false">(('Business Case'!D11*$C489*'Business Case'!D12*$B489)-'Business Case'!D11*$C489*'Business Case'!D13*$D489-'Business Case'!D14*$E489)-MAX(0,(('Business Case'!D11*$C489*'Business Case'!D12*$B489)-'Business Case'!D11*$C489*'Business Case'!D13*$D489-'Business Case'!D14*$E489))*'Business Case'!$B$7-'Business Case'!$B$8*(('Business Case'!D11*$C489*'Business Case'!D12*$B489)-('Business Case'!C11*$C489*'Business Case'!C12*$B489))-'Business Case'!D15*$F489</f>
        <v>154108598.260806</v>
      </c>
      <c r="K489" s="39" t="n">
        <f aca="false">(('Business Case'!E11*$C489*'Business Case'!E12*$B489)-'Business Case'!E11*$C489*'Business Case'!E13*$D489-'Business Case'!E14*$E489)-MAX(0,(('Business Case'!E11*$C489*'Business Case'!E12*$B489)-'Business Case'!E11*$C489*'Business Case'!E13*$D489-'Business Case'!E14*$E489))*'Business Case'!$B$7-'Business Case'!$B$8*(('Business Case'!E11*$C489*'Business Case'!E12*$B489)-('Business Case'!D11*$C489*'Business Case'!D12*$B489))-'Business Case'!E15*$F489</f>
        <v>426316928.851855</v>
      </c>
      <c r="L489" s="39" t="n">
        <f aca="false">(('Business Case'!F11*$C489*'Business Case'!F12*$B489)-'Business Case'!F11*$C489*'Business Case'!F13*$D489-'Business Case'!F14*$E489)-MAX(0,(('Business Case'!F11*$C489*'Business Case'!F12*$B489)-'Business Case'!F11*$C489*'Business Case'!F13*$D489-'Business Case'!F14*$E489))*'Business Case'!$B$7-'Business Case'!$B$8*(('Business Case'!F11*$C489*'Business Case'!F12*$B489)-('Business Case'!E11*$C489*'Business Case'!E12*$B489))-'Business Case'!F15*$F489</f>
        <v>527035998.990414</v>
      </c>
      <c r="M489" s="39" t="n">
        <f aca="false">(('Business Case'!G11*$C489*'Business Case'!G12*$B489)-'Business Case'!G11*$C489*'Business Case'!G13*$D489-'Business Case'!G14*$E489)-MAX(0,(('Business Case'!G11*$C489*'Business Case'!G12*$B489)-'Business Case'!G11*$C489*'Business Case'!G13*$D489-'Business Case'!G14*$E489))*'Business Case'!$B$7-'Business Case'!$B$8*(('Business Case'!G11*$C489*'Business Case'!G12*$B489)-('Business Case'!F11*$C489*'Business Case'!F12*$B489))-'Business Case'!G15*$F489+'Business Case'!$B$8*('Business Case'!G11*$C489*'Business Case'!G12*$B489)</f>
        <v>677795285.498002</v>
      </c>
      <c r="N489" s="39" t="n">
        <f aca="false">IF(COUNT('Business Case'!B11:G11)=0,"",H489+NPV(G489,I489:M489))</f>
        <v>-962931148.697093</v>
      </c>
      <c r="P489" s="40" t="n">
        <f aca="true">RAND()</f>
        <v>0.329888418528948</v>
      </c>
      <c r="Q489" s="40" t="n">
        <f aca="true">RAND()</f>
        <v>0.00220012308374611</v>
      </c>
      <c r="R489" s="40" t="n">
        <f aca="true">RAND()</f>
        <v>0.789706058173377</v>
      </c>
      <c r="S489" s="40" t="n">
        <f aca="true">RAND()</f>
        <v>0.162747133049024</v>
      </c>
      <c r="T489" s="40" t="n">
        <f aca="true">RAND()</f>
        <v>0.523639869885419</v>
      </c>
      <c r="U489" s="40" t="n">
        <f aca="true">RAND()</f>
        <v>0.82093702592401</v>
      </c>
    </row>
    <row r="490" customFormat="false" ht="15" hidden="false" customHeight="false" outlineLevel="0" collapsed="false">
      <c r="A490" s="36" t="n">
        <v>410</v>
      </c>
      <c r="B490" s="37" t="n">
        <f aca="false">1+IF($G$6=$E$6,$F$6,IF(P490&lt;($F$6-$E$6)/($G$6-$E$6),$E$6+SQRT(P490*($G$6-$E$6)*($F$6-$E$6)),$G$6-SQRT((1-P490)*($G$6-$E$6)*($G$6-$F$6))))</f>
        <v>0.976605908375836</v>
      </c>
      <c r="C490" s="37" t="n">
        <f aca="false">1+IF($G$7=$E$7,$F$7,IF(Q490&lt;($F$7-$E$7)/($G$7-$E$7),$E$7+SQRT(Q490*($G$7-$E$7)*($F$7-$E$7)),$G$7-SQRT((1-Q490)*($G$7-$E$7)*($G$7-$F$7))))</f>
        <v>1.10140323273264</v>
      </c>
      <c r="D490" s="37" t="n">
        <f aca="false">1+IF($G$8=$E$8,$F$8,IF(R490&lt;($F$8-$E$8)/($G$8-$E$8),$E$8+SQRT(R490*($G$8-$E$8)*($F$8-$E$8)),$G$8-SQRT((1-R490)*($G$8-$E$8)*($G$8-$F$8))))</f>
        <v>1.02242475613452</v>
      </c>
      <c r="E490" s="37" t="n">
        <f aca="false">1+IF($G$9=$E$9,$F$9,IF(S490&lt;($F$9-$E$9)/($G$9-$E$9),$E$9+SQRT(S490*($G$9-$E$9)*($F$9-$E$9)),$G$9-SQRT((1-S490)*($G$9-$E$9)*($G$9-$F$9))))</f>
        <v>1.08566653316034</v>
      </c>
      <c r="F490" s="37" t="n">
        <f aca="false">1+IF($G$10=$E$10,$F$10,IF(T490&lt;($F$10-$E$10)/($G$10-$E$10),$E$10+SQRT(T490*($G$10-$E$10)*($F$10-$E$10)),$G$10-SQRT((1-T490)*($G$10-$E$10)*($G$10-$F$10))))</f>
        <v>0.9700729379934</v>
      </c>
      <c r="G490" s="38" t="n">
        <f aca="false">IF($G$11=$E$11,$F$11,IF(U490&lt;($F$11-$E$11)/($G$11-$E$11),$E$11+SQRT(U490*($G$11-$E$11)*($F$11-$E$11)),$G$11-SQRT((1-U490)*($G$11-$E$11)*($G$11-$F$11))))</f>
        <v>0.10611904474834</v>
      </c>
      <c r="H490" s="39" t="n">
        <f aca="false">(('Business Case'!B11*$C490*'Business Case'!B12*$B490)-'Business Case'!B11*$C490*'Business Case'!B13*$D490-'Business Case'!B14*$E490)-MAX(0,(('Business Case'!B11*$C490*'Business Case'!B12*$B490)-'Business Case'!B11*$C490*'Business Case'!B13*$D490-'Business Case'!B14*$E490))*'Business Case'!$B$7-'Business Case'!$B$8*('Business Case'!B11*$C490*'Business Case'!B12*$B490)-'Business Case'!B15*$F490</f>
        <v>-1940145875.9868</v>
      </c>
      <c r="I490" s="39" t="n">
        <f aca="false">(('Business Case'!C11*$C490*'Business Case'!C12*$B490)-'Business Case'!C11*$C490*'Business Case'!C13*$D490-'Business Case'!C14*$E490)-MAX(0,(('Business Case'!C11*$C490*'Business Case'!C12*$B490)-'Business Case'!C11*$C490*'Business Case'!C13*$D490-'Business Case'!C14*$E490))*'Business Case'!$B$7-'Business Case'!$B$8*(('Business Case'!C11*$C490*'Business Case'!C12*$B490)-('Business Case'!B11*$C490*'Business Case'!B12*$B490))-'Business Case'!C15*$F490</f>
        <v>-2600122.07290581</v>
      </c>
      <c r="J490" s="39" t="n">
        <f aca="false">(('Business Case'!D11*$C490*'Business Case'!D12*$B490)-'Business Case'!D11*$C490*'Business Case'!D13*$D490-'Business Case'!D14*$E490)-MAX(0,(('Business Case'!D11*$C490*'Business Case'!D12*$B490)-'Business Case'!D11*$C490*'Business Case'!D13*$D490-'Business Case'!D14*$E490))*'Business Case'!$B$7-'Business Case'!$B$8*(('Business Case'!D11*$C490*'Business Case'!D12*$B490)-('Business Case'!C11*$C490*'Business Case'!C12*$B490))-'Business Case'!D15*$F490</f>
        <v>301949847.802923</v>
      </c>
      <c r="K490" s="39" t="n">
        <f aca="false">(('Business Case'!E11*$C490*'Business Case'!E12*$B490)-'Business Case'!E11*$C490*'Business Case'!E13*$D490-'Business Case'!E14*$E490)-MAX(0,(('Business Case'!E11*$C490*'Business Case'!E12*$B490)-'Business Case'!E11*$C490*'Business Case'!E13*$D490-'Business Case'!E14*$E490))*'Business Case'!$B$7-'Business Case'!$B$8*(('Business Case'!E11*$C490*'Business Case'!E12*$B490)-('Business Case'!D11*$C490*'Business Case'!D12*$B490))-'Business Case'!E15*$F490</f>
        <v>655003464.578422</v>
      </c>
      <c r="L490" s="39" t="n">
        <f aca="false">(('Business Case'!F11*$C490*'Business Case'!F12*$B490)-'Business Case'!F11*$C490*'Business Case'!F13*$D490-'Business Case'!F14*$E490)-MAX(0,(('Business Case'!F11*$C490*'Business Case'!F12*$B490)-'Business Case'!F11*$C490*'Business Case'!F13*$D490-'Business Case'!F14*$E490))*'Business Case'!$B$7-'Business Case'!$B$8*(('Business Case'!F11*$C490*'Business Case'!F12*$B490)-('Business Case'!E11*$C490*'Business Case'!E12*$B490))-'Business Case'!F15*$F490</f>
        <v>793694132.62636</v>
      </c>
      <c r="M490" s="39" t="n">
        <f aca="false">(('Business Case'!G11*$C490*'Business Case'!G12*$B490)-'Business Case'!G11*$C490*'Business Case'!G13*$D490-'Business Case'!G14*$E490)-MAX(0,(('Business Case'!G11*$C490*'Business Case'!G12*$B490)-'Business Case'!G11*$C490*'Business Case'!G13*$D490-'Business Case'!G14*$E490))*'Business Case'!$B$7-'Business Case'!$B$8*(('Business Case'!G11*$C490*'Business Case'!G12*$B490)-('Business Case'!F11*$C490*'Business Case'!F12*$B490))-'Business Case'!G15*$F490+'Business Case'!$B$8*('Business Case'!G11*$C490*'Business Case'!G12*$B490)</f>
        <v>998151195.451006</v>
      </c>
      <c r="N490" s="39" t="n">
        <f aca="false">IF(COUNT('Business Case'!B11:G11)=0,"",H490+NPV(G490,I490:M490))</f>
        <v>-78686413.4063499</v>
      </c>
      <c r="P490" s="40" t="n">
        <f aca="true">RAND()</f>
        <v>0.333773839901404</v>
      </c>
      <c r="Q490" s="40" t="n">
        <f aca="true">RAND()</f>
        <v>0.955016270688792</v>
      </c>
      <c r="R490" s="40" t="n">
        <f aca="true">RAND()</f>
        <v>0.681258778252981</v>
      </c>
      <c r="S490" s="40" t="n">
        <f aca="true">RAND()</f>
        <v>0.986303448557089</v>
      </c>
      <c r="T490" s="40" t="n">
        <f aca="true">RAND()</f>
        <v>0.032233827174949</v>
      </c>
      <c r="U490" s="40" t="n">
        <f aca="true">RAND()</f>
        <v>0.678865135502342</v>
      </c>
    </row>
    <row r="491" customFormat="false" ht="15" hidden="false" customHeight="false" outlineLevel="0" collapsed="false">
      <c r="A491" s="36" t="n">
        <v>411</v>
      </c>
      <c r="B491" s="37" t="n">
        <f aca="false">1+IF($G$6=$E$6,$F$6,IF(P491&lt;($F$6-$E$6)/($G$6-$E$6),$E$6+SQRT(P491*($G$6-$E$6)*($F$6-$E$6)),$G$6-SQRT((1-P491)*($G$6-$E$6)*($G$6-$F$6))))</f>
        <v>1.0151237781525</v>
      </c>
      <c r="C491" s="37" t="n">
        <f aca="false">1+IF($G$7=$E$7,$F$7,IF(Q491&lt;($F$7-$E$7)/($G$7-$E$7),$E$7+SQRT(Q491*($G$7-$E$7)*($F$7-$E$7)),$G$7-SQRT((1-Q491)*($G$7-$E$7)*($G$7-$F$7))))</f>
        <v>0.928432584829397</v>
      </c>
      <c r="D491" s="37" t="n">
        <f aca="false">1+IF($G$8=$E$8,$F$8,IF(R491&lt;($F$8-$E$8)/($G$8-$E$8),$E$8+SQRT(R491*($G$8-$E$8)*($F$8-$E$8)),$G$8-SQRT((1-R491)*($G$8-$E$8)*($G$8-$F$8))))</f>
        <v>1.02548658571729</v>
      </c>
      <c r="E491" s="37" t="n">
        <f aca="false">1+IF($G$9=$E$9,$F$9,IF(S491&lt;($F$9-$E$9)/($G$9-$E$9),$E$9+SQRT(S491*($G$9-$E$9)*($F$9-$E$9)),$G$9-SQRT((1-S491)*($G$9-$E$9)*($G$9-$F$9))))</f>
        <v>1.0085019395554</v>
      </c>
      <c r="F491" s="37" t="n">
        <f aca="false">1+IF($G$10=$E$10,$F$10,IF(T491&lt;($F$10-$E$10)/($G$10-$E$10),$E$10+SQRT(T491*($G$10-$E$10)*($F$10-$E$10)),$G$10-SQRT((1-T491)*($G$10-$E$10)*($G$10-$F$10))))</f>
        <v>1.00629067251304</v>
      </c>
      <c r="G491" s="38" t="n">
        <f aca="false">IF($G$11=$E$11,$F$11,IF(U491&lt;($F$11-$E$11)/($G$11-$E$11),$E$11+SQRT(U491*($G$11-$E$11)*($F$11-$E$11)),$G$11-SQRT((1-U491)*($G$11-$E$11)*($G$11-$F$11))))</f>
        <v>0.111542065670889</v>
      </c>
      <c r="H491" s="39" t="n">
        <f aca="false">(('Business Case'!B11*$C491*'Business Case'!B12*$B491)-'Business Case'!B11*$C491*'Business Case'!B13*$D491-'Business Case'!B14*$E491)-MAX(0,(('Business Case'!B11*$C491*'Business Case'!B12*$B491)-'Business Case'!B11*$C491*'Business Case'!B13*$D491-'Business Case'!B14*$E491))*'Business Case'!$B$7-'Business Case'!$B$8*('Business Case'!B11*$C491*'Business Case'!B12*$B491)-'Business Case'!B15*$F491</f>
        <v>-2012581345.02608</v>
      </c>
      <c r="I491" s="39" t="n">
        <f aca="false">(('Business Case'!C11*$C491*'Business Case'!C12*$B491)-'Business Case'!C11*$C491*'Business Case'!C13*$D491-'Business Case'!C14*$E491)-MAX(0,(('Business Case'!C11*$C491*'Business Case'!C12*$B491)-'Business Case'!C11*$C491*'Business Case'!C13*$D491-'Business Case'!C14*$E491))*'Business Case'!$B$7-'Business Case'!$B$8*(('Business Case'!C11*$C491*'Business Case'!C12*$B491)-('Business Case'!B11*$C491*'Business Case'!B12*$B491))-'Business Case'!C15*$F491</f>
        <v>-8338391.31768043</v>
      </c>
      <c r="J491" s="39" t="n">
        <f aca="false">(('Business Case'!D11*$C491*'Business Case'!D12*$B491)-'Business Case'!D11*$C491*'Business Case'!D13*$D491-'Business Case'!D14*$E491)-MAX(0,(('Business Case'!D11*$C491*'Business Case'!D12*$B491)-'Business Case'!D11*$C491*'Business Case'!D13*$D491-'Business Case'!D14*$E491))*'Business Case'!$B$7-'Business Case'!$B$8*(('Business Case'!D11*$C491*'Business Case'!D12*$B491)-('Business Case'!C11*$C491*'Business Case'!C12*$B491))-'Business Case'!D15*$F491</f>
        <v>276219112.231936</v>
      </c>
      <c r="K491" s="39" t="n">
        <f aca="false">(('Business Case'!E11*$C491*'Business Case'!E12*$B491)-'Business Case'!E11*$C491*'Business Case'!E13*$D491-'Business Case'!E14*$E491)-MAX(0,(('Business Case'!E11*$C491*'Business Case'!E12*$B491)-'Business Case'!E11*$C491*'Business Case'!E13*$D491-'Business Case'!E14*$E491))*'Business Case'!$B$7-'Business Case'!$B$8*(('Business Case'!E11*$C491*'Business Case'!E12*$B491)-('Business Case'!D11*$C491*'Business Case'!D12*$B491))-'Business Case'!E15*$F491</f>
        <v>611091149.407204</v>
      </c>
      <c r="L491" s="39" t="n">
        <f aca="false">(('Business Case'!F11*$C491*'Business Case'!F12*$B491)-'Business Case'!F11*$C491*'Business Case'!F13*$D491-'Business Case'!F14*$E491)-MAX(0,(('Business Case'!F11*$C491*'Business Case'!F12*$B491)-'Business Case'!F11*$C491*'Business Case'!F13*$D491-'Business Case'!F14*$E491))*'Business Case'!$B$7-'Business Case'!$B$8*(('Business Case'!F11*$C491*'Business Case'!F12*$B491)-('Business Case'!E11*$C491*'Business Case'!E12*$B491))-'Business Case'!F15*$F491</f>
        <v>738515551.797887</v>
      </c>
      <c r="M491" s="39" t="n">
        <f aca="false">(('Business Case'!G11*$C491*'Business Case'!G12*$B491)-'Business Case'!G11*$C491*'Business Case'!G13*$D491-'Business Case'!G14*$E491)-MAX(0,(('Business Case'!G11*$C491*'Business Case'!G12*$B491)-'Business Case'!G11*$C491*'Business Case'!G13*$D491-'Business Case'!G14*$E491))*'Business Case'!$B$7-'Business Case'!$B$8*(('Business Case'!G11*$C491*'Business Case'!G12*$B491)-('Business Case'!F11*$C491*'Business Case'!F12*$B491))-'Business Case'!G15*$F491+'Business Case'!$B$8*('Business Case'!G11*$C491*'Business Case'!G12*$B491)</f>
        <v>917661008.439012</v>
      </c>
      <c r="N491" s="39" t="n">
        <f aca="false">IF(COUNT('Business Case'!B11:G11)=0,"",H491+NPV(G491,I491:M491))</f>
        <v>-326942396.115377</v>
      </c>
      <c r="P491" s="40" t="n">
        <f aca="true">RAND()</f>
        <v>0.871077830540416</v>
      </c>
      <c r="Q491" s="40" t="n">
        <f aca="true">RAND()</f>
        <v>0.235641840656574</v>
      </c>
      <c r="R491" s="40" t="n">
        <f aca="true">RAND()</f>
        <v>0.714258429157824</v>
      </c>
      <c r="S491" s="40" t="n">
        <f aca="true">RAND()</f>
        <v>0.44187366232505</v>
      </c>
      <c r="T491" s="40" t="n">
        <f aca="true">RAND()</f>
        <v>0.249533928890979</v>
      </c>
      <c r="U491" s="40" t="n">
        <f aca="true">RAND()</f>
        <v>0.88077224480741</v>
      </c>
    </row>
    <row r="492" customFormat="false" ht="15" hidden="false" customHeight="false" outlineLevel="0" collapsed="false">
      <c r="A492" s="36" t="n">
        <v>412</v>
      </c>
      <c r="B492" s="37" t="n">
        <f aca="false">1+IF($G$6=$E$6,$F$6,IF(P492&lt;($F$6-$E$6)/($G$6-$E$6),$E$6+SQRT(P492*($G$6-$E$6)*($F$6-$E$6)),$G$6-SQRT((1-P492)*($G$6-$E$6)*($G$6-$F$6))))</f>
        <v>0.96959085607414</v>
      </c>
      <c r="C492" s="37" t="n">
        <f aca="false">1+IF($G$7=$E$7,$F$7,IF(Q492&lt;($F$7-$E$7)/($G$7-$E$7),$E$7+SQRT(Q492*($G$7-$E$7)*($F$7-$E$7)),$G$7-SQRT((1-Q492)*($G$7-$E$7)*($G$7-$F$7))))</f>
        <v>0.915139913832819</v>
      </c>
      <c r="D492" s="37" t="n">
        <f aca="false">1+IF($G$8=$E$8,$F$8,IF(R492&lt;($F$8-$E$8)/($G$8-$E$8),$E$8+SQRT(R492*($G$8-$E$8)*($F$8-$E$8)),$G$8-SQRT((1-R492)*($G$8-$E$8)*($G$8-$F$8))))</f>
        <v>0.991087067921968</v>
      </c>
      <c r="E492" s="37" t="n">
        <f aca="false">1+IF($G$9=$E$9,$F$9,IF(S492&lt;($F$9-$E$9)/($G$9-$E$9),$E$9+SQRT(S492*($G$9-$E$9)*($F$9-$E$9)),$G$9-SQRT((1-S492)*($G$9-$E$9)*($G$9-$F$9))))</f>
        <v>1.08649424110197</v>
      </c>
      <c r="F492" s="37" t="n">
        <f aca="false">1+IF($G$10=$E$10,$F$10,IF(T492&lt;($F$10-$E$10)/($G$10-$E$10),$E$10+SQRT(T492*($G$10-$E$10)*($F$10-$E$10)),$G$10-SQRT((1-T492)*($G$10-$E$10)*($G$10-$F$10))))</f>
        <v>1.01185973438799</v>
      </c>
      <c r="G492" s="38" t="n">
        <f aca="false">IF($G$11=$E$11,$F$11,IF(U492&lt;($F$11-$E$11)/($G$11-$E$11),$E$11+SQRT(U492*($G$11-$E$11)*($F$11-$E$11)),$G$11-SQRT((1-U492)*($G$11-$E$11)*($G$11-$F$11))))</f>
        <v>0.103895261378961</v>
      </c>
      <c r="H492" s="39" t="n">
        <f aca="false">(('Business Case'!B11*$C492*'Business Case'!B12*$B492)-'Business Case'!B11*$C492*'Business Case'!B13*$D492-'Business Case'!B14*$E492)-MAX(0,(('Business Case'!B11*$C492*'Business Case'!B12*$B492)-'Business Case'!B11*$C492*'Business Case'!B13*$D492-'Business Case'!B14*$E492))*'Business Case'!$B$7-'Business Case'!$B$8*('Business Case'!B11*$C492*'Business Case'!B12*$B492)-'Business Case'!B15*$F492</f>
        <v>-2023719468.77598</v>
      </c>
      <c r="I492" s="39" t="n">
        <f aca="false">(('Business Case'!C11*$C492*'Business Case'!C12*$B492)-'Business Case'!C11*$C492*'Business Case'!C13*$D492-'Business Case'!C14*$E492)-MAX(0,(('Business Case'!C11*$C492*'Business Case'!C12*$B492)-'Business Case'!C11*$C492*'Business Case'!C13*$D492-'Business Case'!C14*$E492))*'Business Case'!$B$7-'Business Case'!$B$8*(('Business Case'!C11*$C492*'Business Case'!C12*$B492)-('Business Case'!B11*$C492*'Business Case'!B12*$B492))-'Business Case'!C15*$F492</f>
        <v>-39214745.280905</v>
      </c>
      <c r="J492" s="39" t="n">
        <f aca="false">(('Business Case'!D11*$C492*'Business Case'!D12*$B492)-'Business Case'!D11*$C492*'Business Case'!D13*$D492-'Business Case'!D14*$E492)-MAX(0,(('Business Case'!D11*$C492*'Business Case'!D12*$B492)-'Business Case'!D11*$C492*'Business Case'!D13*$D492-'Business Case'!D14*$E492))*'Business Case'!$B$7-'Business Case'!$B$8*(('Business Case'!D11*$C492*'Business Case'!D12*$B492)-('Business Case'!C11*$C492*'Business Case'!C12*$B492))-'Business Case'!D15*$F492</f>
        <v>223254181.363894</v>
      </c>
      <c r="K492" s="39" t="n">
        <f aca="false">(('Business Case'!E11*$C492*'Business Case'!E12*$B492)-'Business Case'!E11*$C492*'Business Case'!E13*$D492-'Business Case'!E14*$E492)-MAX(0,(('Business Case'!E11*$C492*'Business Case'!E12*$B492)-'Business Case'!E11*$C492*'Business Case'!E13*$D492-'Business Case'!E14*$E492))*'Business Case'!$B$7-'Business Case'!$B$8*(('Business Case'!E11*$C492*'Business Case'!E12*$B492)-('Business Case'!D11*$C492*'Business Case'!D12*$B492))-'Business Case'!E15*$F492</f>
        <v>536316094.728092</v>
      </c>
      <c r="L492" s="39" t="n">
        <f aca="false">(('Business Case'!F11*$C492*'Business Case'!F12*$B492)-'Business Case'!F11*$C492*'Business Case'!F13*$D492-'Business Case'!F14*$E492)-MAX(0,(('Business Case'!F11*$C492*'Business Case'!F12*$B492)-'Business Case'!F11*$C492*'Business Case'!F13*$D492-'Business Case'!F14*$E492))*'Business Case'!$B$7-'Business Case'!$B$8*(('Business Case'!F11*$C492*'Business Case'!F12*$B492)-('Business Case'!E11*$C492*'Business Case'!E12*$B492))-'Business Case'!F15*$F492</f>
        <v>654471215.21116</v>
      </c>
      <c r="M492" s="39" t="n">
        <f aca="false">(('Business Case'!G11*$C492*'Business Case'!G12*$B492)-'Business Case'!G11*$C492*'Business Case'!G13*$D492-'Business Case'!G14*$E492)-MAX(0,(('Business Case'!G11*$C492*'Business Case'!G12*$B492)-'Business Case'!G11*$C492*'Business Case'!G13*$D492-'Business Case'!G14*$E492))*'Business Case'!$B$7-'Business Case'!$B$8*(('Business Case'!G11*$C492*'Business Case'!G12*$B492)-('Business Case'!F11*$C492*'Business Case'!F12*$B492))-'Business Case'!G15*$F492+'Business Case'!$B$8*('Business Case'!G11*$C492*'Business Case'!G12*$B492)</f>
        <v>823131345.685906</v>
      </c>
      <c r="N492" s="39" t="n">
        <f aca="false">IF(COUNT('Business Case'!B11:G11)=0,"",H492+NPV(G492,I492:M492))</f>
        <v>-534461645.560591</v>
      </c>
      <c r="P492" s="40" t="n">
        <f aca="true">RAND()</f>
        <v>0.256172188142302</v>
      </c>
      <c r="Q492" s="40" t="n">
        <f aca="true">RAND()</f>
        <v>0.189388567963272</v>
      </c>
      <c r="R492" s="40" t="n">
        <f aca="true">RAND()</f>
        <v>0.259714946219134</v>
      </c>
      <c r="S492" s="40" t="n">
        <f aca="true">RAND()</f>
        <v>0.98783963177256</v>
      </c>
      <c r="T492" s="40" t="n">
        <f aca="true">RAND()</f>
        <v>0.292064809108858</v>
      </c>
      <c r="U492" s="40" t="n">
        <f aca="true">RAND()</f>
        <v>0.567728989913338</v>
      </c>
    </row>
    <row r="493" customFormat="false" ht="15" hidden="false" customHeight="false" outlineLevel="0" collapsed="false">
      <c r="A493" s="36" t="n">
        <v>413</v>
      </c>
      <c r="B493" s="37" t="n">
        <f aca="false">1+IF($G$6=$E$6,$F$6,IF(P493&lt;($F$6-$E$6)/($G$6-$E$6),$E$6+SQRT(P493*($G$6-$E$6)*($F$6-$E$6)),$G$6-SQRT((1-P493)*($G$6-$E$6)*($G$6-$F$6))))</f>
        <v>0.970683392162762</v>
      </c>
      <c r="C493" s="37" t="n">
        <f aca="false">1+IF($G$7=$E$7,$F$7,IF(Q493&lt;($F$7-$E$7)/($G$7-$E$7),$E$7+SQRT(Q493*($G$7-$E$7)*($F$7-$E$7)),$G$7-SQRT((1-Q493)*($G$7-$E$7)*($G$7-$F$7))))</f>
        <v>1.0989421950218</v>
      </c>
      <c r="D493" s="37" t="n">
        <f aca="false">1+IF($G$8=$E$8,$F$8,IF(R493&lt;($F$8-$E$8)/($G$8-$E$8),$E$8+SQRT(R493*($G$8-$E$8)*($F$8-$E$8)),$G$8-SQRT((1-R493)*($G$8-$E$8)*($G$8-$F$8))))</f>
        <v>1.01357392436562</v>
      </c>
      <c r="E493" s="37" t="n">
        <f aca="false">1+IF($G$9=$E$9,$F$9,IF(S493&lt;($F$9-$E$9)/($G$9-$E$9),$E$9+SQRT(S493*($G$9-$E$9)*($F$9-$E$9)),$G$9-SQRT((1-S493)*($G$9-$E$9)*($G$9-$F$9))))</f>
        <v>0.984033379171812</v>
      </c>
      <c r="F493" s="37" t="n">
        <f aca="false">1+IF($G$10=$E$10,$F$10,IF(T493&lt;($F$10-$E$10)/($G$10-$E$10),$E$10+SQRT(T493*($G$10-$E$10)*($F$10-$E$10)),$G$10-SQRT((1-T493)*($G$10-$E$10)*($G$10-$F$10))))</f>
        <v>1.00292376008356</v>
      </c>
      <c r="G493" s="38" t="n">
        <f aca="false">IF($G$11=$E$11,$F$11,IF(U493&lt;($F$11-$E$11)/($G$11-$E$11),$E$11+SQRT(U493*($G$11-$E$11)*($F$11-$E$11)),$G$11-SQRT((1-U493)*($G$11-$E$11)*($G$11-$F$11))))</f>
        <v>0.102843661048612</v>
      </c>
      <c r="H493" s="39" t="n">
        <f aca="false">(('Business Case'!B11*$C493*'Business Case'!B12*$B493)-'Business Case'!B11*$C493*'Business Case'!B13*$D493-'Business Case'!B14*$E493)-MAX(0,(('Business Case'!B11*$C493*'Business Case'!B12*$B493)-'Business Case'!B11*$C493*'Business Case'!B13*$D493-'Business Case'!B14*$E493))*'Business Case'!$B$7-'Business Case'!$B$8*('Business Case'!B11*$C493*'Business Case'!B12*$B493)-'Business Case'!B15*$F493</f>
        <v>-2005847520.16712</v>
      </c>
      <c r="I493" s="39" t="n">
        <f aca="false">(('Business Case'!C11*$C493*'Business Case'!C12*$B493)-'Business Case'!C11*$C493*'Business Case'!C13*$D493-'Business Case'!C14*$E493)-MAX(0,(('Business Case'!C11*$C493*'Business Case'!C12*$B493)-'Business Case'!C11*$C493*'Business Case'!C13*$D493-'Business Case'!C14*$E493))*'Business Case'!$B$7-'Business Case'!$B$8*(('Business Case'!C11*$C493*'Business Case'!C12*$B493)-('Business Case'!B11*$C493*'Business Case'!B12*$B493))-'Business Case'!C15*$F493</f>
        <v>7996807.10353355</v>
      </c>
      <c r="J493" s="39" t="n">
        <f aca="false">(('Business Case'!D11*$C493*'Business Case'!D12*$B493)-'Business Case'!D11*$C493*'Business Case'!D13*$D493-'Business Case'!D14*$E493)-MAX(0,(('Business Case'!D11*$C493*'Business Case'!D12*$B493)-'Business Case'!D11*$C493*'Business Case'!D13*$D493-'Business Case'!D14*$E493))*'Business Case'!$B$7-'Business Case'!$B$8*(('Business Case'!D11*$C493*'Business Case'!D12*$B493)-('Business Case'!C11*$C493*'Business Case'!C12*$B493))-'Business Case'!D15*$F493</f>
        <v>311514557.501667</v>
      </c>
      <c r="K493" s="39" t="n">
        <f aca="false">(('Business Case'!E11*$C493*'Business Case'!E12*$B493)-'Business Case'!E11*$C493*'Business Case'!E13*$D493-'Business Case'!E14*$E493)-MAX(0,(('Business Case'!E11*$C493*'Business Case'!E12*$B493)-'Business Case'!E11*$C493*'Business Case'!E13*$D493-'Business Case'!E14*$E493))*'Business Case'!$B$7-'Business Case'!$B$8*(('Business Case'!E11*$C493*'Business Case'!E12*$B493)-('Business Case'!D11*$C493*'Business Case'!D12*$B493))-'Business Case'!E15*$F493</f>
        <v>665178495.903979</v>
      </c>
      <c r="L493" s="39" t="n">
        <f aca="false">(('Business Case'!F11*$C493*'Business Case'!F12*$B493)-'Business Case'!F11*$C493*'Business Case'!F13*$D493-'Business Case'!F14*$E493)-MAX(0,(('Business Case'!F11*$C493*'Business Case'!F12*$B493)-'Business Case'!F11*$C493*'Business Case'!F13*$D493-'Business Case'!F14*$E493))*'Business Case'!$B$7-'Business Case'!$B$8*(('Business Case'!F11*$C493*'Business Case'!F12*$B493)-('Business Case'!E11*$C493*'Business Case'!E12*$B493))-'Business Case'!F15*$F493</f>
        <v>803217093.215365</v>
      </c>
      <c r="M493" s="39" t="n">
        <f aca="false">(('Business Case'!G11*$C493*'Business Case'!G12*$B493)-'Business Case'!G11*$C493*'Business Case'!G13*$D493-'Business Case'!G14*$E493)-MAX(0,(('Business Case'!G11*$C493*'Business Case'!G12*$B493)-'Business Case'!G11*$C493*'Business Case'!G13*$D493-'Business Case'!G14*$E493))*'Business Case'!$B$7-'Business Case'!$B$8*(('Business Case'!G11*$C493*'Business Case'!G12*$B493)-('Business Case'!F11*$C493*'Business Case'!F12*$B493))-'Business Case'!G15*$F493+'Business Case'!$B$8*('Business Case'!G11*$C493*'Business Case'!G12*$B493)</f>
        <v>1005980169.36474</v>
      </c>
      <c r="N493" s="39" t="n">
        <f aca="false">IF(COUNT('Business Case'!B11:G11)=0,"",H493+NPV(G493,I493:M493))</f>
        <v>-86975237.4795075</v>
      </c>
      <c r="P493" s="40" t="n">
        <f aca="true">RAND()</f>
        <v>0.267583983450453</v>
      </c>
      <c r="Q493" s="40" t="n">
        <f aca="true">RAND()</f>
        <v>0.95034477239635</v>
      </c>
      <c r="R493" s="40" t="n">
        <f aca="true">RAND()</f>
        <v>0.575728507289964</v>
      </c>
      <c r="S493" s="40" t="n">
        <f aca="true">RAND()</f>
        <v>0.154436119713647</v>
      </c>
      <c r="T493" s="40" t="n">
        <f aca="true">RAND()</f>
        <v>0.223219113207975</v>
      </c>
      <c r="U493" s="40" t="n">
        <f aca="true">RAND()</f>
        <v>0.509433389641828</v>
      </c>
    </row>
    <row r="494" customFormat="false" ht="15" hidden="false" customHeight="false" outlineLevel="0" collapsed="false">
      <c r="A494" s="36" t="n">
        <v>414</v>
      </c>
      <c r="B494" s="37" t="n">
        <f aca="false">1+IF($G$6=$E$6,$F$6,IF(P494&lt;($F$6-$E$6)/($G$6-$E$6),$E$6+SQRT(P494*($G$6-$E$6)*($F$6-$E$6)),$G$6-SQRT((1-P494)*($G$6-$E$6)*($G$6-$F$6))))</f>
        <v>0.972013658658559</v>
      </c>
      <c r="C494" s="37" t="n">
        <f aca="false">1+IF($G$7=$E$7,$F$7,IF(Q494&lt;($F$7-$E$7)/($G$7-$E$7),$E$7+SQRT(Q494*($G$7-$E$7)*($F$7-$E$7)),$G$7-SQRT((1-Q494)*($G$7-$E$7)*($G$7-$F$7))))</f>
        <v>1.12621852505537</v>
      </c>
      <c r="D494" s="37" t="n">
        <f aca="false">1+IF($G$8=$E$8,$F$8,IF(R494&lt;($F$8-$E$8)/($G$8-$E$8),$E$8+SQRT(R494*($G$8-$E$8)*($F$8-$E$8)),$G$8-SQRT((1-R494)*($G$8-$E$8)*($G$8-$F$8))))</f>
        <v>0.99534279671514</v>
      </c>
      <c r="E494" s="37" t="n">
        <f aca="false">1+IF($G$9=$E$9,$F$9,IF(S494&lt;($F$9-$E$9)/($G$9-$E$9),$E$9+SQRT(S494*($G$9-$E$9)*($F$9-$E$9)),$G$9-SQRT((1-S494)*($G$9-$E$9)*($G$9-$F$9))))</f>
        <v>0.977015806463397</v>
      </c>
      <c r="F494" s="37" t="n">
        <f aca="false">1+IF($G$10=$E$10,$F$10,IF(T494&lt;($F$10-$E$10)/($G$10-$E$10),$E$10+SQRT(T494*($G$10-$E$10)*($F$10-$E$10)),$G$10-SQRT((1-T494)*($G$10-$E$10)*($G$10-$F$10))))</f>
        <v>1.15300000390774</v>
      </c>
      <c r="G494" s="38" t="n">
        <f aca="false">IF($G$11=$E$11,$F$11,IF(U494&lt;($F$11-$E$11)/($G$11-$E$11),$E$11+SQRT(U494*($G$11-$E$11)*($F$11-$E$11)),$G$11-SQRT((1-U494)*($G$11-$E$11)*($G$11-$F$11))))</f>
        <v>0.11106952628719</v>
      </c>
      <c r="H494" s="39" t="n">
        <f aca="false">(('Business Case'!B11*$C494*'Business Case'!B12*$B494)-'Business Case'!B11*$C494*'Business Case'!B13*$D494-'Business Case'!B14*$E494)-MAX(0,(('Business Case'!B11*$C494*'Business Case'!B12*$B494)-'Business Case'!B11*$C494*'Business Case'!B13*$D494-'Business Case'!B14*$E494))*'Business Case'!$B$7-'Business Case'!$B$8*('Business Case'!B11*$C494*'Business Case'!B12*$B494)-'Business Case'!B15*$F494</f>
        <v>-2306000007.81548</v>
      </c>
      <c r="I494" s="39" t="n">
        <f aca="false">(('Business Case'!C11*$C494*'Business Case'!C12*$B494)-'Business Case'!C11*$C494*'Business Case'!C13*$D494-'Business Case'!C14*$E494)-MAX(0,(('Business Case'!C11*$C494*'Business Case'!C12*$B494)-'Business Case'!C11*$C494*'Business Case'!C13*$D494-'Business Case'!C14*$E494))*'Business Case'!$B$7-'Business Case'!$B$8*(('Business Case'!C11*$C494*'Business Case'!C12*$B494)-('Business Case'!B11*$C494*'Business Case'!B12*$B494))-'Business Case'!C15*$F494</f>
        <v>11808308.1369777</v>
      </c>
      <c r="J494" s="39" t="n">
        <f aca="false">(('Business Case'!D11*$C494*'Business Case'!D12*$B494)-'Business Case'!D11*$C494*'Business Case'!D13*$D494-'Business Case'!D14*$E494)-MAX(0,(('Business Case'!D11*$C494*'Business Case'!D12*$B494)-'Business Case'!D11*$C494*'Business Case'!D13*$D494-'Business Case'!D14*$E494))*'Business Case'!$B$7-'Business Case'!$B$8*(('Business Case'!D11*$C494*'Business Case'!D12*$B494)-('Business Case'!C11*$C494*'Business Case'!C12*$B494))-'Business Case'!D15*$F494</f>
        <v>334597501.404968</v>
      </c>
      <c r="K494" s="39" t="n">
        <f aca="false">(('Business Case'!E11*$C494*'Business Case'!E12*$B494)-'Business Case'!E11*$C494*'Business Case'!E13*$D494-'Business Case'!E14*$E494)-MAX(0,(('Business Case'!E11*$C494*'Business Case'!E12*$B494)-'Business Case'!E11*$C494*'Business Case'!E13*$D494-'Business Case'!E14*$E494))*'Business Case'!$B$7-'Business Case'!$B$8*(('Business Case'!E11*$C494*'Business Case'!E12*$B494)-('Business Case'!D11*$C494*'Business Case'!D12*$B494))-'Business Case'!E15*$F494</f>
        <v>715036694.868345</v>
      </c>
      <c r="L494" s="39" t="n">
        <f aca="false">(('Business Case'!F11*$C494*'Business Case'!F12*$B494)-'Business Case'!F11*$C494*'Business Case'!F13*$D494-'Business Case'!F14*$E494)-MAX(0,(('Business Case'!F11*$C494*'Business Case'!F12*$B494)-'Business Case'!F11*$C494*'Business Case'!F13*$D494-'Business Case'!F14*$E494))*'Business Case'!$B$7-'Business Case'!$B$8*(('Business Case'!F11*$C494*'Business Case'!F12*$B494)-('Business Case'!E11*$C494*'Business Case'!E12*$B494))-'Business Case'!F15*$F494</f>
        <v>860465917.331771</v>
      </c>
      <c r="M494" s="39" t="n">
        <f aca="false">(('Business Case'!G11*$C494*'Business Case'!G12*$B494)-'Business Case'!G11*$C494*'Business Case'!G13*$D494-'Business Case'!G14*$E494)-MAX(0,(('Business Case'!G11*$C494*'Business Case'!G12*$B494)-'Business Case'!G11*$C494*'Business Case'!G13*$D494-'Business Case'!G14*$E494))*'Business Case'!$B$7-'Business Case'!$B$8*(('Business Case'!G11*$C494*'Business Case'!G12*$B494)-('Business Case'!F11*$C494*'Business Case'!F12*$B494))-'Business Case'!G15*$F494+'Business Case'!$B$8*('Business Case'!G11*$C494*'Business Case'!G12*$B494)</f>
        <v>1068546453.22263</v>
      </c>
      <c r="N494" s="39" t="n">
        <f aca="false">IF(COUNT('Business Case'!B11:G11)=0,"",H494+NPV(G494,I494:M494))</f>
        <v>-307287292.026909</v>
      </c>
      <c r="P494" s="40" t="n">
        <f aca="true">RAND()</f>
        <v>0.281814654900946</v>
      </c>
      <c r="Q494" s="40" t="n">
        <f aca="true">RAND()</f>
        <v>0.989227456180148</v>
      </c>
      <c r="R494" s="40" t="n">
        <f aca="true">RAND()</f>
        <v>0.316302955992387</v>
      </c>
      <c r="S494" s="40" t="n">
        <f aca="true">RAND()</f>
        <v>0.0973138398490319</v>
      </c>
      <c r="T494" s="40" t="n">
        <f aca="true">RAND()</f>
        <v>0.95582000734655</v>
      </c>
      <c r="U494" s="40" t="n">
        <f aca="true">RAND()</f>
        <v>0.867077732108002</v>
      </c>
    </row>
    <row r="495" customFormat="false" ht="15" hidden="false" customHeight="false" outlineLevel="0" collapsed="false">
      <c r="A495" s="36" t="n">
        <v>415</v>
      </c>
      <c r="B495" s="37" t="n">
        <f aca="false">1+IF($G$6=$E$6,$F$6,IF(P495&lt;($F$6-$E$6)/($G$6-$E$6),$E$6+SQRT(P495*($G$6-$E$6)*($F$6-$E$6)),$G$6-SQRT((1-P495)*($G$6-$E$6)*($G$6-$F$6))))</f>
        <v>0.987496793385405</v>
      </c>
      <c r="C495" s="37" t="n">
        <f aca="false">1+IF($G$7=$E$7,$F$7,IF(Q495&lt;($F$7-$E$7)/($G$7-$E$7),$E$7+SQRT(Q495*($G$7-$E$7)*($F$7-$E$7)),$G$7-SQRT((1-Q495)*($G$7-$E$7)*($G$7-$F$7))))</f>
        <v>0.9371333692731</v>
      </c>
      <c r="D495" s="37" t="n">
        <f aca="false">1+IF($G$8=$E$8,$F$8,IF(R495&lt;($F$8-$E$8)/($G$8-$E$8),$E$8+SQRT(R495*($G$8-$E$8)*($F$8-$E$8)),$G$8-SQRT((1-R495)*($G$8-$E$8)*($G$8-$F$8))))</f>
        <v>1.04715917204162</v>
      </c>
      <c r="E495" s="37" t="n">
        <f aca="false">1+IF($G$9=$E$9,$F$9,IF(S495&lt;($F$9-$E$9)/($G$9-$E$9),$E$9+SQRT(S495*($G$9-$E$9)*($F$9-$E$9)),$G$9-SQRT((1-S495)*($G$9-$E$9)*($G$9-$F$9))))</f>
        <v>1.0485301986975</v>
      </c>
      <c r="F495" s="37" t="n">
        <f aca="false">1+IF($G$10=$E$10,$F$10,IF(T495&lt;($F$10-$E$10)/($G$10-$E$10),$E$10+SQRT(T495*($G$10-$E$10)*($F$10-$E$10)),$G$10-SQRT((1-T495)*($G$10-$E$10)*($G$10-$F$10))))</f>
        <v>1.0025112423694</v>
      </c>
      <c r="G495" s="38" t="n">
        <f aca="false">IF($G$11=$E$11,$F$11,IF(U495&lt;($F$11-$E$11)/($G$11-$E$11),$E$11+SQRT(U495*($G$11-$E$11)*($F$11-$E$11)),$G$11-SQRT((1-U495)*($G$11-$E$11)*($G$11-$F$11))))</f>
        <v>0.0998656179038016</v>
      </c>
      <c r="H495" s="39" t="n">
        <f aca="false">(('Business Case'!B11*$C495*'Business Case'!B12*$B495)-'Business Case'!B11*$C495*'Business Case'!B13*$D495-'Business Case'!B14*$E495)-MAX(0,(('Business Case'!B11*$C495*'Business Case'!B12*$B495)-'Business Case'!B11*$C495*'Business Case'!B13*$D495-'Business Case'!B14*$E495))*'Business Case'!$B$7-'Business Case'!$B$8*('Business Case'!B11*$C495*'Business Case'!B12*$B495)-'Business Case'!B15*$F495</f>
        <v>-2005022484.73879</v>
      </c>
      <c r="I495" s="39" t="n">
        <f aca="false">(('Business Case'!C11*$C495*'Business Case'!C12*$B495)-'Business Case'!C11*$C495*'Business Case'!C13*$D495-'Business Case'!C14*$E495)-MAX(0,(('Business Case'!C11*$C495*'Business Case'!C12*$B495)-'Business Case'!C11*$C495*'Business Case'!C13*$D495-'Business Case'!C14*$E495))*'Business Case'!$B$7-'Business Case'!$B$8*(('Business Case'!C11*$C495*'Business Case'!C12*$B495)-('Business Case'!B11*$C495*'Business Case'!B12*$B495))-'Business Case'!C15*$F495</f>
        <v>-41704527.6767941</v>
      </c>
      <c r="J495" s="39" t="n">
        <f aca="false">(('Business Case'!D11*$C495*'Business Case'!D12*$B495)-'Business Case'!D11*$C495*'Business Case'!D13*$D495-'Business Case'!D14*$E495)-MAX(0,(('Business Case'!D11*$C495*'Business Case'!D12*$B495)-'Business Case'!D11*$C495*'Business Case'!D13*$D495-'Business Case'!D14*$E495))*'Business Case'!$B$7-'Business Case'!$B$8*(('Business Case'!D11*$C495*'Business Case'!D12*$B495)-('Business Case'!C11*$C495*'Business Case'!C12*$B495))-'Business Case'!D15*$F495</f>
        <v>213916638.797441</v>
      </c>
      <c r="K495" s="39" t="n">
        <f aca="false">(('Business Case'!E11*$C495*'Business Case'!E12*$B495)-'Business Case'!E11*$C495*'Business Case'!E13*$D495-'Business Case'!E14*$E495)-MAX(0,(('Business Case'!E11*$C495*'Business Case'!E12*$B495)-'Business Case'!E11*$C495*'Business Case'!E13*$D495-'Business Case'!E14*$E495))*'Business Case'!$B$7-'Business Case'!$B$8*(('Business Case'!E11*$C495*'Business Case'!E12*$B495)-('Business Case'!D11*$C495*'Business Case'!D12*$B495))-'Business Case'!E15*$F495</f>
        <v>519663367.390145</v>
      </c>
      <c r="L495" s="39" t="n">
        <f aca="false">(('Business Case'!F11*$C495*'Business Case'!F12*$B495)-'Business Case'!F11*$C495*'Business Case'!F13*$D495-'Business Case'!F14*$E495)-MAX(0,(('Business Case'!F11*$C495*'Business Case'!F12*$B495)-'Business Case'!F11*$C495*'Business Case'!F13*$D495-'Business Case'!F14*$E495))*'Business Case'!$B$7-'Business Case'!$B$8*(('Business Case'!F11*$C495*'Business Case'!F12*$B495)-('Business Case'!E11*$C495*'Business Case'!E12*$B495))-'Business Case'!F15*$F495</f>
        <v>636852806.654426</v>
      </c>
      <c r="M495" s="39" t="n">
        <f aca="false">(('Business Case'!G11*$C495*'Business Case'!G12*$B495)-'Business Case'!G11*$C495*'Business Case'!G13*$D495-'Business Case'!G14*$E495)-MAX(0,(('Business Case'!G11*$C495*'Business Case'!G12*$B495)-'Business Case'!G11*$C495*'Business Case'!G13*$D495-'Business Case'!G14*$E495))*'Business Case'!$B$7-'Business Case'!$B$8*(('Business Case'!G11*$C495*'Business Case'!G12*$B495)-('Business Case'!F11*$C495*'Business Case'!F12*$B495))-'Business Case'!G15*$F495+'Business Case'!$B$8*('Business Case'!G11*$C495*'Business Case'!G12*$B495)</f>
        <v>812755917.40521</v>
      </c>
      <c r="N495" s="39" t="n">
        <f aca="false">IF(COUNT('Business Case'!B11:G11)=0,"",H495+NPV(G495,I495:M495))</f>
        <v>-535375093.992922</v>
      </c>
      <c r="P495" s="40" t="n">
        <f aca="true">RAND()</f>
        <v>0.474564283053344</v>
      </c>
      <c r="Q495" s="40" t="n">
        <f aca="true">RAND()</f>
        <v>0.268650870974178</v>
      </c>
      <c r="R495" s="40" t="n">
        <f aca="true">RAND()</f>
        <v>0.896296155673844</v>
      </c>
      <c r="S495" s="40" t="n">
        <f aca="true">RAND()</f>
        <v>0.823390636925421</v>
      </c>
      <c r="T495" s="40" t="n">
        <f aca="true">RAND()</f>
        <v>0.219963812190402</v>
      </c>
      <c r="U495" s="40" t="n">
        <f aca="true">RAND()</f>
        <v>0.324434722079366</v>
      </c>
    </row>
    <row r="496" customFormat="false" ht="15" hidden="false" customHeight="false" outlineLevel="0" collapsed="false">
      <c r="A496" s="36" t="n">
        <v>416</v>
      </c>
      <c r="B496" s="37" t="n">
        <f aca="false">1+IF($G$6=$E$6,$F$6,IF(P496&lt;($F$6-$E$6)/($G$6-$E$6),$E$6+SQRT(P496*($G$6-$E$6)*($F$6-$E$6)),$G$6-SQRT((1-P496)*($G$6-$E$6)*($G$6-$F$6))))</f>
        <v>0.963131659866515</v>
      </c>
      <c r="C496" s="37" t="n">
        <f aca="false">1+IF($G$7=$E$7,$F$7,IF(Q496&lt;($F$7-$E$7)/($G$7-$E$7),$E$7+SQRT(Q496*($G$7-$E$7)*($F$7-$E$7)),$G$7-SQRT((1-Q496)*($G$7-$E$7)*($G$7-$F$7))))</f>
        <v>1.02114884773519</v>
      </c>
      <c r="D496" s="37" t="n">
        <f aca="false">1+IF($G$8=$E$8,$F$8,IF(R496&lt;($F$8-$E$8)/($G$8-$E$8),$E$8+SQRT(R496*($G$8-$E$8)*($F$8-$E$8)),$G$8-SQRT((1-R496)*($G$8-$E$8)*($G$8-$F$8))))</f>
        <v>1.04900292708211</v>
      </c>
      <c r="E496" s="37" t="n">
        <f aca="false">1+IF($G$9=$E$9,$F$9,IF(S496&lt;($F$9-$E$9)/($G$9-$E$9),$E$9+SQRT(S496*($G$9-$E$9)*($F$9-$E$9)),$G$9-SQRT((1-S496)*($G$9-$E$9)*($G$9-$F$9))))</f>
        <v>1.01368867265203</v>
      </c>
      <c r="F496" s="37" t="n">
        <f aca="false">1+IF($G$10=$E$10,$F$10,IF(T496&lt;($F$10-$E$10)/($G$10-$E$10),$E$10+SQRT(T496*($G$10-$E$10)*($F$10-$E$10)),$G$10-SQRT((1-T496)*($G$10-$E$10)*($G$10-$F$10))))</f>
        <v>1.06804655956309</v>
      </c>
      <c r="G496" s="38" t="n">
        <f aca="false">IF($G$11=$E$11,$F$11,IF(U496&lt;($F$11-$E$11)/($G$11-$E$11),$E$11+SQRT(U496*($G$11-$E$11)*($F$11-$E$11)),$G$11-SQRT((1-U496)*($G$11-$E$11)*($G$11-$F$11))))</f>
        <v>0.104919746322889</v>
      </c>
      <c r="H496" s="39" t="n">
        <f aca="false">(('Business Case'!B11*$C496*'Business Case'!B12*$B496)-'Business Case'!B11*$C496*'Business Case'!B13*$D496-'Business Case'!B14*$E496)-MAX(0,(('Business Case'!B11*$C496*'Business Case'!B12*$B496)-'Business Case'!B11*$C496*'Business Case'!B13*$D496-'Business Case'!B14*$E496))*'Business Case'!$B$7-'Business Case'!$B$8*('Business Case'!B11*$C496*'Business Case'!B12*$B496)-'Business Case'!B15*$F496</f>
        <v>-2136093119.12619</v>
      </c>
      <c r="I496" s="39" t="n">
        <f aca="false">(('Business Case'!C11*$C496*'Business Case'!C12*$B496)-'Business Case'!C11*$C496*'Business Case'!C13*$D496-'Business Case'!C14*$E496)-MAX(0,(('Business Case'!C11*$C496*'Business Case'!C12*$B496)-'Business Case'!C11*$C496*'Business Case'!C13*$D496-'Business Case'!C14*$E496))*'Business Case'!$B$7-'Business Case'!$B$8*(('Business Case'!C11*$C496*'Business Case'!C12*$B496)-('Business Case'!B11*$C496*'Business Case'!B12*$B496))-'Business Case'!C15*$F496</f>
        <v>-44740538.8112482</v>
      </c>
      <c r="J496" s="39" t="n">
        <f aca="false">(('Business Case'!D11*$C496*'Business Case'!D12*$B496)-'Business Case'!D11*$C496*'Business Case'!D13*$D496-'Business Case'!D14*$E496)-MAX(0,(('Business Case'!D11*$C496*'Business Case'!D12*$B496)-'Business Case'!D11*$C496*'Business Case'!D13*$D496-'Business Case'!D14*$E496))*'Business Case'!$B$7-'Business Case'!$B$8*(('Business Case'!D11*$C496*'Business Case'!D12*$B496)-('Business Case'!C11*$C496*'Business Case'!C12*$B496))-'Business Case'!D15*$F496</f>
        <v>212454788.263261</v>
      </c>
      <c r="K496" s="39" t="n">
        <f aca="false">(('Business Case'!E11*$C496*'Business Case'!E12*$B496)-'Business Case'!E11*$C496*'Business Case'!E13*$D496-'Business Case'!E14*$E496)-MAX(0,(('Business Case'!E11*$C496*'Business Case'!E12*$B496)-'Business Case'!E11*$C496*'Business Case'!E13*$D496-'Business Case'!E14*$E496))*'Business Case'!$B$7-'Business Case'!$B$8*(('Business Case'!E11*$C496*'Business Case'!E12*$B496)-('Business Case'!D11*$C496*'Business Case'!D12*$B496))-'Business Case'!E15*$F496</f>
        <v>523052443.315924</v>
      </c>
      <c r="L496" s="39" t="n">
        <f aca="false">(('Business Case'!F11*$C496*'Business Case'!F12*$B496)-'Business Case'!F11*$C496*'Business Case'!F13*$D496-'Business Case'!F14*$E496)-MAX(0,(('Business Case'!F11*$C496*'Business Case'!F12*$B496)-'Business Case'!F11*$C496*'Business Case'!F13*$D496-'Business Case'!F14*$E496))*'Business Case'!$B$7-'Business Case'!$B$8*(('Business Case'!F11*$C496*'Business Case'!F12*$B496)-('Business Case'!E11*$C496*'Business Case'!E12*$B496))-'Business Case'!F15*$F496</f>
        <v>642774006.126313</v>
      </c>
      <c r="M496" s="39" t="n">
        <f aca="false">(('Business Case'!G11*$C496*'Business Case'!G12*$B496)-'Business Case'!G11*$C496*'Business Case'!G13*$D496-'Business Case'!G14*$E496)-MAX(0,(('Business Case'!G11*$C496*'Business Case'!G12*$B496)-'Business Case'!G11*$C496*'Business Case'!G13*$D496-'Business Case'!G14*$E496))*'Business Case'!$B$7-'Business Case'!$B$8*(('Business Case'!G11*$C496*'Business Case'!G12*$B496)-('Business Case'!F11*$C496*'Business Case'!F12*$B496))-'Business Case'!G15*$F496+'Business Case'!$B$8*('Business Case'!G11*$C496*'Business Case'!G12*$B496)</f>
        <v>829717835.280184</v>
      </c>
      <c r="N496" s="39" t="n">
        <f aca="false">IF(COUNT('Business Case'!B11:G11)=0,"",H496+NPV(G496,I496:M496))</f>
        <v>-679734007.261151</v>
      </c>
      <c r="P496" s="40" t="n">
        <f aca="true">RAND()</f>
        <v>0.193785425295912</v>
      </c>
      <c r="Q496" s="40" t="n">
        <f aca="true">RAND()</f>
        <v>0.683759629714889</v>
      </c>
      <c r="R496" s="40" t="n">
        <f aca="true">RAND()</f>
        <v>0.907613602934911</v>
      </c>
      <c r="S496" s="40" t="n">
        <f aca="true">RAND()</f>
        <v>0.503356984762147</v>
      </c>
      <c r="T496" s="40" t="n">
        <f aca="true">RAND()</f>
        <v>0.651765791137274</v>
      </c>
      <c r="U496" s="40" t="n">
        <f aca="true">RAND()</f>
        <v>0.620976581723292</v>
      </c>
    </row>
    <row r="497" customFormat="false" ht="15" hidden="false" customHeight="false" outlineLevel="0" collapsed="false">
      <c r="A497" s="36" t="n">
        <v>417</v>
      </c>
      <c r="B497" s="37" t="n">
        <f aca="false">1+IF($G$6=$E$6,$F$6,IF(P497&lt;($F$6-$E$6)/($G$6-$E$6),$E$6+SQRT(P497*($G$6-$E$6)*($F$6-$E$6)),$G$6-SQRT((1-P497)*($G$6-$E$6)*($G$6-$F$6))))</f>
        <v>1.03590368235055</v>
      </c>
      <c r="C497" s="37" t="n">
        <f aca="false">1+IF($G$7=$E$7,$F$7,IF(Q497&lt;($F$7-$E$7)/($G$7-$E$7),$E$7+SQRT(Q497*($G$7-$E$7)*($F$7-$E$7)),$G$7-SQRT((1-Q497)*($G$7-$E$7)*($G$7-$F$7))))</f>
        <v>1.12218227109321</v>
      </c>
      <c r="D497" s="37" t="n">
        <f aca="false">1+IF($G$8=$E$8,$F$8,IF(R497&lt;($F$8-$E$8)/($G$8-$E$8),$E$8+SQRT(R497*($G$8-$E$8)*($F$8-$E$8)),$G$8-SQRT((1-R497)*($G$8-$E$8)*($G$8-$F$8))))</f>
        <v>1.00134441738741</v>
      </c>
      <c r="E497" s="37" t="n">
        <f aca="false">1+IF($G$9=$E$9,$F$9,IF(S497&lt;($F$9-$E$9)/($G$9-$E$9),$E$9+SQRT(S497*($G$9-$E$9)*($F$9-$E$9)),$G$9-SQRT((1-S497)*($G$9-$E$9)*($G$9-$F$9))))</f>
        <v>1.01947978671166</v>
      </c>
      <c r="F497" s="37" t="n">
        <f aca="false">1+IF($G$10=$E$10,$F$10,IF(T497&lt;($F$10-$E$10)/($G$10-$E$10),$E$10+SQRT(T497*($G$10-$E$10)*($F$10-$E$10)),$G$10-SQRT((1-T497)*($G$10-$E$10)*($G$10-$F$10))))</f>
        <v>1.06782344876783</v>
      </c>
      <c r="G497" s="38" t="n">
        <f aca="false">IF($G$11=$E$11,$F$11,IF(U497&lt;($F$11-$E$11)/($G$11-$E$11),$E$11+SQRT(U497*($G$11-$E$11)*($F$11-$E$11)),$G$11-SQRT((1-U497)*($G$11-$E$11)*($G$11-$F$11))))</f>
        <v>0.111778907772437</v>
      </c>
      <c r="H497" s="39" t="n">
        <f aca="false">(('Business Case'!B11*$C497*'Business Case'!B12*$B497)-'Business Case'!B11*$C497*'Business Case'!B13*$D497-'Business Case'!B14*$E497)-MAX(0,(('Business Case'!B11*$C497*'Business Case'!B12*$B497)-'Business Case'!B11*$C497*'Business Case'!B13*$D497-'Business Case'!B14*$E497))*'Business Case'!$B$7-'Business Case'!$B$8*('Business Case'!B11*$C497*'Business Case'!B12*$B497)-'Business Case'!B15*$F497</f>
        <v>-2135646897.53566</v>
      </c>
      <c r="I497" s="39" t="n">
        <f aca="false">(('Business Case'!C11*$C497*'Business Case'!C12*$B497)-'Business Case'!C11*$C497*'Business Case'!C13*$D497-'Business Case'!C14*$E497)-MAX(0,(('Business Case'!C11*$C497*'Business Case'!C12*$B497)-'Business Case'!C11*$C497*'Business Case'!C13*$D497-'Business Case'!C14*$E497))*'Business Case'!$B$7-'Business Case'!$B$8*(('Business Case'!C11*$C497*'Business Case'!C12*$B497)-('Business Case'!B11*$C497*'Business Case'!B12*$B497))-'Business Case'!C15*$F497</f>
        <v>64894047.6194012</v>
      </c>
      <c r="J497" s="39" t="n">
        <f aca="false">(('Business Case'!D11*$C497*'Business Case'!D12*$B497)-'Business Case'!D11*$C497*'Business Case'!D13*$D497-'Business Case'!D14*$E497)-MAX(0,(('Business Case'!D11*$C497*'Business Case'!D12*$B497)-'Business Case'!D11*$C497*'Business Case'!D13*$D497-'Business Case'!D14*$E497))*'Business Case'!$B$7-'Business Case'!$B$8*(('Business Case'!D11*$C497*'Business Case'!D12*$B497)-('Business Case'!C11*$C497*'Business Case'!C12*$B497))-'Business Case'!D15*$F497</f>
        <v>441803052.984966</v>
      </c>
      <c r="K497" s="39" t="n">
        <f aca="false">(('Business Case'!E11*$C497*'Business Case'!E12*$B497)-'Business Case'!E11*$C497*'Business Case'!E13*$D497-'Business Case'!E14*$E497)-MAX(0,(('Business Case'!E11*$C497*'Business Case'!E12*$B497)-'Business Case'!E11*$C497*'Business Case'!E13*$D497-'Business Case'!E14*$E497))*'Business Case'!$B$7-'Business Case'!$B$8*(('Business Case'!E11*$C497*'Business Case'!E12*$B497)-('Business Case'!D11*$C497*'Business Case'!D12*$B497))-'Business Case'!E15*$F497</f>
        <v>872103230.788923</v>
      </c>
      <c r="L497" s="39" t="n">
        <f aca="false">(('Business Case'!F11*$C497*'Business Case'!F12*$B497)-'Business Case'!F11*$C497*'Business Case'!F13*$D497-'Business Case'!F14*$E497)-MAX(0,(('Business Case'!F11*$C497*'Business Case'!F12*$B497)-'Business Case'!F11*$C497*'Business Case'!F13*$D497-'Business Case'!F14*$E497))*'Business Case'!$B$7-'Business Case'!$B$8*(('Business Case'!F11*$C497*'Business Case'!F12*$B497)-('Business Case'!E11*$C497*'Business Case'!E12*$B497))-'Business Case'!F15*$F497</f>
        <v>1037914624.04343</v>
      </c>
      <c r="M497" s="39" t="n">
        <f aca="false">(('Business Case'!G11*$C497*'Business Case'!G12*$B497)-'Business Case'!G11*$C497*'Business Case'!G13*$D497-'Business Case'!G14*$E497)-MAX(0,(('Business Case'!G11*$C497*'Business Case'!G12*$B497)-'Business Case'!G11*$C497*'Business Case'!G13*$D497-'Business Case'!G14*$E497))*'Business Case'!$B$7-'Business Case'!$B$8*(('Business Case'!G11*$C497*'Business Case'!G12*$B497)-('Business Case'!F11*$C497*'Business Case'!F12*$B497))-'Business Case'!G15*$F497+'Business Case'!$B$8*('Business Case'!G11*$C497*'Business Case'!G12*$B497)</f>
        <v>1258877443.77304</v>
      </c>
      <c r="N497" s="39" t="n">
        <f aca="false">IF(COUNT('Business Case'!B11:G11)=0,"",H497+NPV(G497,I497:M497))</f>
        <v>335237532.320987</v>
      </c>
      <c r="P497" s="40" t="n">
        <f aca="true">RAND()</f>
        <v>0.996504204523909</v>
      </c>
      <c r="Q497" s="40" t="n">
        <f aca="true">RAND()</f>
        <v>0.985260456351782</v>
      </c>
      <c r="R497" s="40" t="n">
        <f aca="true">RAND()</f>
        <v>0.405124934987831</v>
      </c>
      <c r="S497" s="40" t="n">
        <f aca="true">RAND()</f>
        <v>0.567766350133326</v>
      </c>
      <c r="T497" s="40" t="n">
        <f aca="true">RAND()</f>
        <v>0.650587186087395</v>
      </c>
      <c r="U497" s="40" t="n">
        <f aca="true">RAND()</f>
        <v>0.887356070976497</v>
      </c>
    </row>
    <row r="498" customFormat="false" ht="15" hidden="false" customHeight="false" outlineLevel="0" collapsed="false">
      <c r="A498" s="36" t="n">
        <v>418</v>
      </c>
      <c r="B498" s="37" t="n">
        <f aca="false">1+IF($G$6=$E$6,$F$6,IF(P498&lt;($F$6-$E$6)/($G$6-$E$6),$E$6+SQRT(P498*($G$6-$E$6)*($F$6-$E$6)),$G$6-SQRT((1-P498)*($G$6-$E$6)*($G$6-$F$6))))</f>
        <v>1.03276739672213</v>
      </c>
      <c r="C498" s="37" t="n">
        <f aca="false">1+IF($G$7=$E$7,$F$7,IF(Q498&lt;($F$7-$E$7)/($G$7-$E$7),$E$7+SQRT(Q498*($G$7-$E$7)*($F$7-$E$7)),$G$7-SQRT((1-Q498)*($G$7-$E$7)*($G$7-$F$7))))</f>
        <v>0.961943145792257</v>
      </c>
      <c r="D498" s="37" t="n">
        <f aca="false">1+IF($G$8=$E$8,$F$8,IF(R498&lt;($F$8-$E$8)/($G$8-$E$8),$E$8+SQRT(R498*($G$8-$E$8)*($F$8-$E$8)),$G$8-SQRT((1-R498)*($G$8-$E$8)*($G$8-$F$8))))</f>
        <v>0.997739881238604</v>
      </c>
      <c r="E498" s="37" t="n">
        <f aca="false">1+IF($G$9=$E$9,$F$9,IF(S498&lt;($F$9-$E$9)/($G$9-$E$9),$E$9+SQRT(S498*($G$9-$E$9)*($F$9-$E$9)),$G$9-SQRT((1-S498)*($G$9-$E$9)*($G$9-$F$9))))</f>
        <v>1.00998669422469</v>
      </c>
      <c r="F498" s="37" t="n">
        <f aca="false">1+IF($G$10=$E$10,$F$10,IF(T498&lt;($F$10-$E$10)/($G$10-$E$10),$E$10+SQRT(T498*($G$10-$E$10)*($F$10-$E$10)),$G$10-SQRT((1-T498)*($G$10-$E$10)*($G$10-$F$10))))</f>
        <v>0.991464628077723</v>
      </c>
      <c r="G498" s="38" t="n">
        <f aca="false">IF($G$11=$E$11,$F$11,IF(U498&lt;($F$11-$E$11)/($G$11-$E$11),$E$11+SQRT(U498*($G$11-$E$11)*($F$11-$E$11)),$G$11-SQRT((1-U498)*($G$11-$E$11)*($G$11-$F$11))))</f>
        <v>0.110154529107333</v>
      </c>
      <c r="H498" s="39" t="n">
        <f aca="false">(('Business Case'!B11*$C498*'Business Case'!B12*$B498)-'Business Case'!B11*$C498*'Business Case'!B13*$D498-'Business Case'!B14*$E498)-MAX(0,(('Business Case'!B11*$C498*'Business Case'!B12*$B498)-'Business Case'!B11*$C498*'Business Case'!B13*$D498-'Business Case'!B14*$E498))*'Business Case'!$B$7-'Business Case'!$B$8*('Business Case'!B11*$C498*'Business Case'!B12*$B498)-'Business Case'!B15*$F498</f>
        <v>-1982929256.15545</v>
      </c>
      <c r="I498" s="39" t="n">
        <f aca="false">(('Business Case'!C11*$C498*'Business Case'!C12*$B498)-'Business Case'!C11*$C498*'Business Case'!C13*$D498-'Business Case'!C14*$E498)-MAX(0,(('Business Case'!C11*$C498*'Business Case'!C12*$B498)-'Business Case'!C11*$C498*'Business Case'!C13*$D498-'Business Case'!C14*$E498))*'Business Case'!$B$7-'Business Case'!$B$8*(('Business Case'!C11*$C498*'Business Case'!C12*$B498)-('Business Case'!B11*$C498*'Business Case'!B12*$B498))-'Business Case'!C15*$F498</f>
        <v>28125464.501935</v>
      </c>
      <c r="J498" s="39" t="n">
        <f aca="false">(('Business Case'!D11*$C498*'Business Case'!D12*$B498)-'Business Case'!D11*$C498*'Business Case'!D13*$D498-'Business Case'!D14*$E498)-MAX(0,(('Business Case'!D11*$C498*'Business Case'!D12*$B498)-'Business Case'!D11*$C498*'Business Case'!D13*$D498-'Business Case'!D14*$E498))*'Business Case'!$B$7-'Business Case'!$B$8*(('Business Case'!D11*$C498*'Business Case'!D12*$B498)-('Business Case'!C11*$C498*'Business Case'!C12*$B498))-'Business Case'!D15*$F498</f>
        <v>350518648.528114</v>
      </c>
      <c r="K498" s="39" t="n">
        <f aca="false">(('Business Case'!E11*$C498*'Business Case'!E12*$B498)-'Business Case'!E11*$C498*'Business Case'!E13*$D498-'Business Case'!E14*$E498)-MAX(0,(('Business Case'!E11*$C498*'Business Case'!E12*$B498)-'Business Case'!E11*$C498*'Business Case'!E13*$D498-'Business Case'!E14*$E498))*'Business Case'!$B$7-'Business Case'!$B$8*(('Business Case'!E11*$C498*'Business Case'!E12*$B498)-('Business Case'!D11*$C498*'Business Case'!D12*$B498))-'Business Case'!E15*$F498</f>
        <v>722485063.958179</v>
      </c>
      <c r="L498" s="39" t="n">
        <f aca="false">(('Business Case'!F11*$C498*'Business Case'!F12*$B498)-'Business Case'!F11*$C498*'Business Case'!F13*$D498-'Business Case'!F14*$E498)-MAX(0,(('Business Case'!F11*$C498*'Business Case'!F12*$B498)-'Business Case'!F11*$C498*'Business Case'!F13*$D498-'Business Case'!F14*$E498))*'Business Case'!$B$7-'Business Case'!$B$8*(('Business Case'!F11*$C498*'Business Case'!F12*$B498)-('Business Case'!E11*$C498*'Business Case'!E12*$B498))-'Business Case'!F15*$F498</f>
        <v>864283557.832053</v>
      </c>
      <c r="M498" s="39" t="n">
        <f aca="false">(('Business Case'!G11*$C498*'Business Case'!G12*$B498)-'Business Case'!G11*$C498*'Business Case'!G13*$D498-'Business Case'!G14*$E498)-MAX(0,(('Business Case'!G11*$C498*'Business Case'!G12*$B498)-'Business Case'!G11*$C498*'Business Case'!G13*$D498-'Business Case'!G14*$E498))*'Business Case'!$B$7-'Business Case'!$B$8*(('Business Case'!G11*$C498*'Business Case'!G12*$B498)-('Business Case'!F11*$C498*'Business Case'!F12*$B498))-'Business Case'!G15*$F498+'Business Case'!$B$8*('Business Case'!G11*$C498*'Business Case'!G12*$B498)</f>
        <v>1053121103.4237</v>
      </c>
      <c r="N498" s="39" t="n">
        <f aca="false">IF(COUNT('Business Case'!B11:G11)=0,"",H498+NPV(G498,I498:M498))</f>
        <v>48424048.5560496</v>
      </c>
      <c r="P498" s="40" t="n">
        <f aca="true">RAND()</f>
        <v>0.989101968713519</v>
      </c>
      <c r="Q498" s="40" t="n">
        <f aca="true">RAND()</f>
        <v>0.374651178129886</v>
      </c>
      <c r="R498" s="40" t="n">
        <f aca="true">RAND()</f>
        <v>0.350630193950159</v>
      </c>
      <c r="S498" s="40" t="n">
        <f aca="true">RAND()</f>
        <v>0.459840318893318</v>
      </c>
      <c r="T498" s="40" t="n">
        <f aca="true">RAND()</f>
        <v>0.137545230529912</v>
      </c>
      <c r="U498" s="40" t="n">
        <f aca="true">RAND()</f>
        <v>0.838444504836087</v>
      </c>
    </row>
    <row r="499" customFormat="false" ht="15" hidden="false" customHeight="false" outlineLevel="0" collapsed="false">
      <c r="A499" s="36" t="n">
        <v>419</v>
      </c>
      <c r="B499" s="37" t="n">
        <f aca="false">1+IF($G$6=$E$6,$F$6,IF(P499&lt;($F$6-$E$6)/($G$6-$E$6),$E$6+SQRT(P499*($G$6-$E$6)*($F$6-$E$6)),$G$6-SQRT((1-P499)*($G$6-$E$6)*($G$6-$F$6))))</f>
        <v>1.03743534711808</v>
      </c>
      <c r="C499" s="37" t="n">
        <f aca="false">1+IF($G$7=$E$7,$F$7,IF(Q499&lt;($F$7-$E$7)/($G$7-$E$7),$E$7+SQRT(Q499*($G$7-$E$7)*($F$7-$E$7)),$G$7-SQRT((1-Q499)*($G$7-$E$7)*($G$7-$F$7))))</f>
        <v>0.860035561647244</v>
      </c>
      <c r="D499" s="37" t="n">
        <f aca="false">1+IF($G$8=$E$8,$F$8,IF(R499&lt;($F$8-$E$8)/($G$8-$E$8),$E$8+SQRT(R499*($G$8-$E$8)*($F$8-$E$8)),$G$8-SQRT((1-R499)*($G$8-$E$8)*($G$8-$F$8))))</f>
        <v>1.03774502014633</v>
      </c>
      <c r="E499" s="37" t="n">
        <f aca="false">1+IF($G$9=$E$9,$F$9,IF(S499&lt;($F$9-$E$9)/($G$9-$E$9),$E$9+SQRT(S499*($G$9-$E$9)*($F$9-$E$9)),$G$9-SQRT((1-S499)*($G$9-$E$9)*($G$9-$F$9))))</f>
        <v>1.01879691411574</v>
      </c>
      <c r="F499" s="37" t="n">
        <f aca="false">1+IF($G$10=$E$10,$F$10,IF(T499&lt;($F$10-$E$10)/($G$10-$E$10),$E$10+SQRT(T499*($G$10-$E$10)*($F$10-$E$10)),$G$10-SQRT((1-T499)*($G$10-$E$10)*($G$10-$F$10))))</f>
        <v>1.09428422846848</v>
      </c>
      <c r="G499" s="38" t="n">
        <f aca="false">IF($G$11=$E$11,$F$11,IF(U499&lt;($F$11-$E$11)/($G$11-$E$11),$E$11+SQRT(U499*($G$11-$E$11)*($F$11-$E$11)),$G$11-SQRT((1-U499)*($G$11-$E$11)*($G$11-$F$11))))</f>
        <v>0.109079890810902</v>
      </c>
      <c r="H499" s="39" t="n">
        <f aca="false">(('Business Case'!B11*$C499*'Business Case'!B12*$B499)-'Business Case'!B11*$C499*'Business Case'!B13*$D499-'Business Case'!B14*$E499)-MAX(0,(('Business Case'!B11*$C499*'Business Case'!B12*$B499)-'Business Case'!B11*$C499*'Business Case'!B13*$D499-'Business Case'!B14*$E499))*'Business Case'!$B$7-'Business Case'!$B$8*('Business Case'!B11*$C499*'Business Case'!B12*$B499)-'Business Case'!B15*$F499</f>
        <v>-2188568456.93695</v>
      </c>
      <c r="I499" s="39" t="n">
        <f aca="false">(('Business Case'!C11*$C499*'Business Case'!C12*$B499)-'Business Case'!C11*$C499*'Business Case'!C13*$D499-'Business Case'!C14*$E499)-MAX(0,(('Business Case'!C11*$C499*'Business Case'!C12*$B499)-'Business Case'!C11*$C499*'Business Case'!C13*$D499-'Business Case'!C14*$E499))*'Business Case'!$B$7-'Business Case'!$B$8*(('Business Case'!C11*$C499*'Business Case'!C12*$B499)-('Business Case'!B11*$C499*'Business Case'!B12*$B499))-'Business Case'!C15*$F499</f>
        <v>-26640328.1159757</v>
      </c>
      <c r="J499" s="39" t="n">
        <f aca="false">(('Business Case'!D11*$C499*'Business Case'!D12*$B499)-'Business Case'!D11*$C499*'Business Case'!D13*$D499-'Business Case'!D14*$E499)-MAX(0,(('Business Case'!D11*$C499*'Business Case'!D12*$B499)-'Business Case'!D11*$C499*'Business Case'!D13*$D499-'Business Case'!D14*$E499))*'Business Case'!$B$7-'Business Case'!$B$8*(('Business Case'!D11*$C499*'Business Case'!D12*$B499)-('Business Case'!C11*$C499*'Business Case'!C12*$B499))-'Business Case'!D15*$F499</f>
        <v>247273957.949959</v>
      </c>
      <c r="K499" s="39" t="n">
        <f aca="false">(('Business Case'!E11*$C499*'Business Case'!E12*$B499)-'Business Case'!E11*$C499*'Business Case'!E13*$D499-'Business Case'!E14*$E499)-MAX(0,(('Business Case'!E11*$C499*'Business Case'!E12*$B499)-'Business Case'!E11*$C499*'Business Case'!E13*$D499-'Business Case'!E14*$E499))*'Business Case'!$B$7-'Business Case'!$B$8*(('Business Case'!E11*$C499*'Business Case'!E12*$B499)-('Business Case'!D11*$C499*'Business Case'!D12*$B499))-'Business Case'!E15*$F499</f>
        <v>575902455.439317</v>
      </c>
      <c r="L499" s="39" t="n">
        <f aca="false">(('Business Case'!F11*$C499*'Business Case'!F12*$B499)-'Business Case'!F11*$C499*'Business Case'!F13*$D499-'Business Case'!F14*$E499)-MAX(0,(('Business Case'!F11*$C499*'Business Case'!F12*$B499)-'Business Case'!F11*$C499*'Business Case'!F13*$D499-'Business Case'!F14*$E499))*'Business Case'!$B$7-'Business Case'!$B$8*(('Business Case'!F11*$C499*'Business Case'!F12*$B499)-('Business Case'!E11*$C499*'Business Case'!E12*$B499))-'Business Case'!F15*$F499</f>
        <v>698042730.893164</v>
      </c>
      <c r="M499" s="39" t="n">
        <f aca="false">(('Business Case'!G11*$C499*'Business Case'!G12*$B499)-'Business Case'!G11*$C499*'Business Case'!G13*$D499-'Business Case'!G14*$E499)-MAX(0,(('Business Case'!G11*$C499*'Business Case'!G12*$B499)-'Business Case'!G11*$C499*'Business Case'!G13*$D499-'Business Case'!G14*$E499))*'Business Case'!$B$7-'Business Case'!$B$8*(('Business Case'!G11*$C499*'Business Case'!G12*$B499)-('Business Case'!F11*$C499*'Business Case'!F12*$B499))-'Business Case'!G15*$F499+'Business Case'!$B$8*('Business Case'!G11*$C499*'Business Case'!G12*$B499)</f>
        <v>867638054.768445</v>
      </c>
      <c r="N499" s="39" t="n">
        <f aca="false">IF(COUNT('Business Case'!B11:G11)=0,"",H499+NPV(G499,I499:M499))</f>
        <v>-611028096.471528</v>
      </c>
      <c r="P499" s="40" t="n">
        <f aca="true">RAND()</f>
        <v>0.998629699082346</v>
      </c>
      <c r="Q499" s="40" t="n">
        <f aca="true">RAND()</f>
        <v>0.0514895523185717</v>
      </c>
      <c r="R499" s="40" t="n">
        <f aca="true">RAND()</f>
        <v>0.828318911304389</v>
      </c>
      <c r="S499" s="40" t="n">
        <f aca="true">RAND()</f>
        <v>0.560403922858249</v>
      </c>
      <c r="T499" s="40" t="n">
        <f aca="true">RAND()</f>
        <v>0.776483512989894</v>
      </c>
      <c r="U499" s="40" t="n">
        <f aca="true">RAND()</f>
        <v>0.801252025496945</v>
      </c>
    </row>
    <row r="500" customFormat="false" ht="15" hidden="false" customHeight="false" outlineLevel="0" collapsed="false">
      <c r="A500" s="36" t="n">
        <v>420</v>
      </c>
      <c r="B500" s="37" t="n">
        <f aca="false">1+IF($G$6=$E$6,$F$6,IF(P500&lt;($F$6-$E$6)/($G$6-$E$6),$E$6+SQRT(P500*($G$6-$E$6)*($F$6-$E$6)),$G$6-SQRT((1-P500)*($G$6-$E$6)*($G$6-$F$6))))</f>
        <v>1.01916302562145</v>
      </c>
      <c r="C500" s="37" t="n">
        <f aca="false">1+IF($G$7=$E$7,$F$7,IF(Q500&lt;($F$7-$E$7)/($G$7-$E$7),$E$7+SQRT(Q500*($G$7-$E$7)*($F$7-$E$7)),$G$7-SQRT((1-Q500)*($G$7-$E$7)*($G$7-$F$7))))</f>
        <v>1.05977690081985</v>
      </c>
      <c r="D500" s="37" t="n">
        <f aca="false">1+IF($G$8=$E$8,$F$8,IF(R500&lt;($F$8-$E$8)/($G$8-$E$8),$E$8+SQRT(R500*($G$8-$E$8)*($F$8-$E$8)),$G$8-SQRT((1-R500)*($G$8-$E$8)*($G$8-$F$8))))</f>
        <v>1.0155185870765</v>
      </c>
      <c r="E500" s="37" t="n">
        <f aca="false">1+IF($G$9=$E$9,$F$9,IF(S500&lt;($F$9-$E$9)/($G$9-$E$9),$E$9+SQRT(S500*($G$9-$E$9)*($F$9-$E$9)),$G$9-SQRT((1-S500)*($G$9-$E$9)*($G$9-$F$9))))</f>
        <v>1.05553994233062</v>
      </c>
      <c r="F500" s="37" t="n">
        <f aca="false">1+IF($G$10=$E$10,$F$10,IF(T500&lt;($F$10-$E$10)/($G$10-$E$10),$E$10+SQRT(T500*($G$10-$E$10)*($F$10-$E$10)),$G$10-SQRT((1-T500)*($G$10-$E$10)*($G$10-$F$10))))</f>
        <v>1.04952773617329</v>
      </c>
      <c r="G500" s="38" t="n">
        <f aca="false">IF($G$11=$E$11,$F$11,IF(U500&lt;($F$11-$E$11)/($G$11-$E$11),$E$11+SQRT(U500*($G$11-$E$11)*($F$11-$E$11)),$G$11-SQRT((1-U500)*($G$11-$E$11)*($G$11-$F$11))))</f>
        <v>0.103028610916568</v>
      </c>
      <c r="H500" s="39" t="n">
        <f aca="false">(('Business Case'!B11*$C500*'Business Case'!B12*$B500)-'Business Case'!B11*$C500*'Business Case'!B13*$D500-'Business Case'!B14*$E500)-MAX(0,(('Business Case'!B11*$C500*'Business Case'!B12*$B500)-'Business Case'!B11*$C500*'Business Case'!B13*$D500-'Business Case'!B14*$E500))*'Business Case'!$B$7-'Business Case'!$B$8*('Business Case'!B11*$C500*'Business Case'!B12*$B500)-'Business Case'!B15*$F500</f>
        <v>-2099055472.34659</v>
      </c>
      <c r="I500" s="39" t="n">
        <f aca="false">(('Business Case'!C11*$C500*'Business Case'!C12*$B500)-'Business Case'!C11*$C500*'Business Case'!C13*$D500-'Business Case'!C14*$E500)-MAX(0,(('Business Case'!C11*$C500*'Business Case'!C12*$B500)-'Business Case'!C11*$C500*'Business Case'!C13*$D500-'Business Case'!C14*$E500))*'Business Case'!$B$7-'Business Case'!$B$8*(('Business Case'!C11*$C500*'Business Case'!C12*$B500)-('Business Case'!B11*$C500*'Business Case'!B12*$B500))-'Business Case'!C15*$F500</f>
        <v>22685402.9939928</v>
      </c>
      <c r="J500" s="39" t="n">
        <f aca="false">(('Business Case'!D11*$C500*'Business Case'!D12*$B500)-'Business Case'!D11*$C500*'Business Case'!D13*$D500-'Business Case'!D14*$E500)-MAX(0,(('Business Case'!D11*$C500*'Business Case'!D12*$B500)-'Business Case'!D11*$C500*'Business Case'!D13*$D500-'Business Case'!D14*$E500))*'Business Case'!$B$7-'Business Case'!$B$8*(('Business Case'!D11*$C500*'Business Case'!D12*$B500)-('Business Case'!C11*$C500*'Business Case'!C12*$B500))-'Business Case'!D15*$F500</f>
        <v>356412988.237103</v>
      </c>
      <c r="K500" s="39" t="n">
        <f aca="false">(('Business Case'!E11*$C500*'Business Case'!E12*$B500)-'Business Case'!E11*$C500*'Business Case'!E13*$D500-'Business Case'!E14*$E500)-MAX(0,(('Business Case'!E11*$C500*'Business Case'!E12*$B500)-'Business Case'!E11*$C500*'Business Case'!E13*$D500-'Business Case'!E14*$E500))*'Business Case'!$B$7-'Business Case'!$B$8*(('Business Case'!E11*$C500*'Business Case'!E12*$B500)-('Business Case'!D11*$C500*'Business Case'!D12*$B500))-'Business Case'!E15*$F500</f>
        <v>742616960.288878</v>
      </c>
      <c r="L500" s="39" t="n">
        <f aca="false">(('Business Case'!F11*$C500*'Business Case'!F12*$B500)-'Business Case'!F11*$C500*'Business Case'!F13*$D500-'Business Case'!F14*$E500)-MAX(0,(('Business Case'!F11*$C500*'Business Case'!F12*$B500)-'Business Case'!F11*$C500*'Business Case'!F13*$D500-'Business Case'!F14*$E500))*'Business Case'!$B$7-'Business Case'!$B$8*(('Business Case'!F11*$C500*'Business Case'!F12*$B500)-('Business Case'!E11*$C500*'Business Case'!E12*$B500))-'Business Case'!F15*$F500</f>
        <v>891187241.258165</v>
      </c>
      <c r="M500" s="39" t="n">
        <f aca="false">(('Business Case'!G11*$C500*'Business Case'!G12*$B500)-'Business Case'!G11*$C500*'Business Case'!G13*$D500-'Business Case'!G14*$E500)-MAX(0,(('Business Case'!G11*$C500*'Business Case'!G12*$B500)-'Business Case'!G11*$C500*'Business Case'!G13*$D500-'Business Case'!G14*$E500))*'Business Case'!$B$7-'Business Case'!$B$8*(('Business Case'!G11*$C500*'Business Case'!G12*$B500)-('Business Case'!F11*$C500*'Business Case'!F12*$B500))-'Business Case'!G15*$F500+'Business Case'!$B$8*('Business Case'!G11*$C500*'Business Case'!G12*$B500)</f>
        <v>1096489880.31021</v>
      </c>
      <c r="N500" s="39" t="n">
        <f aca="false">IF(COUNT('Business Case'!B11:G11)=0,"",H500+NPV(G500,I500:M500))</f>
        <v>41381128.3991938</v>
      </c>
      <c r="P500" s="40" t="n">
        <f aca="true">RAND()</f>
        <v>0.909545937239064</v>
      </c>
      <c r="Q500" s="40" t="n">
        <f aca="true">RAND()</f>
        <v>0.844948426177696</v>
      </c>
      <c r="R500" s="40" t="n">
        <f aca="true">RAND()</f>
        <v>0.600206479556644</v>
      </c>
      <c r="S500" s="40" t="n">
        <f aca="true">RAND()</f>
        <v>0.868220218135674</v>
      </c>
      <c r="T500" s="40" t="n">
        <f aca="true">RAND()</f>
        <v>0.547161956377322</v>
      </c>
      <c r="U500" s="40" t="n">
        <f aca="true">RAND()</f>
        <v>0.519953254297948</v>
      </c>
    </row>
    <row r="501" customFormat="false" ht="15" hidden="false" customHeight="false" outlineLevel="0" collapsed="false">
      <c r="A501" s="36" t="n">
        <v>421</v>
      </c>
      <c r="B501" s="37" t="n">
        <f aca="false">1+IF($G$6=$E$6,$F$6,IF(P501&lt;($F$6-$E$6)/($G$6-$E$6),$E$6+SQRT(P501*($G$6-$E$6)*($F$6-$E$6)),$G$6-SQRT((1-P501)*($G$6-$E$6)*($G$6-$F$6))))</f>
        <v>0.946890169880994</v>
      </c>
      <c r="C501" s="37" t="n">
        <f aca="false">1+IF($G$7=$E$7,$F$7,IF(Q501&lt;($F$7-$E$7)/($G$7-$E$7),$E$7+SQRT(Q501*($G$7-$E$7)*($F$7-$E$7)),$G$7-SQRT((1-Q501)*($G$7-$E$7)*($G$7-$F$7))))</f>
        <v>0.984671491094672</v>
      </c>
      <c r="D501" s="37" t="n">
        <f aca="false">1+IF($G$8=$E$8,$F$8,IF(R501&lt;($F$8-$E$8)/($G$8-$E$8),$E$8+SQRT(R501*($G$8-$E$8)*($F$8-$E$8)),$G$8-SQRT((1-R501)*($G$8-$E$8)*($G$8-$F$8))))</f>
        <v>1.00108966595024</v>
      </c>
      <c r="E501" s="37" t="n">
        <f aca="false">1+IF($G$9=$E$9,$F$9,IF(S501&lt;($F$9-$E$9)/($G$9-$E$9),$E$9+SQRT(S501*($G$9-$E$9)*($F$9-$E$9)),$G$9-SQRT((1-S501)*($G$9-$E$9)*($G$9-$F$9))))</f>
        <v>1.02345450480015</v>
      </c>
      <c r="F501" s="37" t="n">
        <f aca="false">1+IF($G$10=$E$10,$F$10,IF(T501&lt;($F$10-$E$10)/($G$10-$E$10),$E$10+SQRT(T501*($G$10-$E$10)*($F$10-$E$10)),$G$10-SQRT((1-T501)*($G$10-$E$10)*($G$10-$F$10))))</f>
        <v>1.05940023288775</v>
      </c>
      <c r="G501" s="38" t="n">
        <f aca="false">IF($G$11=$E$11,$F$11,IF(U501&lt;($F$11-$E$11)/($G$11-$E$11),$E$11+SQRT(U501*($G$11-$E$11)*($F$11-$E$11)),$G$11-SQRT((1-U501)*($G$11-$E$11)*($G$11-$F$11))))</f>
        <v>0.103735160106886</v>
      </c>
      <c r="H501" s="39" t="n">
        <f aca="false">(('Business Case'!B11*$C501*'Business Case'!B12*$B501)-'Business Case'!B11*$C501*'Business Case'!B13*$D501-'Business Case'!B14*$E501)-MAX(0,(('Business Case'!B11*$C501*'Business Case'!B12*$B501)-'Business Case'!B11*$C501*'Business Case'!B13*$D501-'Business Case'!B14*$E501))*'Business Case'!$B$7-'Business Case'!$B$8*('Business Case'!B11*$C501*'Business Case'!B12*$B501)-'Business Case'!B15*$F501</f>
        <v>-2118800465.77549</v>
      </c>
      <c r="I501" s="39" t="n">
        <f aca="false">(('Business Case'!C11*$C501*'Business Case'!C12*$B501)-'Business Case'!C11*$C501*'Business Case'!C13*$D501-'Business Case'!C14*$E501)-MAX(0,(('Business Case'!C11*$C501*'Business Case'!C12*$B501)-'Business Case'!C11*$C501*'Business Case'!C13*$D501-'Business Case'!C14*$E501))*'Business Case'!$B$7-'Business Case'!$B$8*(('Business Case'!C11*$C501*'Business Case'!C12*$B501)-('Business Case'!B11*$C501*'Business Case'!B12*$B501))-'Business Case'!C15*$F501</f>
        <v>-40749039.181333</v>
      </c>
      <c r="J501" s="39" t="n">
        <f aca="false">(('Business Case'!D11*$C501*'Business Case'!D12*$B501)-'Business Case'!D11*$C501*'Business Case'!D13*$D501-'Business Case'!D14*$E501)-MAX(0,(('Business Case'!D11*$C501*'Business Case'!D12*$B501)-'Business Case'!D11*$C501*'Business Case'!D13*$D501-'Business Case'!D14*$E501))*'Business Case'!$B$7-'Business Case'!$B$8*(('Business Case'!D11*$C501*'Business Case'!D12*$B501)-('Business Case'!C11*$C501*'Business Case'!C12*$B501))-'Business Case'!D15*$F501</f>
        <v>218311534.672753</v>
      </c>
      <c r="K501" s="39" t="n">
        <f aca="false">(('Business Case'!E11*$C501*'Business Case'!E12*$B501)-'Business Case'!E11*$C501*'Business Case'!E13*$D501-'Business Case'!E14*$E501)-MAX(0,(('Business Case'!E11*$C501*'Business Case'!E12*$B501)-'Business Case'!E11*$C501*'Business Case'!E13*$D501-'Business Case'!E14*$E501))*'Business Case'!$B$7-'Business Case'!$B$8*(('Business Case'!E11*$C501*'Business Case'!E12*$B501)-('Business Case'!D11*$C501*'Business Case'!D12*$B501))-'Business Case'!E15*$F501</f>
        <v>530342120.171227</v>
      </c>
      <c r="L501" s="39" t="n">
        <f aca="false">(('Business Case'!F11*$C501*'Business Case'!F12*$B501)-'Business Case'!F11*$C501*'Business Case'!F13*$D501-'Business Case'!F14*$E501)-MAX(0,(('Business Case'!F11*$C501*'Business Case'!F12*$B501)-'Business Case'!F11*$C501*'Business Case'!F13*$D501-'Business Case'!F14*$E501))*'Business Case'!$B$7-'Business Case'!$B$8*(('Business Case'!F11*$C501*'Business Case'!F12*$B501)-('Business Case'!E11*$C501*'Business Case'!E12*$B501))-'Business Case'!F15*$F501</f>
        <v>648918550.898631</v>
      </c>
      <c r="M501" s="39" t="n">
        <f aca="false">(('Business Case'!G11*$C501*'Business Case'!G12*$B501)-'Business Case'!G11*$C501*'Business Case'!G13*$D501-'Business Case'!G14*$E501)-MAX(0,(('Business Case'!G11*$C501*'Business Case'!G12*$B501)-'Business Case'!G11*$C501*'Business Case'!G13*$D501-'Business Case'!G14*$E501))*'Business Case'!$B$7-'Business Case'!$B$8*(('Business Case'!G11*$C501*'Business Case'!G12*$B501)-('Business Case'!F11*$C501*'Business Case'!F12*$B501))-'Business Case'!G15*$F501+'Business Case'!$B$8*('Business Case'!G11*$C501*'Business Case'!G12*$B501)</f>
        <v>826144534.500194</v>
      </c>
      <c r="N501" s="39" t="n">
        <f aca="false">IF(COUNT('Business Case'!B11:G11)=0,"",H501+NPV(G501,I501:M501))</f>
        <v>-640493249.939705</v>
      </c>
      <c r="P501" s="40" t="n">
        <f aca="true">RAND()</f>
        <v>0.0753209621071587</v>
      </c>
      <c r="Q501" s="40" t="n">
        <f aca="true">RAND()</f>
        <v>0.487193708901848</v>
      </c>
      <c r="R501" s="40" t="n">
        <f aca="true">RAND()</f>
        <v>0.401265305784145</v>
      </c>
      <c r="S501" s="40" t="n">
        <f aca="true">RAND()</f>
        <v>0.609385810973999</v>
      </c>
      <c r="T501" s="40" t="n">
        <f aca="true">RAND()</f>
        <v>0.604634109759607</v>
      </c>
      <c r="U501" s="40" t="n">
        <f aca="true">RAND()</f>
        <v>0.559091638752289</v>
      </c>
    </row>
    <row r="502" customFormat="false" ht="15" hidden="false" customHeight="false" outlineLevel="0" collapsed="false">
      <c r="A502" s="36" t="n">
        <v>422</v>
      </c>
      <c r="B502" s="37" t="n">
        <f aca="false">1+IF($G$6=$E$6,$F$6,IF(P502&lt;($F$6-$E$6)/($G$6-$E$6),$E$6+SQRT(P502*($G$6-$E$6)*($F$6-$E$6)),$G$6-SQRT((1-P502)*($G$6-$E$6)*($G$6-$F$6))))</f>
        <v>0.961736960094633</v>
      </c>
      <c r="C502" s="37" t="n">
        <f aca="false">1+IF($G$7=$E$7,$F$7,IF(Q502&lt;($F$7-$E$7)/($G$7-$E$7),$E$7+SQRT(Q502*($G$7-$E$7)*($F$7-$E$7)),$G$7-SQRT((1-Q502)*($G$7-$E$7)*($G$7-$F$7))))</f>
        <v>0.969422419329303</v>
      </c>
      <c r="D502" s="37" t="n">
        <f aca="false">1+IF($G$8=$E$8,$F$8,IF(R502&lt;($F$8-$E$8)/($G$8-$E$8),$E$8+SQRT(R502*($G$8-$E$8)*($F$8-$E$8)),$G$8-SQRT((1-R502)*($G$8-$E$8)*($G$8-$F$8))))</f>
        <v>1.00123457598507</v>
      </c>
      <c r="E502" s="37" t="n">
        <f aca="false">1+IF($G$9=$E$9,$F$9,IF(S502&lt;($F$9-$E$9)/($G$9-$E$9),$E$9+SQRT(S502*($G$9-$E$9)*($F$9-$E$9)),$G$9-SQRT((1-S502)*($G$9-$E$9)*($G$9-$F$9))))</f>
        <v>1.01626861860459</v>
      </c>
      <c r="F502" s="37" t="n">
        <f aca="false">1+IF($G$10=$E$10,$F$10,IF(T502&lt;($F$10-$E$10)/($G$10-$E$10),$E$10+SQRT(T502*($G$10-$E$10)*($F$10-$E$10)),$G$10-SQRT((1-T502)*($G$10-$E$10)*($G$10-$F$10))))</f>
        <v>1.04781956972763</v>
      </c>
      <c r="G502" s="38" t="n">
        <f aca="false">IF($G$11=$E$11,$F$11,IF(U502&lt;($F$11-$E$11)/($G$11-$E$11),$E$11+SQRT(U502*($G$11-$E$11)*($F$11-$E$11)),$G$11-SQRT((1-U502)*($G$11-$E$11)*($G$11-$F$11))))</f>
        <v>0.098272677308264</v>
      </c>
      <c r="H502" s="39" t="n">
        <f aca="false">(('Business Case'!B11*$C502*'Business Case'!B12*$B502)-'Business Case'!B11*$C502*'Business Case'!B13*$D502-'Business Case'!B14*$E502)-MAX(0,(('Business Case'!B11*$C502*'Business Case'!B12*$B502)-'Business Case'!B11*$C502*'Business Case'!B13*$D502-'Business Case'!B14*$E502))*'Business Case'!$B$7-'Business Case'!$B$8*('Business Case'!B11*$C502*'Business Case'!B12*$B502)-'Business Case'!B15*$F502</f>
        <v>-2095639139.45526</v>
      </c>
      <c r="I502" s="39" t="n">
        <f aca="false">(('Business Case'!C11*$C502*'Business Case'!C12*$B502)-'Business Case'!C11*$C502*'Business Case'!C13*$D502-'Business Case'!C14*$E502)-MAX(0,(('Business Case'!C11*$C502*'Business Case'!C12*$B502)-'Business Case'!C11*$C502*'Business Case'!C13*$D502-'Business Case'!C14*$E502))*'Business Case'!$B$7-'Business Case'!$B$8*(('Business Case'!C11*$C502*'Business Case'!C12*$B502)-('Business Case'!B11*$C502*'Business Case'!B12*$B502))-'Business Case'!C15*$F502</f>
        <v>-30861830.7477255</v>
      </c>
      <c r="J502" s="39" t="n">
        <f aca="false">(('Business Case'!D11*$C502*'Business Case'!D12*$B502)-'Business Case'!D11*$C502*'Business Case'!D13*$D502-'Business Case'!D14*$E502)-MAX(0,(('Business Case'!D11*$C502*'Business Case'!D12*$B502)-'Business Case'!D11*$C502*'Business Case'!D13*$D502-'Business Case'!D14*$E502))*'Business Case'!$B$7-'Business Case'!$B$8*(('Business Case'!D11*$C502*'Business Case'!D12*$B502)-('Business Case'!C11*$C502*'Business Case'!C12*$B502))-'Business Case'!D15*$F502</f>
        <v>235903647.61548</v>
      </c>
      <c r="K502" s="39" t="n">
        <f aca="false">(('Business Case'!E11*$C502*'Business Case'!E12*$B502)-'Business Case'!E11*$C502*'Business Case'!E13*$D502-'Business Case'!E14*$E502)-MAX(0,(('Business Case'!E11*$C502*'Business Case'!E12*$B502)-'Business Case'!E11*$C502*'Business Case'!E13*$D502-'Business Case'!E14*$E502))*'Business Case'!$B$7-'Business Case'!$B$8*(('Business Case'!E11*$C502*'Business Case'!E12*$B502)-('Business Case'!D11*$C502*'Business Case'!D12*$B502))-'Business Case'!E15*$F502</f>
        <v>555060104.465067</v>
      </c>
      <c r="L502" s="39" t="n">
        <f aca="false">(('Business Case'!F11*$C502*'Business Case'!F12*$B502)-'Business Case'!F11*$C502*'Business Case'!F13*$D502-'Business Case'!F14*$E502)-MAX(0,(('Business Case'!F11*$C502*'Business Case'!F12*$B502)-'Business Case'!F11*$C502*'Business Case'!F13*$D502-'Business Case'!F14*$E502))*'Business Case'!$B$7-'Business Case'!$B$8*(('Business Case'!F11*$C502*'Business Case'!F12*$B502)-('Business Case'!E11*$C502*'Business Case'!E12*$B502))-'Business Case'!F15*$F502</f>
        <v>676203233.634534</v>
      </c>
      <c r="M502" s="39" t="n">
        <f aca="false">(('Business Case'!G11*$C502*'Business Case'!G12*$B502)-'Business Case'!G11*$C502*'Business Case'!G13*$D502-'Business Case'!G14*$E502)-MAX(0,(('Business Case'!G11*$C502*'Business Case'!G12*$B502)-'Business Case'!G11*$C502*'Business Case'!G13*$D502-'Business Case'!G14*$E502))*'Business Case'!$B$7-'Business Case'!$B$8*(('Business Case'!G11*$C502*'Business Case'!G12*$B502)-('Business Case'!F11*$C502*'Business Case'!F12*$B502))-'Business Case'!G15*$F502+'Business Case'!$B$8*('Business Case'!G11*$C502*'Business Case'!G12*$B502)</f>
        <v>853420400.400719</v>
      </c>
      <c r="N502" s="39" t="n">
        <f aca="false">IF(COUNT('Business Case'!B11:G11)=0,"",H502+NPV(G502,I502:M502))</f>
        <v>-510312960.114043</v>
      </c>
      <c r="P502" s="40" t="n">
        <f aca="true">RAND()</f>
        <v>0.181455608118852</v>
      </c>
      <c r="Q502" s="40" t="n">
        <f aca="true">RAND()</f>
        <v>0.4100565167342</v>
      </c>
      <c r="R502" s="40" t="n">
        <f aca="true">RAND()</f>
        <v>0.403462305744999</v>
      </c>
      <c r="S502" s="40" t="n">
        <f aca="true">RAND()</f>
        <v>0.53260371797442</v>
      </c>
      <c r="T502" s="40" t="n">
        <f aca="true">RAND()</f>
        <v>0.536822332842315</v>
      </c>
      <c r="U502" s="40" t="n">
        <f aca="true">RAND()</f>
        <v>0.228123966155556</v>
      </c>
    </row>
    <row r="503" customFormat="false" ht="15" hidden="false" customHeight="false" outlineLevel="0" collapsed="false">
      <c r="A503" s="36" t="n">
        <v>423</v>
      </c>
      <c r="B503" s="37" t="n">
        <f aca="false">1+IF($G$6=$E$6,$F$6,IF(P503&lt;($F$6-$E$6)/($G$6-$E$6),$E$6+SQRT(P503*($G$6-$E$6)*($F$6-$E$6)),$G$6-SQRT((1-P503)*($G$6-$E$6)*($G$6-$F$6))))</f>
        <v>0.986723434465527</v>
      </c>
      <c r="C503" s="37" t="n">
        <f aca="false">1+IF($G$7=$E$7,$F$7,IF(Q503&lt;($F$7-$E$7)/($G$7-$E$7),$E$7+SQRT(Q503*($G$7-$E$7)*($F$7-$E$7)),$G$7-SQRT((1-Q503)*($G$7-$E$7)*($G$7-$F$7))))</f>
        <v>0.992262205817244</v>
      </c>
      <c r="D503" s="37" t="n">
        <f aca="false">1+IF($G$8=$E$8,$F$8,IF(R503&lt;($F$8-$E$8)/($G$8-$E$8),$E$8+SQRT(R503*($G$8-$E$8)*($F$8-$E$8)),$G$8-SQRT((1-R503)*($G$8-$E$8)*($G$8-$F$8))))</f>
        <v>1.02535607688236</v>
      </c>
      <c r="E503" s="37" t="n">
        <f aca="false">1+IF($G$9=$E$9,$F$9,IF(S503&lt;($F$9-$E$9)/($G$9-$E$9),$E$9+SQRT(S503*($G$9-$E$9)*($F$9-$E$9)),$G$9-SQRT((1-S503)*($G$9-$E$9)*($G$9-$F$9))))</f>
        <v>0.999083535391883</v>
      </c>
      <c r="F503" s="37" t="n">
        <f aca="false">1+IF($G$10=$E$10,$F$10,IF(T503&lt;($F$10-$E$10)/($G$10-$E$10),$E$10+SQRT(T503*($G$10-$E$10)*($F$10-$E$10)),$G$10-SQRT((1-T503)*($G$10-$E$10)*($G$10-$F$10))))</f>
        <v>1.03075528062027</v>
      </c>
      <c r="G503" s="38" t="n">
        <f aca="false">IF($G$11=$E$11,$F$11,IF(U503&lt;($F$11-$E$11)/($G$11-$E$11),$E$11+SQRT(U503*($G$11-$E$11)*($F$11-$E$11)),$G$11-SQRT((1-U503)*($G$11-$E$11)*($G$11-$F$11))))</f>
        <v>0.110341708847442</v>
      </c>
      <c r="H503" s="39" t="n">
        <f aca="false">(('Business Case'!B11*$C503*'Business Case'!B12*$B503)-'Business Case'!B11*$C503*'Business Case'!B13*$D503-'Business Case'!B14*$E503)-MAX(0,(('Business Case'!B11*$C503*'Business Case'!B12*$B503)-'Business Case'!B11*$C503*'Business Case'!B13*$D503-'Business Case'!B14*$E503))*'Business Case'!$B$7-'Business Case'!$B$8*('Business Case'!B11*$C503*'Business Case'!B12*$B503)-'Business Case'!B15*$F503</f>
        <v>-2061510561.24053</v>
      </c>
      <c r="I503" s="39" t="n">
        <f aca="false">(('Business Case'!C11*$C503*'Business Case'!C12*$B503)-'Business Case'!C11*$C503*'Business Case'!C13*$D503-'Business Case'!C14*$E503)-MAX(0,(('Business Case'!C11*$C503*'Business Case'!C12*$B503)-'Business Case'!C11*$C503*'Business Case'!C13*$D503-'Business Case'!C14*$E503))*'Business Case'!$B$7-'Business Case'!$B$8*(('Business Case'!C11*$C503*'Business Case'!C12*$B503)-('Business Case'!B11*$C503*'Business Case'!B12*$B503))-'Business Case'!C15*$F503</f>
        <v>-14795989.786587</v>
      </c>
      <c r="J503" s="39" t="n">
        <f aca="false">(('Business Case'!D11*$C503*'Business Case'!D12*$B503)-'Business Case'!D11*$C503*'Business Case'!D13*$D503-'Business Case'!D14*$E503)-MAX(0,(('Business Case'!D11*$C503*'Business Case'!D12*$B503)-'Business Case'!D11*$C503*'Business Case'!D13*$D503-'Business Case'!D14*$E503))*'Business Case'!$B$7-'Business Case'!$B$8*(('Business Case'!D11*$C503*'Business Case'!D12*$B503)-('Business Case'!C11*$C503*'Business Case'!C12*$B503))-'Business Case'!D15*$F503</f>
        <v>266309168.406065</v>
      </c>
      <c r="K503" s="39" t="n">
        <f aca="false">(('Business Case'!E11*$C503*'Business Case'!E12*$B503)-'Business Case'!E11*$C503*'Business Case'!E13*$D503-'Business Case'!E14*$E503)-MAX(0,(('Business Case'!E11*$C503*'Business Case'!E12*$B503)-'Business Case'!E11*$C503*'Business Case'!E13*$D503-'Business Case'!E14*$E503))*'Business Case'!$B$7-'Business Case'!$B$8*(('Business Case'!E11*$C503*'Business Case'!E12*$B503)-('Business Case'!D11*$C503*'Business Case'!D12*$B503))-'Business Case'!E15*$F503</f>
        <v>598952090.629731</v>
      </c>
      <c r="L503" s="39" t="n">
        <f aca="false">(('Business Case'!F11*$C503*'Business Case'!F12*$B503)-'Business Case'!F11*$C503*'Business Case'!F13*$D503-'Business Case'!F14*$E503)-MAX(0,(('Business Case'!F11*$C503*'Business Case'!F12*$B503)-'Business Case'!F11*$C503*'Business Case'!F13*$D503-'Business Case'!F14*$E503))*'Business Case'!$B$7-'Business Case'!$B$8*(('Business Case'!F11*$C503*'Business Case'!F12*$B503)-('Business Case'!E11*$C503*'Business Case'!E12*$B503))-'Business Case'!F15*$F503</f>
        <v>726491104.150273</v>
      </c>
      <c r="M503" s="39" t="n">
        <f aca="false">(('Business Case'!G11*$C503*'Business Case'!G12*$B503)-'Business Case'!G11*$C503*'Business Case'!G13*$D503-'Business Case'!G14*$E503)-MAX(0,(('Business Case'!G11*$C503*'Business Case'!G12*$B503)-'Business Case'!G11*$C503*'Business Case'!G13*$D503-'Business Case'!G14*$E503))*'Business Case'!$B$7-'Business Case'!$B$8*(('Business Case'!G11*$C503*'Business Case'!G12*$B503)-('Business Case'!F11*$C503*'Business Case'!F12*$B503))-'Business Case'!G15*$F503+'Business Case'!$B$8*('Business Case'!G11*$C503*'Business Case'!G12*$B503)</f>
        <v>912596221.826725</v>
      </c>
      <c r="N503" s="39" t="n">
        <f aca="false">IF(COUNT('Business Case'!B11:G11)=0,"",H503+NPV(G503,I503:M503))</f>
        <v>-402560362.723288</v>
      </c>
      <c r="P503" s="40" t="n">
        <f aca="true">RAND()</f>
        <v>0.463751740299528</v>
      </c>
      <c r="Q503" s="40" t="n">
        <f aca="true">RAND()</f>
        <v>0.528067939795889</v>
      </c>
      <c r="R503" s="40" t="n">
        <f aca="true">RAND()</f>
        <v>0.712888621760914</v>
      </c>
      <c r="S503" s="40" t="n">
        <f aca="true">RAND()</f>
        <v>0.321225792875493</v>
      </c>
      <c r="T503" s="40" t="n">
        <f aca="true">RAND()</f>
        <v>0.427124499241503</v>
      </c>
      <c r="U503" s="40" t="n">
        <f aca="true">RAND()</f>
        <v>0.844529020020689</v>
      </c>
    </row>
    <row r="504" customFormat="false" ht="15" hidden="false" customHeight="false" outlineLevel="0" collapsed="false">
      <c r="A504" s="36" t="n">
        <v>424</v>
      </c>
      <c r="B504" s="37" t="n">
        <f aca="false">1+IF($G$6=$E$6,$F$6,IF(P504&lt;($F$6-$E$6)/($G$6-$E$6),$E$6+SQRT(P504*($G$6-$E$6)*($F$6-$E$6)),$G$6-SQRT((1-P504)*($G$6-$E$6)*($G$6-$F$6))))</f>
        <v>0.964045490348499</v>
      </c>
      <c r="C504" s="37" t="n">
        <f aca="false">1+IF($G$7=$E$7,$F$7,IF(Q504&lt;($F$7-$E$7)/($G$7-$E$7),$E$7+SQRT(Q504*($G$7-$E$7)*($F$7-$E$7)),$G$7-SQRT((1-Q504)*($G$7-$E$7)*($G$7-$F$7))))</f>
        <v>1.06042458122332</v>
      </c>
      <c r="D504" s="37" t="n">
        <f aca="false">1+IF($G$8=$E$8,$F$8,IF(R504&lt;($F$8-$E$8)/($G$8-$E$8),$E$8+SQRT(R504*($G$8-$E$8)*($F$8-$E$8)),$G$8-SQRT((1-R504)*($G$8-$E$8)*($G$8-$F$8))))</f>
        <v>0.992584244435143</v>
      </c>
      <c r="E504" s="37" t="n">
        <f aca="false">1+IF($G$9=$E$9,$F$9,IF(S504&lt;($F$9-$E$9)/($G$9-$E$9),$E$9+SQRT(S504*($G$9-$E$9)*($F$9-$E$9)),$G$9-SQRT((1-S504)*($G$9-$E$9)*($G$9-$F$9))))</f>
        <v>0.998831787647238</v>
      </c>
      <c r="F504" s="37" t="n">
        <f aca="false">1+IF($G$10=$E$10,$F$10,IF(T504&lt;($F$10-$E$10)/($G$10-$E$10),$E$10+SQRT(T504*($G$10-$E$10)*($F$10-$E$10)),$G$10-SQRT((1-T504)*($G$10-$E$10)*($G$10-$F$10))))</f>
        <v>1.03957455489166</v>
      </c>
      <c r="G504" s="38" t="n">
        <f aca="false">IF($G$11=$E$11,$F$11,IF(U504&lt;($F$11-$E$11)/($G$11-$E$11),$E$11+SQRT(U504*($G$11-$E$11)*($F$11-$E$11)),$G$11-SQRT((1-U504)*($G$11-$E$11)*($G$11-$F$11))))</f>
        <v>0.108166402067785</v>
      </c>
      <c r="H504" s="39" t="n">
        <f aca="false">(('Business Case'!B11*$C504*'Business Case'!B12*$B504)-'Business Case'!B11*$C504*'Business Case'!B13*$D504-'Business Case'!B14*$E504)-MAX(0,(('Business Case'!B11*$C504*'Business Case'!B12*$B504)-'Business Case'!B11*$C504*'Business Case'!B13*$D504-'Business Case'!B14*$E504))*'Business Case'!$B$7-'Business Case'!$B$8*('Business Case'!B11*$C504*'Business Case'!B12*$B504)-'Business Case'!B15*$F504</f>
        <v>-2079149109.78332</v>
      </c>
      <c r="I504" s="39" t="n">
        <f aca="false">(('Business Case'!C11*$C504*'Business Case'!C12*$B504)-'Business Case'!C11*$C504*'Business Case'!C13*$D504-'Business Case'!C14*$E504)-MAX(0,(('Business Case'!C11*$C504*'Business Case'!C12*$B504)-'Business Case'!C11*$C504*'Business Case'!C13*$D504-'Business Case'!C14*$E504))*'Business Case'!$B$7-'Business Case'!$B$8*(('Business Case'!C11*$C504*'Business Case'!C12*$B504)-('Business Case'!B11*$C504*'Business Case'!B12*$B504))-'Business Case'!C15*$F504</f>
        <v>-478842.814875782</v>
      </c>
      <c r="J504" s="39" t="n">
        <f aca="false">(('Business Case'!D11*$C504*'Business Case'!D12*$B504)-'Business Case'!D11*$C504*'Business Case'!D13*$D504-'Business Case'!D14*$E504)-MAX(0,(('Business Case'!D11*$C504*'Business Case'!D12*$B504)-'Business Case'!D11*$C504*'Business Case'!D13*$D504-'Business Case'!D14*$E504))*'Business Case'!$B$7-'Business Case'!$B$8*(('Business Case'!D11*$C504*'Business Case'!D12*$B504)-('Business Case'!C11*$C504*'Business Case'!C12*$B504))-'Business Case'!D15*$F504</f>
        <v>298029554.297108</v>
      </c>
      <c r="K504" s="39" t="n">
        <f aca="false">(('Business Case'!E11*$C504*'Business Case'!E12*$B504)-'Business Case'!E11*$C504*'Business Case'!E13*$D504-'Business Case'!E14*$E504)-MAX(0,(('Business Case'!E11*$C504*'Business Case'!E12*$B504)-'Business Case'!E11*$C504*'Business Case'!E13*$D504-'Business Case'!E14*$E504))*'Business Case'!$B$7-'Business Case'!$B$8*(('Business Case'!E11*$C504*'Business Case'!E12*$B504)-('Business Case'!D11*$C504*'Business Case'!D12*$B504))-'Business Case'!E15*$F504</f>
        <v>648516679.153675</v>
      </c>
      <c r="L504" s="39" t="n">
        <f aca="false">(('Business Case'!F11*$C504*'Business Case'!F12*$B504)-'Business Case'!F11*$C504*'Business Case'!F13*$D504-'Business Case'!F14*$E504)-MAX(0,(('Business Case'!F11*$C504*'Business Case'!F12*$B504)-'Business Case'!F11*$C504*'Business Case'!F13*$D504-'Business Case'!F14*$E504))*'Business Case'!$B$7-'Business Case'!$B$8*(('Business Case'!F11*$C504*'Business Case'!F12*$B504)-('Business Case'!E11*$C504*'Business Case'!E12*$B504))-'Business Case'!F15*$F504</f>
        <v>783350081.01384</v>
      </c>
      <c r="M504" s="39" t="n">
        <f aca="false">(('Business Case'!G11*$C504*'Business Case'!G12*$B504)-'Business Case'!G11*$C504*'Business Case'!G13*$D504-'Business Case'!G14*$E504)-MAX(0,(('Business Case'!G11*$C504*'Business Case'!G12*$B504)-'Business Case'!G11*$C504*'Business Case'!G13*$D504-'Business Case'!G14*$E504))*'Business Case'!$B$7-'Business Case'!$B$8*(('Business Case'!G11*$C504*'Business Case'!G12*$B504)-('Business Case'!F11*$C504*'Business Case'!F12*$B504))-'Business Case'!G15*$F504+'Business Case'!$B$8*('Business Case'!G11*$C504*'Business Case'!G12*$B504)</f>
        <v>977668396.539447</v>
      </c>
      <c r="N504" s="39" t="n">
        <f aca="false">IF(COUNT('Business Case'!B11:G11)=0,"",H504+NPV(G504,I504:M504))</f>
        <v>-255889821.898164</v>
      </c>
      <c r="P504" s="40" t="n">
        <f aca="true">RAND()</f>
        <v>0.202083877087472</v>
      </c>
      <c r="Q504" s="40" t="n">
        <f aca="true">RAND()</f>
        <v>0.847166559066316</v>
      </c>
      <c r="R504" s="40" t="n">
        <f aca="true">RAND()</f>
        <v>0.278987365247997</v>
      </c>
      <c r="S504" s="40" t="n">
        <f aca="true">RAND()</f>
        <v>0.317939131309991</v>
      </c>
      <c r="T504" s="40" t="n">
        <f aca="true">RAND()</f>
        <v>0.485273531235812</v>
      </c>
      <c r="U504" s="40" t="n">
        <f aca="true">RAND()</f>
        <v>0.766609933297788</v>
      </c>
    </row>
    <row r="505" customFormat="false" ht="15" hidden="false" customHeight="false" outlineLevel="0" collapsed="false">
      <c r="A505" s="36" t="n">
        <v>425</v>
      </c>
      <c r="B505" s="37" t="n">
        <f aca="false">1+IF($G$6=$E$6,$F$6,IF(P505&lt;($F$6-$E$6)/($G$6-$E$6),$E$6+SQRT(P505*($G$6-$E$6)*($F$6-$E$6)),$G$6-SQRT((1-P505)*($G$6-$E$6)*($G$6-$F$6))))</f>
        <v>0.998684210092521</v>
      </c>
      <c r="C505" s="37" t="n">
        <f aca="false">1+IF($G$7=$E$7,$F$7,IF(Q505&lt;($F$7-$E$7)/($G$7-$E$7),$E$7+SQRT(Q505*($G$7-$E$7)*($F$7-$E$7)),$G$7-SQRT((1-Q505)*($G$7-$E$7)*($G$7-$F$7))))</f>
        <v>1.02228768107054</v>
      </c>
      <c r="D505" s="37" t="n">
        <f aca="false">1+IF($G$8=$E$8,$F$8,IF(R505&lt;($F$8-$E$8)/($G$8-$E$8),$E$8+SQRT(R505*($G$8-$E$8)*($F$8-$E$8)),$G$8-SQRT((1-R505)*($G$8-$E$8)*($G$8-$F$8))))</f>
        <v>0.984833381116754</v>
      </c>
      <c r="E505" s="37" t="n">
        <f aca="false">1+IF($G$9=$E$9,$F$9,IF(S505&lt;($F$9-$E$9)/($G$9-$E$9),$E$9+SQRT(S505*($G$9-$E$9)*($F$9-$E$9)),$G$9-SQRT((1-S505)*($G$9-$E$9)*($G$9-$F$9))))</f>
        <v>1.05553051586052</v>
      </c>
      <c r="F505" s="37" t="n">
        <f aca="false">1+IF($G$10=$E$10,$F$10,IF(T505&lt;($F$10-$E$10)/($G$10-$E$10),$E$10+SQRT(T505*($G$10-$E$10)*($F$10-$E$10)),$G$10-SQRT((1-T505)*($G$10-$E$10)*($G$10-$F$10))))</f>
        <v>1.02810674897796</v>
      </c>
      <c r="G505" s="38" t="n">
        <f aca="false">IF($G$11=$E$11,$F$11,IF(U505&lt;($F$11-$E$11)/($G$11-$E$11),$E$11+SQRT(U505*($G$11-$E$11)*($F$11-$E$11)),$G$11-SQRT((1-U505)*($G$11-$E$11)*($G$11-$F$11))))</f>
        <v>0.0999039089463358</v>
      </c>
      <c r="H505" s="39" t="n">
        <f aca="false">(('Business Case'!B11*$C505*'Business Case'!B12*$B505)-'Business Case'!B11*$C505*'Business Case'!B13*$D505-'Business Case'!B14*$E505)-MAX(0,(('Business Case'!B11*$C505*'Business Case'!B12*$B505)-'Business Case'!B11*$C505*'Business Case'!B13*$D505-'Business Case'!B14*$E505))*'Business Case'!$B$7-'Business Case'!$B$8*('Business Case'!B11*$C505*'Business Case'!B12*$B505)-'Business Case'!B15*$F505</f>
        <v>-2056213497.95593</v>
      </c>
      <c r="I505" s="39" t="n">
        <f aca="false">(('Business Case'!C11*$C505*'Business Case'!C12*$B505)-'Business Case'!C11*$C505*'Business Case'!C13*$D505-'Business Case'!C14*$E505)-MAX(0,(('Business Case'!C11*$C505*'Business Case'!C12*$B505)-'Business Case'!C11*$C505*'Business Case'!C13*$D505-'Business Case'!C14*$E505))*'Business Case'!$B$7-'Business Case'!$B$8*(('Business Case'!C11*$C505*'Business Case'!C12*$B505)-('Business Case'!B11*$C505*'Business Case'!B12*$B505))-'Business Case'!C15*$F505</f>
        <v>15000321.5045324</v>
      </c>
      <c r="J505" s="39" t="n">
        <f aca="false">(('Business Case'!D11*$C505*'Business Case'!D12*$B505)-'Business Case'!D11*$C505*'Business Case'!D13*$D505-'Business Case'!D14*$E505)-MAX(0,(('Business Case'!D11*$C505*'Business Case'!D12*$B505)-'Business Case'!D11*$C505*'Business Case'!D13*$D505-'Business Case'!D14*$E505))*'Business Case'!$B$7-'Business Case'!$B$8*(('Business Case'!D11*$C505*'Business Case'!D12*$B505)-('Business Case'!C11*$C505*'Business Case'!C12*$B505))-'Business Case'!D15*$F505</f>
        <v>335833419.845163</v>
      </c>
      <c r="K505" s="39" t="n">
        <f aca="false">(('Business Case'!E11*$C505*'Business Case'!E12*$B505)-'Business Case'!E11*$C505*'Business Case'!E13*$D505-'Business Case'!E14*$E505)-MAX(0,(('Business Case'!E11*$C505*'Business Case'!E12*$B505)-'Business Case'!E11*$C505*'Business Case'!E13*$D505-'Business Case'!E14*$E505))*'Business Case'!$B$7-'Business Case'!$B$8*(('Business Case'!E11*$C505*'Business Case'!E12*$B505)-('Business Case'!D11*$C505*'Business Case'!D12*$B505))-'Business Case'!E15*$F505</f>
        <v>708071855.634692</v>
      </c>
      <c r="L505" s="39" t="n">
        <f aca="false">(('Business Case'!F11*$C505*'Business Case'!F12*$B505)-'Business Case'!F11*$C505*'Business Case'!F13*$D505-'Business Case'!F14*$E505)-MAX(0,(('Business Case'!F11*$C505*'Business Case'!F12*$B505)-'Business Case'!F11*$C505*'Business Case'!F13*$D505-'Business Case'!F14*$E505))*'Business Case'!$B$7-'Business Case'!$B$8*(('Business Case'!F11*$C505*'Business Case'!F12*$B505)-('Business Case'!E11*$C505*'Business Case'!E12*$B505))-'Business Case'!F15*$F505</f>
        <v>850299996.803526</v>
      </c>
      <c r="M505" s="39" t="n">
        <f aca="false">(('Business Case'!G11*$C505*'Business Case'!G12*$B505)-'Business Case'!G11*$C505*'Business Case'!G13*$D505-'Business Case'!G14*$E505)-MAX(0,(('Business Case'!G11*$C505*'Business Case'!G12*$B505)-'Business Case'!G11*$C505*'Business Case'!G13*$D505-'Business Case'!G14*$E505))*'Business Case'!$B$7-'Business Case'!$B$8*(('Business Case'!G11*$C505*'Business Case'!G12*$B505)-('Business Case'!F11*$C505*'Business Case'!F12*$B505))-'Business Case'!G15*$F505+'Business Case'!$B$8*('Business Case'!G11*$C505*'Business Case'!G12*$B505)</f>
        <v>1044360759.60762</v>
      </c>
      <c r="N505" s="39" t="n">
        <f aca="false">IF(COUNT('Business Case'!B11:G11)=0,"",H505+NPV(G505,I505:M505))</f>
        <v>-3136077.78434491</v>
      </c>
      <c r="P505" s="40" t="n">
        <f aca="true">RAND()</f>
        <v>0.644917178946244</v>
      </c>
      <c r="Q505" s="40" t="n">
        <f aca="true">RAND()</f>
        <v>0.689325020831592</v>
      </c>
      <c r="R505" s="40" t="n">
        <f aca="true">RAND()</f>
        <v>0.186671452311547</v>
      </c>
      <c r="S505" s="40" t="n">
        <f aca="true">RAND()</f>
        <v>0.868164332024582</v>
      </c>
      <c r="T505" s="40" t="n">
        <f aca="true">RAND()</f>
        <v>0.409054205061511</v>
      </c>
      <c r="U505" s="40" t="n">
        <f aca="true">RAND()</f>
        <v>0.326958041391036</v>
      </c>
    </row>
    <row r="506" customFormat="false" ht="15" hidden="false" customHeight="false" outlineLevel="0" collapsed="false">
      <c r="A506" s="36" t="n">
        <v>426</v>
      </c>
      <c r="B506" s="37" t="n">
        <f aca="false">1+IF($G$6=$E$6,$F$6,IF(P506&lt;($F$6-$E$6)/($G$6-$E$6),$E$6+SQRT(P506*($G$6-$E$6)*($F$6-$E$6)),$G$6-SQRT((1-P506)*($G$6-$E$6)*($G$6-$F$6))))</f>
        <v>0.97714005402587</v>
      </c>
      <c r="C506" s="37" t="n">
        <f aca="false">1+IF($G$7=$E$7,$F$7,IF(Q506&lt;($F$7-$E$7)/($G$7-$E$7),$E$7+SQRT(Q506*($G$7-$E$7)*($F$7-$E$7)),$G$7-SQRT((1-Q506)*($G$7-$E$7)*($G$7-$F$7))))</f>
        <v>0.976984771734269</v>
      </c>
      <c r="D506" s="37" t="n">
        <f aca="false">1+IF($G$8=$E$8,$F$8,IF(R506&lt;($F$8-$E$8)/($G$8-$E$8),$E$8+SQRT(R506*($G$8-$E$8)*($F$8-$E$8)),$G$8-SQRT((1-R506)*($G$8-$E$8)*($G$8-$F$8))))</f>
        <v>1.03551339775011</v>
      </c>
      <c r="E506" s="37" t="n">
        <f aca="false">1+IF($G$9=$E$9,$F$9,IF(S506&lt;($F$9-$E$9)/($G$9-$E$9),$E$9+SQRT(S506*($G$9-$E$9)*($F$9-$E$9)),$G$9-SQRT((1-S506)*($G$9-$E$9)*($G$9-$F$9))))</f>
        <v>1.06616128066366</v>
      </c>
      <c r="F506" s="37" t="n">
        <f aca="false">1+IF($G$10=$E$10,$F$10,IF(T506&lt;($F$10-$E$10)/($G$10-$E$10),$E$10+SQRT(T506*($G$10-$E$10)*($F$10-$E$10)),$G$10-SQRT((1-T506)*($G$10-$E$10)*($G$10-$F$10))))</f>
        <v>1.05395585472112</v>
      </c>
      <c r="G506" s="38" t="n">
        <f aca="false">IF($G$11=$E$11,$F$11,IF(U506&lt;($F$11-$E$11)/($G$11-$E$11),$E$11+SQRT(U506*($G$11-$E$11)*($F$11-$E$11)),$G$11-SQRT((1-U506)*($G$11-$E$11)*($G$11-$F$11))))</f>
        <v>0.0992513112719578</v>
      </c>
      <c r="H506" s="39" t="n">
        <f aca="false">(('Business Case'!B11*$C506*'Business Case'!B12*$B506)-'Business Case'!B11*$C506*'Business Case'!B13*$D506-'Business Case'!B14*$E506)-MAX(0,(('Business Case'!B11*$C506*'Business Case'!B12*$B506)-'Business Case'!B11*$C506*'Business Case'!B13*$D506-'Business Case'!B14*$E506))*'Business Case'!$B$7-'Business Case'!$B$8*('Business Case'!B11*$C506*'Business Case'!B12*$B506)-'Business Case'!B15*$F506</f>
        <v>-2107911709.44223</v>
      </c>
      <c r="I506" s="39" t="n">
        <f aca="false">(('Business Case'!C11*$C506*'Business Case'!C12*$B506)-'Business Case'!C11*$C506*'Business Case'!C13*$D506-'Business Case'!C14*$E506)-MAX(0,(('Business Case'!C11*$C506*'Business Case'!C12*$B506)-'Business Case'!C11*$C506*'Business Case'!C13*$D506-'Business Case'!C14*$E506))*'Business Case'!$B$7-'Business Case'!$B$8*(('Business Case'!C11*$C506*'Business Case'!C12*$B506)-('Business Case'!B11*$C506*'Business Case'!B12*$B506))-'Business Case'!C15*$F506</f>
        <v>-42464605.5355611</v>
      </c>
      <c r="J506" s="39" t="n">
        <f aca="false">(('Business Case'!D11*$C506*'Business Case'!D12*$B506)-'Business Case'!D11*$C506*'Business Case'!D13*$D506-'Business Case'!D14*$E506)-MAX(0,(('Business Case'!D11*$C506*'Business Case'!D12*$B506)-'Business Case'!D11*$C506*'Business Case'!D13*$D506-'Business Case'!D14*$E506))*'Business Case'!$B$7-'Business Case'!$B$8*(('Business Case'!D11*$C506*'Business Case'!D12*$B506)-('Business Case'!C11*$C506*'Business Case'!C12*$B506))-'Business Case'!D15*$F506</f>
        <v>221563613.895954</v>
      </c>
      <c r="K506" s="39" t="n">
        <f aca="false">(('Business Case'!E11*$C506*'Business Case'!E12*$B506)-'Business Case'!E11*$C506*'Business Case'!E13*$D506-'Business Case'!E14*$E506)-MAX(0,(('Business Case'!E11*$C506*'Business Case'!E12*$B506)-'Business Case'!E11*$C506*'Business Case'!E13*$D506-'Business Case'!E14*$E506))*'Business Case'!$B$7-'Business Case'!$B$8*(('Business Case'!E11*$C506*'Business Case'!E12*$B506)-('Business Case'!D11*$C506*'Business Case'!D12*$B506))-'Business Case'!E15*$F506</f>
        <v>538289626.063524</v>
      </c>
      <c r="L506" s="39" t="n">
        <f aca="false">(('Business Case'!F11*$C506*'Business Case'!F12*$B506)-'Business Case'!F11*$C506*'Business Case'!F13*$D506-'Business Case'!F14*$E506)-MAX(0,(('Business Case'!F11*$C506*'Business Case'!F12*$B506)-'Business Case'!F11*$C506*'Business Case'!F13*$D506-'Business Case'!F14*$E506))*'Business Case'!$B$7-'Business Case'!$B$8*(('Business Case'!F11*$C506*'Business Case'!F12*$B506)-('Business Case'!E11*$C506*'Business Case'!E12*$B506))-'Business Case'!F15*$F506</f>
        <v>659291769.463757</v>
      </c>
      <c r="M506" s="39" t="n">
        <f aca="false">(('Business Case'!G11*$C506*'Business Case'!G12*$B506)-'Business Case'!G11*$C506*'Business Case'!G13*$D506-'Business Case'!G14*$E506)-MAX(0,(('Business Case'!G11*$C506*'Business Case'!G12*$B506)-'Business Case'!G11*$C506*'Business Case'!G13*$D506-'Business Case'!G14*$E506))*'Business Case'!$B$7-'Business Case'!$B$8*(('Business Case'!G11*$C506*'Business Case'!G12*$B506)-('Business Case'!F11*$C506*'Business Case'!F12*$B506))-'Business Case'!G15*$F506+'Business Case'!$B$8*('Business Case'!G11*$C506*'Business Case'!G12*$B506)</f>
        <v>840751822.540594</v>
      </c>
      <c r="N506" s="39" t="n">
        <f aca="false">IF(COUNT('Business Case'!B11:G11)=0,"",H506+NPV(G506,I506:M506))</f>
        <v>-582576238.780864</v>
      </c>
      <c r="P506" s="40" t="n">
        <f aca="true">RAND()</f>
        <v>0.340102684799926</v>
      </c>
      <c r="Q506" s="40" t="n">
        <f aca="true">RAND()</f>
        <v>0.447480134654734</v>
      </c>
      <c r="R506" s="40" t="n">
        <f aca="true">RAND()</f>
        <v>0.809705982717348</v>
      </c>
      <c r="S506" s="40" t="n">
        <f aca="true">RAND()</f>
        <v>0.923662738245094</v>
      </c>
      <c r="T506" s="40" t="n">
        <f aca="true">RAND()</f>
        <v>0.573422152595206</v>
      </c>
      <c r="U506" s="40" t="n">
        <f aca="true">RAND()</f>
        <v>0.28528920083551</v>
      </c>
    </row>
    <row r="507" customFormat="false" ht="15" hidden="false" customHeight="false" outlineLevel="0" collapsed="false">
      <c r="A507" s="36" t="n">
        <v>427</v>
      </c>
      <c r="B507" s="37" t="n">
        <f aca="false">1+IF($G$6=$E$6,$F$6,IF(P507&lt;($F$6-$E$6)/($G$6-$E$6),$E$6+SQRT(P507*($G$6-$E$6)*($F$6-$E$6)),$G$6-SQRT((1-P507)*($G$6-$E$6)*($G$6-$F$6))))</f>
        <v>0.988292717307014</v>
      </c>
      <c r="C507" s="37" t="n">
        <f aca="false">1+IF($G$7=$E$7,$F$7,IF(Q507&lt;($F$7-$E$7)/($G$7-$E$7),$E$7+SQRT(Q507*($G$7-$E$7)*($F$7-$E$7)),$G$7-SQRT((1-Q507)*($G$7-$E$7)*($G$7-$F$7))))</f>
        <v>0.932791859634609</v>
      </c>
      <c r="D507" s="37" t="n">
        <f aca="false">1+IF($G$8=$E$8,$F$8,IF(R507&lt;($F$8-$E$8)/($G$8-$E$8),$E$8+SQRT(R507*($G$8-$E$8)*($F$8-$E$8)),$G$8-SQRT((1-R507)*($G$8-$E$8)*($G$8-$F$8))))</f>
        <v>1.01164127671771</v>
      </c>
      <c r="E507" s="37" t="n">
        <f aca="false">1+IF($G$9=$E$9,$F$9,IF(S507&lt;($F$9-$E$9)/($G$9-$E$9),$E$9+SQRT(S507*($G$9-$E$9)*($F$9-$E$9)),$G$9-SQRT((1-S507)*($G$9-$E$9)*($G$9-$F$9))))</f>
        <v>1.03966006373478</v>
      </c>
      <c r="F507" s="37" t="n">
        <f aca="false">1+IF($G$10=$E$10,$F$10,IF(T507&lt;($F$10-$E$10)/($G$10-$E$10),$E$10+SQRT(T507*($G$10-$E$10)*($F$10-$E$10)),$G$10-SQRT((1-T507)*($G$10-$E$10)*($G$10-$F$10))))</f>
        <v>1.13505527140908</v>
      </c>
      <c r="G507" s="38" t="n">
        <f aca="false">IF($G$11=$E$11,$F$11,IF(U507&lt;($F$11-$E$11)/($G$11-$E$11),$E$11+SQRT(U507*($G$11-$E$11)*($F$11-$E$11)),$G$11-SQRT((1-U507)*($G$11-$E$11)*($G$11-$F$11))))</f>
        <v>0.114585712192392</v>
      </c>
      <c r="H507" s="39" t="n">
        <f aca="false">(('Business Case'!B11*$C507*'Business Case'!B12*$B507)-'Business Case'!B11*$C507*'Business Case'!B13*$D507-'Business Case'!B14*$E507)-MAX(0,(('Business Case'!B11*$C507*'Business Case'!B12*$B507)-'Business Case'!B11*$C507*'Business Case'!B13*$D507-'Business Case'!B14*$E507))*'Business Case'!$B$7-'Business Case'!$B$8*('Business Case'!B11*$C507*'Business Case'!B12*$B507)-'Business Case'!B15*$F507</f>
        <v>-2270110542.81816</v>
      </c>
      <c r="I507" s="39" t="n">
        <f aca="false">(('Business Case'!C11*$C507*'Business Case'!C12*$B507)-'Business Case'!C11*$C507*'Business Case'!C13*$D507-'Business Case'!C14*$E507)-MAX(0,(('Business Case'!C11*$C507*'Business Case'!C12*$B507)-'Business Case'!C11*$C507*'Business Case'!C13*$D507-'Business Case'!C14*$E507))*'Business Case'!$B$7-'Business Case'!$B$8*(('Business Case'!C11*$C507*'Business Case'!C12*$B507)-('Business Case'!B11*$C507*'Business Case'!B12*$B507))-'Business Case'!C15*$F507</f>
        <v>-37129639.7908279</v>
      </c>
      <c r="J507" s="39" t="n">
        <f aca="false">(('Business Case'!D11*$C507*'Business Case'!D12*$B507)-'Business Case'!D11*$C507*'Business Case'!D13*$D507-'Business Case'!D14*$E507)-MAX(0,(('Business Case'!D11*$C507*'Business Case'!D12*$B507)-'Business Case'!D11*$C507*'Business Case'!D13*$D507-'Business Case'!D14*$E507))*'Business Case'!$B$7-'Business Case'!$B$8*(('Business Case'!D11*$C507*'Business Case'!D12*$B507)-('Business Case'!C11*$C507*'Business Case'!C12*$B507))-'Business Case'!D15*$F507</f>
        <v>234875722.083364</v>
      </c>
      <c r="K507" s="39" t="n">
        <f aca="false">(('Business Case'!E11*$C507*'Business Case'!E12*$B507)-'Business Case'!E11*$C507*'Business Case'!E13*$D507-'Business Case'!E14*$E507)-MAX(0,(('Business Case'!E11*$C507*'Business Case'!E12*$B507)-'Business Case'!E11*$C507*'Business Case'!E13*$D507-'Business Case'!E14*$E507))*'Business Case'!$B$7-'Business Case'!$B$8*(('Business Case'!E11*$C507*'Business Case'!E12*$B507)-('Business Case'!D11*$C507*'Business Case'!D12*$B507))-'Business Case'!E15*$F507</f>
        <v>563633847.528009</v>
      </c>
      <c r="L507" s="39" t="n">
        <f aca="false">(('Business Case'!F11*$C507*'Business Case'!F12*$B507)-'Business Case'!F11*$C507*'Business Case'!F13*$D507-'Business Case'!F14*$E507)-MAX(0,(('Business Case'!F11*$C507*'Business Case'!F12*$B507)-'Business Case'!F11*$C507*'Business Case'!F13*$D507-'Business Case'!F14*$E507))*'Business Case'!$B$7-'Business Case'!$B$8*(('Business Case'!F11*$C507*'Business Case'!F12*$B507)-('Business Case'!E11*$C507*'Business Case'!E12*$B507))-'Business Case'!F15*$F507</f>
        <v>686162177.126756</v>
      </c>
      <c r="M507" s="39" t="n">
        <f aca="false">(('Business Case'!G11*$C507*'Business Case'!G12*$B507)-'Business Case'!G11*$C507*'Business Case'!G13*$D507-'Business Case'!G14*$E507)-MAX(0,(('Business Case'!G11*$C507*'Business Case'!G12*$B507)-'Business Case'!G11*$C507*'Business Case'!G13*$D507-'Business Case'!G14*$E507))*'Business Case'!$B$7-'Business Case'!$B$8*(('Business Case'!G11*$C507*'Business Case'!G12*$B507)-('Business Case'!F11*$C507*'Business Case'!F12*$B507))-'Business Case'!G15*$F507+'Business Case'!$B$8*('Business Case'!G11*$C507*'Business Case'!G12*$B507)</f>
        <v>861391493.150516</v>
      </c>
      <c r="N507" s="39" t="n">
        <f aca="false">IF(COUNT('Business Case'!B11:G11)=0,"",H507+NPV(G507,I507:M507))</f>
        <v>-761932040.32632</v>
      </c>
      <c r="P507" s="40" t="n">
        <f aca="true">RAND()</f>
        <v>0.485822420539137</v>
      </c>
      <c r="Q507" s="40" t="n">
        <f aca="true">RAND()</f>
        <v>0.25190968550311</v>
      </c>
      <c r="R507" s="40" t="n">
        <f aca="true">RAND()</f>
        <v>0.550681245309172</v>
      </c>
      <c r="S507" s="40" t="n">
        <f aca="true">RAND()</f>
        <v>0.757272806100617</v>
      </c>
      <c r="T507" s="40" t="n">
        <f aca="true">RAND()</f>
        <v>0.915643644565037</v>
      </c>
      <c r="U507" s="40" t="n">
        <f aca="true">RAND()</f>
        <v>0.951142479227312</v>
      </c>
    </row>
    <row r="508" customFormat="false" ht="15" hidden="false" customHeight="false" outlineLevel="0" collapsed="false">
      <c r="A508" s="36" t="n">
        <v>428</v>
      </c>
      <c r="B508" s="37" t="n">
        <f aca="false">1+IF($G$6=$E$6,$F$6,IF(P508&lt;($F$6-$E$6)/($G$6-$E$6),$E$6+SQRT(P508*($G$6-$E$6)*($F$6-$E$6)),$G$6-SQRT((1-P508)*($G$6-$E$6)*($G$6-$F$6))))</f>
        <v>1.01135637995559</v>
      </c>
      <c r="C508" s="37" t="n">
        <f aca="false">1+IF($G$7=$E$7,$F$7,IF(Q508&lt;($F$7-$E$7)/($G$7-$E$7),$E$7+SQRT(Q508*($G$7-$E$7)*($F$7-$E$7)),$G$7-SQRT((1-Q508)*($G$7-$E$7)*($G$7-$F$7))))</f>
        <v>0.960850874016636</v>
      </c>
      <c r="D508" s="37" t="n">
        <f aca="false">1+IF($G$8=$E$8,$F$8,IF(R508&lt;($F$8-$E$8)/($G$8-$E$8),$E$8+SQRT(R508*($G$8-$E$8)*($F$8-$E$8)),$G$8-SQRT((1-R508)*($G$8-$E$8)*($G$8-$F$8))))</f>
        <v>0.995535266550393</v>
      </c>
      <c r="E508" s="37" t="n">
        <f aca="false">1+IF($G$9=$E$9,$F$9,IF(S508&lt;($F$9-$E$9)/($G$9-$E$9),$E$9+SQRT(S508*($G$9-$E$9)*($F$9-$E$9)),$G$9-SQRT((1-S508)*($G$9-$E$9)*($G$9-$F$9))))</f>
        <v>1.03056869739509</v>
      </c>
      <c r="F508" s="37" t="n">
        <f aca="false">1+IF($G$10=$E$10,$F$10,IF(T508&lt;($F$10-$E$10)/($G$10-$E$10),$E$10+SQRT(T508*($G$10-$E$10)*($F$10-$E$10)),$G$10-SQRT((1-T508)*($G$10-$E$10)*($G$10-$F$10))))</f>
        <v>1.06990062357633</v>
      </c>
      <c r="G508" s="38" t="n">
        <f aca="false">IF($G$11=$E$11,$F$11,IF(U508&lt;($F$11-$E$11)/($G$11-$E$11),$E$11+SQRT(U508*($G$11-$E$11)*($F$11-$E$11)),$G$11-SQRT((1-U508)*($G$11-$E$11)*($G$11-$F$11))))</f>
        <v>0.10045479288016</v>
      </c>
      <c r="H508" s="39" t="n">
        <f aca="false">(('Business Case'!B11*$C508*'Business Case'!B12*$B508)-'Business Case'!B11*$C508*'Business Case'!B13*$D508-'Business Case'!B14*$E508)-MAX(0,(('Business Case'!B11*$C508*'Business Case'!B12*$B508)-'Business Case'!B11*$C508*'Business Case'!B13*$D508-'Business Case'!B14*$E508))*'Business Case'!$B$7-'Business Case'!$B$8*('Business Case'!B11*$C508*'Business Case'!B12*$B508)-'Business Case'!B15*$F508</f>
        <v>-2139801247.15265</v>
      </c>
      <c r="I508" s="39" t="n">
        <f aca="false">(('Business Case'!C11*$C508*'Business Case'!C12*$B508)-'Business Case'!C11*$C508*'Business Case'!C13*$D508-'Business Case'!C14*$E508)-MAX(0,(('Business Case'!C11*$C508*'Business Case'!C12*$B508)-'Business Case'!C11*$C508*'Business Case'!C13*$D508-'Business Case'!C14*$E508))*'Business Case'!$B$7-'Business Case'!$B$8*(('Business Case'!C11*$C508*'Business Case'!C12*$B508)-('Business Case'!B11*$C508*'Business Case'!B12*$B508))-'Business Case'!C15*$F508</f>
        <v>2347807.48790112</v>
      </c>
      <c r="J508" s="39" t="n">
        <f aca="false">(('Business Case'!D11*$C508*'Business Case'!D12*$B508)-'Business Case'!D11*$C508*'Business Case'!D13*$D508-'Business Case'!D14*$E508)-MAX(0,(('Business Case'!D11*$C508*'Business Case'!D12*$B508)-'Business Case'!D11*$C508*'Business Case'!D13*$D508-'Business Case'!D14*$E508))*'Business Case'!$B$7-'Business Case'!$B$8*(('Business Case'!D11*$C508*'Business Case'!D12*$B508)-('Business Case'!C11*$C508*'Business Case'!C12*$B508))-'Business Case'!D15*$F508</f>
        <v>308608722.481534</v>
      </c>
      <c r="K508" s="39" t="n">
        <f aca="false">(('Business Case'!E11*$C508*'Business Case'!E12*$B508)-'Business Case'!E11*$C508*'Business Case'!E13*$D508-'Business Case'!E14*$E508)-MAX(0,(('Business Case'!E11*$C508*'Business Case'!E12*$B508)-'Business Case'!E11*$C508*'Business Case'!E13*$D508-'Business Case'!E14*$E508))*'Business Case'!$B$7-'Business Case'!$B$8*(('Business Case'!E11*$C508*'Business Case'!E12*$B508)-('Business Case'!D11*$C508*'Business Case'!D12*$B508))-'Business Case'!E15*$F508</f>
        <v>668364668.653983</v>
      </c>
      <c r="L508" s="39" t="n">
        <f aca="false">(('Business Case'!F11*$C508*'Business Case'!F12*$B508)-'Business Case'!F11*$C508*'Business Case'!F13*$D508-'Business Case'!F14*$E508)-MAX(0,(('Business Case'!F11*$C508*'Business Case'!F12*$B508)-'Business Case'!F11*$C508*'Business Case'!F13*$D508-'Business Case'!F14*$E508))*'Business Case'!$B$7-'Business Case'!$B$8*(('Business Case'!F11*$C508*'Business Case'!F12*$B508)-('Business Case'!E11*$C508*'Business Case'!E12*$B508))-'Business Case'!F15*$F508</f>
        <v>804035757.904204</v>
      </c>
      <c r="M508" s="39" t="n">
        <f aca="false">(('Business Case'!G11*$C508*'Business Case'!G12*$B508)-'Business Case'!G11*$C508*'Business Case'!G13*$D508-'Business Case'!G14*$E508)-MAX(0,(('Business Case'!G11*$C508*'Business Case'!G12*$B508)-'Business Case'!G11*$C508*'Business Case'!G13*$D508-'Business Case'!G14*$E508))*'Business Case'!$B$7-'Business Case'!$B$8*(('Business Case'!G11*$C508*'Business Case'!G12*$B508)-('Business Case'!F11*$C508*'Business Case'!F12*$B508))-'Business Case'!G15*$F508+'Business Case'!$B$8*('Business Case'!G11*$C508*'Business Case'!G12*$B508)</f>
        <v>988748404.625434</v>
      </c>
      <c r="N508" s="39" t="n">
        <f aca="false">IF(COUNT('Business Case'!B11:G11)=0,"",H508+NPV(G508,I508:M508))</f>
        <v>-220372695.024024</v>
      </c>
      <c r="P508" s="40" t="n">
        <f aca="true">RAND()</f>
        <v>0.8290714647399</v>
      </c>
      <c r="Q508" s="40" t="n">
        <f aca="true">RAND()</f>
        <v>0.369614338170226</v>
      </c>
      <c r="R508" s="40" t="n">
        <f aca="true">RAND()</f>
        <v>0.318993923048519</v>
      </c>
      <c r="S508" s="40" t="n">
        <f aca="true">RAND()</f>
        <v>0.678619614572357</v>
      </c>
      <c r="T508" s="40" t="n">
        <f aca="true">RAND()</f>
        <v>0.661483045083422</v>
      </c>
      <c r="U508" s="40" t="n">
        <f aca="true">RAND()</f>
        <v>0.363308131070921</v>
      </c>
    </row>
    <row r="509" customFormat="false" ht="15" hidden="false" customHeight="false" outlineLevel="0" collapsed="false">
      <c r="A509" s="36" t="n">
        <v>429</v>
      </c>
      <c r="B509" s="37" t="n">
        <f aca="false">1+IF($G$6=$E$6,$F$6,IF(P509&lt;($F$6-$E$6)/($G$6-$E$6),$E$6+SQRT(P509*($G$6-$E$6)*($F$6-$E$6)),$G$6-SQRT((1-P509)*($G$6-$E$6)*($G$6-$F$6))))</f>
        <v>0.991279670593131</v>
      </c>
      <c r="C509" s="37" t="n">
        <f aca="false">1+IF($G$7=$E$7,$F$7,IF(Q509&lt;($F$7-$E$7)/($G$7-$E$7),$E$7+SQRT(Q509*($G$7-$E$7)*($F$7-$E$7)),$G$7-SQRT((1-Q509)*($G$7-$E$7)*($G$7-$F$7))))</f>
        <v>0.979771762442703</v>
      </c>
      <c r="D509" s="37" t="n">
        <f aca="false">1+IF($G$8=$E$8,$F$8,IF(R509&lt;($F$8-$E$8)/($G$8-$E$8),$E$8+SQRT(R509*($G$8-$E$8)*($F$8-$E$8)),$G$8-SQRT((1-R509)*($G$8-$E$8)*($G$8-$F$8))))</f>
        <v>1.02277936166132</v>
      </c>
      <c r="E509" s="37" t="n">
        <f aca="false">1+IF($G$9=$E$9,$F$9,IF(S509&lt;($F$9-$E$9)/($G$9-$E$9),$E$9+SQRT(S509*($G$9-$E$9)*($F$9-$E$9)),$G$9-SQRT((1-S509)*($G$9-$E$9)*($G$9-$F$9))))</f>
        <v>0.986582638078901</v>
      </c>
      <c r="F509" s="37" t="n">
        <f aca="false">1+IF($G$10=$E$10,$F$10,IF(T509&lt;($F$10-$E$10)/($G$10-$E$10),$E$10+SQRT(T509*($G$10-$E$10)*($F$10-$E$10)),$G$10-SQRT((1-T509)*($G$10-$E$10)*($G$10-$F$10))))</f>
        <v>0.990687742250688</v>
      </c>
      <c r="G509" s="38" t="n">
        <f aca="false">IF($G$11=$E$11,$F$11,IF(U509&lt;($F$11-$E$11)/($G$11-$E$11),$E$11+SQRT(U509*($G$11-$E$11)*($F$11-$E$11)),$G$11-SQRT((1-U509)*($G$11-$E$11)*($G$11-$F$11))))</f>
        <v>0.114806167177894</v>
      </c>
      <c r="H509" s="39" t="n">
        <f aca="false">(('Business Case'!B11*$C509*'Business Case'!B12*$B509)-'Business Case'!B11*$C509*'Business Case'!B13*$D509-'Business Case'!B14*$E509)-MAX(0,(('Business Case'!B11*$C509*'Business Case'!B12*$B509)-'Business Case'!B11*$C509*'Business Case'!B13*$D509-'Business Case'!B14*$E509))*'Business Case'!$B$7-'Business Case'!$B$8*('Business Case'!B11*$C509*'Business Case'!B12*$B509)-'Business Case'!B15*$F509</f>
        <v>-1981375484.50138</v>
      </c>
      <c r="I509" s="39" t="n">
        <f aca="false">(('Business Case'!C11*$C509*'Business Case'!C12*$B509)-'Business Case'!C11*$C509*'Business Case'!C13*$D509-'Business Case'!C14*$E509)-MAX(0,(('Business Case'!C11*$C509*'Business Case'!C12*$B509)-'Business Case'!C11*$C509*'Business Case'!C13*$D509-'Business Case'!C14*$E509))*'Business Case'!$B$7-'Business Case'!$B$8*(('Business Case'!C11*$C509*'Business Case'!C12*$B509)-('Business Case'!B11*$C509*'Business Case'!B12*$B509))-'Business Case'!C15*$F509</f>
        <v>-7193840.65515795</v>
      </c>
      <c r="J509" s="39" t="n">
        <f aca="false">(('Business Case'!D11*$C509*'Business Case'!D12*$B509)-'Business Case'!D11*$C509*'Business Case'!D13*$D509-'Business Case'!D14*$E509)-MAX(0,(('Business Case'!D11*$C509*'Business Case'!D12*$B509)-'Business Case'!D11*$C509*'Business Case'!D13*$D509-'Business Case'!D14*$E509))*'Business Case'!$B$7-'Business Case'!$B$8*(('Business Case'!D11*$C509*'Business Case'!D12*$B509)-('Business Case'!C11*$C509*'Business Case'!C12*$B509))-'Business Case'!D15*$F509</f>
        <v>275321594.753178</v>
      </c>
      <c r="K509" s="39" t="n">
        <f aca="false">(('Business Case'!E11*$C509*'Business Case'!E12*$B509)-'Business Case'!E11*$C509*'Business Case'!E13*$D509-'Business Case'!E14*$E509)-MAX(0,(('Business Case'!E11*$C509*'Business Case'!E12*$B509)-'Business Case'!E11*$C509*'Business Case'!E13*$D509-'Business Case'!E14*$E509))*'Business Case'!$B$7-'Business Case'!$B$8*(('Business Case'!E11*$C509*'Business Case'!E12*$B509)-('Business Case'!D11*$C509*'Business Case'!D12*$B509))-'Business Case'!E15*$F509</f>
        <v>607371417.274048</v>
      </c>
      <c r="L509" s="39" t="n">
        <f aca="false">(('Business Case'!F11*$C509*'Business Case'!F12*$B509)-'Business Case'!F11*$C509*'Business Case'!F13*$D509-'Business Case'!F14*$E509)-MAX(0,(('Business Case'!F11*$C509*'Business Case'!F12*$B509)-'Business Case'!F11*$C509*'Business Case'!F13*$D509-'Business Case'!F14*$E509))*'Business Case'!$B$7-'Business Case'!$B$8*(('Business Case'!F11*$C509*'Business Case'!F12*$B509)-('Business Case'!E11*$C509*'Business Case'!E12*$B509))-'Business Case'!F15*$F509</f>
        <v>735108862.87923</v>
      </c>
      <c r="M509" s="39" t="n">
        <f aca="false">(('Business Case'!G11*$C509*'Business Case'!G12*$B509)-'Business Case'!G11*$C509*'Business Case'!G13*$D509-'Business Case'!G14*$E509)-MAX(0,(('Business Case'!G11*$C509*'Business Case'!G12*$B509)-'Business Case'!G11*$C509*'Business Case'!G13*$D509-'Business Case'!G14*$E509))*'Business Case'!$B$7-'Business Case'!$B$8*(('Business Case'!G11*$C509*'Business Case'!G12*$B509)-('Business Case'!F11*$C509*'Business Case'!F12*$B509))-'Business Case'!G15*$F509+'Business Case'!$B$8*('Business Case'!G11*$C509*'Business Case'!G12*$B509)</f>
        <v>919719848.792449</v>
      </c>
      <c r="N509" s="39" t="n">
        <f aca="false">IF(COUNT('Business Case'!B11:G11)=0,"",H509+NPV(G509,I509:M509))</f>
        <v>-317821629.996331</v>
      </c>
      <c r="P509" s="40" t="n">
        <f aca="true">RAND()</f>
        <v>0.529249108319293</v>
      </c>
      <c r="Q509" s="40" t="n">
        <f aca="true">RAND()</f>
        <v>0.461684093882224</v>
      </c>
      <c r="R509" s="40" t="n">
        <f aca="true">RAND()</f>
        <v>0.685172937318645</v>
      </c>
      <c r="S509" s="40" t="n">
        <f aca="true">RAND()</f>
        <v>0.178438587841576</v>
      </c>
      <c r="T509" s="40" t="n">
        <f aca="true">RAND()</f>
        <v>0.132439389556674</v>
      </c>
      <c r="U509" s="40" t="n">
        <f aca="true">RAND()</f>
        <v>0.955040167693351</v>
      </c>
    </row>
    <row r="510" customFormat="false" ht="15" hidden="false" customHeight="false" outlineLevel="0" collapsed="false">
      <c r="A510" s="36" t="n">
        <v>430</v>
      </c>
      <c r="B510" s="37" t="n">
        <f aca="false">1+IF($G$6=$E$6,$F$6,IF(P510&lt;($F$6-$E$6)/($G$6-$E$6),$E$6+SQRT(P510*($G$6-$E$6)*($F$6-$E$6)),$G$6-SQRT((1-P510)*($G$6-$E$6)*($G$6-$F$6))))</f>
        <v>0.968027745835155</v>
      </c>
      <c r="C510" s="37" t="n">
        <f aca="false">1+IF($G$7=$E$7,$F$7,IF(Q510&lt;($F$7-$E$7)/($G$7-$E$7),$E$7+SQRT(Q510*($G$7-$E$7)*($F$7-$E$7)),$G$7-SQRT((1-Q510)*($G$7-$E$7)*($G$7-$F$7))))</f>
        <v>0.828373303733562</v>
      </c>
      <c r="D510" s="37" t="n">
        <f aca="false">1+IF($G$8=$E$8,$F$8,IF(R510&lt;($F$8-$E$8)/($G$8-$E$8),$E$8+SQRT(R510*($G$8-$E$8)*($F$8-$E$8)),$G$8-SQRT((1-R510)*($G$8-$E$8)*($G$8-$F$8))))</f>
        <v>1.05738112172243</v>
      </c>
      <c r="E510" s="37" t="n">
        <f aca="false">1+IF($G$9=$E$9,$F$9,IF(S510&lt;($F$9-$E$9)/($G$9-$E$9),$E$9+SQRT(S510*($G$9-$E$9)*($F$9-$E$9)),$G$9-SQRT((1-S510)*($G$9-$E$9)*($G$9-$F$9))))</f>
        <v>1.02845002165089</v>
      </c>
      <c r="F510" s="37" t="n">
        <f aca="false">1+IF($G$10=$E$10,$F$10,IF(T510&lt;($F$10-$E$10)/($G$10-$E$10),$E$10+SQRT(T510*($G$10-$E$10)*($F$10-$E$10)),$G$10-SQRT((1-T510)*($G$10-$E$10)*($G$10-$F$10))))</f>
        <v>1.02042534195822</v>
      </c>
      <c r="G510" s="38" t="n">
        <f aca="false">IF($G$11=$E$11,$F$11,IF(U510&lt;($F$11-$E$11)/($G$11-$E$11),$E$11+SQRT(U510*($G$11-$E$11)*($F$11-$E$11)),$G$11-SQRT((1-U510)*($G$11-$E$11)*($G$11-$F$11))))</f>
        <v>0.102562422877859</v>
      </c>
      <c r="H510" s="39" t="n">
        <f aca="false">(('Business Case'!B11*$C510*'Business Case'!B12*$B510)-'Business Case'!B11*$C510*'Business Case'!B13*$D510-'Business Case'!B14*$E510)-MAX(0,(('Business Case'!B11*$C510*'Business Case'!B12*$B510)-'Business Case'!B11*$C510*'Business Case'!B13*$D510-'Business Case'!B14*$E510))*'Business Case'!$B$7-'Business Case'!$B$8*('Business Case'!B11*$C510*'Business Case'!B12*$B510)-'Business Case'!B15*$F510</f>
        <v>-2040850683.91645</v>
      </c>
      <c r="I510" s="39" t="n">
        <f aca="false">(('Business Case'!C11*$C510*'Business Case'!C12*$B510)-'Business Case'!C11*$C510*'Business Case'!C13*$D510-'Business Case'!C14*$E510)-MAX(0,(('Business Case'!C11*$C510*'Business Case'!C12*$B510)-'Business Case'!C11*$C510*'Business Case'!C13*$D510-'Business Case'!C14*$E510))*'Business Case'!$B$7-'Business Case'!$B$8*(('Business Case'!C11*$C510*'Business Case'!C12*$B510)-('Business Case'!B11*$C510*'Business Case'!B12*$B510))-'Business Case'!C15*$F510</f>
        <v>-81447680.4913302</v>
      </c>
      <c r="J510" s="39" t="n">
        <f aca="false">(('Business Case'!D11*$C510*'Business Case'!D12*$B510)-'Business Case'!D11*$C510*'Business Case'!D13*$D510-'Business Case'!D14*$E510)-MAX(0,(('Business Case'!D11*$C510*'Business Case'!D12*$B510)-'Business Case'!D11*$C510*'Business Case'!D13*$D510-'Business Case'!D14*$E510))*'Business Case'!$B$7-'Business Case'!$B$8*(('Business Case'!D11*$C510*'Business Case'!D12*$B510)-('Business Case'!C11*$C510*'Business Case'!C12*$B510))-'Business Case'!D15*$F510</f>
        <v>126962657.937218</v>
      </c>
      <c r="K510" s="39" t="n">
        <f aca="false">(('Business Case'!E11*$C510*'Business Case'!E12*$B510)-'Business Case'!E11*$C510*'Business Case'!E13*$D510-'Business Case'!E14*$E510)-MAX(0,(('Business Case'!E11*$C510*'Business Case'!E12*$B510)-'Business Case'!E11*$C510*'Business Case'!E13*$D510-'Business Case'!E14*$E510))*'Business Case'!$B$7-'Business Case'!$B$8*(('Business Case'!E11*$C510*'Business Case'!E12*$B510)-('Business Case'!D11*$C510*'Business Case'!D12*$B510))-'Business Case'!E15*$F510</f>
        <v>386394263.463676</v>
      </c>
      <c r="L510" s="39" t="n">
        <f aca="false">(('Business Case'!F11*$C510*'Business Case'!F12*$B510)-'Business Case'!F11*$C510*'Business Case'!F13*$D510-'Business Case'!F14*$E510)-MAX(0,(('Business Case'!F11*$C510*'Business Case'!F12*$B510)-'Business Case'!F11*$C510*'Business Case'!F13*$D510-'Business Case'!F14*$E510))*'Business Case'!$B$7-'Business Case'!$B$8*(('Business Case'!F11*$C510*'Business Case'!F12*$B510)-('Business Case'!E11*$C510*'Business Case'!E12*$B510))-'Business Case'!F15*$F510</f>
        <v>483577637.370059</v>
      </c>
      <c r="M510" s="39" t="n">
        <f aca="false">(('Business Case'!G11*$C510*'Business Case'!G12*$B510)-'Business Case'!G11*$C510*'Business Case'!G13*$D510-'Business Case'!G14*$E510)-MAX(0,(('Business Case'!G11*$C510*'Business Case'!G12*$B510)-'Business Case'!G11*$C510*'Business Case'!G13*$D510-'Business Case'!G14*$E510))*'Business Case'!$B$7-'Business Case'!$B$8*(('Business Case'!G11*$C510*'Business Case'!G12*$B510)-('Business Case'!F11*$C510*'Business Case'!F12*$B510))-'Business Case'!G15*$F510+'Business Case'!$B$8*('Business Case'!G11*$C510*'Business Case'!G12*$B510)</f>
        <v>636000573.402825</v>
      </c>
      <c r="N510" s="39" t="n">
        <f aca="false">IF(COUNT('Business Case'!B11:G11)=0,"",H510+NPV(G510,I510:M510))</f>
        <v>-1004427976.33281</v>
      </c>
      <c r="P510" s="40" t="n">
        <f aca="true">RAND()</f>
        <v>0.240277538542319</v>
      </c>
      <c r="Q510" s="40" t="n">
        <f aca="true">RAND()</f>
        <v>0.011500633782242</v>
      </c>
      <c r="R510" s="40" t="n">
        <f aca="true">RAND()</f>
        <v>0.950806379371601</v>
      </c>
      <c r="S510" s="40" t="n">
        <f aca="true">RAND()</f>
        <v>0.658706706549421</v>
      </c>
      <c r="T510" s="40" t="n">
        <f aca="true">RAND()</f>
        <v>0.355058843783577</v>
      </c>
      <c r="U510" s="40" t="n">
        <f aca="true">RAND()</f>
        <v>0.493218173515658</v>
      </c>
    </row>
    <row r="511" customFormat="false" ht="15" hidden="false" customHeight="false" outlineLevel="0" collapsed="false">
      <c r="A511" s="36" t="n">
        <v>431</v>
      </c>
      <c r="B511" s="37" t="n">
        <f aca="false">1+IF($G$6=$E$6,$F$6,IF(P511&lt;($F$6-$E$6)/($G$6-$E$6),$E$6+SQRT(P511*($G$6-$E$6)*($F$6-$E$6)),$G$6-SQRT((1-P511)*($G$6-$E$6)*($G$6-$F$6))))</f>
        <v>0.977657398851733</v>
      </c>
      <c r="C511" s="37" t="n">
        <f aca="false">1+IF($G$7=$E$7,$F$7,IF(Q511&lt;($F$7-$E$7)/($G$7-$E$7),$E$7+SQRT(Q511*($G$7-$E$7)*($F$7-$E$7)),$G$7-SQRT((1-Q511)*($G$7-$E$7)*($G$7-$F$7))))</f>
        <v>0.913649930584094</v>
      </c>
      <c r="D511" s="37" t="n">
        <f aca="false">1+IF($G$8=$E$8,$F$8,IF(R511&lt;($F$8-$E$8)/($G$8-$E$8),$E$8+SQRT(R511*($G$8-$E$8)*($F$8-$E$8)),$G$8-SQRT((1-R511)*($G$8-$E$8)*($G$8-$F$8))))</f>
        <v>1.01827382499059</v>
      </c>
      <c r="E511" s="37" t="n">
        <f aca="false">1+IF($G$9=$E$9,$F$9,IF(S511&lt;($F$9-$E$9)/($G$9-$E$9),$E$9+SQRT(S511*($G$9-$E$9)*($F$9-$E$9)),$G$9-SQRT((1-S511)*($G$9-$E$9)*($G$9-$F$9))))</f>
        <v>1.04158056334981</v>
      </c>
      <c r="F511" s="37" t="n">
        <f aca="false">1+IF($G$10=$E$10,$F$10,IF(T511&lt;($F$10-$E$10)/($G$10-$E$10),$E$10+SQRT(T511*($G$10-$E$10)*($F$10-$E$10)),$G$10-SQRT((1-T511)*($G$10-$E$10)*($G$10-$F$10))))</f>
        <v>1.11095873865668</v>
      </c>
      <c r="G511" s="38" t="n">
        <f aca="false">IF($G$11=$E$11,$F$11,IF(U511&lt;($F$11-$E$11)/($G$11-$E$11),$E$11+SQRT(U511*($G$11-$E$11)*($F$11-$E$11)),$G$11-SQRT((1-U511)*($G$11-$E$11)*($G$11-$F$11))))</f>
        <v>0.107164922367256</v>
      </c>
      <c r="H511" s="39" t="n">
        <f aca="false">(('Business Case'!B11*$C511*'Business Case'!B12*$B511)-'Business Case'!B11*$C511*'Business Case'!B13*$D511-'Business Case'!B14*$E511)-MAX(0,(('Business Case'!B11*$C511*'Business Case'!B12*$B511)-'Business Case'!B11*$C511*'Business Case'!B13*$D511-'Business Case'!B14*$E511))*'Business Case'!$B$7-'Business Case'!$B$8*('Business Case'!B11*$C511*'Business Case'!B12*$B511)-'Business Case'!B15*$F511</f>
        <v>-2221917477.31336</v>
      </c>
      <c r="I511" s="39" t="n">
        <f aca="false">(('Business Case'!C11*$C511*'Business Case'!C12*$B511)-'Business Case'!C11*$C511*'Business Case'!C13*$D511-'Business Case'!C14*$E511)-MAX(0,(('Business Case'!C11*$C511*'Business Case'!C12*$B511)-'Business Case'!C11*$C511*'Business Case'!C13*$D511-'Business Case'!C14*$E511))*'Business Case'!$B$7-'Business Case'!$B$8*(('Business Case'!C11*$C511*'Business Case'!C12*$B511)-('Business Case'!B11*$C511*'Business Case'!B12*$B511))-'Business Case'!C15*$F511</f>
        <v>-50151542.492944</v>
      </c>
      <c r="J511" s="39" t="n">
        <f aca="false">(('Business Case'!D11*$C511*'Business Case'!D12*$B511)-'Business Case'!D11*$C511*'Business Case'!D13*$D511-'Business Case'!D14*$E511)-MAX(0,(('Business Case'!D11*$C511*'Business Case'!D12*$B511)-'Business Case'!D11*$C511*'Business Case'!D13*$D511-'Business Case'!D14*$E511))*'Business Case'!$B$7-'Business Case'!$B$8*(('Business Case'!D11*$C511*'Business Case'!D12*$B511)-('Business Case'!C11*$C511*'Business Case'!C12*$B511))-'Business Case'!D15*$F511</f>
        <v>205210931.088775</v>
      </c>
      <c r="K511" s="39" t="n">
        <f aca="false">(('Business Case'!E11*$C511*'Business Case'!E12*$B511)-'Business Case'!E11*$C511*'Business Case'!E13*$D511-'Business Case'!E14*$E511)-MAX(0,(('Business Case'!E11*$C511*'Business Case'!E12*$B511)-'Business Case'!E11*$C511*'Business Case'!E13*$D511-'Business Case'!E14*$E511))*'Business Case'!$B$7-'Business Case'!$B$8*(('Business Case'!E11*$C511*'Business Case'!E12*$B511)-('Business Case'!D11*$C511*'Business Case'!D12*$B511))-'Business Case'!E15*$F511</f>
        <v>516121341.603328</v>
      </c>
      <c r="L511" s="39" t="n">
        <f aca="false">(('Business Case'!F11*$C511*'Business Case'!F12*$B511)-'Business Case'!F11*$C511*'Business Case'!F13*$D511-'Business Case'!F14*$E511)-MAX(0,(('Business Case'!F11*$C511*'Business Case'!F12*$B511)-'Business Case'!F11*$C511*'Business Case'!F13*$D511-'Business Case'!F14*$E511))*'Business Case'!$B$7-'Business Case'!$B$8*(('Business Case'!F11*$C511*'Business Case'!F12*$B511)-('Business Case'!E11*$C511*'Business Case'!E12*$B511))-'Business Case'!F15*$F511</f>
        <v>632112423.531003</v>
      </c>
      <c r="M511" s="39" t="n">
        <f aca="false">(('Business Case'!G11*$C511*'Business Case'!G12*$B511)-'Business Case'!G11*$C511*'Business Case'!G13*$D511-'Business Case'!G14*$E511)-MAX(0,(('Business Case'!G11*$C511*'Business Case'!G12*$B511)-'Business Case'!G11*$C511*'Business Case'!G13*$D511-'Business Case'!G14*$E511))*'Business Case'!$B$7-'Business Case'!$B$8*(('Business Case'!G11*$C511*'Business Case'!G12*$B511)-('Business Case'!F11*$C511*'Business Case'!F12*$B511))-'Business Case'!G15*$F511+'Business Case'!$B$8*('Business Case'!G11*$C511*'Business Case'!G12*$B511)</f>
        <v>801898839.233393</v>
      </c>
      <c r="N511" s="39" t="n">
        <f aca="false">IF(COUNT('Business Case'!B11:G11)=0,"",H511+NPV(G511,I511:M511))</f>
        <v>-816831350.168359</v>
      </c>
      <c r="P511" s="40" t="n">
        <f aca="true">RAND()</f>
        <v>0.346289129411229</v>
      </c>
      <c r="Q511" s="40" t="n">
        <f aca="true">RAND()</f>
        <v>0.184518667453849</v>
      </c>
      <c r="R511" s="40" t="n">
        <f aca="true">RAND()</f>
        <v>0.633642242183425</v>
      </c>
      <c r="S511" s="40" t="n">
        <f aca="true">RAND()</f>
        <v>0.772477961431645</v>
      </c>
      <c r="T511" s="40" t="n">
        <f aca="true">RAND()</f>
        <v>0.841433075567807</v>
      </c>
      <c r="U511" s="40" t="n">
        <f aca="true">RAND()</f>
        <v>0.725434636935711</v>
      </c>
    </row>
    <row r="512" customFormat="false" ht="15" hidden="false" customHeight="false" outlineLevel="0" collapsed="false">
      <c r="A512" s="36" t="n">
        <v>432</v>
      </c>
      <c r="B512" s="37" t="n">
        <f aca="false">1+IF($G$6=$E$6,$F$6,IF(P512&lt;($F$6-$E$6)/($G$6-$E$6),$E$6+SQRT(P512*($G$6-$E$6)*($F$6-$E$6)),$G$6-SQRT((1-P512)*($G$6-$E$6)*($G$6-$F$6))))</f>
        <v>1.00255039793009</v>
      </c>
      <c r="C512" s="37" t="n">
        <f aca="false">1+IF($G$7=$E$7,$F$7,IF(Q512&lt;($F$7-$E$7)/($G$7-$E$7),$E$7+SQRT(Q512*($G$7-$E$7)*($F$7-$E$7)),$G$7-SQRT((1-Q512)*($G$7-$E$7)*($G$7-$F$7))))</f>
        <v>0.900067412830846</v>
      </c>
      <c r="D512" s="37" t="n">
        <f aca="false">1+IF($G$8=$E$8,$F$8,IF(R512&lt;($F$8-$E$8)/($G$8-$E$8),$E$8+SQRT(R512*($G$8-$E$8)*($F$8-$E$8)),$G$8-SQRT((1-R512)*($G$8-$E$8)*($G$8-$F$8))))</f>
        <v>1.04929115358393</v>
      </c>
      <c r="E512" s="37" t="n">
        <f aca="false">1+IF($G$9=$E$9,$F$9,IF(S512&lt;($F$9-$E$9)/($G$9-$E$9),$E$9+SQRT(S512*($G$9-$E$9)*($F$9-$E$9)),$G$9-SQRT((1-S512)*($G$9-$E$9)*($G$9-$F$9))))</f>
        <v>1.07826078204585</v>
      </c>
      <c r="F512" s="37" t="n">
        <f aca="false">1+IF($G$10=$E$10,$F$10,IF(T512&lt;($F$10-$E$10)/($G$10-$E$10),$E$10+SQRT(T512*($G$10-$E$10)*($F$10-$E$10)),$G$10-SQRT((1-T512)*($G$10-$E$10)*($G$10-$F$10))))</f>
        <v>1.07631237396095</v>
      </c>
      <c r="G512" s="38" t="n">
        <f aca="false">IF($G$11=$E$11,$F$11,IF(U512&lt;($F$11-$E$11)/($G$11-$E$11),$E$11+SQRT(U512*($G$11-$E$11)*($F$11-$E$11)),$G$11-SQRT((1-U512)*($G$11-$E$11)*($G$11-$F$11))))</f>
        <v>0.103071039789461</v>
      </c>
      <c r="H512" s="39" t="n">
        <f aca="false">(('Business Case'!B11*$C512*'Business Case'!B12*$B512)-'Business Case'!B11*$C512*'Business Case'!B13*$D512-'Business Case'!B14*$E512)-MAX(0,(('Business Case'!B11*$C512*'Business Case'!B12*$B512)-'Business Case'!B11*$C512*'Business Case'!B13*$D512-'Business Case'!B14*$E512))*'Business Case'!$B$7-'Business Case'!$B$8*('Business Case'!B11*$C512*'Business Case'!B12*$B512)-'Business Case'!B15*$F512</f>
        <v>-2152624747.92189</v>
      </c>
      <c r="I512" s="39" t="n">
        <f aca="false">(('Business Case'!C11*$C512*'Business Case'!C12*$B512)-'Business Case'!C11*$C512*'Business Case'!C13*$D512-'Business Case'!C14*$E512)-MAX(0,(('Business Case'!C11*$C512*'Business Case'!C12*$B512)-'Business Case'!C11*$C512*'Business Case'!C13*$D512-'Business Case'!C14*$E512))*'Business Case'!$B$7-'Business Case'!$B$8*(('Business Case'!C11*$C512*'Business Case'!C12*$B512)-('Business Case'!B11*$C512*'Business Case'!B12*$B512))-'Business Case'!C15*$F512</f>
        <v>-52112220.819234</v>
      </c>
      <c r="J512" s="39" t="n">
        <f aca="false">(('Business Case'!D11*$C512*'Business Case'!D12*$B512)-'Business Case'!D11*$C512*'Business Case'!D13*$D512-'Business Case'!D14*$E512)-MAX(0,(('Business Case'!D11*$C512*'Business Case'!D12*$B512)-'Business Case'!D11*$C512*'Business Case'!D13*$D512-'Business Case'!D14*$E512))*'Business Case'!$B$7-'Business Case'!$B$8*(('Business Case'!D11*$C512*'Business Case'!D12*$B512)-('Business Case'!C11*$C512*'Business Case'!C12*$B512))-'Business Case'!D15*$F512</f>
        <v>203513973.924351</v>
      </c>
      <c r="K512" s="39" t="n">
        <f aca="false">(('Business Case'!E11*$C512*'Business Case'!E12*$B512)-'Business Case'!E11*$C512*'Business Case'!E13*$D512-'Business Case'!E14*$E512)-MAX(0,(('Business Case'!E11*$C512*'Business Case'!E12*$B512)-'Business Case'!E11*$C512*'Business Case'!E13*$D512-'Business Case'!E14*$E512))*'Business Case'!$B$7-'Business Case'!$B$8*(('Business Case'!E11*$C512*'Business Case'!E12*$B512)-('Business Case'!D11*$C512*'Business Case'!D12*$B512))-'Business Case'!E15*$F512</f>
        <v>512955787.365984</v>
      </c>
      <c r="L512" s="39" t="n">
        <f aca="false">(('Business Case'!F11*$C512*'Business Case'!F12*$B512)-'Business Case'!F11*$C512*'Business Case'!F13*$D512-'Business Case'!F14*$E512)-MAX(0,(('Business Case'!F11*$C512*'Business Case'!F12*$B512)-'Business Case'!F11*$C512*'Business Case'!F13*$D512-'Business Case'!F14*$E512))*'Business Case'!$B$7-'Business Case'!$B$8*(('Business Case'!F11*$C512*'Business Case'!F12*$B512)-('Business Case'!E11*$C512*'Business Case'!E12*$B512))-'Business Case'!F15*$F512</f>
        <v>629350182.253715</v>
      </c>
      <c r="M512" s="39" t="n">
        <f aca="false">(('Business Case'!G11*$C512*'Business Case'!G12*$B512)-'Business Case'!G11*$C512*'Business Case'!G13*$D512-'Business Case'!G14*$E512)-MAX(0,(('Business Case'!G11*$C512*'Business Case'!G12*$B512)-'Business Case'!G11*$C512*'Business Case'!G13*$D512-'Business Case'!G14*$E512))*'Business Case'!$B$7-'Business Case'!$B$8*(('Business Case'!G11*$C512*'Business Case'!G12*$B512)-('Business Case'!F11*$C512*'Business Case'!F12*$B512))-'Business Case'!G15*$F512+'Business Case'!$B$8*('Business Case'!G11*$C512*'Business Case'!G12*$B512)</f>
        <v>800871330.439666</v>
      </c>
      <c r="N512" s="39" t="n">
        <f aca="false">IF(COUNT('Business Case'!B11:G11)=0,"",H512+NPV(G512,I512:M512))</f>
        <v>-734946305.540993</v>
      </c>
      <c r="P512" s="40" t="n">
        <f aca="true">RAND()</f>
        <v>0.707818188501092</v>
      </c>
      <c r="Q512" s="40" t="n">
        <f aca="true">RAND()</f>
        <v>0.143049815866556</v>
      </c>
      <c r="R512" s="40" t="n">
        <f aca="true">RAND()</f>
        <v>0.909323726134089</v>
      </c>
      <c r="S512" s="40" t="n">
        <f aca="true">RAND()</f>
        <v>0.968493760182791</v>
      </c>
      <c r="T512" s="40" t="n">
        <f aca="true">RAND()</f>
        <v>0.694027423296464</v>
      </c>
      <c r="U512" s="40" t="n">
        <f aca="true">RAND()</f>
        <v>0.522350510316662</v>
      </c>
    </row>
    <row r="513" customFormat="false" ht="15" hidden="false" customHeight="false" outlineLevel="0" collapsed="false">
      <c r="A513" s="36" t="n">
        <v>433</v>
      </c>
      <c r="B513" s="37" t="n">
        <f aca="false">1+IF($G$6=$E$6,$F$6,IF(P513&lt;($F$6-$E$6)/($G$6-$E$6),$E$6+SQRT(P513*($G$6-$E$6)*($F$6-$E$6)),$G$6-SQRT((1-P513)*($G$6-$E$6)*($G$6-$F$6))))</f>
        <v>0.999635370697041</v>
      </c>
      <c r="C513" s="37" t="n">
        <f aca="false">1+IF($G$7=$E$7,$F$7,IF(Q513&lt;($F$7-$E$7)/($G$7-$E$7),$E$7+SQRT(Q513*($G$7-$E$7)*($F$7-$E$7)),$G$7-SQRT((1-Q513)*($G$7-$E$7)*($G$7-$F$7))))</f>
        <v>0.843792459089626</v>
      </c>
      <c r="D513" s="37" t="n">
        <f aca="false">1+IF($G$8=$E$8,$F$8,IF(R513&lt;($F$8-$E$8)/($G$8-$E$8),$E$8+SQRT(R513*($G$8-$E$8)*($F$8-$E$8)),$G$8-SQRT((1-R513)*($G$8-$E$8)*($G$8-$F$8))))</f>
        <v>1.0002395786304</v>
      </c>
      <c r="E513" s="37" t="n">
        <f aca="false">1+IF($G$9=$E$9,$F$9,IF(S513&lt;($F$9-$E$9)/($G$9-$E$9),$E$9+SQRT(S513*($G$9-$E$9)*($F$9-$E$9)),$G$9-SQRT((1-S513)*($G$9-$E$9)*($G$9-$F$9))))</f>
        <v>0.996052288518534</v>
      </c>
      <c r="F513" s="37" t="n">
        <f aca="false">1+IF($G$10=$E$10,$F$10,IF(T513&lt;($F$10-$E$10)/($G$10-$E$10),$E$10+SQRT(T513*($G$10-$E$10)*($F$10-$E$10)),$G$10-SQRT((1-T513)*($G$10-$E$10)*($G$10-$F$10))))</f>
        <v>1.01841349038831</v>
      </c>
      <c r="G513" s="38" t="n">
        <f aca="false">IF($G$11=$E$11,$F$11,IF(U513&lt;($F$11-$E$11)/($G$11-$E$11),$E$11+SQRT(U513*($G$11-$E$11)*($F$11-$E$11)),$G$11-SQRT((1-U513)*($G$11-$E$11)*($G$11-$F$11))))</f>
        <v>0.0941608242291885</v>
      </c>
      <c r="H513" s="39" t="n">
        <f aca="false">(('Business Case'!B11*$C513*'Business Case'!B12*$B513)-'Business Case'!B11*$C513*'Business Case'!B13*$D513-'Business Case'!B14*$E513)-MAX(0,(('Business Case'!B11*$C513*'Business Case'!B12*$B513)-'Business Case'!B11*$C513*'Business Case'!B13*$D513-'Business Case'!B14*$E513))*'Business Case'!$B$7-'Business Case'!$B$8*('Business Case'!B11*$C513*'Business Case'!B12*$B513)-'Business Case'!B15*$F513</f>
        <v>-2036826980.77663</v>
      </c>
      <c r="I513" s="39" t="n">
        <f aca="false">(('Business Case'!C11*$C513*'Business Case'!C12*$B513)-'Business Case'!C11*$C513*'Business Case'!C13*$D513-'Business Case'!C14*$E513)-MAX(0,(('Business Case'!C11*$C513*'Business Case'!C12*$B513)-'Business Case'!C11*$C513*'Business Case'!C13*$D513-'Business Case'!C14*$E513))*'Business Case'!$B$7-'Business Case'!$B$8*(('Business Case'!C11*$C513*'Business Case'!C12*$B513)-('Business Case'!B11*$C513*'Business Case'!B12*$B513))-'Business Case'!C15*$F513</f>
        <v>-28389186.5419326</v>
      </c>
      <c r="J513" s="39" t="n">
        <f aca="false">(('Business Case'!D11*$C513*'Business Case'!D12*$B513)-'Business Case'!D11*$C513*'Business Case'!D13*$D513-'Business Case'!D14*$E513)-MAX(0,(('Business Case'!D11*$C513*'Business Case'!D12*$B513)-'Business Case'!D11*$C513*'Business Case'!D13*$D513-'Business Case'!D14*$E513))*'Business Case'!$B$7-'Business Case'!$B$8*(('Business Case'!D11*$C513*'Business Case'!D12*$B513)-('Business Case'!C11*$C513*'Business Case'!C12*$B513))-'Business Case'!D15*$F513</f>
        <v>230427862.773219</v>
      </c>
      <c r="K513" s="39" t="n">
        <f aca="false">(('Business Case'!E11*$C513*'Business Case'!E12*$B513)-'Business Case'!E11*$C513*'Business Case'!E13*$D513-'Business Case'!E14*$E513)-MAX(0,(('Business Case'!E11*$C513*'Business Case'!E12*$B513)-'Business Case'!E11*$C513*'Business Case'!E13*$D513-'Business Case'!E14*$E513))*'Business Case'!$B$7-'Business Case'!$B$8*(('Business Case'!E11*$C513*'Business Case'!E12*$B513)-('Business Case'!D11*$C513*'Business Case'!D12*$B513))-'Business Case'!E15*$F513</f>
        <v>540165586.607785</v>
      </c>
      <c r="L513" s="39" t="n">
        <f aca="false">(('Business Case'!F11*$C513*'Business Case'!F12*$B513)-'Business Case'!F11*$C513*'Business Case'!F13*$D513-'Business Case'!F14*$E513)-MAX(0,(('Business Case'!F11*$C513*'Business Case'!F12*$B513)-'Business Case'!F11*$C513*'Business Case'!F13*$D513-'Business Case'!F14*$E513))*'Business Case'!$B$7-'Business Case'!$B$8*(('Business Case'!F11*$C513*'Business Case'!F12*$B513)-('Business Case'!E11*$C513*'Business Case'!E12*$B513))-'Business Case'!F15*$F513</f>
        <v>655588770.640114</v>
      </c>
      <c r="M513" s="39" t="n">
        <f aca="false">(('Business Case'!G11*$C513*'Business Case'!G12*$B513)-'Business Case'!G11*$C513*'Business Case'!G13*$D513-'Business Case'!G14*$E513)-MAX(0,(('Business Case'!G11*$C513*'Business Case'!G12*$B513)-'Business Case'!G11*$C513*'Business Case'!G13*$D513-'Business Case'!G14*$E513))*'Business Case'!$B$7-'Business Case'!$B$8*(('Business Case'!G11*$C513*'Business Case'!G12*$B513)-('Business Case'!F11*$C513*'Business Case'!F12*$B513))-'Business Case'!G15*$F513+'Business Case'!$B$8*('Business Case'!G11*$C513*'Business Case'!G12*$B513)</f>
        <v>815918359.073476</v>
      </c>
      <c r="N513" s="39" t="n">
        <f aca="false">IF(COUNT('Business Case'!B11:G11)=0,"",H513+NPV(G513,I513:M513))</f>
        <v>-480236462.574939</v>
      </c>
      <c r="P513" s="40" t="n">
        <f aca="true">RAND()</f>
        <v>0.660603361047408</v>
      </c>
      <c r="Q513" s="40" t="n">
        <f aca="true">RAND()</f>
        <v>0.0273968496159504</v>
      </c>
      <c r="R513" s="40" t="n">
        <f aca="true">RAND()</f>
        <v>0.388295690667626</v>
      </c>
      <c r="S513" s="40" t="n">
        <f aca="true">RAND()</f>
        <v>0.282775103705906</v>
      </c>
      <c r="T513" s="40" t="n">
        <f aca="true">RAND()</f>
        <v>0.340526790540907</v>
      </c>
      <c r="U513" s="40" t="n">
        <f aca="true">RAND()</f>
        <v>0.057708194220674</v>
      </c>
    </row>
    <row r="514" customFormat="false" ht="15" hidden="false" customHeight="false" outlineLevel="0" collapsed="false">
      <c r="A514" s="36" t="n">
        <v>434</v>
      </c>
      <c r="B514" s="37" t="n">
        <f aca="false">1+IF($G$6=$E$6,$F$6,IF(P514&lt;($F$6-$E$6)/($G$6-$E$6),$E$6+SQRT(P514*($G$6-$E$6)*($F$6-$E$6)),$G$6-SQRT((1-P514)*($G$6-$E$6)*($G$6-$F$6))))</f>
        <v>1.01795695101047</v>
      </c>
      <c r="C514" s="37" t="n">
        <f aca="false">1+IF($G$7=$E$7,$F$7,IF(Q514&lt;($F$7-$E$7)/($G$7-$E$7),$E$7+SQRT(Q514*($G$7-$E$7)*($F$7-$E$7)),$G$7-SQRT((1-Q514)*($G$7-$E$7)*($G$7-$F$7))))</f>
        <v>0.905319254323571</v>
      </c>
      <c r="D514" s="37" t="n">
        <f aca="false">1+IF($G$8=$E$8,$F$8,IF(R514&lt;($F$8-$E$8)/($G$8-$E$8),$E$8+SQRT(R514*($G$8-$E$8)*($F$8-$E$8)),$G$8-SQRT((1-R514)*($G$8-$E$8)*($G$8-$F$8))))</f>
        <v>0.977466421168764</v>
      </c>
      <c r="E514" s="37" t="n">
        <f aca="false">1+IF($G$9=$E$9,$F$9,IF(S514&lt;($F$9-$E$9)/($G$9-$E$9),$E$9+SQRT(S514*($G$9-$E$9)*($F$9-$E$9)),$G$9-SQRT((1-S514)*($G$9-$E$9)*($G$9-$F$9))))</f>
        <v>1.0073255517169</v>
      </c>
      <c r="F514" s="37" t="n">
        <f aca="false">1+IF($G$10=$E$10,$F$10,IF(T514&lt;($F$10-$E$10)/($G$10-$E$10),$E$10+SQRT(T514*($G$10-$E$10)*($F$10-$E$10)),$G$10-SQRT((1-T514)*($G$10-$E$10)*($G$10-$F$10))))</f>
        <v>1.0706868061806</v>
      </c>
      <c r="G514" s="38" t="n">
        <f aca="false">IF($G$11=$E$11,$F$11,IF(U514&lt;($F$11-$E$11)/($G$11-$E$11),$E$11+SQRT(U514*($G$11-$E$11)*($F$11-$E$11)),$G$11-SQRT((1-U514)*($G$11-$E$11)*($G$11-$F$11))))</f>
        <v>0.0973272375380225</v>
      </c>
      <c r="H514" s="39" t="n">
        <f aca="false">(('Business Case'!B11*$C514*'Business Case'!B12*$B514)-'Business Case'!B11*$C514*'Business Case'!B13*$D514-'Business Case'!B14*$E514)-MAX(0,(('Business Case'!B11*$C514*'Business Case'!B12*$B514)-'Business Case'!B11*$C514*'Business Case'!B13*$D514-'Business Case'!B14*$E514))*'Business Case'!$B$7-'Business Case'!$B$8*('Business Case'!B11*$C514*'Business Case'!B12*$B514)-'Business Case'!B15*$F514</f>
        <v>-2141373612.36119</v>
      </c>
      <c r="I514" s="39" t="n">
        <f aca="false">(('Business Case'!C11*$C514*'Business Case'!C12*$B514)-'Business Case'!C11*$C514*'Business Case'!C13*$D514-'Business Case'!C14*$E514)-MAX(0,(('Business Case'!C11*$C514*'Business Case'!C12*$B514)-'Business Case'!C11*$C514*'Business Case'!C13*$D514-'Business Case'!C14*$E514))*'Business Case'!$B$7-'Business Case'!$B$8*(('Business Case'!C11*$C514*'Business Case'!C12*$B514)-('Business Case'!B11*$C514*'Business Case'!B12*$B514))-'Business Case'!C15*$F514</f>
        <v>3744422.61179104</v>
      </c>
      <c r="J514" s="39" t="n">
        <f aca="false">(('Business Case'!D11*$C514*'Business Case'!D12*$B514)-'Business Case'!D11*$C514*'Business Case'!D13*$D514-'Business Case'!D14*$E514)-MAX(0,(('Business Case'!D11*$C514*'Business Case'!D12*$B514)-'Business Case'!D11*$C514*'Business Case'!D13*$D514-'Business Case'!D14*$E514))*'Business Case'!$B$7-'Business Case'!$B$8*(('Business Case'!D11*$C514*'Business Case'!D12*$B514)-('Business Case'!C11*$C514*'Business Case'!C12*$B514))-'Business Case'!D15*$F514</f>
        <v>305573720.578093</v>
      </c>
      <c r="K514" s="39" t="n">
        <f aca="false">(('Business Case'!E11*$C514*'Business Case'!E12*$B514)-'Business Case'!E11*$C514*'Business Case'!E13*$D514-'Business Case'!E14*$E514)-MAX(0,(('Business Case'!E11*$C514*'Business Case'!E12*$B514)-'Business Case'!E11*$C514*'Business Case'!E13*$D514-'Business Case'!E14*$E514))*'Business Case'!$B$7-'Business Case'!$B$8*(('Business Case'!E11*$C514*'Business Case'!E12*$B514)-('Business Case'!D11*$C514*'Business Case'!D12*$B514))-'Business Case'!E15*$F514</f>
        <v>660937358.853426</v>
      </c>
      <c r="L514" s="39" t="n">
        <f aca="false">(('Business Case'!F11*$C514*'Business Case'!F12*$B514)-'Business Case'!F11*$C514*'Business Case'!F13*$D514-'Business Case'!F14*$E514)-MAX(0,(('Business Case'!F11*$C514*'Business Case'!F12*$B514)-'Business Case'!F11*$C514*'Business Case'!F13*$D514-'Business Case'!F14*$E514))*'Business Case'!$B$7-'Business Case'!$B$8*(('Business Case'!F11*$C514*'Business Case'!F12*$B514)-('Business Case'!E11*$C514*'Business Case'!E12*$B514))-'Business Case'!F15*$F514</f>
        <v>793396792.363732</v>
      </c>
      <c r="M514" s="39" t="n">
        <f aca="false">(('Business Case'!G11*$C514*'Business Case'!G12*$B514)-'Business Case'!G11*$C514*'Business Case'!G13*$D514-'Business Case'!G14*$E514)-MAX(0,(('Business Case'!G11*$C514*'Business Case'!G12*$B514)-'Business Case'!G11*$C514*'Business Case'!G13*$D514-'Business Case'!G14*$E514))*'Business Case'!$B$7-'Business Case'!$B$8*(('Business Case'!G11*$C514*'Business Case'!G12*$B514)-('Business Case'!F11*$C514*'Business Case'!F12*$B514))-'Business Case'!G15*$F514+'Business Case'!$B$8*('Business Case'!G11*$C514*'Business Case'!G12*$B514)</f>
        <v>968569963.732194</v>
      </c>
      <c r="N514" s="39" t="n">
        <f aca="false">IF(COUNT('Business Case'!B11:G11)=0,"",H514+NPV(G514,I514:M514))</f>
        <v>-228014564.821594</v>
      </c>
      <c r="P514" s="40" t="n">
        <f aca="true">RAND()</f>
        <v>0.898771664842747</v>
      </c>
      <c r="Q514" s="40" t="n">
        <f aca="true">RAND()</f>
        <v>0.158459219018187</v>
      </c>
      <c r="R514" s="40" t="n">
        <f aca="true">RAND()</f>
        <v>0.116062198741524</v>
      </c>
      <c r="S514" s="40" t="n">
        <f aca="true">RAND()</f>
        <v>0.427429775694924</v>
      </c>
      <c r="T514" s="40" t="n">
        <f aca="true">RAND()</f>
        <v>0.665561958084506</v>
      </c>
      <c r="U514" s="40" t="n">
        <f aca="true">RAND()</f>
        <v>0.178961366462018</v>
      </c>
    </row>
    <row r="515" customFormat="false" ht="15" hidden="false" customHeight="false" outlineLevel="0" collapsed="false">
      <c r="A515" s="36" t="n">
        <v>435</v>
      </c>
      <c r="B515" s="37" t="n">
        <f aca="false">1+IF($G$6=$E$6,$F$6,IF(P515&lt;($F$6-$E$6)/($G$6-$E$6),$E$6+SQRT(P515*($G$6-$E$6)*($F$6-$E$6)),$G$6-SQRT((1-P515)*($G$6-$E$6)*($G$6-$F$6))))</f>
        <v>0.98286244953572</v>
      </c>
      <c r="C515" s="37" t="n">
        <f aca="false">1+IF($G$7=$E$7,$F$7,IF(Q515&lt;($F$7-$E$7)/($G$7-$E$7),$E$7+SQRT(Q515*($G$7-$E$7)*($F$7-$E$7)),$G$7-SQRT((1-Q515)*($G$7-$E$7)*($G$7-$F$7))))</f>
        <v>1.0066706844035</v>
      </c>
      <c r="D515" s="37" t="n">
        <f aca="false">1+IF($G$8=$E$8,$F$8,IF(R515&lt;($F$8-$E$8)/($G$8-$E$8),$E$8+SQRT(R515*($G$8-$E$8)*($F$8-$E$8)),$G$8-SQRT((1-R515)*($G$8-$E$8)*($G$8-$F$8))))</f>
        <v>0.972994261036167</v>
      </c>
      <c r="E515" s="37" t="n">
        <f aca="false">1+IF($G$9=$E$9,$F$9,IF(S515&lt;($F$9-$E$9)/($G$9-$E$9),$E$9+SQRT(S515*($G$9-$E$9)*($F$9-$E$9)),$G$9-SQRT((1-S515)*($G$9-$E$9)*($G$9-$F$9))))</f>
        <v>1.07551256164244</v>
      </c>
      <c r="F515" s="37" t="n">
        <f aca="false">1+IF($G$10=$E$10,$F$10,IF(T515&lt;($F$10-$E$10)/($G$10-$E$10),$E$10+SQRT(T515*($G$10-$E$10)*($F$10-$E$10)),$G$10-SQRT((1-T515)*($G$10-$E$10)*($G$10-$F$10))))</f>
        <v>1.15457377218432</v>
      </c>
      <c r="G515" s="38" t="n">
        <f aca="false">IF($G$11=$E$11,$F$11,IF(U515&lt;($F$11-$E$11)/($G$11-$E$11),$E$11+SQRT(U515*($G$11-$E$11)*($F$11-$E$11)),$G$11-SQRT((1-U515)*($G$11-$E$11)*($G$11-$F$11))))</f>
        <v>0.108104189336513</v>
      </c>
      <c r="H515" s="39" t="n">
        <f aca="false">(('Business Case'!B11*$C515*'Business Case'!B12*$B515)-'Business Case'!B11*$C515*'Business Case'!B13*$D515-'Business Case'!B14*$E515)-MAX(0,(('Business Case'!B11*$C515*'Business Case'!B12*$B515)-'Business Case'!B11*$C515*'Business Case'!B13*$D515-'Business Case'!B14*$E515))*'Business Case'!$B$7-'Business Case'!$B$8*('Business Case'!B11*$C515*'Business Case'!B12*$B515)-'Business Case'!B15*$F515</f>
        <v>-2309147544.36864</v>
      </c>
      <c r="I515" s="39" t="n">
        <f aca="false">(('Business Case'!C11*$C515*'Business Case'!C12*$B515)-'Business Case'!C11*$C515*'Business Case'!C13*$D515-'Business Case'!C14*$E515)-MAX(0,(('Business Case'!C11*$C515*'Business Case'!C12*$B515)-'Business Case'!C11*$C515*'Business Case'!C13*$D515-'Business Case'!C14*$E515))*'Business Case'!$B$7-'Business Case'!$B$8*(('Business Case'!C11*$C515*'Business Case'!C12*$B515)-('Business Case'!B11*$C515*'Business Case'!B12*$B515))-'Business Case'!C15*$F515</f>
        <v>-10699345.545989</v>
      </c>
      <c r="J515" s="39" t="n">
        <f aca="false">(('Business Case'!D11*$C515*'Business Case'!D12*$B515)-'Business Case'!D11*$C515*'Business Case'!D13*$D515-'Business Case'!D14*$E515)-MAX(0,(('Business Case'!D11*$C515*'Business Case'!D12*$B515)-'Business Case'!D11*$C515*'Business Case'!D13*$D515-'Business Case'!D14*$E515))*'Business Case'!$B$7-'Business Case'!$B$8*(('Business Case'!D11*$C515*'Business Case'!D12*$B515)-('Business Case'!C11*$C515*'Business Case'!C12*$B515))-'Business Case'!D15*$F515</f>
        <v>298288043.748578</v>
      </c>
      <c r="K515" s="39" t="n">
        <f aca="false">(('Business Case'!E11*$C515*'Business Case'!E12*$B515)-'Business Case'!E11*$C515*'Business Case'!E13*$D515-'Business Case'!E14*$E515)-MAX(0,(('Business Case'!E11*$C515*'Business Case'!E12*$B515)-'Business Case'!E11*$C515*'Business Case'!E13*$D515-'Business Case'!E14*$E515))*'Business Case'!$B$7-'Business Case'!$B$8*(('Business Case'!E11*$C515*'Business Case'!E12*$B515)-('Business Case'!D11*$C515*'Business Case'!D12*$B515))-'Business Case'!E15*$F515</f>
        <v>665004121.65236</v>
      </c>
      <c r="L515" s="39" t="n">
        <f aca="false">(('Business Case'!F11*$C515*'Business Case'!F12*$B515)-'Business Case'!F11*$C515*'Business Case'!F13*$D515-'Business Case'!F14*$E515)-MAX(0,(('Business Case'!F11*$C515*'Business Case'!F12*$B515)-'Business Case'!F11*$C515*'Business Case'!F13*$D515-'Business Case'!F14*$E515))*'Business Case'!$B$7-'Business Case'!$B$8*(('Business Case'!F11*$C515*'Business Case'!F12*$B515)-('Business Case'!E11*$C515*'Business Case'!E12*$B515))-'Business Case'!F15*$F515</f>
        <v>802194232.321595</v>
      </c>
      <c r="M515" s="39" t="n">
        <f aca="false">(('Business Case'!G11*$C515*'Business Case'!G12*$B515)-'Business Case'!G11*$C515*'Business Case'!G13*$D515-'Business Case'!G14*$E515)-MAX(0,(('Business Case'!G11*$C515*'Business Case'!G12*$B515)-'Business Case'!G11*$C515*'Business Case'!G13*$D515-'Business Case'!G14*$E515))*'Business Case'!$B$7-'Business Case'!$B$8*(('Business Case'!G11*$C515*'Business Case'!G12*$B515)-('Business Case'!F11*$C515*'Business Case'!F12*$B515))-'Business Case'!G15*$F515+'Business Case'!$B$8*('Business Case'!G11*$C515*'Business Case'!G12*$B515)</f>
        <v>990262960.629014</v>
      </c>
      <c r="N515" s="39" t="n">
        <f aca="false">IF(COUNT('Business Case'!B11:G11)=0,"",H515+NPV(G515,I515:M515))</f>
        <v>-462358486.143863</v>
      </c>
      <c r="P515" s="40" t="n">
        <f aca="true">RAND()</f>
        <v>0.411634121003224</v>
      </c>
      <c r="Q515" s="40" t="n">
        <f aca="true">RAND()</f>
        <v>0.608699186488375</v>
      </c>
      <c r="R515" s="40" t="n">
        <f aca="true">RAND()</f>
        <v>0.0813440062460587</v>
      </c>
      <c r="S515" s="40" t="n">
        <f aca="true">RAND()</f>
        <v>0.960024357512307</v>
      </c>
      <c r="T515" s="40" t="n">
        <f aca="true">RAND()</f>
        <v>0.958729156528759</v>
      </c>
      <c r="U515" s="40" t="n">
        <f aca="true">RAND()</f>
        <v>0.76414948109745</v>
      </c>
    </row>
    <row r="516" customFormat="false" ht="15" hidden="false" customHeight="false" outlineLevel="0" collapsed="false">
      <c r="A516" s="36" t="n">
        <v>436</v>
      </c>
      <c r="B516" s="37" t="n">
        <f aca="false">1+IF($G$6=$E$6,$F$6,IF(P516&lt;($F$6-$E$6)/($G$6-$E$6),$E$6+SQRT(P516*($G$6-$E$6)*($F$6-$E$6)),$G$6-SQRT((1-P516)*($G$6-$E$6)*($G$6-$F$6))))</f>
        <v>0.980704948325846</v>
      </c>
      <c r="C516" s="37" t="n">
        <f aca="false">1+IF($G$7=$E$7,$F$7,IF(Q516&lt;($F$7-$E$7)/($G$7-$E$7),$E$7+SQRT(Q516*($G$7-$E$7)*($F$7-$E$7)),$G$7-SQRT((1-Q516)*($G$7-$E$7)*($G$7-$F$7))))</f>
        <v>0.99202309234492</v>
      </c>
      <c r="D516" s="37" t="n">
        <f aca="false">1+IF($G$8=$E$8,$F$8,IF(R516&lt;($F$8-$E$8)/($G$8-$E$8),$E$8+SQRT(R516*($G$8-$E$8)*($F$8-$E$8)),$G$8-SQRT((1-R516)*($G$8-$E$8)*($G$8-$F$8))))</f>
        <v>0.964928218997729</v>
      </c>
      <c r="E516" s="37" t="n">
        <f aca="false">1+IF($G$9=$E$9,$F$9,IF(S516&lt;($F$9-$E$9)/($G$9-$E$9),$E$9+SQRT(S516*($G$9-$E$9)*($F$9-$E$9)),$G$9-SQRT((1-S516)*($G$9-$E$9)*($G$9-$F$9))))</f>
        <v>1.05998768332281</v>
      </c>
      <c r="F516" s="37" t="n">
        <f aca="false">1+IF($G$10=$E$10,$F$10,IF(T516&lt;($F$10-$E$10)/($G$10-$E$10),$E$10+SQRT(T516*($G$10-$E$10)*($F$10-$E$10)),$G$10-SQRT((1-T516)*($G$10-$E$10)*($G$10-$F$10))))</f>
        <v>1.07237617616718</v>
      </c>
      <c r="G516" s="38" t="n">
        <f aca="false">IF($G$11=$E$11,$F$11,IF(U516&lt;($F$11-$E$11)/($G$11-$E$11),$E$11+SQRT(U516*($G$11-$E$11)*($F$11-$E$11)),$G$11-SQRT((1-U516)*($G$11-$E$11)*($G$11-$F$11))))</f>
        <v>0.112388851287746</v>
      </c>
      <c r="H516" s="39" t="n">
        <f aca="false">(('Business Case'!B11*$C516*'Business Case'!B12*$B516)-'Business Case'!B11*$C516*'Business Case'!B13*$D516-'Business Case'!B14*$E516)-MAX(0,(('Business Case'!B11*$C516*'Business Case'!B12*$B516)-'Business Case'!B11*$C516*'Business Case'!B13*$D516-'Business Case'!B14*$E516))*'Business Case'!$B$7-'Business Case'!$B$8*('Business Case'!B11*$C516*'Business Case'!B12*$B516)-'Business Case'!B15*$F516</f>
        <v>-2144752352.33436</v>
      </c>
      <c r="I516" s="39" t="n">
        <f aca="false">(('Business Case'!C11*$C516*'Business Case'!C12*$B516)-'Business Case'!C11*$C516*'Business Case'!C13*$D516-'Business Case'!C14*$E516)-MAX(0,(('Business Case'!C11*$C516*'Business Case'!C12*$B516)-'Business Case'!C11*$C516*'Business Case'!C13*$D516-'Business Case'!C14*$E516))*'Business Case'!$B$7-'Business Case'!$B$8*(('Business Case'!C11*$C516*'Business Case'!C12*$B516)-('Business Case'!B11*$C516*'Business Case'!B12*$B516))-'Business Case'!C15*$F516</f>
        <v>-1567429.96349658</v>
      </c>
      <c r="J516" s="39" t="n">
        <f aca="false">(('Business Case'!D11*$C516*'Business Case'!D12*$B516)-'Business Case'!D11*$C516*'Business Case'!D13*$D516-'Business Case'!D14*$E516)-MAX(0,(('Business Case'!D11*$C516*'Business Case'!D12*$B516)-'Business Case'!D11*$C516*'Business Case'!D13*$D516-'Business Case'!D14*$E516))*'Business Case'!$B$7-'Business Case'!$B$8*(('Business Case'!D11*$C516*'Business Case'!D12*$B516)-('Business Case'!C11*$C516*'Business Case'!C12*$B516))-'Business Case'!D15*$F516</f>
        <v>305267206.832187</v>
      </c>
      <c r="K516" s="39" t="n">
        <f aca="false">(('Business Case'!E11*$C516*'Business Case'!E12*$B516)-'Business Case'!E11*$C516*'Business Case'!E13*$D516-'Business Case'!E14*$E516)-MAX(0,(('Business Case'!E11*$C516*'Business Case'!E12*$B516)-'Business Case'!E11*$C516*'Business Case'!E13*$D516-'Business Case'!E14*$E516))*'Business Case'!$B$7-'Business Case'!$B$8*(('Business Case'!E11*$C516*'Business Case'!E12*$B516)-('Business Case'!D11*$C516*'Business Case'!D12*$B516))-'Business Case'!E15*$F516</f>
        <v>665720652.436228</v>
      </c>
      <c r="L516" s="39" t="n">
        <f aca="false">(('Business Case'!F11*$C516*'Business Case'!F12*$B516)-'Business Case'!F11*$C516*'Business Case'!F13*$D516-'Business Case'!F14*$E516)-MAX(0,(('Business Case'!F11*$C516*'Business Case'!F12*$B516)-'Business Case'!F11*$C516*'Business Case'!F13*$D516-'Business Case'!F14*$E516))*'Business Case'!$B$7-'Business Case'!$B$8*(('Business Case'!F11*$C516*'Business Case'!F12*$B516)-('Business Case'!E11*$C516*'Business Case'!E12*$B516))-'Business Case'!F15*$F516</f>
        <v>801621665.084095</v>
      </c>
      <c r="M516" s="39" t="n">
        <f aca="false">(('Business Case'!G11*$C516*'Business Case'!G12*$B516)-'Business Case'!G11*$C516*'Business Case'!G13*$D516-'Business Case'!G14*$E516)-MAX(0,(('Business Case'!G11*$C516*'Business Case'!G12*$B516)-'Business Case'!G11*$C516*'Business Case'!G13*$D516-'Business Case'!G14*$E516))*'Business Case'!$B$7-'Business Case'!$B$8*(('Business Case'!G11*$C516*'Business Case'!G12*$B516)-('Business Case'!F11*$C516*'Business Case'!F12*$B516))-'Business Case'!G15*$F516+'Business Case'!$B$8*('Business Case'!G11*$C516*'Business Case'!G12*$B516)</f>
        <v>986547067.188608</v>
      </c>
      <c r="N516" s="39" t="n">
        <f aca="false">IF(COUNT('Business Case'!B11:G11)=0,"",H516+NPV(G516,I516:M516))</f>
        <v>-313082967.471797</v>
      </c>
      <c r="P516" s="40" t="n">
        <f aca="true">RAND()</f>
        <v>0.383863619921209</v>
      </c>
      <c r="Q516" s="40" t="n">
        <f aca="true">RAND()</f>
        <v>0.526755257052937</v>
      </c>
      <c r="R516" s="40" t="n">
        <f aca="true">RAND()</f>
        <v>0.034284880376025</v>
      </c>
      <c r="S516" s="40" t="n">
        <f aca="true">RAND()</f>
        <v>0.893267634274946</v>
      </c>
      <c r="T516" s="40" t="n">
        <f aca="true">RAND()</f>
        <v>0.674243191805784</v>
      </c>
      <c r="U516" s="40" t="n">
        <f aca="true">RAND()</f>
        <v>0.903450692133251</v>
      </c>
    </row>
    <row r="517" customFormat="false" ht="15" hidden="false" customHeight="false" outlineLevel="0" collapsed="false">
      <c r="A517" s="36" t="n">
        <v>437</v>
      </c>
      <c r="B517" s="37" t="n">
        <f aca="false">1+IF($G$6=$E$6,$F$6,IF(P517&lt;($F$6-$E$6)/($G$6-$E$6),$E$6+SQRT(P517*($G$6-$E$6)*($F$6-$E$6)),$G$6-SQRT((1-P517)*($G$6-$E$6)*($G$6-$F$6))))</f>
        <v>1.01959815843204</v>
      </c>
      <c r="C517" s="37" t="n">
        <f aca="false">1+IF($G$7=$E$7,$F$7,IF(Q517&lt;($F$7-$E$7)/($G$7-$E$7),$E$7+SQRT(Q517*($G$7-$E$7)*($F$7-$E$7)),$G$7-SQRT((1-Q517)*($G$7-$E$7)*($G$7-$F$7))))</f>
        <v>0.893792628585817</v>
      </c>
      <c r="D517" s="37" t="n">
        <f aca="false">1+IF($G$8=$E$8,$F$8,IF(R517&lt;($F$8-$E$8)/($G$8-$E$8),$E$8+SQRT(R517*($G$8-$E$8)*($F$8-$E$8)),$G$8-SQRT((1-R517)*($G$8-$E$8)*($G$8-$F$8))))</f>
        <v>0.986037761556937</v>
      </c>
      <c r="E517" s="37" t="n">
        <f aca="false">1+IF($G$9=$E$9,$F$9,IF(S517&lt;($F$9-$E$9)/($G$9-$E$9),$E$9+SQRT(S517*($G$9-$E$9)*($F$9-$E$9)),$G$9-SQRT((1-S517)*($G$9-$E$9)*($G$9-$F$9))))</f>
        <v>1.0237528801905</v>
      </c>
      <c r="F517" s="37" t="n">
        <f aca="false">1+IF($G$10=$E$10,$F$10,IF(T517&lt;($F$10-$E$10)/($G$10-$E$10),$E$10+SQRT(T517*($G$10-$E$10)*($F$10-$E$10)),$G$10-SQRT((1-T517)*($G$10-$E$10)*($G$10-$F$10))))</f>
        <v>1.09419899169541</v>
      </c>
      <c r="G517" s="38" t="n">
        <f aca="false">IF($G$11=$E$11,$F$11,IF(U517&lt;($F$11-$E$11)/($G$11-$E$11),$E$11+SQRT(U517*($G$11-$E$11)*($F$11-$E$11)),$G$11-SQRT((1-U517)*($G$11-$E$11)*($G$11-$F$11))))</f>
        <v>0.11104283889404</v>
      </c>
      <c r="H517" s="39" t="n">
        <f aca="false">(('Business Case'!B11*$C517*'Business Case'!B12*$B517)-'Business Case'!B11*$C517*'Business Case'!B13*$D517-'Business Case'!B14*$E517)-MAX(0,(('Business Case'!B11*$C517*'Business Case'!B12*$B517)-'Business Case'!B11*$C517*'Business Case'!B13*$D517-'Business Case'!B14*$E517))*'Business Case'!$B$7-'Business Case'!$B$8*('Business Case'!B11*$C517*'Business Case'!B12*$B517)-'Business Case'!B15*$F517</f>
        <v>-2188397983.39082</v>
      </c>
      <c r="I517" s="39" t="n">
        <f aca="false">(('Business Case'!C11*$C517*'Business Case'!C12*$B517)-'Business Case'!C11*$C517*'Business Case'!C13*$D517-'Business Case'!C14*$E517)-MAX(0,(('Business Case'!C11*$C517*'Business Case'!C12*$B517)-'Business Case'!C11*$C517*'Business Case'!C13*$D517-'Business Case'!C14*$E517))*'Business Case'!$B$7-'Business Case'!$B$8*(('Business Case'!C11*$C517*'Business Case'!C12*$B517)-('Business Case'!B11*$C517*'Business Case'!B12*$B517))-'Business Case'!C15*$F517</f>
        <v>-6973783.69224709</v>
      </c>
      <c r="J517" s="39" t="n">
        <f aca="false">(('Business Case'!D11*$C517*'Business Case'!D12*$B517)-'Business Case'!D11*$C517*'Business Case'!D13*$D517-'Business Case'!D14*$E517)-MAX(0,(('Business Case'!D11*$C517*'Business Case'!D12*$B517)-'Business Case'!D11*$C517*'Business Case'!D13*$D517-'Business Case'!D14*$E517))*'Business Case'!$B$7-'Business Case'!$B$8*(('Business Case'!D11*$C517*'Business Case'!D12*$B517)-('Business Case'!C11*$C517*'Business Case'!C12*$B517))-'Business Case'!D15*$F517</f>
        <v>288292266.3998</v>
      </c>
      <c r="K517" s="39" t="n">
        <f aca="false">(('Business Case'!E11*$C517*'Business Case'!E12*$B517)-'Business Case'!E11*$C517*'Business Case'!E13*$D517-'Business Case'!E14*$E517)-MAX(0,(('Business Case'!E11*$C517*'Business Case'!E12*$B517)-'Business Case'!E11*$C517*'Business Case'!E13*$D517-'Business Case'!E14*$E517))*'Business Case'!$B$7-'Business Case'!$B$8*(('Business Case'!E11*$C517*'Business Case'!E12*$B517)-('Business Case'!D11*$C517*'Business Case'!D12*$B517))-'Business Case'!E15*$F517</f>
        <v>638268266.076618</v>
      </c>
      <c r="L517" s="39" t="n">
        <f aca="false">(('Business Case'!F11*$C517*'Business Case'!F12*$B517)-'Business Case'!F11*$C517*'Business Case'!F13*$D517-'Business Case'!F14*$E517)-MAX(0,(('Business Case'!F11*$C517*'Business Case'!F12*$B517)-'Business Case'!F11*$C517*'Business Case'!F13*$D517-'Business Case'!F14*$E517))*'Business Case'!$B$7-'Business Case'!$B$8*(('Business Case'!F11*$C517*'Business Case'!F12*$B517)-('Business Case'!E11*$C517*'Business Case'!E12*$B517))-'Business Case'!F15*$F517</f>
        <v>768185132.80841</v>
      </c>
      <c r="M517" s="39" t="n">
        <f aca="false">(('Business Case'!G11*$C517*'Business Case'!G12*$B517)-'Business Case'!G11*$C517*'Business Case'!G13*$D517-'Business Case'!G14*$E517)-MAX(0,(('Business Case'!G11*$C517*'Business Case'!G12*$B517)-'Business Case'!G11*$C517*'Business Case'!G13*$D517-'Business Case'!G14*$E517))*'Business Case'!$B$7-'Business Case'!$B$8*(('Business Case'!G11*$C517*'Business Case'!G12*$B517)-('Business Case'!F11*$C517*'Business Case'!F12*$B517))-'Business Case'!G15*$F517+'Business Case'!$B$8*('Business Case'!G11*$C517*'Business Case'!G12*$B517)</f>
        <v>941406807.997844</v>
      </c>
      <c r="N517" s="39" t="n">
        <f aca="false">IF(COUNT('Business Case'!B11:G11)=0,"",H517+NPV(G517,I517:M517))</f>
        <v>-435553711.409691</v>
      </c>
      <c r="P517" s="40" t="n">
        <f aca="true">RAND()</f>
        <v>0.913284345965835</v>
      </c>
      <c r="Q517" s="40" t="n">
        <f aca="true">RAND()</f>
        <v>0.125672245386243</v>
      </c>
      <c r="R517" s="40" t="n">
        <f aca="true">RAND()</f>
        <v>0.199803116620716</v>
      </c>
      <c r="S517" s="40" t="n">
        <f aca="true">RAND()</f>
        <v>0.612425114717055</v>
      </c>
      <c r="T517" s="40" t="n">
        <f aca="true">RAND()</f>
        <v>0.77612293283464</v>
      </c>
      <c r="U517" s="40" t="n">
        <f aca="true">RAND()</f>
        <v>0.866282108203123</v>
      </c>
    </row>
    <row r="518" customFormat="false" ht="15" hidden="false" customHeight="false" outlineLevel="0" collapsed="false">
      <c r="A518" s="36" t="n">
        <v>438</v>
      </c>
      <c r="B518" s="37" t="n">
        <f aca="false">1+IF($G$6=$E$6,$F$6,IF(P518&lt;($F$6-$E$6)/($G$6-$E$6),$E$6+SQRT(P518*($G$6-$E$6)*($F$6-$E$6)),$G$6-SQRT((1-P518)*($G$6-$E$6)*($G$6-$F$6))))</f>
        <v>0.987415642606257</v>
      </c>
      <c r="C518" s="37" t="n">
        <f aca="false">1+IF($G$7=$E$7,$F$7,IF(Q518&lt;($F$7-$E$7)/($G$7-$E$7),$E$7+SQRT(Q518*($G$7-$E$7)*($F$7-$E$7)),$G$7-SQRT((1-Q518)*($G$7-$E$7)*($G$7-$F$7))))</f>
        <v>0.913970364889382</v>
      </c>
      <c r="D518" s="37" t="n">
        <f aca="false">1+IF($G$8=$E$8,$F$8,IF(R518&lt;($F$8-$E$8)/($G$8-$E$8),$E$8+SQRT(R518*($G$8-$E$8)*($F$8-$E$8)),$G$8-SQRT((1-R518)*($G$8-$E$8)*($G$8-$F$8))))</f>
        <v>0.987318650599326</v>
      </c>
      <c r="E518" s="37" t="n">
        <f aca="false">1+IF($G$9=$E$9,$F$9,IF(S518&lt;($F$9-$E$9)/($G$9-$E$9),$E$9+SQRT(S518*($G$9-$E$9)*($F$9-$E$9)),$G$9-SQRT((1-S518)*($G$9-$E$9)*($G$9-$F$9))))</f>
        <v>1.08805245906604</v>
      </c>
      <c r="F518" s="37" t="n">
        <f aca="false">1+IF($G$10=$E$10,$F$10,IF(T518&lt;($F$10-$E$10)/($G$10-$E$10),$E$10+SQRT(T518*($G$10-$E$10)*($F$10-$E$10)),$G$10-SQRT((1-T518)*($G$10-$E$10)*($G$10-$F$10))))</f>
        <v>1.05830660978897</v>
      </c>
      <c r="G518" s="38" t="n">
        <f aca="false">IF($G$11=$E$11,$F$11,IF(U518&lt;($F$11-$E$11)/($G$11-$E$11),$E$11+SQRT(U518*($G$11-$E$11)*($F$11-$E$11)),$G$11-SQRT((1-U518)*($G$11-$E$11)*($G$11-$F$11))))</f>
        <v>0.0956407587527628</v>
      </c>
      <c r="H518" s="39" t="n">
        <f aca="false">(('Business Case'!B11*$C518*'Business Case'!B12*$B518)-'Business Case'!B11*$C518*'Business Case'!B13*$D518-'Business Case'!B14*$E518)-MAX(0,(('Business Case'!B11*$C518*'Business Case'!B12*$B518)-'Business Case'!B11*$C518*'Business Case'!B13*$D518-'Business Case'!B14*$E518))*'Business Case'!$B$7-'Business Case'!$B$8*('Business Case'!B11*$C518*'Business Case'!B12*$B518)-'Business Case'!B15*$F518</f>
        <v>-2116613219.57795</v>
      </c>
      <c r="I518" s="39" t="n">
        <f aca="false">(('Business Case'!C11*$C518*'Business Case'!C12*$B518)-'Business Case'!C11*$C518*'Business Case'!C13*$D518-'Business Case'!C14*$E518)-MAX(0,(('Business Case'!C11*$C518*'Business Case'!C12*$B518)-'Business Case'!C11*$C518*'Business Case'!C13*$D518-'Business Case'!C14*$E518))*'Business Case'!$B$7-'Business Case'!$B$8*(('Business Case'!C11*$C518*'Business Case'!C12*$B518)-('Business Case'!B11*$C518*'Business Case'!B12*$B518))-'Business Case'!C15*$F518</f>
        <v>-30095267.8834861</v>
      </c>
      <c r="J518" s="39" t="n">
        <f aca="false">(('Business Case'!D11*$C518*'Business Case'!D12*$B518)-'Business Case'!D11*$C518*'Business Case'!D13*$D518-'Business Case'!D14*$E518)-MAX(0,(('Business Case'!D11*$C518*'Business Case'!D12*$B518)-'Business Case'!D11*$C518*'Business Case'!D13*$D518-'Business Case'!D14*$E518))*'Business Case'!$B$7-'Business Case'!$B$8*(('Business Case'!D11*$C518*'Business Case'!D12*$B518)-('Business Case'!C11*$C518*'Business Case'!C12*$B518))-'Business Case'!D15*$F518</f>
        <v>247145158.938346</v>
      </c>
      <c r="K518" s="39" t="n">
        <f aca="false">(('Business Case'!E11*$C518*'Business Case'!E12*$B518)-'Business Case'!E11*$C518*'Business Case'!E13*$D518-'Business Case'!E14*$E518)-MAX(0,(('Business Case'!E11*$C518*'Business Case'!E12*$B518)-'Business Case'!E11*$C518*'Business Case'!E13*$D518-'Business Case'!E14*$E518))*'Business Case'!$B$7-'Business Case'!$B$8*(('Business Case'!E11*$C518*'Business Case'!E12*$B518)-('Business Case'!D11*$C518*'Business Case'!D12*$B518))-'Business Case'!E15*$F518</f>
        <v>577300916.249627</v>
      </c>
      <c r="L518" s="39" t="n">
        <f aca="false">(('Business Case'!F11*$C518*'Business Case'!F12*$B518)-'Business Case'!F11*$C518*'Business Case'!F13*$D518-'Business Case'!F14*$E518)-MAX(0,(('Business Case'!F11*$C518*'Business Case'!F12*$B518)-'Business Case'!F11*$C518*'Business Case'!F13*$D518-'Business Case'!F14*$E518))*'Business Case'!$B$7-'Business Case'!$B$8*(('Business Case'!F11*$C518*'Business Case'!F12*$B518)-('Business Case'!E11*$C518*'Business Case'!E12*$B518))-'Business Case'!F15*$F518</f>
        <v>700903707.888391</v>
      </c>
      <c r="M518" s="39" t="n">
        <f aca="false">(('Business Case'!G11*$C518*'Business Case'!G12*$B518)-'Business Case'!G11*$C518*'Business Case'!G13*$D518-'Business Case'!G14*$E518)-MAX(0,(('Business Case'!G11*$C518*'Business Case'!G12*$B518)-'Business Case'!G11*$C518*'Business Case'!G13*$D518-'Business Case'!G14*$E518))*'Business Case'!$B$7-'Business Case'!$B$8*(('Business Case'!G11*$C518*'Business Case'!G12*$B518)-('Business Case'!F11*$C518*'Business Case'!F12*$B518))-'Business Case'!G15*$F518+'Business Case'!$B$8*('Business Case'!G11*$C518*'Business Case'!G12*$B518)</f>
        <v>872444946.061566</v>
      </c>
      <c r="N518" s="39" t="n">
        <f aca="false">IF(COUNT('Business Case'!B11:G11)=0,"",H518+NPV(G518,I518:M518))</f>
        <v>-460294562.745849</v>
      </c>
      <c r="P518" s="40" t="n">
        <f aca="true">RAND()</f>
        <v>0.473423840418179</v>
      </c>
      <c r="Q518" s="40" t="n">
        <f aca="true">RAND()</f>
        <v>0.185560629614557</v>
      </c>
      <c r="R518" s="40" t="n">
        <f aca="true">RAND()</f>
        <v>0.214258720393012</v>
      </c>
      <c r="S518" s="40" t="n">
        <f aca="true">RAND()</f>
        <v>0.990483751042094</v>
      </c>
      <c r="T518" s="40" t="n">
        <f aca="true">RAND()</f>
        <v>0.598459663410124</v>
      </c>
      <c r="U518" s="40" t="n">
        <f aca="true">RAND()</f>
        <v>0.1060605310229</v>
      </c>
    </row>
    <row r="519" customFormat="false" ht="15" hidden="false" customHeight="false" outlineLevel="0" collapsed="false">
      <c r="A519" s="36" t="n">
        <v>439</v>
      </c>
      <c r="B519" s="37" t="n">
        <f aca="false">1+IF($G$6=$E$6,$F$6,IF(P519&lt;($F$6-$E$6)/($G$6-$E$6),$E$6+SQRT(P519*($G$6-$E$6)*($F$6-$E$6)),$G$6-SQRT((1-P519)*($G$6-$E$6)*($G$6-$F$6))))</f>
        <v>0.981130252104699</v>
      </c>
      <c r="C519" s="37" t="n">
        <f aca="false">1+IF($G$7=$E$7,$F$7,IF(Q519&lt;($F$7-$E$7)/($G$7-$E$7),$E$7+SQRT(Q519*($G$7-$E$7)*($F$7-$E$7)),$G$7-SQRT((1-Q519)*($G$7-$E$7)*($G$7-$F$7))))</f>
        <v>1.00894545414358</v>
      </c>
      <c r="D519" s="37" t="n">
        <f aca="false">1+IF($G$8=$E$8,$F$8,IF(R519&lt;($F$8-$E$8)/($G$8-$E$8),$E$8+SQRT(R519*($G$8-$E$8)*($F$8-$E$8)),$G$8-SQRT((1-R519)*($G$8-$E$8)*($G$8-$F$8))))</f>
        <v>1.01683911101127</v>
      </c>
      <c r="E519" s="37" t="n">
        <f aca="false">1+IF($G$9=$E$9,$F$9,IF(S519&lt;($F$9-$E$9)/($G$9-$E$9),$E$9+SQRT(S519*($G$9-$E$9)*($F$9-$E$9)),$G$9-SQRT((1-S519)*($G$9-$E$9)*($G$9-$F$9))))</f>
        <v>1.0329461306125</v>
      </c>
      <c r="F519" s="37" t="n">
        <f aca="false">1+IF($G$10=$E$10,$F$10,IF(T519&lt;($F$10-$E$10)/($G$10-$E$10),$E$10+SQRT(T519*($G$10-$E$10)*($F$10-$E$10)),$G$10-SQRT((1-T519)*($G$10-$E$10)*($G$10-$F$10))))</f>
        <v>1.14495288004537</v>
      </c>
      <c r="G519" s="38" t="n">
        <f aca="false">IF($G$11=$E$11,$F$11,IF(U519&lt;($F$11-$E$11)/($G$11-$E$11),$E$11+SQRT(U519*($G$11-$E$11)*($F$11-$E$11)),$G$11-SQRT((1-U519)*($G$11-$E$11)*($G$11-$F$11))))</f>
        <v>0.0973906780209138</v>
      </c>
      <c r="H519" s="39" t="n">
        <f aca="false">(('Business Case'!B11*$C519*'Business Case'!B12*$B519)-'Business Case'!B11*$C519*'Business Case'!B13*$D519-'Business Case'!B14*$E519)-MAX(0,(('Business Case'!B11*$C519*'Business Case'!B12*$B519)-'Business Case'!B11*$C519*'Business Case'!B13*$D519-'Business Case'!B14*$E519))*'Business Case'!$B$7-'Business Case'!$B$8*('Business Case'!B11*$C519*'Business Case'!B12*$B519)-'Business Case'!B15*$F519</f>
        <v>-2289905760.09075</v>
      </c>
      <c r="I519" s="39" t="n">
        <f aca="false">(('Business Case'!C11*$C519*'Business Case'!C12*$B519)-'Business Case'!C11*$C519*'Business Case'!C13*$D519-'Business Case'!C14*$E519)-MAX(0,(('Business Case'!C11*$C519*'Business Case'!C12*$B519)-'Business Case'!C11*$C519*'Business Case'!C13*$D519-'Business Case'!C14*$E519))*'Business Case'!$B$7-'Business Case'!$B$8*(('Business Case'!C11*$C519*'Business Case'!C12*$B519)-('Business Case'!B11*$C519*'Business Case'!B12*$B519))-'Business Case'!C15*$F519</f>
        <v>-27088717.9978917</v>
      </c>
      <c r="J519" s="39" t="n">
        <f aca="false">(('Business Case'!D11*$C519*'Business Case'!D12*$B519)-'Business Case'!D11*$C519*'Business Case'!D13*$D519-'Business Case'!D14*$E519)-MAX(0,(('Business Case'!D11*$C519*'Business Case'!D12*$B519)-'Business Case'!D11*$C519*'Business Case'!D13*$D519-'Business Case'!D14*$E519))*'Business Case'!$B$7-'Business Case'!$B$8*(('Business Case'!D11*$C519*'Business Case'!D12*$B519)-('Business Case'!C11*$C519*'Business Case'!C12*$B519))-'Business Case'!D15*$F519</f>
        <v>258519565.881363</v>
      </c>
      <c r="K519" s="39" t="n">
        <f aca="false">(('Business Case'!E11*$C519*'Business Case'!E12*$B519)-'Business Case'!E11*$C519*'Business Case'!E13*$D519-'Business Case'!E14*$E519)-MAX(0,(('Business Case'!E11*$C519*'Business Case'!E12*$B519)-'Business Case'!E11*$C519*'Business Case'!E13*$D519-'Business Case'!E14*$E519))*'Business Case'!$B$7-'Business Case'!$B$8*(('Business Case'!E11*$C519*'Business Case'!E12*$B519)-('Business Case'!D11*$C519*'Business Case'!D12*$B519))-'Business Case'!E15*$F519</f>
        <v>601375493.762886</v>
      </c>
      <c r="L519" s="39" t="n">
        <f aca="false">(('Business Case'!F11*$C519*'Business Case'!F12*$B519)-'Business Case'!F11*$C519*'Business Case'!F13*$D519-'Business Case'!F14*$E519)-MAX(0,(('Business Case'!F11*$C519*'Business Case'!F12*$B519)-'Business Case'!F11*$C519*'Business Case'!F13*$D519-'Business Case'!F14*$E519))*'Business Case'!$B$7-'Business Case'!$B$8*(('Business Case'!F11*$C519*'Business Case'!F12*$B519)-('Business Case'!E11*$C519*'Business Case'!E12*$B519))-'Business Case'!F15*$F519</f>
        <v>730789437.788978</v>
      </c>
      <c r="M519" s="39" t="n">
        <f aca="false">(('Business Case'!G11*$C519*'Business Case'!G12*$B519)-'Business Case'!G11*$C519*'Business Case'!G13*$D519-'Business Case'!G14*$E519)-MAX(0,(('Business Case'!G11*$C519*'Business Case'!G12*$B519)-'Business Case'!G11*$C519*'Business Case'!G13*$D519-'Business Case'!G14*$E519))*'Business Case'!$B$7-'Business Case'!$B$8*(('Business Case'!G11*$C519*'Business Case'!G12*$B519)-('Business Case'!F11*$C519*'Business Case'!F12*$B519))-'Business Case'!G15*$F519+'Business Case'!$B$8*('Business Case'!G11*$C519*'Business Case'!G12*$B519)</f>
        <v>918950942.820518</v>
      </c>
      <c r="N519" s="39" t="n">
        <f aca="false">IF(COUNT('Business Case'!B11:G11)=0,"",H519+NPV(G519,I519:M519))</f>
        <v>-563552170.781195</v>
      </c>
      <c r="P519" s="40" t="n">
        <f aca="true">RAND()</f>
        <v>0.389261221081673</v>
      </c>
      <c r="Q519" s="40" t="n">
        <f aca="true">RAND()</f>
        <v>0.621021239871201</v>
      </c>
      <c r="R519" s="40" t="n">
        <f aca="true">RAND()</f>
        <v>0.616413663668606</v>
      </c>
      <c r="S519" s="40" t="n">
        <f aca="true">RAND()</f>
        <v>0.700251906677632</v>
      </c>
      <c r="T519" s="40" t="n">
        <f aca="true">RAND()</f>
        <v>0.939396291694018</v>
      </c>
      <c r="U519" s="40" t="n">
        <f aca="true">RAND()</f>
        <v>0.182073738696061</v>
      </c>
    </row>
    <row r="520" customFormat="false" ht="15" hidden="false" customHeight="false" outlineLevel="0" collapsed="false">
      <c r="A520" s="36" t="n">
        <v>440</v>
      </c>
      <c r="B520" s="37" t="n">
        <f aca="false">1+IF($G$6=$E$6,$F$6,IF(P520&lt;($F$6-$E$6)/($G$6-$E$6),$E$6+SQRT(P520*($G$6-$E$6)*($F$6-$E$6)),$G$6-SQRT((1-P520)*($G$6-$E$6)*($G$6-$F$6))))</f>
        <v>0.970246076952005</v>
      </c>
      <c r="C520" s="37" t="n">
        <f aca="false">1+IF($G$7=$E$7,$F$7,IF(Q520&lt;($F$7-$E$7)/($G$7-$E$7),$E$7+SQRT(Q520*($G$7-$E$7)*($F$7-$E$7)),$G$7-SQRT((1-Q520)*($G$7-$E$7)*($G$7-$F$7))))</f>
        <v>0.967168330484535</v>
      </c>
      <c r="D520" s="37" t="n">
        <f aca="false">1+IF($G$8=$E$8,$F$8,IF(R520&lt;($F$8-$E$8)/($G$8-$E$8),$E$8+SQRT(R520*($G$8-$E$8)*($F$8-$E$8)),$G$8-SQRT((1-R520)*($G$8-$E$8)*($G$8-$F$8))))</f>
        <v>1.00798784066569</v>
      </c>
      <c r="E520" s="37" t="n">
        <f aca="false">1+IF($G$9=$E$9,$F$9,IF(S520&lt;($F$9-$E$9)/($G$9-$E$9),$E$9+SQRT(S520*($G$9-$E$9)*($F$9-$E$9)),$G$9-SQRT((1-S520)*($G$9-$E$9)*($G$9-$F$9))))</f>
        <v>1.03389687550221</v>
      </c>
      <c r="F520" s="37" t="n">
        <f aca="false">1+IF($G$10=$E$10,$F$10,IF(T520&lt;($F$10-$E$10)/($G$10-$E$10),$E$10+SQRT(T520*($G$10-$E$10)*($F$10-$E$10)),$G$10-SQRT((1-T520)*($G$10-$E$10)*($G$10-$F$10))))</f>
        <v>1.0844997547275</v>
      </c>
      <c r="G520" s="38" t="n">
        <f aca="false">IF($G$11=$E$11,$F$11,IF(U520&lt;($F$11-$E$11)/($G$11-$E$11),$E$11+SQRT(U520*($G$11-$E$11)*($F$11-$E$11)),$G$11-SQRT((1-U520)*($G$11-$E$11)*($G$11-$F$11))))</f>
        <v>0.100985647430267</v>
      </c>
      <c r="H520" s="39" t="n">
        <f aca="false">(('Business Case'!B11*$C520*'Business Case'!B12*$B520)-'Business Case'!B11*$C520*'Business Case'!B13*$D520-'Business Case'!B14*$E520)-MAX(0,(('Business Case'!B11*$C520*'Business Case'!B12*$B520)-'Business Case'!B11*$C520*'Business Case'!B13*$D520-'Business Case'!B14*$E520))*'Business Case'!$B$7-'Business Case'!$B$8*('Business Case'!B11*$C520*'Business Case'!B12*$B520)-'Business Case'!B15*$F520</f>
        <v>-2168999509.455</v>
      </c>
      <c r="I520" s="39" t="n">
        <f aca="false">(('Business Case'!C11*$C520*'Business Case'!C12*$B520)-'Business Case'!C11*$C520*'Business Case'!C13*$D520-'Business Case'!C14*$E520)-MAX(0,(('Business Case'!C11*$C520*'Business Case'!C12*$B520)-'Business Case'!C11*$C520*'Business Case'!C13*$D520-'Business Case'!C14*$E520))*'Business Case'!$B$7-'Business Case'!$B$8*(('Business Case'!C11*$C520*'Business Case'!C12*$B520)-('Business Case'!B11*$C520*'Business Case'!B12*$B520))-'Business Case'!C15*$F520</f>
        <v>-34573987.8494379</v>
      </c>
      <c r="J520" s="39" t="n">
        <f aca="false">(('Business Case'!D11*$C520*'Business Case'!D12*$B520)-'Business Case'!D11*$C520*'Business Case'!D13*$D520-'Business Case'!D14*$E520)-MAX(0,(('Business Case'!D11*$C520*'Business Case'!D12*$B520)-'Business Case'!D11*$C520*'Business Case'!D13*$D520-'Business Case'!D14*$E520))*'Business Case'!$B$7-'Business Case'!$B$8*(('Business Case'!D11*$C520*'Business Case'!D12*$B520)-('Business Case'!C11*$C520*'Business Case'!C12*$B520))-'Business Case'!D15*$F520</f>
        <v>234968339.342796</v>
      </c>
      <c r="K520" s="39" t="n">
        <f aca="false">(('Business Case'!E11*$C520*'Business Case'!E12*$B520)-'Business Case'!E11*$C520*'Business Case'!E13*$D520-'Business Case'!E14*$E520)-MAX(0,(('Business Case'!E11*$C520*'Business Case'!E12*$B520)-'Business Case'!E11*$C520*'Business Case'!E13*$D520-'Business Case'!E14*$E520))*'Business Case'!$B$7-'Business Case'!$B$8*(('Business Case'!E11*$C520*'Business Case'!E12*$B520)-('Business Case'!D11*$C520*'Business Case'!D12*$B520))-'Business Case'!E15*$F520</f>
        <v>558735654.271405</v>
      </c>
      <c r="L520" s="39" t="n">
        <f aca="false">(('Business Case'!F11*$C520*'Business Case'!F12*$B520)-'Business Case'!F11*$C520*'Business Case'!F13*$D520-'Business Case'!F14*$E520)-MAX(0,(('Business Case'!F11*$C520*'Business Case'!F12*$B520)-'Business Case'!F11*$C520*'Business Case'!F13*$D520-'Business Case'!F14*$E520))*'Business Case'!$B$7-'Business Case'!$B$8*(('Business Case'!F11*$C520*'Business Case'!F12*$B520)-('Business Case'!E11*$C520*'Business Case'!E12*$B520))-'Business Case'!F15*$F520</f>
        <v>681013899.250488</v>
      </c>
      <c r="M520" s="39" t="n">
        <f aca="false">(('Business Case'!G11*$C520*'Business Case'!G12*$B520)-'Business Case'!G11*$C520*'Business Case'!G13*$D520-'Business Case'!G14*$E520)-MAX(0,(('Business Case'!G11*$C520*'Business Case'!G12*$B520)-'Business Case'!G11*$C520*'Business Case'!G13*$D520-'Business Case'!G14*$E520))*'Business Case'!$B$7-'Business Case'!$B$8*(('Business Case'!G11*$C520*'Business Case'!G12*$B520)-('Business Case'!F11*$C520*'Business Case'!F12*$B520))-'Business Case'!G15*$F520+'Business Case'!$B$8*('Business Case'!G11*$C520*'Business Case'!G12*$B520)</f>
        <v>859383313.44968</v>
      </c>
      <c r="N520" s="39" t="n">
        <f aca="false">IF(COUNT('Business Case'!B11:G11)=0,"",H520+NPV(G520,I520:M520))</f>
        <v>-593197760.505703</v>
      </c>
      <c r="P520" s="40" t="n">
        <f aca="true">RAND()</f>
        <v>0.26298627594446</v>
      </c>
      <c r="Q520" s="40" t="n">
        <f aca="true">RAND()</f>
        <v>0.399217867385524</v>
      </c>
      <c r="R520" s="40" t="n">
        <f aca="true">RAND()</f>
        <v>0.501370087308597</v>
      </c>
      <c r="S520" s="40" t="n">
        <f aca="true">RAND()</f>
        <v>0.708691795442022</v>
      </c>
      <c r="T520" s="40" t="n">
        <f aca="true">RAND()</f>
        <v>0.733193866839849</v>
      </c>
      <c r="U520" s="40" t="n">
        <f aca="true">RAND()</f>
        <v>0.397423993923117</v>
      </c>
    </row>
    <row r="521" customFormat="false" ht="15" hidden="false" customHeight="false" outlineLevel="0" collapsed="false">
      <c r="A521" s="36" t="n">
        <v>441</v>
      </c>
      <c r="B521" s="37" t="n">
        <f aca="false">1+IF($G$6=$E$6,$F$6,IF(P521&lt;($F$6-$E$6)/($G$6-$E$6),$E$6+SQRT(P521*($G$6-$E$6)*($F$6-$E$6)),$G$6-SQRT((1-P521)*($G$6-$E$6)*($G$6-$F$6))))</f>
        <v>1.02060696829472</v>
      </c>
      <c r="C521" s="37" t="n">
        <f aca="false">1+IF($G$7=$E$7,$F$7,IF(Q521&lt;($F$7-$E$7)/($G$7-$E$7),$E$7+SQRT(Q521*($G$7-$E$7)*($F$7-$E$7)),$G$7-SQRT((1-Q521)*($G$7-$E$7)*($G$7-$F$7))))</f>
        <v>1.03613558133863</v>
      </c>
      <c r="D521" s="37" t="n">
        <f aca="false">1+IF($G$8=$E$8,$F$8,IF(R521&lt;($F$8-$E$8)/($G$8-$E$8),$E$8+SQRT(R521*($G$8-$E$8)*($F$8-$E$8)),$G$8-SQRT((1-R521)*($G$8-$E$8)*($G$8-$F$8))))</f>
        <v>0.998736480047493</v>
      </c>
      <c r="E521" s="37" t="n">
        <f aca="false">1+IF($G$9=$E$9,$F$9,IF(S521&lt;($F$9-$E$9)/($G$9-$E$9),$E$9+SQRT(S521*($G$9-$E$9)*($F$9-$E$9)),$G$9-SQRT((1-S521)*($G$9-$E$9)*($G$9-$F$9))))</f>
        <v>0.990009298486733</v>
      </c>
      <c r="F521" s="37" t="n">
        <f aca="false">1+IF($G$10=$E$10,$F$10,IF(T521&lt;($F$10-$E$10)/($G$10-$E$10),$E$10+SQRT(T521*($G$10-$E$10)*($F$10-$E$10)),$G$10-SQRT((1-T521)*($G$10-$E$10)*($G$10-$F$10))))</f>
        <v>1.17144002166216</v>
      </c>
      <c r="G521" s="38" t="n">
        <f aca="false">IF($G$11=$E$11,$F$11,IF(U521&lt;($F$11-$E$11)/($G$11-$E$11),$E$11+SQRT(U521*($G$11-$E$11)*($F$11-$E$11)),$G$11-SQRT((1-U521)*($G$11-$E$11)*($G$11-$F$11))))</f>
        <v>0.097501234519735</v>
      </c>
      <c r="H521" s="39" t="n">
        <f aca="false">(('Business Case'!B11*$C521*'Business Case'!B12*$B521)-'Business Case'!B11*$C521*'Business Case'!B13*$D521-'Business Case'!B14*$E521)-MAX(0,(('Business Case'!B11*$C521*'Business Case'!B12*$B521)-'Business Case'!B11*$C521*'Business Case'!B13*$D521-'Business Case'!B14*$E521))*'Business Case'!$B$7-'Business Case'!$B$8*('Business Case'!B11*$C521*'Business Case'!B12*$B521)-'Business Case'!B15*$F521</f>
        <v>-2342880043.32432</v>
      </c>
      <c r="I521" s="39" t="n">
        <f aca="false">(('Business Case'!C11*$C521*'Business Case'!C12*$B521)-'Business Case'!C11*$C521*'Business Case'!C13*$D521-'Business Case'!C14*$E521)-MAX(0,(('Business Case'!C11*$C521*'Business Case'!C12*$B521)-'Business Case'!C11*$C521*'Business Case'!C13*$D521-'Business Case'!C14*$E521))*'Business Case'!$B$7-'Business Case'!$B$8*(('Business Case'!C11*$C521*'Business Case'!C12*$B521)-('Business Case'!B11*$C521*'Business Case'!B12*$B521))-'Business Case'!C15*$F521</f>
        <v>23666358.3252315</v>
      </c>
      <c r="J521" s="39" t="n">
        <f aca="false">(('Business Case'!D11*$C521*'Business Case'!D12*$B521)-'Business Case'!D11*$C521*'Business Case'!D13*$D521-'Business Case'!D14*$E521)-MAX(0,(('Business Case'!D11*$C521*'Business Case'!D12*$B521)-'Business Case'!D11*$C521*'Business Case'!D13*$D521-'Business Case'!D14*$E521))*'Business Case'!$B$7-'Business Case'!$B$8*(('Business Case'!D11*$C521*'Business Case'!D12*$B521)-('Business Case'!C11*$C521*'Business Case'!C12*$B521))-'Business Case'!D15*$F521</f>
        <v>360076177.219827</v>
      </c>
      <c r="K521" s="39" t="n">
        <f aca="false">(('Business Case'!E11*$C521*'Business Case'!E12*$B521)-'Business Case'!E11*$C521*'Business Case'!E13*$D521-'Business Case'!E14*$E521)-MAX(0,(('Business Case'!E11*$C521*'Business Case'!E12*$B521)-'Business Case'!E11*$C521*'Business Case'!E13*$D521-'Business Case'!E14*$E521))*'Business Case'!$B$7-'Business Case'!$B$8*(('Business Case'!E11*$C521*'Business Case'!E12*$B521)-('Business Case'!D11*$C521*'Business Case'!D12*$B521))-'Business Case'!E15*$F521</f>
        <v>755057997.19753</v>
      </c>
      <c r="L521" s="39" t="n">
        <f aca="false">(('Business Case'!F11*$C521*'Business Case'!F12*$B521)-'Business Case'!F11*$C521*'Business Case'!F13*$D521-'Business Case'!F14*$E521)-MAX(0,(('Business Case'!F11*$C521*'Business Case'!F12*$B521)-'Business Case'!F11*$C521*'Business Case'!F13*$D521-'Business Case'!F14*$E521))*'Business Case'!$B$7-'Business Case'!$B$8*(('Business Case'!F11*$C521*'Business Case'!F12*$B521)-('Business Case'!E11*$C521*'Business Case'!E12*$B521))-'Business Case'!F15*$F521</f>
        <v>903741360.934618</v>
      </c>
      <c r="M521" s="39" t="n">
        <f aca="false">(('Business Case'!G11*$C521*'Business Case'!G12*$B521)-'Business Case'!G11*$C521*'Business Case'!G13*$D521-'Business Case'!G14*$E521)-MAX(0,(('Business Case'!G11*$C521*'Business Case'!G12*$B521)-'Business Case'!G11*$C521*'Business Case'!G13*$D521-'Business Case'!G14*$E521))*'Business Case'!$B$7-'Business Case'!$B$8*(('Business Case'!G11*$C521*'Business Case'!G12*$B521)-('Business Case'!F11*$C521*'Business Case'!F12*$B521))-'Business Case'!G15*$F521+'Business Case'!$B$8*('Business Case'!G11*$C521*'Business Case'!G12*$B521)</f>
        <v>1104748526.84851</v>
      </c>
      <c r="N521" s="39" t="n">
        <f aca="false">IF(COUNT('Business Case'!B11:G11)=0,"",H521+NPV(G521,I521:M521))</f>
        <v>-134491407.678622</v>
      </c>
      <c r="P521" s="40" t="n">
        <f aca="true">RAND()</f>
        <v>0.921647983599574</v>
      </c>
      <c r="Q521" s="40" t="n">
        <f aca="true">RAND()</f>
        <v>0.753045603103036</v>
      </c>
      <c r="R521" s="40" t="n">
        <f aca="true">RAND()</f>
        <v>0.365422228833802</v>
      </c>
      <c r="S521" s="40" t="n">
        <f aca="true">RAND()</f>
        <v>0.213432528720069</v>
      </c>
      <c r="T521" s="40" t="n">
        <f aca="true">RAND()</f>
        <v>0.983686552746844</v>
      </c>
      <c r="U521" s="40" t="n">
        <f aca="true">RAND()</f>
        <v>0.18756173106688</v>
      </c>
    </row>
    <row r="522" customFormat="false" ht="15" hidden="false" customHeight="false" outlineLevel="0" collapsed="false">
      <c r="A522" s="36" t="n">
        <v>442</v>
      </c>
      <c r="B522" s="37" t="n">
        <f aca="false">1+IF($G$6=$E$6,$F$6,IF(P522&lt;($F$6-$E$6)/($G$6-$E$6),$E$6+SQRT(P522*($G$6-$E$6)*($F$6-$E$6)),$G$6-SQRT((1-P522)*($G$6-$E$6)*($G$6-$F$6))))</f>
        <v>0.992181068916818</v>
      </c>
      <c r="C522" s="37" t="n">
        <f aca="false">1+IF($G$7=$E$7,$F$7,IF(Q522&lt;($F$7-$E$7)/($G$7-$E$7),$E$7+SQRT(Q522*($G$7-$E$7)*($F$7-$E$7)),$G$7-SQRT((1-Q522)*($G$7-$E$7)*($G$7-$F$7))))</f>
        <v>1.05733331147096</v>
      </c>
      <c r="D522" s="37" t="n">
        <f aca="false">1+IF($G$8=$E$8,$F$8,IF(R522&lt;($F$8-$E$8)/($G$8-$E$8),$E$8+SQRT(R522*($G$8-$E$8)*($F$8-$E$8)),$G$8-SQRT((1-R522)*($G$8-$E$8)*($G$8-$F$8))))</f>
        <v>1.00147434687358</v>
      </c>
      <c r="E522" s="37" t="n">
        <f aca="false">1+IF($G$9=$E$9,$F$9,IF(S522&lt;($F$9-$E$9)/($G$9-$E$9),$E$9+SQRT(S522*($G$9-$E$9)*($F$9-$E$9)),$G$9-SQRT((1-S522)*($G$9-$E$9)*($G$9-$F$9))))</f>
        <v>1.06993728818001</v>
      </c>
      <c r="F522" s="37" t="n">
        <f aca="false">1+IF($G$10=$E$10,$F$10,IF(T522&lt;($F$10-$E$10)/($G$10-$E$10),$E$10+SQRT(T522*($G$10-$E$10)*($F$10-$E$10)),$G$10-SQRT((1-T522)*($G$10-$E$10)*($G$10-$F$10))))</f>
        <v>0.992849090582811</v>
      </c>
      <c r="G522" s="38" t="n">
        <f aca="false">IF($G$11=$E$11,$F$11,IF(U522&lt;($F$11-$E$11)/($G$11-$E$11),$E$11+SQRT(U522*($G$11-$E$11)*($F$11-$E$11)),$G$11-SQRT((1-U522)*($G$11-$E$11)*($G$11-$F$11))))</f>
        <v>0.10675022900024</v>
      </c>
      <c r="H522" s="39" t="n">
        <f aca="false">(('Business Case'!B11*$C522*'Business Case'!B12*$B522)-'Business Case'!B11*$C522*'Business Case'!B13*$D522-'Business Case'!B14*$E522)-MAX(0,(('Business Case'!B11*$C522*'Business Case'!B12*$B522)-'Business Case'!B11*$C522*'Business Case'!B13*$D522-'Business Case'!B14*$E522))*'Business Case'!$B$7-'Business Case'!$B$8*('Business Case'!B11*$C522*'Business Case'!B12*$B522)-'Business Case'!B15*$F522</f>
        <v>-1985698181.16562</v>
      </c>
      <c r="I522" s="39" t="n">
        <f aca="false">(('Business Case'!C11*$C522*'Business Case'!C12*$B522)-'Business Case'!C11*$C522*'Business Case'!C13*$D522-'Business Case'!C14*$E522)-MAX(0,(('Business Case'!C11*$C522*'Business Case'!C12*$B522)-'Business Case'!C11*$C522*'Business Case'!C13*$D522-'Business Case'!C14*$E522))*'Business Case'!$B$7-'Business Case'!$B$8*(('Business Case'!C11*$C522*'Business Case'!C12*$B522)-('Business Case'!B11*$C522*'Business Case'!B12*$B522))-'Business Case'!C15*$F522</f>
        <v>11378998.2551444</v>
      </c>
      <c r="J522" s="39" t="n">
        <f aca="false">(('Business Case'!D11*$C522*'Business Case'!D12*$B522)-'Business Case'!D11*$C522*'Business Case'!D13*$D522-'Business Case'!D14*$E522)-MAX(0,(('Business Case'!D11*$C522*'Business Case'!D12*$B522)-'Business Case'!D11*$C522*'Business Case'!D13*$D522-'Business Case'!D14*$E522))*'Business Case'!$B$7-'Business Case'!$B$8*(('Business Case'!D11*$C522*'Business Case'!D12*$B522)-('Business Case'!C11*$C522*'Business Case'!C12*$B522))-'Business Case'!D15*$F522</f>
        <v>328571574.321723</v>
      </c>
      <c r="K522" s="39" t="n">
        <f aca="false">(('Business Case'!E11*$C522*'Business Case'!E12*$B522)-'Business Case'!E11*$C522*'Business Case'!E13*$D522-'Business Case'!E14*$E522)-MAX(0,(('Business Case'!E11*$C522*'Business Case'!E12*$B522)-'Business Case'!E11*$C522*'Business Case'!E13*$D522-'Business Case'!E14*$E522))*'Business Case'!$B$7-'Business Case'!$B$8*(('Business Case'!E11*$C522*'Business Case'!E12*$B522)-('Business Case'!D11*$C522*'Business Case'!D12*$B522))-'Business Case'!E15*$F522</f>
        <v>695406604.917442</v>
      </c>
      <c r="L522" s="39" t="n">
        <f aca="false">(('Business Case'!F11*$C522*'Business Case'!F12*$B522)-'Business Case'!F11*$C522*'Business Case'!F13*$D522-'Business Case'!F14*$E522)-MAX(0,(('Business Case'!F11*$C522*'Business Case'!F12*$B522)-'Business Case'!F11*$C522*'Business Case'!F13*$D522-'Business Case'!F14*$E522))*'Business Case'!$B$7-'Business Case'!$B$8*(('Business Case'!F11*$C522*'Business Case'!F12*$B522)-('Business Case'!E11*$C522*'Business Case'!E12*$B522))-'Business Case'!F15*$F522</f>
        <v>837393187.855605</v>
      </c>
      <c r="M522" s="39" t="n">
        <f aca="false">(('Business Case'!G11*$C522*'Business Case'!G12*$B522)-'Business Case'!G11*$C522*'Business Case'!G13*$D522-'Business Case'!G14*$E522)-MAX(0,(('Business Case'!G11*$C522*'Business Case'!G12*$B522)-'Business Case'!G11*$C522*'Business Case'!G13*$D522-'Business Case'!G14*$E522))*'Business Case'!$B$7-'Business Case'!$B$8*(('Business Case'!G11*$C522*'Business Case'!G12*$B522)-('Business Case'!F11*$C522*'Business Case'!F12*$B522))-'Business Case'!G15*$F522+'Business Case'!$B$8*('Business Case'!G11*$C522*'Business Case'!G12*$B522)</f>
        <v>1036799671.22678</v>
      </c>
      <c r="N522" s="39" t="n">
        <f aca="false">IF(COUNT('Business Case'!B11:G11)=0,"",H522+NPV(G522,I522:M522))</f>
        <v>-11703561.916918</v>
      </c>
      <c r="P522" s="40" t="n">
        <f aca="true">RAND()</f>
        <v>0.542719448955673</v>
      </c>
      <c r="Q522" s="40" t="n">
        <f aca="true">RAND()</f>
        <v>0.836435901658319</v>
      </c>
      <c r="R522" s="40" t="n">
        <f aca="true">RAND()</f>
        <v>0.407088634718161</v>
      </c>
      <c r="S522" s="40" t="n">
        <f aca="true">RAND()</f>
        <v>0.939748890535213</v>
      </c>
      <c r="T522" s="40" t="n">
        <f aca="true">RAND()</f>
        <v>0.146883565101916</v>
      </c>
      <c r="U522" s="40" t="n">
        <f aca="true">RAND()</f>
        <v>0.707405947423196</v>
      </c>
    </row>
    <row r="523" customFormat="false" ht="15" hidden="false" customHeight="false" outlineLevel="0" collapsed="false">
      <c r="A523" s="36" t="n">
        <v>443</v>
      </c>
      <c r="B523" s="37" t="n">
        <f aca="false">1+IF($G$6=$E$6,$F$6,IF(P523&lt;($F$6-$E$6)/($G$6-$E$6),$E$6+SQRT(P523*($G$6-$E$6)*($F$6-$E$6)),$G$6-SQRT((1-P523)*($G$6-$E$6)*($G$6-$F$6))))</f>
        <v>0.939625016531077</v>
      </c>
      <c r="C523" s="37" t="n">
        <f aca="false">1+IF($G$7=$E$7,$F$7,IF(Q523&lt;($F$7-$E$7)/($G$7-$E$7),$E$7+SQRT(Q523*($G$7-$E$7)*($F$7-$E$7)),$G$7-SQRT((1-Q523)*($G$7-$E$7)*($G$7-$F$7))))</f>
        <v>0.97198167921232</v>
      </c>
      <c r="D523" s="37" t="n">
        <f aca="false">1+IF($G$8=$E$8,$F$8,IF(R523&lt;($F$8-$E$8)/($G$8-$E$8),$E$8+SQRT(R523*($G$8-$E$8)*($F$8-$E$8)),$G$8-SQRT((1-R523)*($G$8-$E$8)*($G$8-$F$8))))</f>
        <v>0.966301901620864</v>
      </c>
      <c r="E523" s="37" t="n">
        <f aca="false">1+IF($G$9=$E$9,$F$9,IF(S523&lt;($F$9-$E$9)/($G$9-$E$9),$E$9+SQRT(S523*($G$9-$E$9)*($F$9-$E$9)),$G$9-SQRT((1-S523)*($G$9-$E$9)*($G$9-$F$9))))</f>
        <v>0.995765526728839</v>
      </c>
      <c r="F523" s="37" t="n">
        <f aca="false">1+IF($G$10=$E$10,$F$10,IF(T523&lt;($F$10-$E$10)/($G$10-$E$10),$E$10+SQRT(T523*($G$10-$E$10)*($F$10-$E$10)),$G$10-SQRT((1-T523)*($G$10-$E$10)*($G$10-$F$10))))</f>
        <v>1.04848527433034</v>
      </c>
      <c r="G523" s="38" t="n">
        <f aca="false">IF($G$11=$E$11,$F$11,IF(U523&lt;($F$11-$E$11)/($G$11-$E$11),$E$11+SQRT(U523*($G$11-$E$11)*($F$11-$E$11)),$G$11-SQRT((1-U523)*($G$11-$E$11)*($G$11-$F$11))))</f>
        <v>0.095951082192927</v>
      </c>
      <c r="H523" s="39" t="n">
        <f aca="false">(('Business Case'!B11*$C523*'Business Case'!B12*$B523)-'Business Case'!B11*$C523*'Business Case'!B13*$D523-'Business Case'!B14*$E523)-MAX(0,(('Business Case'!B11*$C523*'Business Case'!B12*$B523)-'Business Case'!B11*$C523*'Business Case'!B13*$D523-'Business Case'!B14*$E523))*'Business Case'!$B$7-'Business Case'!$B$8*('Business Case'!B11*$C523*'Business Case'!B12*$B523)-'Business Case'!B15*$F523</f>
        <v>-2096970548.66067</v>
      </c>
      <c r="I523" s="39" t="n">
        <f aca="false">(('Business Case'!C11*$C523*'Business Case'!C12*$B523)-'Business Case'!C11*$C523*'Business Case'!C13*$D523-'Business Case'!C14*$E523)-MAX(0,(('Business Case'!C11*$C523*'Business Case'!C12*$B523)-'Business Case'!C11*$C523*'Business Case'!C13*$D523-'Business Case'!C14*$E523))*'Business Case'!$B$7-'Business Case'!$B$8*(('Business Case'!C11*$C523*'Business Case'!C12*$B523)-('Business Case'!B11*$C523*'Business Case'!B12*$B523))-'Business Case'!C15*$F523</f>
        <v>-26544170.1575708</v>
      </c>
      <c r="J523" s="39" t="n">
        <f aca="false">(('Business Case'!D11*$C523*'Business Case'!D12*$B523)-'Business Case'!D11*$C523*'Business Case'!D13*$D523-'Business Case'!D14*$E523)-MAX(0,(('Business Case'!D11*$C523*'Business Case'!D12*$B523)-'Business Case'!D11*$C523*'Business Case'!D13*$D523-'Business Case'!D14*$E523))*'Business Case'!$B$7-'Business Case'!$B$8*(('Business Case'!D11*$C523*'Business Case'!D12*$B523)-('Business Case'!C11*$C523*'Business Case'!C12*$B523))-'Business Case'!D15*$F523</f>
        <v>240703428.963194</v>
      </c>
      <c r="K523" s="39" t="n">
        <f aca="false">(('Business Case'!E11*$C523*'Business Case'!E12*$B523)-'Business Case'!E11*$C523*'Business Case'!E13*$D523-'Business Case'!E14*$E523)-MAX(0,(('Business Case'!E11*$C523*'Business Case'!E12*$B523)-'Business Case'!E11*$C523*'Business Case'!E13*$D523-'Business Case'!E14*$E523))*'Business Case'!$B$7-'Business Case'!$B$8*(('Business Case'!E11*$C523*'Business Case'!E12*$B523)-('Business Case'!D11*$C523*'Business Case'!D12*$B523))-'Business Case'!E15*$F523</f>
        <v>560375291.800476</v>
      </c>
      <c r="L523" s="39" t="n">
        <f aca="false">(('Business Case'!F11*$C523*'Business Case'!F12*$B523)-'Business Case'!F11*$C523*'Business Case'!F13*$D523-'Business Case'!F14*$E523)-MAX(0,(('Business Case'!F11*$C523*'Business Case'!F12*$B523)-'Business Case'!F11*$C523*'Business Case'!F13*$D523-'Business Case'!F14*$E523))*'Business Case'!$B$7-'Business Case'!$B$8*(('Business Case'!F11*$C523*'Business Case'!F12*$B523)-('Business Case'!E11*$C523*'Business Case'!E12*$B523))-'Business Case'!F15*$F523</f>
        <v>681021414.137038</v>
      </c>
      <c r="M523" s="39" t="n">
        <f aca="false">(('Business Case'!G11*$C523*'Business Case'!G12*$B523)-'Business Case'!G11*$C523*'Business Case'!G13*$D523-'Business Case'!G14*$E523)-MAX(0,(('Business Case'!G11*$C523*'Business Case'!G12*$B523)-'Business Case'!G11*$C523*'Business Case'!G13*$D523-'Business Case'!G14*$E523))*'Business Case'!$B$7-'Business Case'!$B$8*(('Business Case'!G11*$C523*'Business Case'!G12*$B523)-('Business Case'!F11*$C523*'Business Case'!F12*$B523))-'Business Case'!G15*$F523+'Business Case'!$B$8*('Business Case'!G11*$C523*'Business Case'!G12*$B523)</f>
        <v>854621155.266728</v>
      </c>
      <c r="N523" s="39" t="n">
        <f aca="false">IF(COUNT('Business Case'!B11:G11)=0,"",H523+NPV(G523,I523:M523))</f>
        <v>-482501671.401596</v>
      </c>
      <c r="P523" s="40" t="n">
        <f aca="true">RAND()</f>
        <v>0.0401188826921926</v>
      </c>
      <c r="Q523" s="40" t="n">
        <f aca="true">RAND()</f>
        <v>0.422538542638418</v>
      </c>
      <c r="R523" s="40" t="n">
        <f aca="true">RAND()</f>
        <v>0.040884922531745</v>
      </c>
      <c r="S523" s="40" t="n">
        <f aca="true">RAND()</f>
        <v>0.279264458235743</v>
      </c>
      <c r="T523" s="40" t="n">
        <f aca="true">RAND()</f>
        <v>0.540865758104927</v>
      </c>
      <c r="U523" s="40" t="n">
        <f aca="true">RAND()</f>
        <v>0.118051264223244</v>
      </c>
    </row>
    <row r="524" customFormat="false" ht="15" hidden="false" customHeight="false" outlineLevel="0" collapsed="false">
      <c r="A524" s="36" t="n">
        <v>444</v>
      </c>
      <c r="B524" s="37" t="n">
        <f aca="false">1+IF($G$6=$E$6,$F$6,IF(P524&lt;($F$6-$E$6)/($G$6-$E$6),$E$6+SQRT(P524*($G$6-$E$6)*($F$6-$E$6)),$G$6-SQRT((1-P524)*($G$6-$E$6)*($G$6-$F$6))))</f>
        <v>0.934034826526294</v>
      </c>
      <c r="C524" s="37" t="n">
        <f aca="false">1+IF($G$7=$E$7,$F$7,IF(Q524&lt;($F$7-$E$7)/($G$7-$E$7),$E$7+SQRT(Q524*($G$7-$E$7)*($F$7-$E$7)),$G$7-SQRT((1-Q524)*($G$7-$E$7)*($G$7-$F$7))))</f>
        <v>0.933746696761599</v>
      </c>
      <c r="D524" s="37" t="n">
        <f aca="false">1+IF($G$8=$E$8,$F$8,IF(R524&lt;($F$8-$E$8)/($G$8-$E$8),$E$8+SQRT(R524*($G$8-$E$8)*($F$8-$E$8)),$G$8-SQRT((1-R524)*($G$8-$E$8)*($G$8-$F$8))))</f>
        <v>1.00519126974073</v>
      </c>
      <c r="E524" s="37" t="n">
        <f aca="false">1+IF($G$9=$E$9,$F$9,IF(S524&lt;($F$9-$E$9)/($G$9-$E$9),$E$9+SQRT(S524*($G$9-$E$9)*($F$9-$E$9)),$G$9-SQRT((1-S524)*($G$9-$E$9)*($G$9-$F$9))))</f>
        <v>0.983630582023026</v>
      </c>
      <c r="F524" s="37" t="n">
        <f aca="false">1+IF($G$10=$E$10,$F$10,IF(T524&lt;($F$10-$E$10)/($G$10-$E$10),$E$10+SQRT(T524*($G$10-$E$10)*($F$10-$E$10)),$G$10-SQRT((1-T524)*($G$10-$E$10)*($G$10-$F$10))))</f>
        <v>1.1060358321442</v>
      </c>
      <c r="G524" s="38" t="n">
        <f aca="false">IF($G$11=$E$11,$F$11,IF(U524&lt;($F$11-$E$11)/($G$11-$E$11),$E$11+SQRT(U524*($G$11-$E$11)*($F$11-$E$11)),$G$11-SQRT((1-U524)*($G$11-$E$11)*($G$11-$F$11))))</f>
        <v>0.100404628418877</v>
      </c>
      <c r="H524" s="39" t="n">
        <f aca="false">(('Business Case'!B11*$C524*'Business Case'!B12*$B524)-'Business Case'!B11*$C524*'Business Case'!B13*$D524-'Business Case'!B14*$E524)-MAX(0,(('Business Case'!B11*$C524*'Business Case'!B12*$B524)-'Business Case'!B11*$C524*'Business Case'!B13*$D524-'Business Case'!B14*$E524))*'Business Case'!$B$7-'Business Case'!$B$8*('Business Case'!B11*$C524*'Business Case'!B12*$B524)-'Business Case'!B15*$F524</f>
        <v>-2212071664.2884</v>
      </c>
      <c r="I524" s="39" t="n">
        <f aca="false">(('Business Case'!C11*$C524*'Business Case'!C12*$B524)-'Business Case'!C11*$C524*'Business Case'!C13*$D524-'Business Case'!C14*$E524)-MAX(0,(('Business Case'!C11*$C524*'Business Case'!C12*$B524)-'Business Case'!C11*$C524*'Business Case'!C13*$D524-'Business Case'!C14*$E524))*'Business Case'!$B$7-'Business Case'!$B$8*(('Business Case'!C11*$C524*'Business Case'!C12*$B524)-('Business Case'!B11*$C524*'Business Case'!B12*$B524))-'Business Case'!C15*$F524</f>
        <v>-61818034.0833025</v>
      </c>
      <c r="J524" s="39" t="n">
        <f aca="false">(('Business Case'!D11*$C524*'Business Case'!D12*$B524)-'Business Case'!D11*$C524*'Business Case'!D13*$D524-'Business Case'!D14*$E524)-MAX(0,(('Business Case'!D11*$C524*'Business Case'!D12*$B524)-'Business Case'!D11*$C524*'Business Case'!D13*$D524-'Business Case'!D14*$E524))*'Business Case'!$B$7-'Business Case'!$B$8*(('Business Case'!D11*$C524*'Business Case'!D12*$B524)-('Business Case'!C11*$C524*'Business Case'!C12*$B524))-'Business Case'!D15*$F524</f>
        <v>172052140.06638</v>
      </c>
      <c r="K524" s="39" t="n">
        <f aca="false">(('Business Case'!E11*$C524*'Business Case'!E12*$B524)-'Business Case'!E11*$C524*'Business Case'!E13*$D524-'Business Case'!E14*$E524)-MAX(0,(('Business Case'!E11*$C524*'Business Case'!E12*$B524)-'Business Case'!E11*$C524*'Business Case'!E13*$D524-'Business Case'!E14*$E524))*'Business Case'!$B$7-'Business Case'!$B$8*(('Business Case'!E11*$C524*'Business Case'!E12*$B524)-('Business Case'!D11*$C524*'Business Case'!D12*$B524))-'Business Case'!E15*$F524</f>
        <v>461224105.823272</v>
      </c>
      <c r="L524" s="39" t="n">
        <f aca="false">(('Business Case'!F11*$C524*'Business Case'!F12*$B524)-'Business Case'!F11*$C524*'Business Case'!F13*$D524-'Business Case'!F14*$E524)-MAX(0,(('Business Case'!F11*$C524*'Business Case'!F12*$B524)-'Business Case'!F11*$C524*'Business Case'!F13*$D524-'Business Case'!F14*$E524))*'Business Case'!$B$7-'Business Case'!$B$8*(('Business Case'!F11*$C524*'Business Case'!F12*$B524)-('Business Case'!E11*$C524*'Business Case'!E12*$B524))-'Business Case'!F15*$F524</f>
        <v>569322401.376427</v>
      </c>
      <c r="M524" s="39" t="n">
        <f aca="false">(('Business Case'!G11*$C524*'Business Case'!G12*$B524)-'Business Case'!G11*$C524*'Business Case'!G13*$D524-'Business Case'!G14*$E524)-MAX(0,(('Business Case'!G11*$C524*'Business Case'!G12*$B524)-'Business Case'!G11*$C524*'Business Case'!G13*$D524-'Business Case'!G14*$E524))*'Business Case'!$B$7-'Business Case'!$B$8*(('Business Case'!G11*$C524*'Business Case'!G12*$B524)-('Business Case'!F11*$C524*'Business Case'!F12*$B524))-'Business Case'!G15*$F524+'Business Case'!$B$8*('Business Case'!G11*$C524*'Business Case'!G12*$B524)</f>
        <v>735101040.977693</v>
      </c>
      <c r="N524" s="39" t="n">
        <f aca="false">IF(COUNT('Business Case'!B11:G11)=0,"",H524+NPV(G524,I524:M524))</f>
        <v>-936134957.14875</v>
      </c>
      <c r="P524" s="40" t="n">
        <f aca="true">RAND()</f>
        <v>0.0205183703774121</v>
      </c>
      <c r="Q524" s="40" t="n">
        <f aca="true">RAND()</f>
        <v>0.255545412780558</v>
      </c>
      <c r="R524" s="40" t="n">
        <f aca="true">RAND()</f>
        <v>0.461889795864984</v>
      </c>
      <c r="S524" s="40" t="n">
        <f aca="true">RAND()</f>
        <v>0.150802139627665</v>
      </c>
      <c r="T524" s="40" t="n">
        <f aca="true">RAND()</f>
        <v>0.823414703183331</v>
      </c>
      <c r="U524" s="40" t="n">
        <f aca="true">RAND()</f>
        <v>0.360035687662885</v>
      </c>
    </row>
    <row r="525" customFormat="false" ht="15" hidden="false" customHeight="false" outlineLevel="0" collapsed="false">
      <c r="A525" s="36" t="n">
        <v>445</v>
      </c>
      <c r="B525" s="37" t="n">
        <f aca="false">1+IF($G$6=$E$6,$F$6,IF(P525&lt;($F$6-$E$6)/($G$6-$E$6),$E$6+SQRT(P525*($G$6-$E$6)*($F$6-$E$6)),$G$6-SQRT((1-P525)*($G$6-$E$6)*($G$6-$F$6))))</f>
        <v>0.980021743448835</v>
      </c>
      <c r="C525" s="37" t="n">
        <f aca="false">1+IF($G$7=$E$7,$F$7,IF(Q525&lt;($F$7-$E$7)/($G$7-$E$7),$E$7+SQRT(Q525*($G$7-$E$7)*($F$7-$E$7)),$G$7-SQRT((1-Q525)*($G$7-$E$7)*($G$7-$F$7))))</f>
        <v>1.03758967890092</v>
      </c>
      <c r="D525" s="37" t="n">
        <f aca="false">1+IF($G$8=$E$8,$F$8,IF(R525&lt;($F$8-$E$8)/($G$8-$E$8),$E$8+SQRT(R525*($G$8-$E$8)*($F$8-$E$8)),$G$8-SQRT((1-R525)*($G$8-$E$8)*($G$8-$F$8))))</f>
        <v>1.00243867274279</v>
      </c>
      <c r="E525" s="37" t="n">
        <f aca="false">1+IF($G$9=$E$9,$F$9,IF(S525&lt;($F$9-$E$9)/($G$9-$E$9),$E$9+SQRT(S525*($G$9-$E$9)*($F$9-$E$9)),$G$9-SQRT((1-S525)*($G$9-$E$9)*($G$9-$F$9))))</f>
        <v>1.03622722054643</v>
      </c>
      <c r="F525" s="37" t="n">
        <f aca="false">1+IF($G$10=$E$10,$F$10,IF(T525&lt;($F$10-$E$10)/($G$10-$E$10),$E$10+SQRT(T525*($G$10-$E$10)*($F$10-$E$10)),$G$10-SQRT((1-T525)*($G$10-$E$10)*($G$10-$F$10))))</f>
        <v>0.989154511901134</v>
      </c>
      <c r="G525" s="38" t="n">
        <f aca="false">IF($G$11=$E$11,$F$11,IF(U525&lt;($F$11-$E$11)/($G$11-$E$11),$E$11+SQRT(U525*($G$11-$E$11)*($F$11-$E$11)),$G$11-SQRT((1-U525)*($G$11-$E$11)*($G$11-$F$11))))</f>
        <v>0.0984495939431767</v>
      </c>
      <c r="H525" s="39" t="n">
        <f aca="false">(('Business Case'!B11*$C525*'Business Case'!B12*$B525)-'Business Case'!B11*$C525*'Business Case'!B13*$D525-'Business Case'!B14*$E525)-MAX(0,(('Business Case'!B11*$C525*'Business Case'!B12*$B525)-'Business Case'!B11*$C525*'Business Case'!B13*$D525-'Business Case'!B14*$E525))*'Business Case'!$B$7-'Business Case'!$B$8*('Business Case'!B11*$C525*'Business Case'!B12*$B525)-'Business Case'!B15*$F525</f>
        <v>-1978309023.80227</v>
      </c>
      <c r="I525" s="39" t="n">
        <f aca="false">(('Business Case'!C11*$C525*'Business Case'!C12*$B525)-'Business Case'!C11*$C525*'Business Case'!C13*$D525-'Business Case'!C14*$E525)-MAX(0,(('Business Case'!C11*$C525*'Business Case'!C12*$B525)-'Business Case'!C11*$C525*'Business Case'!C13*$D525-'Business Case'!C14*$E525))*'Business Case'!$B$7-'Business Case'!$B$8*(('Business Case'!C11*$C525*'Business Case'!C12*$B525)-('Business Case'!B11*$C525*'Business Case'!B12*$B525))-'Business Case'!C15*$F525</f>
        <v>1442670.90143345</v>
      </c>
      <c r="J525" s="39" t="n">
        <f aca="false">(('Business Case'!D11*$C525*'Business Case'!D12*$B525)-'Business Case'!D11*$C525*'Business Case'!D13*$D525-'Business Case'!D14*$E525)-MAX(0,(('Business Case'!D11*$C525*'Business Case'!D12*$B525)-'Business Case'!D11*$C525*'Business Case'!D13*$D525-'Business Case'!D14*$E525))*'Business Case'!$B$7-'Business Case'!$B$8*(('Business Case'!D11*$C525*'Business Case'!D12*$B525)-('Business Case'!C11*$C525*'Business Case'!C12*$B525))-'Business Case'!D15*$F525</f>
        <v>301866349.280558</v>
      </c>
      <c r="K525" s="39" t="n">
        <f aca="false">(('Business Case'!E11*$C525*'Business Case'!E12*$B525)-'Business Case'!E11*$C525*'Business Case'!E13*$D525-'Business Case'!E14*$E525)-MAX(0,(('Business Case'!E11*$C525*'Business Case'!E12*$B525)-'Business Case'!E11*$C525*'Business Case'!E13*$D525-'Business Case'!E14*$E525))*'Business Case'!$B$7-'Business Case'!$B$8*(('Business Case'!E11*$C525*'Business Case'!E12*$B525)-('Business Case'!D11*$C525*'Business Case'!D12*$B525))-'Business Case'!E15*$F525</f>
        <v>651747753.254739</v>
      </c>
      <c r="L525" s="39" t="n">
        <f aca="false">(('Business Case'!F11*$C525*'Business Case'!F12*$B525)-'Business Case'!F11*$C525*'Business Case'!F13*$D525-'Business Case'!F14*$E525)-MAX(0,(('Business Case'!F11*$C525*'Business Case'!F12*$B525)-'Business Case'!F11*$C525*'Business Case'!F13*$D525-'Business Case'!F14*$E525))*'Business Case'!$B$7-'Business Case'!$B$8*(('Business Case'!F11*$C525*'Business Case'!F12*$B525)-('Business Case'!E11*$C525*'Business Case'!E12*$B525))-'Business Case'!F15*$F525</f>
        <v>787031676.398365</v>
      </c>
      <c r="M525" s="39" t="n">
        <f aca="false">(('Business Case'!G11*$C525*'Business Case'!G12*$B525)-'Business Case'!G11*$C525*'Business Case'!G13*$D525-'Business Case'!G14*$E525)-MAX(0,(('Business Case'!G11*$C525*'Business Case'!G12*$B525)-'Business Case'!G11*$C525*'Business Case'!G13*$D525-'Business Case'!G14*$E525))*'Business Case'!$B$7-'Business Case'!$B$8*(('Business Case'!G11*$C525*'Business Case'!G12*$B525)-('Business Case'!F11*$C525*'Business Case'!F12*$B525))-'Business Case'!G15*$F525+'Business Case'!$B$8*('Business Case'!G11*$C525*'Business Case'!G12*$B525)</f>
        <v>980316509.993241</v>
      </c>
      <c r="N525" s="39" t="n">
        <f aca="false">IF(COUNT('Business Case'!B11:G11)=0,"",H525+NPV(G525,I525:M525))</f>
        <v>-81468620.0741663</v>
      </c>
      <c r="P525" s="40" t="n">
        <f aca="true">RAND()</f>
        <v>0.375271842358104</v>
      </c>
      <c r="Q525" s="40" t="n">
        <f aca="true">RAND()</f>
        <v>0.759312756388589</v>
      </c>
      <c r="R525" s="40" t="n">
        <f aca="true">RAND()</f>
        <v>0.4215615878942</v>
      </c>
      <c r="S525" s="40" t="n">
        <f aca="true">RAND()</f>
        <v>0.72886884005107</v>
      </c>
      <c r="T525" s="40" t="n">
        <f aca="true">RAND()</f>
        <v>0.122646064177283</v>
      </c>
      <c r="U525" s="40" t="n">
        <f aca="true">RAND()</f>
        <v>0.237985459348562</v>
      </c>
    </row>
    <row r="526" customFormat="false" ht="15" hidden="false" customHeight="false" outlineLevel="0" collapsed="false">
      <c r="A526" s="36" t="n">
        <v>446</v>
      </c>
      <c r="B526" s="37" t="n">
        <f aca="false">1+IF($G$6=$E$6,$F$6,IF(P526&lt;($F$6-$E$6)/($G$6-$E$6),$E$6+SQRT(P526*($G$6-$E$6)*($F$6-$E$6)),$G$6-SQRT((1-P526)*($G$6-$E$6)*($G$6-$F$6))))</f>
        <v>0.947864435123</v>
      </c>
      <c r="C526" s="37" t="n">
        <f aca="false">1+IF($G$7=$E$7,$F$7,IF(Q526&lt;($F$7-$E$7)/($G$7-$E$7),$E$7+SQRT(Q526*($G$7-$E$7)*($F$7-$E$7)),$G$7-SQRT((1-Q526)*($G$7-$E$7)*($G$7-$F$7))))</f>
        <v>0.86891790873264</v>
      </c>
      <c r="D526" s="37" t="n">
        <f aca="false">1+IF($G$8=$E$8,$F$8,IF(R526&lt;($F$8-$E$8)/($G$8-$E$8),$E$8+SQRT(R526*($G$8-$E$8)*($F$8-$E$8)),$G$8-SQRT((1-R526)*($G$8-$E$8)*($G$8-$F$8))))</f>
        <v>0.970550856276233</v>
      </c>
      <c r="E526" s="37" t="n">
        <f aca="false">1+IF($G$9=$E$9,$F$9,IF(S526&lt;($F$9-$E$9)/($G$9-$E$9),$E$9+SQRT(S526*($G$9-$E$9)*($F$9-$E$9)),$G$9-SQRT((1-S526)*($G$9-$E$9)*($G$9-$F$9))))</f>
        <v>1.06844431861865</v>
      </c>
      <c r="F526" s="37" t="n">
        <f aca="false">1+IF($G$10=$E$10,$F$10,IF(T526&lt;($F$10-$E$10)/($G$10-$E$10),$E$10+SQRT(T526*($G$10-$E$10)*($F$10-$E$10)),$G$10-SQRT((1-T526)*($G$10-$E$10)*($G$10-$F$10))))</f>
        <v>1.05747204065119</v>
      </c>
      <c r="G526" s="38" t="n">
        <f aca="false">IF($G$11=$E$11,$F$11,IF(U526&lt;($F$11-$E$11)/($G$11-$E$11),$E$11+SQRT(U526*($G$11-$E$11)*($F$11-$E$11)),$G$11-SQRT((1-U526)*($G$11-$E$11)*($G$11-$F$11))))</f>
        <v>0.108032989783016</v>
      </c>
      <c r="H526" s="39" t="n">
        <f aca="false">(('Business Case'!B11*$C526*'Business Case'!B12*$B526)-'Business Case'!B11*$C526*'Business Case'!B13*$D526-'Business Case'!B14*$E526)-MAX(0,(('Business Case'!B11*$C526*'Business Case'!B12*$B526)-'Business Case'!B11*$C526*'Business Case'!B13*$D526-'Business Case'!B14*$E526))*'Business Case'!$B$7-'Business Case'!$B$8*('Business Case'!B11*$C526*'Business Case'!B12*$B526)-'Business Case'!B15*$F526</f>
        <v>-2114944081.30237</v>
      </c>
      <c r="I526" s="39" t="n">
        <f aca="false">(('Business Case'!C11*$C526*'Business Case'!C12*$B526)-'Business Case'!C11*$C526*'Business Case'!C13*$D526-'Business Case'!C14*$E526)-MAX(0,(('Business Case'!C11*$C526*'Business Case'!C12*$B526)-'Business Case'!C11*$C526*'Business Case'!C13*$D526-'Business Case'!C14*$E526))*'Business Case'!$B$7-'Business Case'!$B$8*(('Business Case'!C11*$C526*'Business Case'!C12*$B526)-('Business Case'!B11*$C526*'Business Case'!B12*$B526))-'Business Case'!C15*$F526</f>
        <v>-57492133.7183916</v>
      </c>
      <c r="J526" s="39" t="n">
        <f aca="false">(('Business Case'!D11*$C526*'Business Case'!D12*$B526)-'Business Case'!D11*$C526*'Business Case'!D13*$D526-'Business Case'!D14*$E526)-MAX(0,(('Business Case'!D11*$C526*'Business Case'!D12*$B526)-'Business Case'!D11*$C526*'Business Case'!D13*$D526-'Business Case'!D14*$E526))*'Business Case'!$B$7-'Business Case'!$B$8*(('Business Case'!D11*$C526*'Business Case'!D12*$B526)-('Business Case'!C11*$C526*'Business Case'!C12*$B526))-'Business Case'!D15*$F526</f>
        <v>185391992.016585</v>
      </c>
      <c r="K526" s="39" t="n">
        <f aca="false">(('Business Case'!E11*$C526*'Business Case'!E12*$B526)-'Business Case'!E11*$C526*'Business Case'!E13*$D526-'Business Case'!E14*$E526)-MAX(0,(('Business Case'!E11*$C526*'Business Case'!E12*$B526)-'Business Case'!E11*$C526*'Business Case'!E13*$D526-'Business Case'!E14*$E526))*'Business Case'!$B$7-'Business Case'!$B$8*(('Business Case'!E11*$C526*'Business Case'!E12*$B526)-('Business Case'!D11*$C526*'Business Case'!D12*$B526))-'Business Case'!E15*$F526</f>
        <v>481149719.784121</v>
      </c>
      <c r="L526" s="39" t="n">
        <f aca="false">(('Business Case'!F11*$C526*'Business Case'!F12*$B526)-'Business Case'!F11*$C526*'Business Case'!F13*$D526-'Business Case'!F14*$E526)-MAX(0,(('Business Case'!F11*$C526*'Business Case'!F12*$B526)-'Business Case'!F11*$C526*'Business Case'!F13*$D526-'Business Case'!F14*$E526))*'Business Case'!$B$7-'Business Case'!$B$8*(('Business Case'!F11*$C526*'Business Case'!F12*$B526)-('Business Case'!E11*$C526*'Business Case'!E12*$B526))-'Business Case'!F15*$F526</f>
        <v>590575277.216232</v>
      </c>
      <c r="M526" s="39" t="n">
        <f aca="false">(('Business Case'!G11*$C526*'Business Case'!G12*$B526)-'Business Case'!G11*$C526*'Business Case'!G13*$D526-'Business Case'!G14*$E526)-MAX(0,(('Business Case'!G11*$C526*'Business Case'!G12*$B526)-'Business Case'!G11*$C526*'Business Case'!G13*$D526-'Business Case'!G14*$E526))*'Business Case'!$B$7-'Business Case'!$B$8*(('Business Case'!G11*$C526*'Business Case'!G12*$B526)-('Business Case'!F11*$C526*'Business Case'!F12*$B526))-'Business Case'!G15*$F526+'Business Case'!$B$8*('Business Case'!G11*$C526*'Business Case'!G12*$B526)</f>
        <v>747128279.245383</v>
      </c>
      <c r="N526" s="39" t="n">
        <f aca="false">IF(COUNT('Business Case'!B11:G11)=0,"",H526+NPV(G526,I526:M526))</f>
        <v>-823004374.653123</v>
      </c>
      <c r="P526" s="40" t="n">
        <f aca="true">RAND()</f>
        <v>0.080877785908739</v>
      </c>
      <c r="Q526" s="40" t="n">
        <f aca="true">RAND()</f>
        <v>0.0678525449154358</v>
      </c>
      <c r="R526" s="40" t="n">
        <f aca="true">RAND()</f>
        <v>0.0649750297979075</v>
      </c>
      <c r="S526" s="40" t="n">
        <f aca="true">RAND()</f>
        <v>0.933615931503917</v>
      </c>
      <c r="T526" s="40" t="n">
        <f aca="true">RAND()</f>
        <v>0.593715616077253</v>
      </c>
      <c r="U526" s="40" t="n">
        <f aca="true">RAND()</f>
        <v>0.761317777444338</v>
      </c>
    </row>
    <row r="527" customFormat="false" ht="15" hidden="false" customHeight="false" outlineLevel="0" collapsed="false">
      <c r="A527" s="36" t="n">
        <v>447</v>
      </c>
      <c r="B527" s="37" t="n">
        <f aca="false">1+IF($G$6=$E$6,$F$6,IF(P527&lt;($F$6-$E$6)/($G$6-$E$6),$E$6+SQRT(P527*($G$6-$E$6)*($F$6-$E$6)),$G$6-SQRT((1-P527)*($G$6-$E$6)*($G$6-$F$6))))</f>
        <v>1.01250178659498</v>
      </c>
      <c r="C527" s="37" t="n">
        <f aca="false">1+IF($G$7=$E$7,$F$7,IF(Q527&lt;($F$7-$E$7)/($G$7-$E$7),$E$7+SQRT(Q527*($G$7-$E$7)*($F$7-$E$7)),$G$7-SQRT((1-Q527)*($G$7-$E$7)*($G$7-$F$7))))</f>
        <v>1.03705416243027</v>
      </c>
      <c r="D527" s="37" t="n">
        <f aca="false">1+IF($G$8=$E$8,$F$8,IF(R527&lt;($F$8-$E$8)/($G$8-$E$8),$E$8+SQRT(R527*($G$8-$E$8)*($F$8-$E$8)),$G$8-SQRT((1-R527)*($G$8-$E$8)*($G$8-$F$8))))</f>
        <v>1.01669806790908</v>
      </c>
      <c r="E527" s="37" t="n">
        <f aca="false">1+IF($G$9=$E$9,$F$9,IF(S527&lt;($F$9-$E$9)/($G$9-$E$9),$E$9+SQRT(S527*($G$9-$E$9)*($F$9-$E$9)),$G$9-SQRT((1-S527)*($G$9-$E$9)*($G$9-$F$9))))</f>
        <v>0.973994704826937</v>
      </c>
      <c r="F527" s="37" t="n">
        <f aca="false">1+IF($G$10=$E$10,$F$10,IF(T527&lt;($F$10-$E$10)/($G$10-$E$10),$E$10+SQRT(T527*($G$10-$E$10)*($F$10-$E$10)),$G$10-SQRT((1-T527)*($G$10-$E$10)*($G$10-$F$10))))</f>
        <v>1.10300443434006</v>
      </c>
      <c r="G527" s="38" t="n">
        <f aca="false">IF($G$11=$E$11,$F$11,IF(U527&lt;($F$11-$E$11)/($G$11-$E$11),$E$11+SQRT(U527*($G$11-$E$11)*($F$11-$E$11)),$G$11-SQRT((1-U527)*($G$11-$E$11)*($G$11-$F$11))))</f>
        <v>0.102541177797599</v>
      </c>
      <c r="H527" s="39" t="n">
        <f aca="false">(('Business Case'!B11*$C527*'Business Case'!B12*$B527)-'Business Case'!B11*$C527*'Business Case'!B13*$D527-'Business Case'!B14*$E527)-MAX(0,(('Business Case'!B11*$C527*'Business Case'!B12*$B527)-'Business Case'!B11*$C527*'Business Case'!B13*$D527-'Business Case'!B14*$E527))*'Business Case'!$B$7-'Business Case'!$B$8*('Business Case'!B11*$C527*'Business Case'!B12*$B527)-'Business Case'!B15*$F527</f>
        <v>-2206008868.68013</v>
      </c>
      <c r="I527" s="39" t="n">
        <f aca="false">(('Business Case'!C11*$C527*'Business Case'!C12*$B527)-'Business Case'!C11*$C527*'Business Case'!C13*$D527-'Business Case'!C14*$E527)-MAX(0,(('Business Case'!C11*$C527*'Business Case'!C12*$B527)-'Business Case'!C11*$C527*'Business Case'!C13*$D527-'Business Case'!C14*$E527))*'Business Case'!$B$7-'Business Case'!$B$8*(('Business Case'!C11*$C527*'Business Case'!C12*$B527)-('Business Case'!B11*$C527*'Business Case'!B12*$B527))-'Business Case'!C15*$F527</f>
        <v>17052250.9408485</v>
      </c>
      <c r="J527" s="39" t="n">
        <f aca="false">(('Business Case'!D11*$C527*'Business Case'!D12*$B527)-'Business Case'!D11*$C527*'Business Case'!D13*$D527-'Business Case'!D14*$E527)-MAX(0,(('Business Case'!D11*$C527*'Business Case'!D12*$B527)-'Business Case'!D11*$C527*'Business Case'!D13*$D527-'Business Case'!D14*$E527))*'Business Case'!$B$7-'Business Case'!$B$8*(('Business Case'!D11*$C527*'Business Case'!D12*$B527)-('Business Case'!C11*$C527*'Business Case'!C12*$B527))-'Business Case'!D15*$F527</f>
        <v>337339987.268666</v>
      </c>
      <c r="K527" s="39" t="n">
        <f aca="false">(('Business Case'!E11*$C527*'Business Case'!E12*$B527)-'Business Case'!E11*$C527*'Business Case'!E13*$D527-'Business Case'!E14*$E527)-MAX(0,(('Business Case'!E11*$C527*'Business Case'!E12*$B527)-'Business Case'!E11*$C527*'Business Case'!E13*$D527-'Business Case'!E14*$E527))*'Business Case'!$B$7-'Business Case'!$B$8*(('Business Case'!E11*$C527*'Business Case'!E12*$B527)-('Business Case'!D11*$C527*'Business Case'!D12*$B527))-'Business Case'!E15*$F527</f>
        <v>712777945.313487</v>
      </c>
      <c r="L527" s="39" t="n">
        <f aca="false">(('Business Case'!F11*$C527*'Business Case'!F12*$B527)-'Business Case'!F11*$C527*'Business Case'!F13*$D527-'Business Case'!F14*$E527)-MAX(0,(('Business Case'!F11*$C527*'Business Case'!F12*$B527)-'Business Case'!F11*$C527*'Business Case'!F13*$D527-'Business Case'!F14*$E527))*'Business Case'!$B$7-'Business Case'!$B$8*(('Business Case'!F11*$C527*'Business Case'!F12*$B527)-('Business Case'!E11*$C527*'Business Case'!E12*$B527))-'Business Case'!F15*$F527</f>
        <v>855829187.373806</v>
      </c>
      <c r="M527" s="39" t="n">
        <f aca="false">(('Business Case'!G11*$C527*'Business Case'!G12*$B527)-'Business Case'!G11*$C527*'Business Case'!G13*$D527-'Business Case'!G14*$E527)-MAX(0,(('Business Case'!G11*$C527*'Business Case'!G12*$B527)-'Business Case'!G11*$C527*'Business Case'!G13*$D527-'Business Case'!G14*$E527))*'Business Case'!$B$7-'Business Case'!$B$8*(('Business Case'!G11*$C527*'Business Case'!G12*$B527)-('Business Case'!F11*$C527*'Business Case'!F12*$B527))-'Business Case'!G15*$F527+'Business Case'!$B$8*('Business Case'!G11*$C527*'Business Case'!G12*$B527)</f>
        <v>1055416835.4379</v>
      </c>
      <c r="N527" s="39" t="n">
        <f aca="false">IF(COUNT('Business Case'!B11:G11)=0,"",H527+NPV(G527,I527:M527))</f>
        <v>-154220809.113793</v>
      </c>
      <c r="P527" s="40" t="n">
        <f aca="true">RAND()</f>
        <v>0.84246838740247</v>
      </c>
      <c r="Q527" s="40" t="n">
        <f aca="true">RAND()</f>
        <v>0.757014052869924</v>
      </c>
      <c r="R527" s="40" t="n">
        <f aca="true">RAND()</f>
        <v>0.614698595534288</v>
      </c>
      <c r="S527" s="40" t="n">
        <f aca="true">RAND()</f>
        <v>0.0767661146309121</v>
      </c>
      <c r="T527" s="40" t="n">
        <f aca="true">RAND()</f>
        <v>0.811837204846177</v>
      </c>
      <c r="U527" s="40" t="n">
        <f aca="true">RAND()</f>
        <v>0.49198254550823</v>
      </c>
    </row>
    <row r="528" customFormat="false" ht="15" hidden="false" customHeight="false" outlineLevel="0" collapsed="false">
      <c r="A528" s="36" t="n">
        <v>448</v>
      </c>
      <c r="B528" s="37" t="n">
        <f aca="false">1+IF($G$6=$E$6,$F$6,IF(P528&lt;($F$6-$E$6)/($G$6-$E$6),$E$6+SQRT(P528*($G$6-$E$6)*($F$6-$E$6)),$G$6-SQRT((1-P528)*($G$6-$E$6)*($G$6-$F$6))))</f>
        <v>0.978069425551603</v>
      </c>
      <c r="C528" s="37" t="n">
        <f aca="false">1+IF($G$7=$E$7,$F$7,IF(Q528&lt;($F$7-$E$7)/($G$7-$E$7),$E$7+SQRT(Q528*($G$7-$E$7)*($F$7-$E$7)),$G$7-SQRT((1-Q528)*($G$7-$E$7)*($G$7-$F$7))))</f>
        <v>1.01885493865759</v>
      </c>
      <c r="D528" s="37" t="n">
        <f aca="false">1+IF($G$8=$E$8,$F$8,IF(R528&lt;($F$8-$E$8)/($G$8-$E$8),$E$8+SQRT(R528*($G$8-$E$8)*($F$8-$E$8)),$G$8-SQRT((1-R528)*($G$8-$E$8)*($G$8-$F$8))))</f>
        <v>0.971164136977733</v>
      </c>
      <c r="E528" s="37" t="n">
        <f aca="false">1+IF($G$9=$E$9,$F$9,IF(S528&lt;($F$9-$E$9)/($G$9-$E$9),$E$9+SQRT(S528*($G$9-$E$9)*($F$9-$E$9)),$G$9-SQRT((1-S528)*($G$9-$E$9)*($G$9-$F$9))))</f>
        <v>1.03510978418121</v>
      </c>
      <c r="F528" s="37" t="n">
        <f aca="false">1+IF($G$10=$E$10,$F$10,IF(T528&lt;($F$10-$E$10)/($G$10-$E$10),$E$10+SQRT(T528*($G$10-$E$10)*($F$10-$E$10)),$G$10-SQRT((1-T528)*($G$10-$E$10)*($G$10-$F$10))))</f>
        <v>1.0724533345277</v>
      </c>
      <c r="G528" s="38" t="n">
        <f aca="false">IF($G$11=$E$11,$F$11,IF(U528&lt;($F$11-$E$11)/($G$11-$E$11),$E$11+SQRT(U528*($G$11-$E$11)*($F$11-$E$11)),$G$11-SQRT((1-U528)*($G$11-$E$11)*($G$11-$F$11))))</f>
        <v>0.115956497976199</v>
      </c>
      <c r="H528" s="39" t="n">
        <f aca="false">(('Business Case'!B11*$C528*'Business Case'!B12*$B528)-'Business Case'!B11*$C528*'Business Case'!B13*$D528-'Business Case'!B14*$E528)-MAX(0,(('Business Case'!B11*$C528*'Business Case'!B12*$B528)-'Business Case'!B11*$C528*'Business Case'!B13*$D528-'Business Case'!B14*$E528))*'Business Case'!$B$7-'Business Case'!$B$8*('Business Case'!B11*$C528*'Business Case'!B12*$B528)-'Business Case'!B15*$F528</f>
        <v>-2144906669.0554</v>
      </c>
      <c r="I528" s="39" t="n">
        <f aca="false">(('Business Case'!C11*$C528*'Business Case'!C12*$B528)-'Business Case'!C11*$C528*'Business Case'!C13*$D528-'Business Case'!C14*$E528)-MAX(0,(('Business Case'!C11*$C528*'Business Case'!C12*$B528)-'Business Case'!C11*$C528*'Business Case'!C13*$D528-'Business Case'!C14*$E528))*'Business Case'!$B$7-'Business Case'!$B$8*(('Business Case'!C11*$C528*'Business Case'!C12*$B528)-('Business Case'!B11*$C528*'Business Case'!B12*$B528))-'Business Case'!C15*$F528</f>
        <v>3584843.78516385</v>
      </c>
      <c r="J528" s="39" t="n">
        <f aca="false">(('Business Case'!D11*$C528*'Business Case'!D12*$B528)-'Business Case'!D11*$C528*'Business Case'!D13*$D528-'Business Case'!D14*$E528)-MAX(0,(('Business Case'!D11*$C528*'Business Case'!D12*$B528)-'Business Case'!D11*$C528*'Business Case'!D13*$D528-'Business Case'!D14*$E528))*'Business Case'!$B$7-'Business Case'!$B$8*(('Business Case'!D11*$C528*'Business Case'!D12*$B528)-('Business Case'!C11*$C528*'Business Case'!C12*$B528))-'Business Case'!D15*$F528</f>
        <v>313266755.553143</v>
      </c>
      <c r="K528" s="39" t="n">
        <f aca="false">(('Business Case'!E11*$C528*'Business Case'!E12*$B528)-'Business Case'!E11*$C528*'Business Case'!E13*$D528-'Business Case'!E14*$E528)-MAX(0,(('Business Case'!E11*$C528*'Business Case'!E12*$B528)-'Business Case'!E11*$C528*'Business Case'!E13*$D528-'Business Case'!E14*$E528))*'Business Case'!$B$7-'Business Case'!$B$8*(('Business Case'!E11*$C528*'Business Case'!E12*$B528)-('Business Case'!D11*$C528*'Business Case'!D12*$B528))-'Business Case'!E15*$F528</f>
        <v>676571334.047507</v>
      </c>
      <c r="L528" s="39" t="n">
        <f aca="false">(('Business Case'!F11*$C528*'Business Case'!F12*$B528)-'Business Case'!F11*$C528*'Business Case'!F13*$D528-'Business Case'!F14*$E528)-MAX(0,(('Business Case'!F11*$C528*'Business Case'!F12*$B528)-'Business Case'!F11*$C528*'Business Case'!F13*$D528-'Business Case'!F14*$E528))*'Business Case'!$B$7-'Business Case'!$B$8*(('Business Case'!F11*$C528*'Business Case'!F12*$B528)-('Business Case'!E11*$C528*'Business Case'!E12*$B528))-'Business Case'!F15*$F528</f>
        <v>814238053.449817</v>
      </c>
      <c r="M528" s="39" t="n">
        <f aca="false">(('Business Case'!G11*$C528*'Business Case'!G12*$B528)-'Business Case'!G11*$C528*'Business Case'!G13*$D528-'Business Case'!G14*$E528)-MAX(0,(('Business Case'!G11*$C528*'Business Case'!G12*$B528)-'Business Case'!G11*$C528*'Business Case'!G13*$D528-'Business Case'!G14*$E528))*'Business Case'!$B$7-'Business Case'!$B$8*(('Business Case'!G11*$C528*'Business Case'!G12*$B528)-('Business Case'!F11*$C528*'Business Case'!F12*$B528))-'Business Case'!G15*$F528+'Business Case'!$B$8*('Business Case'!G11*$C528*'Business Case'!G12*$B528)</f>
        <v>1003654838.5879</v>
      </c>
      <c r="N528" s="39" t="n">
        <f aca="false">IF(COUNT('Business Case'!B11:G11)=0,"",H528+NPV(G528,I528:M528))</f>
        <v>-298426238.569481</v>
      </c>
      <c r="P528" s="40" t="n">
        <f aca="true">RAND()</f>
        <v>0.351256060822206</v>
      </c>
      <c r="Q528" s="40" t="n">
        <f aca="true">RAND()</f>
        <v>0.672399483533237</v>
      </c>
      <c r="R528" s="40" t="n">
        <f aca="true">RAND()</f>
        <v>0.0689108760018805</v>
      </c>
      <c r="S528" s="40" t="n">
        <f aca="true">RAND()</f>
        <v>0.719283992732744</v>
      </c>
      <c r="T528" s="40" t="n">
        <f aca="true">RAND()</f>
        <v>0.674636962537931</v>
      </c>
      <c r="U528" s="40" t="n">
        <f aca="true">RAND()</f>
        <v>0.972750152305862</v>
      </c>
    </row>
    <row r="529" customFormat="false" ht="15" hidden="false" customHeight="false" outlineLevel="0" collapsed="false">
      <c r="A529" s="36" t="n">
        <v>449</v>
      </c>
      <c r="B529" s="37" t="n">
        <f aca="false">1+IF($G$6=$E$6,$F$6,IF(P529&lt;($F$6-$E$6)/($G$6-$E$6),$E$6+SQRT(P529*($G$6-$E$6)*($F$6-$E$6)),$G$6-SQRT((1-P529)*($G$6-$E$6)*($G$6-$F$6))))</f>
        <v>1.00352895903797</v>
      </c>
      <c r="C529" s="37" t="n">
        <f aca="false">1+IF($G$7=$E$7,$F$7,IF(Q529&lt;($F$7-$E$7)/($G$7-$E$7),$E$7+SQRT(Q529*($G$7-$E$7)*($F$7-$E$7)),$G$7-SQRT((1-Q529)*($G$7-$E$7)*($G$7-$F$7))))</f>
        <v>1.06998715596294</v>
      </c>
      <c r="D529" s="37" t="n">
        <f aca="false">1+IF($G$8=$E$8,$F$8,IF(R529&lt;($F$8-$E$8)/($G$8-$E$8),$E$8+SQRT(R529*($G$8-$E$8)*($F$8-$E$8)),$G$8-SQRT((1-R529)*($G$8-$E$8)*($G$8-$F$8))))</f>
        <v>1.03410698286521</v>
      </c>
      <c r="E529" s="37" t="n">
        <f aca="false">1+IF($G$9=$E$9,$F$9,IF(S529&lt;($F$9-$E$9)/($G$9-$E$9),$E$9+SQRT(S529*($G$9-$E$9)*($F$9-$E$9)),$G$9-SQRT((1-S529)*($G$9-$E$9)*($G$9-$F$9))))</f>
        <v>0.967495114194177</v>
      </c>
      <c r="F529" s="37" t="n">
        <f aca="false">1+IF($G$10=$E$10,$F$10,IF(T529&lt;($F$10-$E$10)/($G$10-$E$10),$E$10+SQRT(T529*($G$10-$E$10)*($F$10-$E$10)),$G$10-SQRT((1-T529)*($G$10-$E$10)*($G$10-$F$10))))</f>
        <v>1.14564186517519</v>
      </c>
      <c r="G529" s="38" t="n">
        <f aca="false">IF($G$11=$E$11,$F$11,IF(U529&lt;($F$11-$E$11)/($G$11-$E$11),$E$11+SQRT(U529*($G$11-$E$11)*($F$11-$E$11)),$G$11-SQRT((1-U529)*($G$11-$E$11)*($G$11-$F$11))))</f>
        <v>0.104937671174348</v>
      </c>
      <c r="H529" s="39" t="n">
        <f aca="false">(('Business Case'!B11*$C529*'Business Case'!B12*$B529)-'Business Case'!B11*$C529*'Business Case'!B13*$D529-'Business Case'!B14*$E529)-MAX(0,(('Business Case'!B11*$C529*'Business Case'!B12*$B529)-'Business Case'!B11*$C529*'Business Case'!B13*$D529-'Business Case'!B14*$E529))*'Business Case'!$B$7-'Business Case'!$B$8*('Business Case'!B11*$C529*'Business Case'!B12*$B529)-'Business Case'!B15*$F529</f>
        <v>-2291283730.35038</v>
      </c>
      <c r="I529" s="39" t="n">
        <f aca="false">(('Business Case'!C11*$C529*'Business Case'!C12*$B529)-'Business Case'!C11*$C529*'Business Case'!C13*$D529-'Business Case'!C14*$E529)-MAX(0,(('Business Case'!C11*$C529*'Business Case'!C12*$B529)-'Business Case'!C11*$C529*'Business Case'!C13*$D529-'Business Case'!C14*$E529))*'Business Case'!$B$7-'Business Case'!$B$8*(('Business Case'!C11*$C529*'Business Case'!C12*$B529)-('Business Case'!B11*$C529*'Business Case'!B12*$B529))-'Business Case'!C15*$F529</f>
        <v>5253565.97566725</v>
      </c>
      <c r="J529" s="39" t="n">
        <f aca="false">(('Business Case'!D11*$C529*'Business Case'!D12*$B529)-'Business Case'!D11*$C529*'Business Case'!D13*$D529-'Business Case'!D14*$E529)-MAX(0,(('Business Case'!D11*$C529*'Business Case'!D12*$B529)-'Business Case'!D11*$C529*'Business Case'!D13*$D529-'Business Case'!D14*$E529))*'Business Case'!$B$7-'Business Case'!$B$8*(('Business Case'!D11*$C529*'Business Case'!D12*$B529)-('Business Case'!C11*$C529*'Business Case'!C12*$B529))-'Business Case'!D15*$F529</f>
        <v>318313002.645766</v>
      </c>
      <c r="K529" s="39" t="n">
        <f aca="false">(('Business Case'!E11*$C529*'Business Case'!E12*$B529)-'Business Case'!E11*$C529*'Business Case'!E13*$D529-'Business Case'!E14*$E529)-MAX(0,(('Business Case'!E11*$C529*'Business Case'!E12*$B529)-'Business Case'!E11*$C529*'Business Case'!E13*$D529-'Business Case'!E14*$E529))*'Business Case'!$B$7-'Business Case'!$B$8*(('Business Case'!E11*$C529*'Business Case'!E12*$B529)-('Business Case'!D11*$C529*'Business Case'!D12*$B529))-'Business Case'!E15*$F529</f>
        <v>688654532.574624</v>
      </c>
      <c r="L529" s="39" t="n">
        <f aca="false">(('Business Case'!F11*$C529*'Business Case'!F12*$B529)-'Business Case'!F11*$C529*'Business Case'!F13*$D529-'Business Case'!F14*$E529)-MAX(0,(('Business Case'!F11*$C529*'Business Case'!F12*$B529)-'Business Case'!F11*$C529*'Business Case'!F13*$D529-'Business Case'!F14*$E529))*'Business Case'!$B$7-'Business Case'!$B$8*(('Business Case'!F11*$C529*'Business Case'!F12*$B529)-('Business Case'!E11*$C529*'Business Case'!E12*$B529))-'Business Case'!F15*$F529</f>
        <v>830116930.75699</v>
      </c>
      <c r="M529" s="39" t="n">
        <f aca="false">(('Business Case'!G11*$C529*'Business Case'!G12*$B529)-'Business Case'!G11*$C529*'Business Case'!G13*$D529-'Business Case'!G14*$E529)-MAX(0,(('Business Case'!G11*$C529*'Business Case'!G12*$B529)-'Business Case'!G11*$C529*'Business Case'!G13*$D529-'Business Case'!G14*$E529))*'Business Case'!$B$7-'Business Case'!$B$8*(('Business Case'!G11*$C529*'Business Case'!G12*$B529)-('Business Case'!F11*$C529*'Business Case'!F12*$B529))-'Business Case'!G15*$F529+'Business Case'!$B$8*('Business Case'!G11*$C529*'Business Case'!G12*$B529)</f>
        <v>1034217820.19816</v>
      </c>
      <c r="N529" s="39" t="n">
        <f aca="false">IF(COUNT('Business Case'!B11:G11)=0,"",H529+NPV(G529,I529:M529))</f>
        <v>-330454245.856331</v>
      </c>
      <c r="P529" s="40" t="n">
        <f aca="true">RAND()</f>
        <v>0.722888160655391</v>
      </c>
      <c r="Q529" s="40" t="n">
        <f aca="true">RAND()</f>
        <v>0.878056091220983</v>
      </c>
      <c r="R529" s="40" t="n">
        <f aca="true">RAND()</f>
        <v>0.797483747910159</v>
      </c>
      <c r="S529" s="40" t="n">
        <f aca="true">RAND()</f>
        <v>0.0408105360889745</v>
      </c>
      <c r="T529" s="40" t="n">
        <f aca="true">RAND()</f>
        <v>0.940903863567352</v>
      </c>
      <c r="U529" s="40" t="n">
        <f aca="true">RAND()</f>
        <v>0.621877083913229</v>
      </c>
    </row>
    <row r="530" customFormat="false" ht="15" hidden="false" customHeight="false" outlineLevel="0" collapsed="false">
      <c r="A530" s="36" t="n">
        <v>450</v>
      </c>
      <c r="B530" s="37" t="n">
        <f aca="false">1+IF($G$6=$E$6,$F$6,IF(P530&lt;($F$6-$E$6)/($G$6-$E$6),$E$6+SQRT(P530*($G$6-$E$6)*($F$6-$E$6)),$G$6-SQRT((1-P530)*($G$6-$E$6)*($G$6-$F$6))))</f>
        <v>0.946072642950012</v>
      </c>
      <c r="C530" s="37" t="n">
        <f aca="false">1+IF($G$7=$E$7,$F$7,IF(Q530&lt;($F$7-$E$7)/($G$7-$E$7),$E$7+SQRT(Q530*($G$7-$E$7)*($F$7-$E$7)),$G$7-SQRT((1-Q530)*($G$7-$E$7)*($G$7-$F$7))))</f>
        <v>1.08779311133641</v>
      </c>
      <c r="D530" s="37" t="n">
        <f aca="false">1+IF($G$8=$E$8,$F$8,IF(R530&lt;($F$8-$E$8)/($G$8-$E$8),$E$8+SQRT(R530*($G$8-$E$8)*($F$8-$E$8)),$G$8-SQRT((1-R530)*($G$8-$E$8)*($G$8-$F$8))))</f>
        <v>0.986466209439953</v>
      </c>
      <c r="E530" s="37" t="n">
        <f aca="false">1+IF($G$9=$E$9,$F$9,IF(S530&lt;($F$9-$E$9)/($G$9-$E$9),$E$9+SQRT(S530*($G$9-$E$9)*($F$9-$E$9)),$G$9-SQRT((1-S530)*($G$9-$E$9)*($G$9-$F$9))))</f>
        <v>1.00123037238442</v>
      </c>
      <c r="F530" s="37" t="n">
        <f aca="false">1+IF($G$10=$E$10,$F$10,IF(T530&lt;($F$10-$E$10)/($G$10-$E$10),$E$10+SQRT(T530*($G$10-$E$10)*($F$10-$E$10)),$G$10-SQRT((1-T530)*($G$10-$E$10)*($G$10-$F$10))))</f>
        <v>0.975963164630674</v>
      </c>
      <c r="G530" s="38" t="n">
        <f aca="false">IF($G$11=$E$11,$F$11,IF(U530&lt;($F$11-$E$11)/($G$11-$E$11),$E$11+SQRT(U530*($G$11-$E$11)*($F$11-$E$11)),$G$11-SQRT((1-U530)*($G$11-$E$11)*($G$11-$F$11))))</f>
        <v>0.100121594986797</v>
      </c>
      <c r="H530" s="39" t="n">
        <f aca="false">(('Business Case'!B11*$C530*'Business Case'!B12*$B530)-'Business Case'!B11*$C530*'Business Case'!B13*$D530-'Business Case'!B14*$E530)-MAX(0,(('Business Case'!B11*$C530*'Business Case'!B12*$B530)-'Business Case'!B11*$C530*'Business Case'!B13*$D530-'Business Case'!B14*$E530))*'Business Case'!$B$7-'Business Case'!$B$8*('Business Case'!B11*$C530*'Business Case'!B12*$B530)-'Business Case'!B15*$F530</f>
        <v>-1951926329.26135</v>
      </c>
      <c r="I530" s="39" t="n">
        <f aca="false">(('Business Case'!C11*$C530*'Business Case'!C12*$B530)-'Business Case'!C11*$C530*'Business Case'!C13*$D530-'Business Case'!C14*$E530)-MAX(0,(('Business Case'!C11*$C530*'Business Case'!C12*$B530)-'Business Case'!C11*$C530*'Business Case'!C13*$D530-'Business Case'!C14*$E530))*'Business Case'!$B$7-'Business Case'!$B$8*(('Business Case'!C11*$C530*'Business Case'!C12*$B530)-('Business Case'!B11*$C530*'Business Case'!B12*$B530))-'Business Case'!C15*$F530</f>
        <v>284611.407994777</v>
      </c>
      <c r="J530" s="39" t="n">
        <f aca="false">(('Business Case'!D11*$C530*'Business Case'!D12*$B530)-'Business Case'!D11*$C530*'Business Case'!D13*$D530-'Business Case'!D14*$E530)-MAX(0,(('Business Case'!D11*$C530*'Business Case'!D12*$B530)-'Business Case'!D11*$C530*'Business Case'!D13*$D530-'Business Case'!D14*$E530))*'Business Case'!$B$7-'Business Case'!$B$8*(('Business Case'!D11*$C530*'Business Case'!D12*$B530)-('Business Case'!C11*$C530*'Business Case'!C12*$B530))-'Business Case'!D15*$F530</f>
        <v>293890665.022401</v>
      </c>
      <c r="K530" s="39" t="n">
        <f aca="false">(('Business Case'!E11*$C530*'Business Case'!E12*$B530)-'Business Case'!E11*$C530*'Business Case'!E13*$D530-'Business Case'!E14*$E530)-MAX(0,(('Business Case'!E11*$C530*'Business Case'!E12*$B530)-'Business Case'!E11*$C530*'Business Case'!E13*$D530-'Business Case'!E14*$E530))*'Business Case'!$B$7-'Business Case'!$B$8*(('Business Case'!E11*$C530*'Business Case'!E12*$B530)-('Business Case'!D11*$C530*'Business Case'!D12*$B530))-'Business Case'!E15*$F530</f>
        <v>636294876.868341</v>
      </c>
      <c r="L530" s="39" t="n">
        <f aca="false">(('Business Case'!F11*$C530*'Business Case'!F12*$B530)-'Business Case'!F11*$C530*'Business Case'!F13*$D530-'Business Case'!F14*$E530)-MAX(0,(('Business Case'!F11*$C530*'Business Case'!F12*$B530)-'Business Case'!F11*$C530*'Business Case'!F13*$D530-'Business Case'!F14*$E530))*'Business Case'!$B$7-'Business Case'!$B$8*(('Business Case'!F11*$C530*'Business Case'!F12*$B530)-('Business Case'!E11*$C530*'Business Case'!E12*$B530))-'Business Case'!F15*$F530</f>
        <v>769730339.266664</v>
      </c>
      <c r="M530" s="39" t="n">
        <f aca="false">(('Business Case'!G11*$C530*'Business Case'!G12*$B530)-'Business Case'!G11*$C530*'Business Case'!G13*$D530-'Business Case'!G14*$E530)-MAX(0,(('Business Case'!G11*$C530*'Business Case'!G12*$B530)-'Business Case'!G11*$C530*'Business Case'!G13*$D530-'Business Case'!G14*$E530))*'Business Case'!$B$7-'Business Case'!$B$8*(('Business Case'!G11*$C530*'Business Case'!G12*$B530)-('Business Case'!F11*$C530*'Business Case'!F12*$B530))-'Business Case'!G15*$F530+'Business Case'!$B$8*('Business Case'!G11*$C530*'Business Case'!G12*$B530)</f>
        <v>965347617.497692</v>
      </c>
      <c r="N530" s="39" t="n">
        <f aca="false">IF(COUNT('Business Case'!B11:G11)=0,"",H530+NPV(G530,I530:M530))</f>
        <v>-106359685.163303</v>
      </c>
      <c r="P530" s="40" t="n">
        <f aca="true">RAND()</f>
        <v>0.0708106989998776</v>
      </c>
      <c r="Q530" s="40" t="n">
        <f aca="true">RAND()</f>
        <v>0.926291485767529</v>
      </c>
      <c r="R530" s="40" t="n">
        <f aca="true">RAND()</f>
        <v>0.204582220141306</v>
      </c>
      <c r="S530" s="40" t="n">
        <f aca="true">RAND()</f>
        <v>0.349637377378597</v>
      </c>
      <c r="T530" s="40" t="n">
        <f aca="true">RAND()</f>
        <v>0.0539268734111579</v>
      </c>
      <c r="U530" s="40" t="n">
        <f aca="true">RAND()</f>
        <v>0.341415023551777</v>
      </c>
    </row>
    <row r="531" customFormat="false" ht="15" hidden="false" customHeight="false" outlineLevel="0" collapsed="false">
      <c r="A531" s="36" t="n">
        <v>451</v>
      </c>
      <c r="B531" s="37" t="n">
        <f aca="false">1+IF($G$6=$E$6,$F$6,IF(P531&lt;($F$6-$E$6)/($G$6-$E$6),$E$6+SQRT(P531*($G$6-$E$6)*($F$6-$E$6)),$G$6-SQRT((1-P531)*($G$6-$E$6)*($G$6-$F$6))))</f>
        <v>1.01176702507485</v>
      </c>
      <c r="C531" s="37" t="n">
        <f aca="false">1+IF($G$7=$E$7,$F$7,IF(Q531&lt;($F$7-$E$7)/($G$7-$E$7),$E$7+SQRT(Q531*($G$7-$E$7)*($F$7-$E$7)),$G$7-SQRT((1-Q531)*($G$7-$E$7)*($G$7-$F$7))))</f>
        <v>1.10009977212419</v>
      </c>
      <c r="D531" s="37" t="n">
        <f aca="false">1+IF($G$8=$E$8,$F$8,IF(R531&lt;($F$8-$E$8)/($G$8-$E$8),$E$8+SQRT(R531*($G$8-$E$8)*($F$8-$E$8)),$G$8-SQRT((1-R531)*($G$8-$E$8)*($G$8-$F$8))))</f>
        <v>1.03994733484852</v>
      </c>
      <c r="E531" s="37" t="n">
        <f aca="false">1+IF($G$9=$E$9,$F$9,IF(S531&lt;($F$9-$E$9)/($G$9-$E$9),$E$9+SQRT(S531*($G$9-$E$9)*($F$9-$E$9)),$G$9-SQRT((1-S531)*($G$9-$E$9)*($G$9-$F$9))))</f>
        <v>1.00290374368121</v>
      </c>
      <c r="F531" s="37" t="n">
        <f aca="false">1+IF($G$10=$E$10,$F$10,IF(T531&lt;($F$10-$E$10)/($G$10-$E$10),$E$10+SQRT(T531*($G$10-$E$10)*($F$10-$E$10)),$G$10-SQRT((1-T531)*($G$10-$E$10)*($G$10-$F$10))))</f>
        <v>1.02563947385622</v>
      </c>
      <c r="G531" s="38" t="n">
        <f aca="false">IF($G$11=$E$11,$F$11,IF(U531&lt;($F$11-$E$11)/($G$11-$E$11),$E$11+SQRT(U531*($G$11-$E$11)*($F$11-$E$11)),$G$11-SQRT((1-U531)*($G$11-$E$11)*($G$11-$F$11))))</f>
        <v>0.114957767873059</v>
      </c>
      <c r="H531" s="39" t="n">
        <f aca="false">(('Business Case'!B11*$C531*'Business Case'!B12*$B531)-'Business Case'!B11*$C531*'Business Case'!B13*$D531-'Business Case'!B14*$E531)-MAX(0,(('Business Case'!B11*$C531*'Business Case'!B12*$B531)-'Business Case'!B11*$C531*'Business Case'!B13*$D531-'Business Case'!B14*$E531))*'Business Case'!$B$7-'Business Case'!$B$8*('Business Case'!B11*$C531*'Business Case'!B12*$B531)-'Business Case'!B15*$F531</f>
        <v>-2051278947.71243</v>
      </c>
      <c r="I531" s="39" t="n">
        <f aca="false">(('Business Case'!C11*$C531*'Business Case'!C12*$B531)-'Business Case'!C11*$C531*'Business Case'!C13*$D531-'Business Case'!C14*$E531)-MAX(0,(('Business Case'!C11*$C531*'Business Case'!C12*$B531)-'Business Case'!C11*$C531*'Business Case'!C13*$D531-'Business Case'!C14*$E531))*'Business Case'!$B$7-'Business Case'!$B$8*(('Business Case'!C11*$C531*'Business Case'!C12*$B531)-('Business Case'!B11*$C531*'Business Case'!B12*$B531))-'Business Case'!C15*$F531</f>
        <v>23126692.0853212</v>
      </c>
      <c r="J531" s="39" t="n">
        <f aca="false">(('Business Case'!D11*$C531*'Business Case'!D12*$B531)-'Business Case'!D11*$C531*'Business Case'!D13*$D531-'Business Case'!D14*$E531)-MAX(0,(('Business Case'!D11*$C531*'Business Case'!D12*$B531)-'Business Case'!D11*$C531*'Business Case'!D13*$D531-'Business Case'!D14*$E531))*'Business Case'!$B$7-'Business Case'!$B$8*(('Business Case'!D11*$C531*'Business Case'!D12*$B531)-('Business Case'!C11*$C531*'Business Case'!C12*$B531))-'Business Case'!D15*$F531</f>
        <v>349130479.793772</v>
      </c>
      <c r="K531" s="39" t="n">
        <f aca="false">(('Business Case'!E11*$C531*'Business Case'!E12*$B531)-'Business Case'!E11*$C531*'Business Case'!E13*$D531-'Business Case'!E14*$E531)-MAX(0,(('Business Case'!E11*$C531*'Business Case'!E12*$B531)-'Business Case'!E11*$C531*'Business Case'!E13*$D531-'Business Case'!E14*$E531))*'Business Case'!$B$7-'Business Case'!$B$8*(('Business Case'!E11*$C531*'Business Case'!E12*$B531)-('Business Case'!D11*$C531*'Business Case'!D12*$B531))-'Business Case'!E15*$F531</f>
        <v>726416241.195034</v>
      </c>
      <c r="L531" s="39" t="n">
        <f aca="false">(('Business Case'!F11*$C531*'Business Case'!F12*$B531)-'Business Case'!F11*$C531*'Business Case'!F13*$D531-'Business Case'!F14*$E531)-MAX(0,(('Business Case'!F11*$C531*'Business Case'!F12*$B531)-'Business Case'!F11*$C531*'Business Case'!F13*$D531-'Business Case'!F14*$E531))*'Business Case'!$B$7-'Business Case'!$B$8*(('Business Case'!F11*$C531*'Business Case'!F12*$B531)-('Business Case'!E11*$C531*'Business Case'!E12*$B531))-'Business Case'!F15*$F531</f>
        <v>873550994.355211</v>
      </c>
      <c r="M531" s="39" t="n">
        <f aca="false">(('Business Case'!G11*$C531*'Business Case'!G12*$B531)-'Business Case'!G11*$C531*'Business Case'!G13*$D531-'Business Case'!G14*$E531)-MAX(0,(('Business Case'!G11*$C531*'Business Case'!G12*$B531)-'Business Case'!G11*$C531*'Business Case'!G13*$D531-'Business Case'!G14*$E531))*'Business Case'!$B$7-'Business Case'!$B$8*(('Business Case'!G11*$C531*'Business Case'!G12*$B531)-('Business Case'!F11*$C531*'Business Case'!F12*$B531))-'Business Case'!G15*$F531+'Business Case'!$B$8*('Business Case'!G11*$C531*'Business Case'!G12*$B531)</f>
        <v>1085118525.93736</v>
      </c>
      <c r="N531" s="39" t="n">
        <f aca="false">IF(COUNT('Business Case'!B11:G11)=0,"",H531+NPV(G531,I531:M531))</f>
        <v>-30550886.8985965</v>
      </c>
      <c r="P531" s="40" t="n">
        <f aca="true">RAND()</f>
        <v>0.833937318099174</v>
      </c>
      <c r="Q531" s="40" t="n">
        <f aca="true">RAND()</f>
        <v>0.952570804913188</v>
      </c>
      <c r="R531" s="40" t="n">
        <f aca="true">RAND()</f>
        <v>0.845748462909917</v>
      </c>
      <c r="S531" s="40" t="n">
        <f aca="true">RAND()</f>
        <v>0.371487800591759</v>
      </c>
      <c r="T531" s="40" t="n">
        <f aca="true">RAND()</f>
        <v>0.391968138457263</v>
      </c>
      <c r="U531" s="40" t="n">
        <f aca="true">RAND()</f>
        <v>0.957626491963412</v>
      </c>
    </row>
    <row r="532" customFormat="false" ht="15" hidden="false" customHeight="false" outlineLevel="0" collapsed="false">
      <c r="A532" s="36" t="n">
        <v>452</v>
      </c>
      <c r="B532" s="37" t="n">
        <f aca="false">1+IF($G$6=$E$6,$F$6,IF(P532&lt;($F$6-$E$6)/($G$6-$E$6),$E$6+SQRT(P532*($G$6-$E$6)*($F$6-$E$6)),$G$6-SQRT((1-P532)*($G$6-$E$6)*($G$6-$F$6))))</f>
        <v>0.943464296385029</v>
      </c>
      <c r="C532" s="37" t="n">
        <f aca="false">1+IF($G$7=$E$7,$F$7,IF(Q532&lt;($F$7-$E$7)/($G$7-$E$7),$E$7+SQRT(Q532*($G$7-$E$7)*($F$7-$E$7)),$G$7-SQRT((1-Q532)*($G$7-$E$7)*($G$7-$F$7))))</f>
        <v>0.96665385688735</v>
      </c>
      <c r="D532" s="37" t="n">
        <f aca="false">1+IF($G$8=$E$8,$F$8,IF(R532&lt;($F$8-$E$8)/($G$8-$E$8),$E$8+SQRT(R532*($G$8-$E$8)*($F$8-$E$8)),$G$8-SQRT((1-R532)*($G$8-$E$8)*($G$8-$F$8))))</f>
        <v>1.00635774352126</v>
      </c>
      <c r="E532" s="37" t="n">
        <f aca="false">1+IF($G$9=$E$9,$F$9,IF(S532&lt;($F$9-$E$9)/($G$9-$E$9),$E$9+SQRT(S532*($G$9-$E$9)*($F$9-$E$9)),$G$9-SQRT((1-S532)*($G$9-$E$9)*($G$9-$F$9))))</f>
        <v>0.973313847415973</v>
      </c>
      <c r="F532" s="37" t="n">
        <f aca="false">1+IF($G$10=$E$10,$F$10,IF(T532&lt;($F$10-$E$10)/($G$10-$E$10),$E$10+SQRT(T532*($G$10-$E$10)*($F$10-$E$10)),$G$10-SQRT((1-T532)*($G$10-$E$10)*($G$10-$F$10))))</f>
        <v>1.05035934466096</v>
      </c>
      <c r="G532" s="38" t="n">
        <f aca="false">IF($G$11=$E$11,$F$11,IF(U532&lt;($F$11-$E$11)/($G$11-$E$11),$E$11+SQRT(U532*($G$11-$E$11)*($F$11-$E$11)),$G$11-SQRT((1-U532)*($G$11-$E$11)*($G$11-$F$11))))</f>
        <v>0.0996712445696631</v>
      </c>
      <c r="H532" s="39" t="n">
        <f aca="false">(('Business Case'!B11*$C532*'Business Case'!B12*$B532)-'Business Case'!B11*$C532*'Business Case'!B13*$D532-'Business Case'!B14*$E532)-MAX(0,(('Business Case'!B11*$C532*'Business Case'!B12*$B532)-'Business Case'!B11*$C532*'Business Case'!B13*$D532-'Business Case'!B14*$E532))*'Business Case'!$B$7-'Business Case'!$B$8*('Business Case'!B11*$C532*'Business Case'!B12*$B532)-'Business Case'!B15*$F532</f>
        <v>-2100718689.32193</v>
      </c>
      <c r="I532" s="39" t="n">
        <f aca="false">(('Business Case'!C11*$C532*'Business Case'!C12*$B532)-'Business Case'!C11*$C532*'Business Case'!C13*$D532-'Business Case'!C14*$E532)-MAX(0,(('Business Case'!C11*$C532*'Business Case'!C12*$B532)-'Business Case'!C11*$C532*'Business Case'!C13*$D532-'Business Case'!C14*$E532))*'Business Case'!$B$7-'Business Case'!$B$8*(('Business Case'!C11*$C532*'Business Case'!C12*$B532)-('Business Case'!B11*$C532*'Business Case'!B12*$B532))-'Business Case'!C15*$F532</f>
        <v>-41718538.5159486</v>
      </c>
      <c r="J532" s="39" t="n">
        <f aca="false">(('Business Case'!D11*$C532*'Business Case'!D12*$B532)-'Business Case'!D11*$C532*'Business Case'!D13*$D532-'Business Case'!D14*$E532)-MAX(0,(('Business Case'!D11*$C532*'Business Case'!D12*$B532)-'Business Case'!D11*$C532*'Business Case'!D13*$D532-'Business Case'!D14*$E532))*'Business Case'!$B$7-'Business Case'!$B$8*(('Business Case'!D11*$C532*'Business Case'!D12*$B532)-('Business Case'!C11*$C532*'Business Case'!C12*$B532))-'Business Case'!D15*$F532</f>
        <v>207282342.841278</v>
      </c>
      <c r="K532" s="39" t="n">
        <f aca="false">(('Business Case'!E11*$C532*'Business Case'!E12*$B532)-'Business Case'!E11*$C532*'Business Case'!E13*$D532-'Business Case'!E14*$E532)-MAX(0,(('Business Case'!E11*$C532*'Business Case'!E12*$B532)-'Business Case'!E11*$C532*'Business Case'!E13*$D532-'Business Case'!E14*$E532))*'Business Case'!$B$7-'Business Case'!$B$8*(('Business Case'!E11*$C532*'Business Case'!E12*$B532)-('Business Case'!D11*$C532*'Business Case'!D12*$B532))-'Business Case'!E15*$F532</f>
        <v>508801191.431552</v>
      </c>
      <c r="L532" s="39" t="n">
        <f aca="false">(('Business Case'!F11*$C532*'Business Case'!F12*$B532)-'Business Case'!F11*$C532*'Business Case'!F13*$D532-'Business Case'!F14*$E532)-MAX(0,(('Business Case'!F11*$C532*'Business Case'!F12*$B532)-'Business Case'!F11*$C532*'Business Case'!F13*$D532-'Business Case'!F14*$E532))*'Business Case'!$B$7-'Business Case'!$B$8*(('Business Case'!F11*$C532*'Business Case'!F12*$B532)-('Business Case'!E11*$C532*'Business Case'!E12*$B532))-'Business Case'!F15*$F532</f>
        <v>623320322.753646</v>
      </c>
      <c r="M532" s="39" t="n">
        <f aca="false">(('Business Case'!G11*$C532*'Business Case'!G12*$B532)-'Business Case'!G11*$C532*'Business Case'!G13*$D532-'Business Case'!G14*$E532)-MAX(0,(('Business Case'!G11*$C532*'Business Case'!G12*$B532)-'Business Case'!G11*$C532*'Business Case'!G13*$D532-'Business Case'!G14*$E532))*'Business Case'!$B$7-'Business Case'!$B$8*(('Business Case'!G11*$C532*'Business Case'!G12*$B532)-('Business Case'!F11*$C532*'Business Case'!F12*$B532))-'Business Case'!G15*$F532+'Business Case'!$B$8*('Business Case'!G11*$C532*'Business Case'!G12*$B532)</f>
        <v>796673929.203579</v>
      </c>
      <c r="N532" s="39" t="n">
        <f aca="false">IF(COUNT('Business Case'!B11:G11)=0,"",H532+NPV(G532,I532:M532))</f>
        <v>-662975783.938624</v>
      </c>
      <c r="P532" s="40" t="n">
        <f aca="true">RAND()</f>
        <v>0.0573513755046323</v>
      </c>
      <c r="Q532" s="40" t="n">
        <f aca="true">RAND()</f>
        <v>0.396764400220417</v>
      </c>
      <c r="R532" s="40" t="n">
        <f aca="true">RAND()</f>
        <v>0.478540198146166</v>
      </c>
      <c r="S532" s="40" t="n">
        <f aca="true">RAND()</f>
        <v>0.0724713975113678</v>
      </c>
      <c r="T532" s="40" t="n">
        <f aca="true">RAND()</f>
        <v>0.552153485394068</v>
      </c>
      <c r="U532" s="40" t="n">
        <f aca="true">RAND()</f>
        <v>0.311776571754125</v>
      </c>
    </row>
    <row r="533" customFormat="false" ht="15" hidden="false" customHeight="false" outlineLevel="0" collapsed="false">
      <c r="A533" s="36" t="n">
        <v>453</v>
      </c>
      <c r="B533" s="37" t="n">
        <f aca="false">1+IF($G$6=$E$6,$F$6,IF(P533&lt;($F$6-$E$6)/($G$6-$E$6),$E$6+SQRT(P533*($G$6-$E$6)*($F$6-$E$6)),$G$6-SQRT((1-P533)*($G$6-$E$6)*($G$6-$F$6))))</f>
        <v>1.01581822459118</v>
      </c>
      <c r="C533" s="37" t="n">
        <f aca="false">1+IF($G$7=$E$7,$F$7,IF(Q533&lt;($F$7-$E$7)/($G$7-$E$7),$E$7+SQRT(Q533*($G$7-$E$7)*($F$7-$E$7)),$G$7-SQRT((1-Q533)*($G$7-$E$7)*($G$7-$F$7))))</f>
        <v>1.03812956869764</v>
      </c>
      <c r="D533" s="37" t="n">
        <f aca="false">1+IF($G$8=$E$8,$F$8,IF(R533&lt;($F$8-$E$8)/($G$8-$E$8),$E$8+SQRT(R533*($G$8-$E$8)*($F$8-$E$8)),$G$8-SQRT((1-R533)*($G$8-$E$8)*($G$8-$F$8))))</f>
        <v>0.972843699792926</v>
      </c>
      <c r="E533" s="37" t="n">
        <f aca="false">1+IF($G$9=$E$9,$F$9,IF(S533&lt;($F$9-$E$9)/($G$9-$E$9),$E$9+SQRT(S533*($G$9-$E$9)*($F$9-$E$9)),$G$9-SQRT((1-S533)*($G$9-$E$9)*($G$9-$F$9))))</f>
        <v>1.01000501916595</v>
      </c>
      <c r="F533" s="37" t="n">
        <f aca="false">1+IF($G$10=$E$10,$F$10,IF(T533&lt;($F$10-$E$10)/($G$10-$E$10),$E$10+SQRT(T533*($G$10-$E$10)*($F$10-$E$10)),$G$10-SQRT((1-T533)*($G$10-$E$10)*($G$10-$F$10))))</f>
        <v>1.17291951524909</v>
      </c>
      <c r="G533" s="38" t="n">
        <f aca="false">IF($G$11=$E$11,$F$11,IF(U533&lt;($F$11-$E$11)/($G$11-$E$11),$E$11+SQRT(U533*($G$11-$E$11)*($F$11-$E$11)),$G$11-SQRT((1-U533)*($G$11-$E$11)*($G$11-$F$11))))</f>
        <v>0.105493770430713</v>
      </c>
      <c r="H533" s="39" t="n">
        <f aca="false">(('Business Case'!B11*$C533*'Business Case'!B12*$B533)-'Business Case'!B11*$C533*'Business Case'!B13*$D533-'Business Case'!B14*$E533)-MAX(0,(('Business Case'!B11*$C533*'Business Case'!B12*$B533)-'Business Case'!B11*$C533*'Business Case'!B13*$D533-'Business Case'!B14*$E533))*'Business Case'!$B$7-'Business Case'!$B$8*('Business Case'!B11*$C533*'Business Case'!B12*$B533)-'Business Case'!B15*$F533</f>
        <v>-2345839030.49819</v>
      </c>
      <c r="I533" s="39" t="n">
        <f aca="false">(('Business Case'!C11*$C533*'Business Case'!C12*$B533)-'Business Case'!C11*$C533*'Business Case'!C13*$D533-'Business Case'!C14*$E533)-MAX(0,(('Business Case'!C11*$C533*'Business Case'!C12*$B533)-'Business Case'!C11*$C533*'Business Case'!C13*$D533-'Business Case'!C14*$E533))*'Business Case'!$B$7-'Business Case'!$B$8*(('Business Case'!C11*$C533*'Business Case'!C12*$B533)-('Business Case'!B11*$C533*'Business Case'!B12*$B533))-'Business Case'!C15*$F533</f>
        <v>31163194.0565191</v>
      </c>
      <c r="J533" s="39" t="n">
        <f aca="false">(('Business Case'!D11*$C533*'Business Case'!D12*$B533)-'Business Case'!D11*$C533*'Business Case'!D13*$D533-'Business Case'!D14*$E533)-MAX(0,(('Business Case'!D11*$C533*'Business Case'!D12*$B533)-'Business Case'!D11*$C533*'Business Case'!D13*$D533-'Business Case'!D14*$E533))*'Business Case'!$B$7-'Business Case'!$B$8*(('Business Case'!D11*$C533*'Business Case'!D12*$B533)-('Business Case'!C11*$C533*'Business Case'!C12*$B533))-'Business Case'!D15*$F533</f>
        <v>377908973.852928</v>
      </c>
      <c r="K533" s="39" t="n">
        <f aca="false">(('Business Case'!E11*$C533*'Business Case'!E12*$B533)-'Business Case'!E11*$C533*'Business Case'!E13*$D533-'Business Case'!E14*$E533)-MAX(0,(('Business Case'!E11*$C533*'Business Case'!E12*$B533)-'Business Case'!E11*$C533*'Business Case'!E13*$D533-'Business Case'!E14*$E533))*'Business Case'!$B$7-'Business Case'!$B$8*(('Business Case'!E11*$C533*'Business Case'!E12*$B533)-('Business Case'!D11*$C533*'Business Case'!D12*$B533))-'Business Case'!E15*$F533</f>
        <v>783300729.411791</v>
      </c>
      <c r="L533" s="39" t="n">
        <f aca="false">(('Business Case'!F11*$C533*'Business Case'!F12*$B533)-'Business Case'!F11*$C533*'Business Case'!F13*$D533-'Business Case'!F14*$E533)-MAX(0,(('Business Case'!F11*$C533*'Business Case'!F12*$B533)-'Business Case'!F11*$C533*'Business Case'!F13*$D533-'Business Case'!F14*$E533))*'Business Case'!$B$7-'Business Case'!$B$8*(('Business Case'!F11*$C533*'Business Case'!F12*$B533)-('Business Case'!E11*$C533*'Business Case'!E12*$B533))-'Business Case'!F15*$F533</f>
        <v>935327936.336983</v>
      </c>
      <c r="M533" s="39" t="n">
        <f aca="false">(('Business Case'!G11*$C533*'Business Case'!G12*$B533)-'Business Case'!G11*$C533*'Business Case'!G13*$D533-'Business Case'!G14*$E533)-MAX(0,(('Business Case'!G11*$C533*'Business Case'!G12*$B533)-'Business Case'!G11*$C533*'Business Case'!G13*$D533-'Business Case'!G14*$E533))*'Business Case'!$B$7-'Business Case'!$B$8*(('Business Case'!G11*$C533*'Business Case'!G12*$B533)-('Business Case'!F11*$C533*'Business Case'!F12*$B533))-'Business Case'!G15*$F533+'Business Case'!$B$8*('Business Case'!G11*$C533*'Business Case'!G12*$B533)</f>
        <v>1135776978.13212</v>
      </c>
      <c r="N533" s="39" t="n">
        <f aca="false">IF(COUNT('Business Case'!B11:G11)=0,"",H533+NPV(G533,I533:M533))</f>
        <v>-114534235.133036</v>
      </c>
      <c r="P533" s="40" t="n">
        <f aca="true">RAND()</f>
        <v>0.878175362099415</v>
      </c>
      <c r="Q533" s="40" t="n">
        <f aca="true">RAND()</f>
        <v>0.761619173337596</v>
      </c>
      <c r="R533" s="40" t="n">
        <f aca="true">RAND()</f>
        <v>0.0802822492660531</v>
      </c>
      <c r="S533" s="40" t="n">
        <f aca="true">RAND()</f>
        <v>0.460060228311883</v>
      </c>
      <c r="T533" s="40" t="n">
        <f aca="true">RAND()</f>
        <v>0.985332946913118</v>
      </c>
      <c r="U533" s="40" t="n">
        <f aca="true">RAND()</f>
        <v>0.649282172805243</v>
      </c>
    </row>
    <row r="534" customFormat="false" ht="15" hidden="false" customHeight="false" outlineLevel="0" collapsed="false">
      <c r="A534" s="36" t="n">
        <v>454</v>
      </c>
      <c r="B534" s="37" t="n">
        <f aca="false">1+IF($G$6=$E$6,$F$6,IF(P534&lt;($F$6-$E$6)/($G$6-$E$6),$E$6+SQRT(P534*($G$6-$E$6)*($F$6-$E$6)),$G$6-SQRT((1-P534)*($G$6-$E$6)*($G$6-$F$6))))</f>
        <v>1.00692813138971</v>
      </c>
      <c r="C534" s="37" t="n">
        <f aca="false">1+IF($G$7=$E$7,$F$7,IF(Q534&lt;($F$7-$E$7)/($G$7-$E$7),$E$7+SQRT(Q534*($G$7-$E$7)*($F$7-$E$7)),$G$7-SQRT((1-Q534)*($G$7-$E$7)*($G$7-$F$7))))</f>
        <v>0.828645436121991</v>
      </c>
      <c r="D534" s="37" t="n">
        <f aca="false">1+IF($G$8=$E$8,$F$8,IF(R534&lt;($F$8-$E$8)/($G$8-$E$8),$E$8+SQRT(R534*($G$8-$E$8)*($F$8-$E$8)),$G$8-SQRT((1-R534)*($G$8-$E$8)*($G$8-$F$8))))</f>
        <v>0.968364030273264</v>
      </c>
      <c r="E534" s="37" t="n">
        <f aca="false">1+IF($G$9=$E$9,$F$9,IF(S534&lt;($F$9-$E$9)/($G$9-$E$9),$E$9+SQRT(S534*($G$9-$E$9)*($F$9-$E$9)),$G$9-SQRT((1-S534)*($G$9-$E$9)*($G$9-$F$9))))</f>
        <v>0.968613869427324</v>
      </c>
      <c r="F534" s="37" t="n">
        <f aca="false">1+IF($G$10=$E$10,$F$10,IF(T534&lt;($F$10-$E$10)/($G$10-$E$10),$E$10+SQRT(T534*($G$10-$E$10)*($F$10-$E$10)),$G$10-SQRT((1-T534)*($G$10-$E$10)*($G$10-$F$10))))</f>
        <v>1.15530142950366</v>
      </c>
      <c r="G534" s="38" t="n">
        <f aca="false">IF($G$11=$E$11,$F$11,IF(U534&lt;($F$11-$E$11)/($G$11-$E$11),$E$11+SQRT(U534*($G$11-$E$11)*($F$11-$E$11)),$G$11-SQRT((1-U534)*($G$11-$E$11)*($G$11-$F$11))))</f>
        <v>0.0981870547782626</v>
      </c>
      <c r="H534" s="39" t="n">
        <f aca="false">(('Business Case'!B11*$C534*'Business Case'!B12*$B534)-'Business Case'!B11*$C534*'Business Case'!B13*$D534-'Business Case'!B14*$E534)-MAX(0,(('Business Case'!B11*$C534*'Business Case'!B12*$B534)-'Business Case'!B11*$C534*'Business Case'!B13*$D534-'Business Case'!B14*$E534))*'Business Case'!$B$7-'Business Case'!$B$8*('Business Case'!B11*$C534*'Business Case'!B12*$B534)-'Business Case'!B15*$F534</f>
        <v>-2310602859.00732</v>
      </c>
      <c r="I534" s="39" t="n">
        <f aca="false">(('Business Case'!C11*$C534*'Business Case'!C12*$B534)-'Business Case'!C11*$C534*'Business Case'!C13*$D534-'Business Case'!C14*$E534)-MAX(0,(('Business Case'!C11*$C534*'Business Case'!C12*$B534)-'Business Case'!C11*$C534*'Business Case'!C13*$D534-'Business Case'!C14*$E534))*'Business Case'!$B$7-'Business Case'!$B$8*(('Business Case'!C11*$C534*'Business Case'!C12*$B534)-('Business Case'!B11*$C534*'Business Case'!B12*$B534))-'Business Case'!C15*$F534</f>
        <v>-23879276.1648303</v>
      </c>
      <c r="J534" s="39" t="n">
        <f aca="false">(('Business Case'!D11*$C534*'Business Case'!D12*$B534)-'Business Case'!D11*$C534*'Business Case'!D13*$D534-'Business Case'!D14*$E534)-MAX(0,(('Business Case'!D11*$C534*'Business Case'!D12*$B534)-'Business Case'!D11*$C534*'Business Case'!D13*$D534-'Business Case'!D14*$E534))*'Business Case'!$B$7-'Business Case'!$B$8*(('Business Case'!D11*$C534*'Business Case'!D12*$B534)-('Business Case'!C11*$C534*'Business Case'!C12*$B534))-'Business Case'!D15*$F534</f>
        <v>248763073.859282</v>
      </c>
      <c r="K534" s="39" t="n">
        <f aca="false">(('Business Case'!E11*$C534*'Business Case'!E12*$B534)-'Business Case'!E11*$C534*'Business Case'!E13*$D534-'Business Case'!E14*$E534)-MAX(0,(('Business Case'!E11*$C534*'Business Case'!E12*$B534)-'Business Case'!E11*$C534*'Business Case'!E13*$D534-'Business Case'!E14*$E534))*'Business Case'!$B$7-'Business Case'!$B$8*(('Business Case'!E11*$C534*'Business Case'!E12*$B534)-('Business Case'!D11*$C534*'Business Case'!D12*$B534))-'Business Case'!E15*$F534</f>
        <v>579170495.358577</v>
      </c>
      <c r="L534" s="39" t="n">
        <f aca="false">(('Business Case'!F11*$C534*'Business Case'!F12*$B534)-'Business Case'!F11*$C534*'Business Case'!F13*$D534-'Business Case'!F14*$E534)-MAX(0,(('Business Case'!F11*$C534*'Business Case'!F12*$B534)-'Business Case'!F11*$C534*'Business Case'!F13*$D534-'Business Case'!F14*$E534))*'Business Case'!$B$7-'Business Case'!$B$8*(('Business Case'!F11*$C534*'Business Case'!F12*$B534)-('Business Case'!E11*$C534*'Business Case'!E12*$B534))-'Business Case'!F15*$F534</f>
        <v>698887672.703956</v>
      </c>
      <c r="M534" s="39" t="n">
        <f aca="false">(('Business Case'!G11*$C534*'Business Case'!G12*$B534)-'Business Case'!G11*$C534*'Business Case'!G13*$D534-'Business Case'!G14*$E534)-MAX(0,(('Business Case'!G11*$C534*'Business Case'!G12*$B534)-'Business Case'!G11*$C534*'Business Case'!G13*$D534-'Business Case'!G14*$E534))*'Business Case'!$B$7-'Business Case'!$B$8*(('Business Case'!G11*$C534*'Business Case'!G12*$B534)-('Business Case'!F11*$C534*'Business Case'!F12*$B534))-'Business Case'!G15*$F534+'Business Case'!$B$8*('Business Case'!G11*$C534*'Business Case'!G12*$B534)</f>
        <v>857487839.725999</v>
      </c>
      <c r="N534" s="39" t="n">
        <f aca="false">IF(COUNT('Business Case'!B11:G11)=0,"",H534+NPV(G534,I534:M534))</f>
        <v>-671428986.612426</v>
      </c>
      <c r="P534" s="40" t="n">
        <f aca="true">RAND()</f>
        <v>0.772135730546613</v>
      </c>
      <c r="Q534" s="40" t="n">
        <f aca="true">RAND()</f>
        <v>0.0117223001517012</v>
      </c>
      <c r="R534" s="40" t="n">
        <f aca="true">RAND()</f>
        <v>0.0518827089042097</v>
      </c>
      <c r="S534" s="40" t="n">
        <f aca="true">RAND()</f>
        <v>0.0461968180076623</v>
      </c>
      <c r="T534" s="40" t="n">
        <f aca="true">RAND()</f>
        <v>0.960040755911672</v>
      </c>
      <c r="U534" s="40" t="n">
        <f aca="true">RAND()</f>
        <v>0.223426219807578</v>
      </c>
    </row>
    <row r="535" customFormat="false" ht="15" hidden="false" customHeight="false" outlineLevel="0" collapsed="false">
      <c r="A535" s="36" t="n">
        <v>455</v>
      </c>
      <c r="B535" s="37" t="n">
        <f aca="false">1+IF($G$6=$E$6,$F$6,IF(P535&lt;($F$6-$E$6)/($G$6-$E$6),$E$6+SQRT(P535*($G$6-$E$6)*($F$6-$E$6)),$G$6-SQRT((1-P535)*($G$6-$E$6)*($G$6-$F$6))))</f>
        <v>0.987729938847717</v>
      </c>
      <c r="C535" s="37" t="n">
        <f aca="false">1+IF($G$7=$E$7,$F$7,IF(Q535&lt;($F$7-$E$7)/($G$7-$E$7),$E$7+SQRT(Q535*($G$7-$E$7)*($F$7-$E$7)),$G$7-SQRT((1-Q535)*($G$7-$E$7)*($G$7-$F$7))))</f>
        <v>0.963998634405032</v>
      </c>
      <c r="D535" s="37" t="n">
        <f aca="false">1+IF($G$8=$E$8,$F$8,IF(R535&lt;($F$8-$E$8)/($G$8-$E$8),$E$8+SQRT(R535*($G$8-$E$8)*($F$8-$E$8)),$G$8-SQRT((1-R535)*($G$8-$E$8)*($G$8-$F$8))))</f>
        <v>1.00675265055183</v>
      </c>
      <c r="E535" s="37" t="n">
        <f aca="false">1+IF($G$9=$E$9,$F$9,IF(S535&lt;($F$9-$E$9)/($G$9-$E$9),$E$9+SQRT(S535*($G$9-$E$9)*($F$9-$E$9)),$G$9-SQRT((1-S535)*($G$9-$E$9)*($G$9-$F$9))))</f>
        <v>0.987540998126904</v>
      </c>
      <c r="F535" s="37" t="n">
        <f aca="false">1+IF($G$10=$E$10,$F$10,IF(T535&lt;($F$10-$E$10)/($G$10-$E$10),$E$10+SQRT(T535*($G$10-$E$10)*($F$10-$E$10)),$G$10-SQRT((1-T535)*($G$10-$E$10)*($G$10-$F$10))))</f>
        <v>1.09278324028753</v>
      </c>
      <c r="G535" s="38" t="n">
        <f aca="false">IF($G$11=$E$11,$F$11,IF(U535&lt;($F$11-$E$11)/($G$11-$E$11),$E$11+SQRT(U535*($G$11-$E$11)*($F$11-$E$11)),$G$11-SQRT((1-U535)*($G$11-$E$11)*($G$11-$F$11))))</f>
        <v>0.106620037437094</v>
      </c>
      <c r="H535" s="39" t="n">
        <f aca="false">(('Business Case'!B11*$C535*'Business Case'!B12*$B535)-'Business Case'!B11*$C535*'Business Case'!B13*$D535-'Business Case'!B14*$E535)-MAX(0,(('Business Case'!B11*$C535*'Business Case'!B12*$B535)-'Business Case'!B11*$C535*'Business Case'!B13*$D535-'Business Case'!B14*$E535))*'Business Case'!$B$7-'Business Case'!$B$8*('Business Case'!B11*$C535*'Business Case'!B12*$B535)-'Business Case'!B15*$F535</f>
        <v>-2185566480.57505</v>
      </c>
      <c r="I535" s="39" t="n">
        <f aca="false">(('Business Case'!C11*$C535*'Business Case'!C12*$B535)-'Business Case'!C11*$C535*'Business Case'!C13*$D535-'Business Case'!C14*$E535)-MAX(0,(('Business Case'!C11*$C535*'Business Case'!C12*$B535)-'Business Case'!C11*$C535*'Business Case'!C13*$D535-'Business Case'!C14*$E535))*'Business Case'!$B$7-'Business Case'!$B$8*(('Business Case'!C11*$C535*'Business Case'!C12*$B535)-('Business Case'!B11*$C535*'Business Case'!B12*$B535))-'Business Case'!C15*$F535</f>
        <v>-15993668.6519373</v>
      </c>
      <c r="J535" s="39" t="n">
        <f aca="false">(('Business Case'!D11*$C535*'Business Case'!D12*$B535)-'Business Case'!D11*$C535*'Business Case'!D13*$D535-'Business Case'!D14*$E535)-MAX(0,(('Business Case'!D11*$C535*'Business Case'!D12*$B535)-'Business Case'!D11*$C535*'Business Case'!D13*$D535-'Business Case'!D14*$E535))*'Business Case'!$B$7-'Business Case'!$B$8*(('Business Case'!D11*$C535*'Business Case'!D12*$B535)-('Business Case'!C11*$C535*'Business Case'!C12*$B535))-'Business Case'!D15*$F535</f>
        <v>267079825.643499</v>
      </c>
      <c r="K535" s="39" t="n">
        <f aca="false">(('Business Case'!E11*$C535*'Business Case'!E12*$B535)-'Business Case'!E11*$C535*'Business Case'!E13*$D535-'Business Case'!E14*$E535)-MAX(0,(('Business Case'!E11*$C535*'Business Case'!E12*$B535)-'Business Case'!E11*$C535*'Business Case'!E13*$D535-'Business Case'!E14*$E535))*'Business Case'!$B$7-'Business Case'!$B$8*(('Business Case'!E11*$C535*'Business Case'!E12*$B535)-('Business Case'!D11*$C535*'Business Case'!D12*$B535))-'Business Case'!E15*$F535</f>
        <v>604792481.953311</v>
      </c>
      <c r="L535" s="39" t="n">
        <f aca="false">(('Business Case'!F11*$C535*'Business Case'!F12*$B535)-'Business Case'!F11*$C535*'Business Case'!F13*$D535-'Business Case'!F14*$E535)-MAX(0,(('Business Case'!F11*$C535*'Business Case'!F12*$B535)-'Business Case'!F11*$C535*'Business Case'!F13*$D535-'Business Case'!F14*$E535))*'Business Case'!$B$7-'Business Case'!$B$8*(('Business Case'!F11*$C535*'Business Case'!F12*$B535)-('Business Case'!E11*$C535*'Business Case'!E12*$B535))-'Business Case'!F15*$F535</f>
        <v>732057319.375107</v>
      </c>
      <c r="M535" s="39" t="n">
        <f aca="false">(('Business Case'!G11*$C535*'Business Case'!G12*$B535)-'Business Case'!G11*$C535*'Business Case'!G13*$D535-'Business Case'!G14*$E535)-MAX(0,(('Business Case'!G11*$C535*'Business Case'!G12*$B535)-'Business Case'!G11*$C535*'Business Case'!G13*$D535-'Business Case'!G14*$E535))*'Business Case'!$B$7-'Business Case'!$B$8*(('Business Case'!G11*$C535*'Business Case'!G12*$B535)-('Business Case'!F11*$C535*'Business Case'!F12*$B535))-'Business Case'!G15*$F535+'Business Case'!$B$8*('Business Case'!G11*$C535*'Business Case'!G12*$B535)</f>
        <v>913045852.320015</v>
      </c>
      <c r="N535" s="39" t="n">
        <f aca="false">IF(COUNT('Business Case'!B11:G11)=0,"",H535+NPV(G535,I535:M535))</f>
        <v>-497320351.539994</v>
      </c>
      <c r="P535" s="40" t="n">
        <f aca="true">RAND()</f>
        <v>0.477848397532865</v>
      </c>
      <c r="Q535" s="40" t="n">
        <f aca="true">RAND()</f>
        <v>0.384222172667364</v>
      </c>
      <c r="R535" s="40" t="n">
        <f aca="true">RAND()</f>
        <v>0.484117865270963</v>
      </c>
      <c r="S535" s="40" t="n">
        <f aca="true">RAND()</f>
        <v>0.187910205381895</v>
      </c>
      <c r="T535" s="40" t="n">
        <f aca="true">RAND()</f>
        <v>0.770091328735155</v>
      </c>
      <c r="U535" s="40" t="n">
        <f aca="true">RAND()</f>
        <v>0.701627669692061</v>
      </c>
    </row>
    <row r="536" customFormat="false" ht="15" hidden="false" customHeight="false" outlineLevel="0" collapsed="false">
      <c r="A536" s="36" t="n">
        <v>456</v>
      </c>
      <c r="B536" s="37" t="n">
        <f aca="false">1+IF($G$6=$E$6,$F$6,IF(P536&lt;($F$6-$E$6)/($G$6-$E$6),$E$6+SQRT(P536*($G$6-$E$6)*($F$6-$E$6)),$G$6-SQRT((1-P536)*($G$6-$E$6)*($G$6-$F$6))))</f>
        <v>1.00710574321118</v>
      </c>
      <c r="C536" s="37" t="n">
        <f aca="false">1+IF($G$7=$E$7,$F$7,IF(Q536&lt;($F$7-$E$7)/($G$7-$E$7),$E$7+SQRT(Q536*($G$7-$E$7)*($F$7-$E$7)),$G$7-SQRT((1-Q536)*($G$7-$E$7)*($G$7-$F$7))))</f>
        <v>0.895105306105922</v>
      </c>
      <c r="D536" s="37" t="n">
        <f aca="false">1+IF($G$8=$E$8,$F$8,IF(R536&lt;($F$8-$E$8)/($G$8-$E$8),$E$8+SQRT(R536*($G$8-$E$8)*($F$8-$E$8)),$G$8-SQRT((1-R536)*($G$8-$E$8)*($G$8-$F$8))))</f>
        <v>0.997912756143861</v>
      </c>
      <c r="E536" s="37" t="n">
        <f aca="false">1+IF($G$9=$E$9,$F$9,IF(S536&lt;($F$9-$E$9)/($G$9-$E$9),$E$9+SQRT(S536*($G$9-$E$9)*($F$9-$E$9)),$G$9-SQRT((1-S536)*($G$9-$E$9)*($G$9-$F$9))))</f>
        <v>1.00140798900832</v>
      </c>
      <c r="F536" s="37" t="n">
        <f aca="false">1+IF($G$10=$E$10,$F$10,IF(T536&lt;($F$10-$E$10)/($G$10-$E$10),$E$10+SQRT(T536*($G$10-$E$10)*($F$10-$E$10)),$G$10-SQRT((1-T536)*($G$10-$E$10)*($G$10-$F$10))))</f>
        <v>1.03986946243401</v>
      </c>
      <c r="G536" s="38" t="n">
        <f aca="false">IF($G$11=$E$11,$F$11,IF(U536&lt;($F$11-$E$11)/($G$11-$E$11),$E$11+SQRT(U536*($G$11-$E$11)*($F$11-$E$11)),$G$11-SQRT((1-U536)*($G$11-$E$11)*($G$11-$F$11))))</f>
        <v>0.113342010611329</v>
      </c>
      <c r="H536" s="39" t="n">
        <f aca="false">(('Business Case'!B11*$C536*'Business Case'!B12*$B536)-'Business Case'!B11*$C536*'Business Case'!B13*$D536-'Business Case'!B14*$E536)-MAX(0,(('Business Case'!B11*$C536*'Business Case'!B12*$B536)-'Business Case'!B11*$C536*'Business Case'!B13*$D536-'Business Case'!B14*$E536))*'Business Case'!$B$7-'Business Case'!$B$8*('Business Case'!B11*$C536*'Business Case'!B12*$B536)-'Business Case'!B15*$F536</f>
        <v>-2079738924.86802</v>
      </c>
      <c r="I536" s="39" t="n">
        <f aca="false">(('Business Case'!C11*$C536*'Business Case'!C12*$B536)-'Business Case'!C11*$C536*'Business Case'!C13*$D536-'Business Case'!C14*$E536)-MAX(0,(('Business Case'!C11*$C536*'Business Case'!C12*$B536)-'Business Case'!C11*$C536*'Business Case'!C13*$D536-'Business Case'!C14*$E536))*'Business Case'!$B$7-'Business Case'!$B$8*(('Business Case'!C11*$C536*'Business Case'!C12*$B536)-('Business Case'!B11*$C536*'Business Case'!B12*$B536))-'Business Case'!C15*$F536</f>
        <v>-12019721.117199</v>
      </c>
      <c r="J536" s="39" t="n">
        <f aca="false">(('Business Case'!D11*$C536*'Business Case'!D12*$B536)-'Business Case'!D11*$C536*'Business Case'!D13*$D536-'Business Case'!D14*$E536)-MAX(0,(('Business Case'!D11*$C536*'Business Case'!D12*$B536)-'Business Case'!D11*$C536*'Business Case'!D13*$D536-'Business Case'!D14*$E536))*'Business Case'!$B$7-'Business Case'!$B$8*(('Business Case'!D11*$C536*'Business Case'!D12*$B536)-('Business Case'!C11*$C536*'Business Case'!C12*$B536))-'Business Case'!D15*$F536</f>
        <v>269079701.651877</v>
      </c>
      <c r="K536" s="39" t="n">
        <f aca="false">(('Business Case'!E11*$C536*'Business Case'!E12*$B536)-'Business Case'!E11*$C536*'Business Case'!E13*$D536-'Business Case'!E14*$E536)-MAX(0,(('Business Case'!E11*$C536*'Business Case'!E12*$B536)-'Business Case'!E11*$C536*'Business Case'!E13*$D536-'Business Case'!E14*$E536))*'Business Case'!$B$7-'Business Case'!$B$8*(('Business Case'!E11*$C536*'Business Case'!E12*$B536)-('Business Case'!D11*$C536*'Business Case'!D12*$B536))-'Business Case'!E15*$F536</f>
        <v>602172597.542654</v>
      </c>
      <c r="L536" s="39" t="n">
        <f aca="false">(('Business Case'!F11*$C536*'Business Case'!F12*$B536)-'Business Case'!F11*$C536*'Business Case'!F13*$D536-'Business Case'!F14*$E536)-MAX(0,(('Business Case'!F11*$C536*'Business Case'!F12*$B536)-'Business Case'!F11*$C536*'Business Case'!F13*$D536-'Business Case'!F14*$E536))*'Business Case'!$B$7-'Business Case'!$B$8*(('Business Case'!F11*$C536*'Business Case'!F12*$B536)-('Business Case'!E11*$C536*'Business Case'!E12*$B536))-'Business Case'!F15*$F536</f>
        <v>727027059.536273</v>
      </c>
      <c r="M536" s="39" t="n">
        <f aca="false">(('Business Case'!G11*$C536*'Business Case'!G12*$B536)-'Business Case'!G11*$C536*'Business Case'!G13*$D536-'Business Case'!G14*$E536)-MAX(0,(('Business Case'!G11*$C536*'Business Case'!G12*$B536)-'Business Case'!G11*$C536*'Business Case'!G13*$D536-'Business Case'!G14*$E536))*'Business Case'!$B$7-'Business Case'!$B$8*(('Business Case'!G11*$C536*'Business Case'!G12*$B536)-('Business Case'!F11*$C536*'Business Case'!F12*$B536))-'Business Case'!G15*$F536+'Business Case'!$B$8*('Business Case'!G11*$C536*'Business Case'!G12*$B536)</f>
        <v>898377658.757872</v>
      </c>
      <c r="N536" s="39" t="n">
        <f aca="false">IF(COUNT('Business Case'!B11:G11)=0,"",H536+NPV(G536,I536:M536))</f>
        <v>-438722720.638521</v>
      </c>
      <c r="P536" s="40" t="n">
        <f aca="true">RAND()</f>
        <v>0.774576639648139</v>
      </c>
      <c r="Q536" s="40" t="n">
        <f aca="true">RAND()</f>
        <v>0.129214560707159</v>
      </c>
      <c r="R536" s="40" t="n">
        <f aca="true">RAND()</f>
        <v>0.353174184815545</v>
      </c>
      <c r="S536" s="40" t="n">
        <f aca="true">RAND()</f>
        <v>0.351974357907794</v>
      </c>
      <c r="T536" s="40" t="n">
        <f aca="true">RAND()</f>
        <v>0.48716421877655</v>
      </c>
      <c r="U536" s="40" t="n">
        <f aca="true">RAND()</f>
        <v>0.926118628833916</v>
      </c>
    </row>
    <row r="537" customFormat="false" ht="15" hidden="false" customHeight="false" outlineLevel="0" collapsed="false">
      <c r="A537" s="36" t="n">
        <v>457</v>
      </c>
      <c r="B537" s="37" t="n">
        <f aca="false">1+IF($G$6=$E$6,$F$6,IF(P537&lt;($F$6-$E$6)/($G$6-$E$6),$E$6+SQRT(P537*($G$6-$E$6)*($F$6-$E$6)),$G$6-SQRT((1-P537)*($G$6-$E$6)*($G$6-$F$6))))</f>
        <v>1.01470492672647</v>
      </c>
      <c r="C537" s="37" t="n">
        <f aca="false">1+IF($G$7=$E$7,$F$7,IF(Q537&lt;($F$7-$E$7)/($G$7-$E$7),$E$7+SQRT(Q537*($G$7-$E$7)*($F$7-$E$7)),$G$7-SQRT((1-Q537)*($G$7-$E$7)*($G$7-$F$7))))</f>
        <v>1.09048772943275</v>
      </c>
      <c r="D537" s="37" t="n">
        <f aca="false">1+IF($G$8=$E$8,$F$8,IF(R537&lt;($F$8-$E$8)/($G$8-$E$8),$E$8+SQRT(R537*($G$8-$E$8)*($F$8-$E$8)),$G$8-SQRT((1-R537)*($G$8-$E$8)*($G$8-$F$8))))</f>
        <v>0.96627236758591</v>
      </c>
      <c r="E537" s="37" t="n">
        <f aca="false">1+IF($G$9=$E$9,$F$9,IF(S537&lt;($F$9-$E$9)/($G$9-$E$9),$E$9+SQRT(S537*($G$9-$E$9)*($F$9-$E$9)),$G$9-SQRT((1-S537)*($G$9-$E$9)*($G$9-$F$9))))</f>
        <v>0.991720376722878</v>
      </c>
      <c r="F537" s="37" t="n">
        <f aca="false">1+IF($G$10=$E$10,$F$10,IF(T537&lt;($F$10-$E$10)/($G$10-$E$10),$E$10+SQRT(T537*($G$10-$E$10)*($F$10-$E$10)),$G$10-SQRT((1-T537)*($G$10-$E$10)*($G$10-$F$10))))</f>
        <v>1.05530307808827</v>
      </c>
      <c r="G537" s="38" t="n">
        <f aca="false">IF($G$11=$E$11,$F$11,IF(U537&lt;($F$11-$E$11)/($G$11-$E$11),$E$11+SQRT(U537*($G$11-$E$11)*($F$11-$E$11)),$G$11-SQRT((1-U537)*($G$11-$E$11)*($G$11-$F$11))))</f>
        <v>0.108302847345234</v>
      </c>
      <c r="H537" s="39" t="n">
        <f aca="false">(('Business Case'!B11*$C537*'Business Case'!B12*$B537)-'Business Case'!B11*$C537*'Business Case'!B13*$D537-'Business Case'!B14*$E537)-MAX(0,(('Business Case'!B11*$C537*'Business Case'!B12*$B537)-'Business Case'!B11*$C537*'Business Case'!B13*$D537-'Business Case'!B14*$E537))*'Business Case'!$B$7-'Business Case'!$B$8*('Business Case'!B11*$C537*'Business Case'!B12*$B537)-'Business Case'!B15*$F537</f>
        <v>-2110606156.17655</v>
      </c>
      <c r="I537" s="39" t="n">
        <f aca="false">(('Business Case'!C11*$C537*'Business Case'!C12*$B537)-'Business Case'!C11*$C537*'Business Case'!C13*$D537-'Business Case'!C14*$E537)-MAX(0,(('Business Case'!C11*$C537*'Business Case'!C12*$B537)-'Business Case'!C11*$C537*'Business Case'!C13*$D537-'Business Case'!C14*$E537))*'Business Case'!$B$7-'Business Case'!$B$8*(('Business Case'!C11*$C537*'Business Case'!C12*$B537)-('Business Case'!B11*$C537*'Business Case'!B12*$B537))-'Business Case'!C15*$F537</f>
        <v>62992835.9897691</v>
      </c>
      <c r="J537" s="39" t="n">
        <f aca="false">(('Business Case'!D11*$C537*'Business Case'!D12*$B537)-'Business Case'!D11*$C537*'Business Case'!D13*$D537-'Business Case'!D14*$E537)-MAX(0,(('Business Case'!D11*$C537*'Business Case'!D12*$B537)-'Business Case'!D11*$C537*'Business Case'!D13*$D537-'Business Case'!D14*$E537))*'Business Case'!$B$7-'Business Case'!$B$8*(('Business Case'!D11*$C537*'Business Case'!D12*$B537)-('Business Case'!C11*$C537*'Business Case'!C12*$B537))-'Business Case'!D15*$F537</f>
        <v>429900783.757593</v>
      </c>
      <c r="K537" s="39" t="n">
        <f aca="false">(('Business Case'!E11*$C537*'Business Case'!E12*$B537)-'Business Case'!E11*$C537*'Business Case'!E13*$D537-'Business Case'!E14*$E537)-MAX(0,(('Business Case'!E11*$C537*'Business Case'!E12*$B537)-'Business Case'!E11*$C537*'Business Case'!E13*$D537-'Business Case'!E14*$E537))*'Business Case'!$B$7-'Business Case'!$B$8*(('Business Case'!E11*$C537*'Business Case'!E12*$B537)-('Business Case'!D11*$C537*'Business Case'!D12*$B537))-'Business Case'!E15*$F537</f>
        <v>849573885.429831</v>
      </c>
      <c r="L537" s="39" t="n">
        <f aca="false">(('Business Case'!F11*$C537*'Business Case'!F12*$B537)-'Business Case'!F11*$C537*'Business Case'!F13*$D537-'Business Case'!F14*$E537)-MAX(0,(('Business Case'!F11*$C537*'Business Case'!F12*$B537)-'Business Case'!F11*$C537*'Business Case'!F13*$D537-'Business Case'!F14*$E537))*'Business Case'!$B$7-'Business Case'!$B$8*(('Business Case'!F11*$C537*'Business Case'!F12*$B537)-('Business Case'!E11*$C537*'Business Case'!E12*$B537))-'Business Case'!F15*$F537</f>
        <v>1010117978.95193</v>
      </c>
      <c r="M537" s="39" t="n">
        <f aca="false">(('Business Case'!G11*$C537*'Business Case'!G12*$B537)-'Business Case'!G11*$C537*'Business Case'!G13*$D537-'Business Case'!G14*$E537)-MAX(0,(('Business Case'!G11*$C537*'Business Case'!G12*$B537)-'Business Case'!G11*$C537*'Business Case'!G13*$D537-'Business Case'!G14*$E537))*'Business Case'!$B$7-'Business Case'!$B$8*(('Business Case'!G11*$C537*'Business Case'!G12*$B537)-('Business Case'!F11*$C537*'Business Case'!F12*$B537))-'Business Case'!G15*$F537+'Business Case'!$B$8*('Business Case'!G11*$C537*'Business Case'!G12*$B537)</f>
        <v>1220445922.41579</v>
      </c>
      <c r="N537" s="39" t="n">
        <f aca="false">IF(COUNT('Business Case'!B11:G11)=0,"",H537+NPV(G537,I537:M537))</f>
        <v>319595590.919015</v>
      </c>
      <c r="P537" s="40" t="n">
        <f aca="true">RAND()</f>
        <v>0.866699847518041</v>
      </c>
      <c r="Q537" s="40" t="n">
        <f aca="true">RAND()</f>
        <v>0.932538850512965</v>
      </c>
      <c r="R537" s="40" t="n">
        <f aca="true">RAND()</f>
        <v>0.0407369149001487</v>
      </c>
      <c r="S537" s="40" t="n">
        <f aca="true">RAND()</f>
        <v>0.232078644519847</v>
      </c>
      <c r="T537" s="40" t="n">
        <f aca="true">RAND()</f>
        <v>0.581256015785431</v>
      </c>
      <c r="U537" s="40" t="n">
        <f aca="true">RAND()</f>
        <v>0.771961032951852</v>
      </c>
    </row>
    <row r="538" customFormat="false" ht="15" hidden="false" customHeight="false" outlineLevel="0" collapsed="false">
      <c r="A538" s="36" t="n">
        <v>458</v>
      </c>
      <c r="B538" s="37" t="n">
        <f aca="false">1+IF($G$6=$E$6,$F$6,IF(P538&lt;($F$6-$E$6)/($G$6-$E$6),$E$6+SQRT(P538*($G$6-$E$6)*($F$6-$E$6)),$G$6-SQRT((1-P538)*($G$6-$E$6)*($G$6-$F$6))))</f>
        <v>0.99685331511749</v>
      </c>
      <c r="C538" s="37" t="n">
        <f aca="false">1+IF($G$7=$E$7,$F$7,IF(Q538&lt;($F$7-$E$7)/($G$7-$E$7),$E$7+SQRT(Q538*($G$7-$E$7)*($F$7-$E$7)),$G$7-SQRT((1-Q538)*($G$7-$E$7)*($G$7-$F$7))))</f>
        <v>0.886891591429109</v>
      </c>
      <c r="D538" s="37" t="n">
        <f aca="false">1+IF($G$8=$E$8,$F$8,IF(R538&lt;($F$8-$E$8)/($G$8-$E$8),$E$8+SQRT(R538*($G$8-$E$8)*($F$8-$E$8)),$G$8-SQRT((1-R538)*($G$8-$E$8)*($G$8-$F$8))))</f>
        <v>0.96609449766046</v>
      </c>
      <c r="E538" s="37" t="n">
        <f aca="false">1+IF($G$9=$E$9,$F$9,IF(S538&lt;($F$9-$E$9)/($G$9-$E$9),$E$9+SQRT(S538*($G$9-$E$9)*($F$9-$E$9)),$G$9-SQRT((1-S538)*($G$9-$E$9)*($G$9-$F$9))))</f>
        <v>0.998919300362502</v>
      </c>
      <c r="F538" s="37" t="n">
        <f aca="false">1+IF($G$10=$E$10,$F$10,IF(T538&lt;($F$10-$E$10)/($G$10-$E$10),$E$10+SQRT(T538*($G$10-$E$10)*($F$10-$E$10)),$G$10-SQRT((1-T538)*($G$10-$E$10)*($G$10-$F$10))))</f>
        <v>0.996730988468469</v>
      </c>
      <c r="G538" s="38" t="n">
        <f aca="false">IF($G$11=$E$11,$F$11,IF(U538&lt;($F$11-$E$11)/($G$11-$E$11),$E$11+SQRT(U538*($G$11-$E$11)*($F$11-$E$11)),$G$11-SQRT((1-U538)*($G$11-$E$11)*($G$11-$F$11))))</f>
        <v>0.0957843955792485</v>
      </c>
      <c r="H538" s="39" t="n">
        <f aca="false">(('Business Case'!B11*$C538*'Business Case'!B12*$B538)-'Business Case'!B11*$C538*'Business Case'!B13*$D538-'Business Case'!B14*$E538)-MAX(0,(('Business Case'!B11*$C538*'Business Case'!B12*$B538)-'Business Case'!B11*$C538*'Business Case'!B13*$D538-'Business Case'!B14*$E538))*'Business Case'!$B$7-'Business Case'!$B$8*('Business Case'!B11*$C538*'Business Case'!B12*$B538)-'Business Case'!B15*$F538</f>
        <v>-1993461976.93694</v>
      </c>
      <c r="I538" s="39" t="n">
        <f aca="false">(('Business Case'!C11*$C538*'Business Case'!C12*$B538)-'Business Case'!C11*$C538*'Business Case'!C13*$D538-'Business Case'!C14*$E538)-MAX(0,(('Business Case'!C11*$C538*'Business Case'!C12*$B538)-'Business Case'!C11*$C538*'Business Case'!C13*$D538-'Business Case'!C14*$E538))*'Business Case'!$B$7-'Business Case'!$B$8*(('Business Case'!C11*$C538*'Business Case'!C12*$B538)-('Business Case'!B11*$C538*'Business Case'!B12*$B538))-'Business Case'!C15*$F538</f>
        <v>-2032831.27745949</v>
      </c>
      <c r="J538" s="39" t="n">
        <f aca="false">(('Business Case'!D11*$C538*'Business Case'!D12*$B538)-'Business Case'!D11*$C538*'Business Case'!D13*$D538-'Business Case'!D14*$E538)-MAX(0,(('Business Case'!D11*$C538*'Business Case'!D12*$B538)-'Business Case'!D11*$C538*'Business Case'!D13*$D538-'Business Case'!D14*$E538))*'Business Case'!$B$7-'Business Case'!$B$8*(('Business Case'!D11*$C538*'Business Case'!D12*$B538)-('Business Case'!C11*$C538*'Business Case'!C12*$B538))-'Business Case'!D15*$F538</f>
        <v>283485547.471214</v>
      </c>
      <c r="K538" s="39" t="n">
        <f aca="false">(('Business Case'!E11*$C538*'Business Case'!E12*$B538)-'Business Case'!E11*$C538*'Business Case'!E13*$D538-'Business Case'!E14*$E538)-MAX(0,(('Business Case'!E11*$C538*'Business Case'!E12*$B538)-'Business Case'!E11*$C538*'Business Case'!E13*$D538-'Business Case'!E14*$E538))*'Business Case'!$B$7-'Business Case'!$B$8*(('Business Case'!E11*$C538*'Business Case'!E12*$B538)-('Business Case'!D11*$C538*'Business Case'!D12*$B538))-'Business Case'!E15*$F538</f>
        <v>618840475.64331</v>
      </c>
      <c r="L538" s="39" t="n">
        <f aca="false">(('Business Case'!F11*$C538*'Business Case'!F12*$B538)-'Business Case'!F11*$C538*'Business Case'!F13*$D538-'Business Case'!F14*$E538)-MAX(0,(('Business Case'!F11*$C538*'Business Case'!F12*$B538)-'Business Case'!F11*$C538*'Business Case'!F13*$D538-'Business Case'!F14*$E538))*'Business Case'!$B$7-'Business Case'!$B$8*(('Business Case'!F11*$C538*'Business Case'!F12*$B538)-('Business Case'!E11*$C538*'Business Case'!E12*$B538))-'Business Case'!F15*$F538</f>
        <v>744567793.004693</v>
      </c>
      <c r="M538" s="39" t="n">
        <f aca="false">(('Business Case'!G11*$C538*'Business Case'!G12*$B538)-'Business Case'!G11*$C538*'Business Case'!G13*$D538-'Business Case'!G14*$E538)-MAX(0,(('Business Case'!G11*$C538*'Business Case'!G12*$B538)-'Business Case'!G11*$C538*'Business Case'!G13*$D538-'Business Case'!G14*$E538))*'Business Case'!$B$7-'Business Case'!$B$8*(('Business Case'!G11*$C538*'Business Case'!G12*$B538)-('Business Case'!F11*$C538*'Business Case'!F12*$B538))-'Business Case'!G15*$F538+'Business Case'!$B$8*('Business Case'!G11*$C538*'Business Case'!G12*$B538)</f>
        <v>912617677.453066</v>
      </c>
      <c r="N538" s="39" t="n">
        <f aca="false">IF(COUNT('Business Case'!B11:G11)=0,"",H538+NPV(G538,I538:M538))</f>
        <v>-194825725.288256</v>
      </c>
      <c r="P538" s="40" t="n">
        <f aca="true">RAND()</f>
        <v>0.615253337973767</v>
      </c>
      <c r="Q538" s="40" t="n">
        <f aca="true">RAND()</f>
        <v>0.107859266586902</v>
      </c>
      <c r="R538" s="40" t="n">
        <f aca="true">RAND()</f>
        <v>0.0398512084526979</v>
      </c>
      <c r="S538" s="40" t="n">
        <f aca="true">RAND()</f>
        <v>0.319079726394223</v>
      </c>
      <c r="T538" s="40" t="n">
        <f aca="true">RAND()</f>
        <v>0.174702822659215</v>
      </c>
      <c r="U538" s="40" t="n">
        <f aca="true">RAND()</f>
        <v>0.111530774057431</v>
      </c>
    </row>
    <row r="539" customFormat="false" ht="15" hidden="false" customHeight="false" outlineLevel="0" collapsed="false">
      <c r="A539" s="36" t="n">
        <v>459</v>
      </c>
      <c r="B539" s="37" t="n">
        <f aca="false">1+IF($G$6=$E$6,$F$6,IF(P539&lt;($F$6-$E$6)/($G$6-$E$6),$E$6+SQRT(P539*($G$6-$E$6)*($F$6-$E$6)),$G$6-SQRT((1-P539)*($G$6-$E$6)*($G$6-$F$6))))</f>
        <v>1.01711495910357</v>
      </c>
      <c r="C539" s="37" t="n">
        <f aca="false">1+IF($G$7=$E$7,$F$7,IF(Q539&lt;($F$7-$E$7)/($G$7-$E$7),$E$7+SQRT(Q539*($G$7-$E$7)*($F$7-$E$7)),$G$7-SQRT((1-Q539)*($G$7-$E$7)*($G$7-$F$7))))</f>
        <v>0.924655067479686</v>
      </c>
      <c r="D539" s="37" t="n">
        <f aca="false">1+IF($G$8=$E$8,$F$8,IF(R539&lt;($F$8-$E$8)/($G$8-$E$8),$E$8+SQRT(R539*($G$8-$E$8)*($F$8-$E$8)),$G$8-SQRT((1-R539)*($G$8-$E$8)*($G$8-$F$8))))</f>
        <v>0.992314903343993</v>
      </c>
      <c r="E539" s="37" t="n">
        <f aca="false">1+IF($G$9=$E$9,$F$9,IF(S539&lt;($F$9-$E$9)/($G$9-$E$9),$E$9+SQRT(S539*($G$9-$E$9)*($F$9-$E$9)),$G$9-SQRT((1-S539)*($G$9-$E$9)*($G$9-$F$9))))</f>
        <v>0.972828122142385</v>
      </c>
      <c r="F539" s="37" t="n">
        <f aca="false">1+IF($G$10=$E$10,$F$10,IF(T539&lt;($F$10-$E$10)/($G$10-$E$10),$E$10+SQRT(T539*($G$10-$E$10)*($F$10-$E$10)),$G$10-SQRT((1-T539)*($G$10-$E$10)*($G$10-$F$10))))</f>
        <v>1.03128044277183</v>
      </c>
      <c r="G539" s="38" t="n">
        <f aca="false">IF($G$11=$E$11,$F$11,IF(U539&lt;($F$11-$E$11)/($G$11-$E$11),$E$11+SQRT(U539*($G$11-$E$11)*($F$11-$E$11)),$G$11-SQRT((1-U539)*($G$11-$E$11)*($G$11-$F$11))))</f>
        <v>0.11119785304473</v>
      </c>
      <c r="H539" s="39" t="n">
        <f aca="false">(('Business Case'!B11*$C539*'Business Case'!B12*$B539)-'Business Case'!B11*$C539*'Business Case'!B13*$D539-'Business Case'!B14*$E539)-MAX(0,(('Business Case'!B11*$C539*'Business Case'!B12*$B539)-'Business Case'!B11*$C539*'Business Case'!B13*$D539-'Business Case'!B14*$E539))*'Business Case'!$B$7-'Business Case'!$B$8*('Business Case'!B11*$C539*'Business Case'!B12*$B539)-'Business Case'!B15*$F539</f>
        <v>-2062560885.54366</v>
      </c>
      <c r="I539" s="39" t="n">
        <f aca="false">(('Business Case'!C11*$C539*'Business Case'!C12*$B539)-'Business Case'!C11*$C539*'Business Case'!C13*$D539-'Business Case'!C14*$E539)-MAX(0,(('Business Case'!C11*$C539*'Business Case'!C12*$B539)-'Business Case'!C11*$C539*'Business Case'!C13*$D539-'Business Case'!C14*$E539))*'Business Case'!$B$7-'Business Case'!$B$8*(('Business Case'!C11*$C539*'Business Case'!C12*$B539)-('Business Case'!B11*$C539*'Business Case'!B12*$B539))-'Business Case'!C15*$F539</f>
        <v>10390846.5253155</v>
      </c>
      <c r="J539" s="39" t="n">
        <f aca="false">(('Business Case'!D11*$C539*'Business Case'!D12*$B539)-'Business Case'!D11*$C539*'Business Case'!D13*$D539-'Business Case'!D14*$E539)-MAX(0,(('Business Case'!D11*$C539*'Business Case'!D12*$B539)-'Business Case'!D11*$C539*'Business Case'!D13*$D539-'Business Case'!D14*$E539))*'Business Case'!$B$7-'Business Case'!$B$8*(('Business Case'!D11*$C539*'Business Case'!D12*$B539)-('Business Case'!C11*$C539*'Business Case'!C12*$B539))-'Business Case'!D15*$F539</f>
        <v>311000405.475792</v>
      </c>
      <c r="K539" s="39" t="n">
        <f aca="false">(('Business Case'!E11*$C539*'Business Case'!E12*$B539)-'Business Case'!E11*$C539*'Business Case'!E13*$D539-'Business Case'!E14*$E539)-MAX(0,(('Business Case'!E11*$C539*'Business Case'!E12*$B539)-'Business Case'!E11*$C539*'Business Case'!E13*$D539-'Business Case'!E14*$E539))*'Business Case'!$B$7-'Business Case'!$B$8*(('Business Case'!E11*$C539*'Business Case'!E12*$B539)-('Business Case'!D11*$C539*'Business Case'!D12*$B539))-'Business Case'!E15*$F539</f>
        <v>663173986.564861</v>
      </c>
      <c r="L539" s="39" t="n">
        <f aca="false">(('Business Case'!F11*$C539*'Business Case'!F12*$B539)-'Business Case'!F11*$C539*'Business Case'!F13*$D539-'Business Case'!F14*$E539)-MAX(0,(('Business Case'!F11*$C539*'Business Case'!F12*$B539)-'Business Case'!F11*$C539*'Business Case'!F13*$D539-'Business Case'!F14*$E539))*'Business Case'!$B$7-'Business Case'!$B$8*(('Business Case'!F11*$C539*'Business Case'!F12*$B539)-('Business Case'!E11*$C539*'Business Case'!E12*$B539))-'Business Case'!F15*$F539</f>
        <v>795880179.00124</v>
      </c>
      <c r="M539" s="39" t="n">
        <f aca="false">(('Business Case'!G11*$C539*'Business Case'!G12*$B539)-'Business Case'!G11*$C539*'Business Case'!G13*$D539-'Business Case'!G14*$E539)-MAX(0,(('Business Case'!G11*$C539*'Business Case'!G12*$B539)-'Business Case'!G11*$C539*'Business Case'!G13*$D539-'Business Case'!G14*$E539))*'Business Case'!$B$7-'Business Case'!$B$8*(('Business Case'!G11*$C539*'Business Case'!G12*$B539)-('Business Case'!F11*$C539*'Business Case'!F12*$B539))-'Business Case'!G15*$F539+'Business Case'!$B$8*('Business Case'!G11*$C539*'Business Case'!G12*$B539)</f>
        <v>974646712.658788</v>
      </c>
      <c r="N539" s="39" t="n">
        <f aca="false">IF(COUNT('Business Case'!B11:G11)=0,"",H539+NPV(G539,I539:M539))</f>
        <v>-220689726.225656</v>
      </c>
      <c r="P539" s="40" t="n">
        <f aca="true">RAND()</f>
        <v>0.890890604826804</v>
      </c>
      <c r="Q539" s="40" t="n">
        <f aca="true">RAND()</f>
        <v>0.221984083548072</v>
      </c>
      <c r="R539" s="40" t="n">
        <f aca="true">RAND()</f>
        <v>0.275469391540229</v>
      </c>
      <c r="S539" s="40" t="n">
        <f aca="true">RAND()</f>
        <v>0.0694830880730208</v>
      </c>
      <c r="T539" s="40" t="n">
        <f aca="true">RAND()</f>
        <v>0.430674220174594</v>
      </c>
      <c r="U539" s="40" t="n">
        <f aca="true">RAND()</f>
        <v>0.870870348296381</v>
      </c>
    </row>
    <row r="540" customFormat="false" ht="15" hidden="false" customHeight="false" outlineLevel="0" collapsed="false">
      <c r="A540" s="36" t="n">
        <v>460</v>
      </c>
      <c r="B540" s="37" t="n">
        <f aca="false">1+IF($G$6=$E$6,$F$6,IF(P540&lt;($F$6-$E$6)/($G$6-$E$6),$E$6+SQRT(P540*($G$6-$E$6)*($F$6-$E$6)),$G$6-SQRT((1-P540)*($G$6-$E$6)*($G$6-$F$6))))</f>
        <v>0.97996415042521</v>
      </c>
      <c r="C540" s="37" t="n">
        <f aca="false">1+IF($G$7=$E$7,$F$7,IF(Q540&lt;($F$7-$E$7)/($G$7-$E$7),$E$7+SQRT(Q540*($G$7-$E$7)*($F$7-$E$7)),$G$7-SQRT((1-Q540)*($G$7-$E$7)*($G$7-$F$7))))</f>
        <v>1.07364711132109</v>
      </c>
      <c r="D540" s="37" t="n">
        <f aca="false">1+IF($G$8=$E$8,$F$8,IF(R540&lt;($F$8-$E$8)/($G$8-$E$8),$E$8+SQRT(R540*($G$8-$E$8)*($F$8-$E$8)),$G$8-SQRT((1-R540)*($G$8-$E$8)*($G$8-$F$8))))</f>
        <v>1.01867821559236</v>
      </c>
      <c r="E540" s="37" t="n">
        <f aca="false">1+IF($G$9=$E$9,$F$9,IF(S540&lt;($F$9-$E$9)/($G$9-$E$9),$E$9+SQRT(S540*($G$9-$E$9)*($F$9-$E$9)),$G$9-SQRT((1-S540)*($G$9-$E$9)*($G$9-$F$9))))</f>
        <v>1.02117741209134</v>
      </c>
      <c r="F540" s="37" t="n">
        <f aca="false">1+IF($G$10=$E$10,$F$10,IF(T540&lt;($F$10-$E$10)/($G$10-$E$10),$E$10+SQRT(T540*($G$10-$E$10)*($F$10-$E$10)),$G$10-SQRT((1-T540)*($G$10-$E$10)*($G$10-$F$10))))</f>
        <v>1.00952058265703</v>
      </c>
      <c r="G540" s="38" t="n">
        <f aca="false">IF($G$11=$E$11,$F$11,IF(U540&lt;($F$11-$E$11)/($G$11-$E$11),$E$11+SQRT(U540*($G$11-$E$11)*($F$11-$E$11)),$G$11-SQRT((1-U540)*($G$11-$E$11)*($G$11-$F$11))))</f>
        <v>0.118187081413988</v>
      </c>
      <c r="H540" s="39" t="n">
        <f aca="false">(('Business Case'!B11*$C540*'Business Case'!B12*$B540)-'Business Case'!B11*$C540*'Business Case'!B13*$D540-'Business Case'!B14*$E540)-MAX(0,(('Business Case'!B11*$C540*'Business Case'!B12*$B540)-'Business Case'!B11*$C540*'Business Case'!B13*$D540-'Business Case'!B14*$E540))*'Business Case'!$B$7-'Business Case'!$B$8*('Business Case'!B11*$C540*'Business Case'!B12*$B540)-'Business Case'!B15*$F540</f>
        <v>-2019041165.31405</v>
      </c>
      <c r="I540" s="39" t="n">
        <f aca="false">(('Business Case'!C11*$C540*'Business Case'!C12*$B540)-'Business Case'!C11*$C540*'Business Case'!C13*$D540-'Business Case'!C14*$E540)-MAX(0,(('Business Case'!C11*$C540*'Business Case'!C12*$B540)-'Business Case'!C11*$C540*'Business Case'!C13*$D540-'Business Case'!C14*$E540))*'Business Case'!$B$7-'Business Case'!$B$8*(('Business Case'!C11*$C540*'Business Case'!C12*$B540)-('Business Case'!B11*$C540*'Business Case'!B12*$B540))-'Business Case'!C15*$F540</f>
        <v>1181298.46054938</v>
      </c>
      <c r="J540" s="39" t="n">
        <f aca="false">(('Business Case'!D11*$C540*'Business Case'!D12*$B540)-'Business Case'!D11*$C540*'Business Case'!D13*$D540-'Business Case'!D14*$E540)-MAX(0,(('Business Case'!D11*$C540*'Business Case'!D12*$B540)-'Business Case'!D11*$C540*'Business Case'!D13*$D540-'Business Case'!D14*$E540))*'Business Case'!$B$7-'Business Case'!$B$8*(('Business Case'!D11*$C540*'Business Case'!D12*$B540)-('Business Case'!C11*$C540*'Business Case'!C12*$B540))-'Business Case'!D15*$F540</f>
        <v>303068796.80122</v>
      </c>
      <c r="K540" s="39" t="n">
        <f aca="false">(('Business Case'!E11*$C540*'Business Case'!E12*$B540)-'Business Case'!E11*$C540*'Business Case'!E13*$D540-'Business Case'!E14*$E540)-MAX(0,(('Business Case'!E11*$C540*'Business Case'!E12*$B540)-'Business Case'!E11*$C540*'Business Case'!E13*$D540-'Business Case'!E14*$E540))*'Business Case'!$B$7-'Business Case'!$B$8*(('Business Case'!E11*$C540*'Business Case'!E12*$B540)-('Business Case'!D11*$C540*'Business Case'!D12*$B540))-'Business Case'!E15*$F540</f>
        <v>655432324.274741</v>
      </c>
      <c r="L540" s="39" t="n">
        <f aca="false">(('Business Case'!F11*$C540*'Business Case'!F12*$B540)-'Business Case'!F11*$C540*'Business Case'!F13*$D540-'Business Case'!F14*$E540)-MAX(0,(('Business Case'!F11*$C540*'Business Case'!F12*$B540)-'Business Case'!F11*$C540*'Business Case'!F13*$D540-'Business Case'!F14*$E540))*'Business Case'!$B$7-'Business Case'!$B$8*(('Business Case'!F11*$C540*'Business Case'!F12*$B540)-('Business Case'!E11*$C540*'Business Case'!E12*$B540))-'Business Case'!F15*$F540</f>
        <v>792423299.464984</v>
      </c>
      <c r="M540" s="39" t="n">
        <f aca="false">(('Business Case'!G11*$C540*'Business Case'!G12*$B540)-'Business Case'!G11*$C540*'Business Case'!G13*$D540-'Business Case'!G14*$E540)-MAX(0,(('Business Case'!G11*$C540*'Business Case'!G12*$B540)-'Business Case'!G11*$C540*'Business Case'!G13*$D540-'Business Case'!G14*$E540))*'Business Case'!$B$7-'Business Case'!$B$8*(('Business Case'!G11*$C540*'Business Case'!G12*$B540)-('Business Case'!F11*$C540*'Business Case'!F12*$B540))-'Business Case'!G15*$F540+'Business Case'!$B$8*('Business Case'!G11*$C540*'Business Case'!G12*$B540)</f>
        <v>992413249.386757</v>
      </c>
      <c r="N540" s="39" t="n">
        <f aca="false">IF(COUNT('Business Case'!B11:G11)=0,"",H540+NPV(G540,I540:M540))</f>
        <v>-232224543.604121</v>
      </c>
      <c r="P540" s="40" t="n">
        <f aca="true">RAND()</f>
        <v>0.374552014189295</v>
      </c>
      <c r="Q540" s="40" t="n">
        <f aca="true">RAND()</f>
        <v>0.88895688362641</v>
      </c>
      <c r="R540" s="40" t="n">
        <f aca="true">RAND()</f>
        <v>0.638426803563768</v>
      </c>
      <c r="S540" s="40" t="n">
        <f aca="true">RAND()</f>
        <v>0.585799975692152</v>
      </c>
      <c r="T540" s="40" t="n">
        <f aca="true">RAND()</f>
        <v>0.27435183137362</v>
      </c>
      <c r="U540" s="40" t="n">
        <f aca="true">RAND()</f>
        <v>0.994522210334154</v>
      </c>
    </row>
    <row r="541" customFormat="false" ht="15" hidden="false" customHeight="false" outlineLevel="0" collapsed="false">
      <c r="A541" s="36" t="n">
        <v>461</v>
      </c>
      <c r="B541" s="37" t="n">
        <f aca="false">1+IF($G$6=$E$6,$F$6,IF(P541&lt;($F$6-$E$6)/($G$6-$E$6),$E$6+SQRT(P541*($G$6-$E$6)*($F$6-$E$6)),$G$6-SQRT((1-P541)*($G$6-$E$6)*($G$6-$F$6))))</f>
        <v>0.996952010825612</v>
      </c>
      <c r="C541" s="37" t="n">
        <f aca="false">1+IF($G$7=$E$7,$F$7,IF(Q541&lt;($F$7-$E$7)/($G$7-$E$7),$E$7+SQRT(Q541*($G$7-$E$7)*($F$7-$E$7)),$G$7-SQRT((1-Q541)*($G$7-$E$7)*($G$7-$F$7))))</f>
        <v>0.922229532967266</v>
      </c>
      <c r="D541" s="37" t="n">
        <f aca="false">1+IF($G$8=$E$8,$F$8,IF(R541&lt;($F$8-$E$8)/($G$8-$E$8),$E$8+SQRT(R541*($G$8-$E$8)*($F$8-$E$8)),$G$8-SQRT((1-R541)*($G$8-$E$8)*($G$8-$F$8))))</f>
        <v>1.04056188205111</v>
      </c>
      <c r="E541" s="37" t="n">
        <f aca="false">1+IF($G$9=$E$9,$F$9,IF(S541&lt;($F$9-$E$9)/($G$9-$E$9),$E$9+SQRT(S541*($G$9-$E$9)*($F$9-$E$9)),$G$9-SQRT((1-S541)*($G$9-$E$9)*($G$9-$F$9))))</f>
        <v>0.995218294382453</v>
      </c>
      <c r="F541" s="37" t="n">
        <f aca="false">1+IF($G$10=$E$10,$F$10,IF(T541&lt;($F$10-$E$10)/($G$10-$E$10),$E$10+SQRT(T541*($G$10-$E$10)*($F$10-$E$10)),$G$10-SQRT((1-T541)*($G$10-$E$10)*($G$10-$F$10))))</f>
        <v>0.974041104975946</v>
      </c>
      <c r="G541" s="38" t="n">
        <f aca="false">IF($G$11=$E$11,$F$11,IF(U541&lt;($F$11-$E$11)/($G$11-$E$11),$E$11+SQRT(U541*($G$11-$E$11)*($F$11-$E$11)),$G$11-SQRT((1-U541)*($G$11-$E$11)*($G$11-$F$11))))</f>
        <v>0.104704709573222</v>
      </c>
      <c r="H541" s="39" t="n">
        <f aca="false">(('Business Case'!B11*$C541*'Business Case'!B12*$B541)-'Business Case'!B11*$C541*'Business Case'!B13*$D541-'Business Case'!B14*$E541)-MAX(0,(('Business Case'!B11*$C541*'Business Case'!B12*$B541)-'Business Case'!B11*$C541*'Business Case'!B13*$D541-'Business Case'!B14*$E541))*'Business Case'!$B$7-'Business Case'!$B$8*('Business Case'!B11*$C541*'Business Case'!B12*$B541)-'Business Case'!B15*$F541</f>
        <v>-1948082209.95189</v>
      </c>
      <c r="I541" s="39" t="n">
        <f aca="false">(('Business Case'!C11*$C541*'Business Case'!C12*$B541)-'Business Case'!C11*$C541*'Business Case'!C13*$D541-'Business Case'!C14*$E541)-MAX(0,(('Business Case'!C11*$C541*'Business Case'!C12*$B541)-'Business Case'!C11*$C541*'Business Case'!C13*$D541-'Business Case'!C14*$E541))*'Business Case'!$B$7-'Business Case'!$B$8*(('Business Case'!C11*$C541*'Business Case'!C12*$B541)-('Business Case'!B11*$C541*'Business Case'!B12*$B541))-'Business Case'!C15*$F541</f>
        <v>-24774111.444947</v>
      </c>
      <c r="J541" s="39" t="n">
        <f aca="false">(('Business Case'!D11*$C541*'Business Case'!D12*$B541)-'Business Case'!D11*$C541*'Business Case'!D13*$D541-'Business Case'!D14*$E541)-MAX(0,(('Business Case'!D11*$C541*'Business Case'!D12*$B541)-'Business Case'!D11*$C541*'Business Case'!D13*$D541-'Business Case'!D14*$E541))*'Business Case'!$B$7-'Business Case'!$B$8*(('Business Case'!D11*$C541*'Business Case'!D12*$B541)-('Business Case'!C11*$C541*'Business Case'!C12*$B541))-'Business Case'!D15*$F541</f>
        <v>237038588.636305</v>
      </c>
      <c r="K541" s="39" t="n">
        <f aca="false">(('Business Case'!E11*$C541*'Business Case'!E12*$B541)-'Business Case'!E11*$C541*'Business Case'!E13*$D541-'Business Case'!E14*$E541)-MAX(0,(('Business Case'!E11*$C541*'Business Case'!E12*$B541)-'Business Case'!E11*$C541*'Business Case'!E13*$D541-'Business Case'!E14*$E541))*'Business Case'!$B$7-'Business Case'!$B$8*(('Business Case'!E11*$C541*'Business Case'!E12*$B541)-('Business Case'!D11*$C541*'Business Case'!D12*$B541))-'Business Case'!E15*$F541</f>
        <v>547553343.966354</v>
      </c>
      <c r="L541" s="39" t="n">
        <f aca="false">(('Business Case'!F11*$C541*'Business Case'!F12*$B541)-'Business Case'!F11*$C541*'Business Case'!F13*$D541-'Business Case'!F14*$E541)-MAX(0,(('Business Case'!F11*$C541*'Business Case'!F12*$B541)-'Business Case'!F11*$C541*'Business Case'!F13*$D541-'Business Case'!F14*$E541))*'Business Case'!$B$7-'Business Case'!$B$8*(('Business Case'!F11*$C541*'Business Case'!F12*$B541)-('Business Case'!E11*$C541*'Business Case'!E12*$B541))-'Business Case'!F15*$F541</f>
        <v>666599350.371718</v>
      </c>
      <c r="M541" s="39" t="n">
        <f aca="false">(('Business Case'!G11*$C541*'Business Case'!G12*$B541)-'Business Case'!G11*$C541*'Business Case'!G13*$D541-'Business Case'!G14*$E541)-MAX(0,(('Business Case'!G11*$C541*'Business Case'!G12*$B541)-'Business Case'!G11*$C541*'Business Case'!G13*$D541-'Business Case'!G14*$E541))*'Business Case'!$B$7-'Business Case'!$B$8*(('Business Case'!G11*$C541*'Business Case'!G12*$B541)-('Business Case'!F11*$C541*'Business Case'!F12*$B541))-'Business Case'!G15*$F541+'Business Case'!$B$8*('Business Case'!G11*$C541*'Business Case'!G12*$B541)</f>
        <v>841362435.452256</v>
      </c>
      <c r="N541" s="39" t="n">
        <f aca="false">IF(COUNT('Business Case'!B11:G11)=0,"",H541+NPV(G541,I541:M541))</f>
        <v>-411142805.511997</v>
      </c>
      <c r="P541" s="40" t="n">
        <f aca="true">RAND()</f>
        <v>0.61683458021928</v>
      </c>
      <c r="Q541" s="40" t="n">
        <f aca="true">RAND()</f>
        <v>0.213429410419943</v>
      </c>
      <c r="R541" s="40" t="n">
        <f aca="true">RAND()</f>
        <v>0.850445658908581</v>
      </c>
      <c r="S541" s="40" t="n">
        <f aca="true">RAND()</f>
        <v>0.272625886247757</v>
      </c>
      <c r="T541" s="40" t="n">
        <f aca="true">RAND()</f>
        <v>0.046237978277158</v>
      </c>
      <c r="U541" s="40" t="n">
        <f aca="true">RAND()</f>
        <v>0.610090151267523</v>
      </c>
    </row>
    <row r="542" customFormat="false" ht="15" hidden="false" customHeight="false" outlineLevel="0" collapsed="false">
      <c r="A542" s="36" t="n">
        <v>462</v>
      </c>
      <c r="B542" s="37" t="n">
        <f aca="false">1+IF($G$6=$E$6,$F$6,IF(P542&lt;($F$6-$E$6)/($G$6-$E$6),$E$6+SQRT(P542*($G$6-$E$6)*($F$6-$E$6)),$G$6-SQRT((1-P542)*($G$6-$E$6)*($G$6-$F$6))))</f>
        <v>1.0088042657939</v>
      </c>
      <c r="C542" s="37" t="n">
        <f aca="false">1+IF($G$7=$E$7,$F$7,IF(Q542&lt;($F$7-$E$7)/($G$7-$E$7),$E$7+SQRT(Q542*($G$7-$E$7)*($F$7-$E$7)),$G$7-SQRT((1-Q542)*($G$7-$E$7)*($G$7-$F$7))))</f>
        <v>0.921802169810388</v>
      </c>
      <c r="D542" s="37" t="n">
        <f aca="false">1+IF($G$8=$E$8,$F$8,IF(R542&lt;($F$8-$E$8)/($G$8-$E$8),$E$8+SQRT(R542*($G$8-$E$8)*($F$8-$E$8)),$G$8-SQRT((1-R542)*($G$8-$E$8)*($G$8-$F$8))))</f>
        <v>0.988426316551062</v>
      </c>
      <c r="E542" s="37" t="n">
        <f aca="false">1+IF($G$9=$E$9,$F$9,IF(S542&lt;($F$9-$E$9)/($G$9-$E$9),$E$9+SQRT(S542*($G$9-$E$9)*($F$9-$E$9)),$G$9-SQRT((1-S542)*($G$9-$E$9)*($G$9-$F$9))))</f>
        <v>1.02979090692082</v>
      </c>
      <c r="F542" s="37" t="n">
        <f aca="false">1+IF($G$10=$E$10,$F$10,IF(T542&lt;($F$10-$E$10)/($G$10-$E$10),$E$10+SQRT(T542*($G$10-$E$10)*($F$10-$E$10)),$G$10-SQRT((1-T542)*($G$10-$E$10)*($G$10-$F$10))))</f>
        <v>1.04762419498113</v>
      </c>
      <c r="G542" s="38" t="n">
        <f aca="false">IF($G$11=$E$11,$F$11,IF(U542&lt;($F$11-$E$11)/($G$11-$E$11),$E$11+SQRT(U542*($G$11-$E$11)*($F$11-$E$11)),$G$11-SQRT((1-U542)*($G$11-$E$11)*($G$11-$F$11))))</f>
        <v>0.100004413952597</v>
      </c>
      <c r="H542" s="39" t="n">
        <f aca="false">(('Business Case'!B11*$C542*'Business Case'!B12*$B542)-'Business Case'!B11*$C542*'Business Case'!B13*$D542-'Business Case'!B14*$E542)-MAX(0,(('Business Case'!B11*$C542*'Business Case'!B12*$B542)-'Business Case'!B11*$C542*'Business Case'!B13*$D542-'Business Case'!B14*$E542))*'Business Case'!$B$7-'Business Case'!$B$8*('Business Case'!B11*$C542*'Business Case'!B12*$B542)-'Business Case'!B15*$F542</f>
        <v>-2095248389.96226</v>
      </c>
      <c r="I542" s="39" t="n">
        <f aca="false">(('Business Case'!C11*$C542*'Business Case'!C12*$B542)-'Business Case'!C11*$C542*'Business Case'!C13*$D542-'Business Case'!C14*$E542)-MAX(0,(('Business Case'!C11*$C542*'Business Case'!C12*$B542)-'Business Case'!C11*$C542*'Business Case'!C13*$D542-'Business Case'!C14*$E542))*'Business Case'!$B$7-'Business Case'!$B$8*(('Business Case'!C11*$C542*'Business Case'!C12*$B542)-('Business Case'!B11*$C542*'Business Case'!B12*$B542))-'Business Case'!C15*$F542</f>
        <v>-4163342.55899249</v>
      </c>
      <c r="J542" s="39" t="n">
        <f aca="false">(('Business Case'!D11*$C542*'Business Case'!D12*$B542)-'Business Case'!D11*$C542*'Business Case'!D13*$D542-'Business Case'!D14*$E542)-MAX(0,(('Business Case'!D11*$C542*'Business Case'!D12*$B542)-'Business Case'!D11*$C542*'Business Case'!D13*$D542-'Business Case'!D14*$E542))*'Business Case'!$B$7-'Business Case'!$B$8*(('Business Case'!D11*$C542*'Business Case'!D12*$B542)-('Business Case'!C11*$C542*'Business Case'!C12*$B542))-'Business Case'!D15*$F542</f>
        <v>291078948.448875</v>
      </c>
      <c r="K542" s="39" t="n">
        <f aca="false">(('Business Case'!E11*$C542*'Business Case'!E12*$B542)-'Business Case'!E11*$C542*'Business Case'!E13*$D542-'Business Case'!E14*$E542)-MAX(0,(('Business Case'!E11*$C542*'Business Case'!E12*$B542)-'Business Case'!E11*$C542*'Business Case'!E13*$D542-'Business Case'!E14*$E542))*'Business Case'!$B$7-'Business Case'!$B$8*(('Business Case'!E11*$C542*'Business Case'!E12*$B542)-('Business Case'!D11*$C542*'Business Case'!D12*$B542))-'Business Case'!E15*$F542</f>
        <v>638702449.205798</v>
      </c>
      <c r="L542" s="39" t="n">
        <f aca="false">(('Business Case'!F11*$C542*'Business Case'!F12*$B542)-'Business Case'!F11*$C542*'Business Case'!F13*$D542-'Business Case'!F14*$E542)-MAX(0,(('Business Case'!F11*$C542*'Business Case'!F12*$B542)-'Business Case'!F11*$C542*'Business Case'!F13*$D542-'Business Case'!F14*$E542))*'Business Case'!$B$7-'Business Case'!$B$8*(('Business Case'!F11*$C542*'Business Case'!F12*$B542)-('Business Case'!E11*$C542*'Business Case'!E12*$B542))-'Business Case'!F15*$F542</f>
        <v>769254510.944823</v>
      </c>
      <c r="M542" s="39" t="n">
        <f aca="false">(('Business Case'!G11*$C542*'Business Case'!G12*$B542)-'Business Case'!G11*$C542*'Business Case'!G13*$D542-'Business Case'!G14*$E542)-MAX(0,(('Business Case'!G11*$C542*'Business Case'!G12*$B542)-'Business Case'!G11*$C542*'Business Case'!G13*$D542-'Business Case'!G14*$E542))*'Business Case'!$B$7-'Business Case'!$B$8*(('Business Case'!G11*$C542*'Business Case'!G12*$B542)-('Business Case'!F11*$C542*'Business Case'!F12*$B542))-'Business Case'!G15*$F542+'Business Case'!$B$8*('Business Case'!G11*$C542*'Business Case'!G12*$B542)</f>
        <v>946013316.995043</v>
      </c>
      <c r="N542" s="39" t="n">
        <f aca="false">IF(COUNT('Business Case'!B11:G11)=0,"",H542+NPV(G542,I542:M542))</f>
        <v>-265822417.22327</v>
      </c>
      <c r="P542" s="40" t="n">
        <f aca="true">RAND()</f>
        <v>0.797255451529631</v>
      </c>
      <c r="Q542" s="40" t="n">
        <f aca="true">RAND()</f>
        <v>0.211939551007408</v>
      </c>
      <c r="R542" s="40" t="n">
        <f aca="true">RAND()</f>
        <v>0.227166431335759</v>
      </c>
      <c r="S542" s="40" t="n">
        <f aca="true">RAND()</f>
        <v>0.671378883266626</v>
      </c>
      <c r="T542" s="40" t="n">
        <f aca="true">RAND()</f>
        <v>0.535632280897026</v>
      </c>
      <c r="U542" s="40" t="n">
        <f aca="true">RAND()</f>
        <v>0.333627564368189</v>
      </c>
    </row>
    <row r="543" customFormat="false" ht="15" hidden="false" customHeight="false" outlineLevel="0" collapsed="false">
      <c r="A543" s="36" t="n">
        <v>463</v>
      </c>
      <c r="B543" s="37" t="n">
        <f aca="false">1+IF($G$6=$E$6,$F$6,IF(P543&lt;($F$6-$E$6)/($G$6-$E$6),$E$6+SQRT(P543*($G$6-$E$6)*($F$6-$E$6)),$G$6-SQRT((1-P543)*($G$6-$E$6)*($G$6-$F$6))))</f>
        <v>0.984044856667864</v>
      </c>
      <c r="C543" s="37" t="n">
        <f aca="false">1+IF($G$7=$E$7,$F$7,IF(Q543&lt;($F$7-$E$7)/($G$7-$E$7),$E$7+SQRT(Q543*($G$7-$E$7)*($F$7-$E$7)),$G$7-SQRT((1-Q543)*($G$7-$E$7)*($G$7-$F$7))))</f>
        <v>1.01652471661632</v>
      </c>
      <c r="D543" s="37" t="n">
        <f aca="false">1+IF($G$8=$E$8,$F$8,IF(R543&lt;($F$8-$E$8)/($G$8-$E$8),$E$8+SQRT(R543*($G$8-$E$8)*($F$8-$E$8)),$G$8-SQRT((1-R543)*($G$8-$E$8)*($G$8-$F$8))))</f>
        <v>1.02890122912188</v>
      </c>
      <c r="E543" s="37" t="n">
        <f aca="false">1+IF($G$9=$E$9,$F$9,IF(S543&lt;($F$9-$E$9)/($G$9-$E$9),$E$9+SQRT(S543*($G$9-$E$9)*($F$9-$E$9)),$G$9-SQRT((1-S543)*($G$9-$E$9)*($G$9-$F$9))))</f>
        <v>0.964492851583041</v>
      </c>
      <c r="F543" s="37" t="n">
        <f aca="false">1+IF($G$10=$E$10,$F$10,IF(T543&lt;($F$10-$E$10)/($G$10-$E$10),$E$10+SQRT(T543*($G$10-$E$10)*($F$10-$E$10)),$G$10-SQRT((1-T543)*($G$10-$E$10)*($G$10-$F$10))))</f>
        <v>0.989863116427096</v>
      </c>
      <c r="G543" s="38" t="n">
        <f aca="false">IF($G$11=$E$11,$F$11,IF(U543&lt;($F$11-$E$11)/($G$11-$E$11),$E$11+SQRT(U543*($G$11-$E$11)*($F$11-$E$11)),$G$11-SQRT((1-U543)*($G$11-$E$11)*($G$11-$F$11))))</f>
        <v>0.0977208690289106</v>
      </c>
      <c r="H543" s="39" t="n">
        <f aca="false">(('Business Case'!B11*$C543*'Business Case'!B12*$B543)-'Business Case'!B11*$C543*'Business Case'!B13*$D543-'Business Case'!B14*$E543)-MAX(0,(('Business Case'!B11*$C543*'Business Case'!B12*$B543)-'Business Case'!B11*$C543*'Business Case'!B13*$D543-'Business Case'!B14*$E543))*'Business Case'!$B$7-'Business Case'!$B$8*('Business Case'!B11*$C543*'Business Case'!B12*$B543)-'Business Case'!B15*$F543</f>
        <v>-1979726232.85419</v>
      </c>
      <c r="I543" s="39" t="n">
        <f aca="false">(('Business Case'!C11*$C543*'Business Case'!C12*$B543)-'Business Case'!C11*$C543*'Business Case'!C13*$D543-'Business Case'!C14*$E543)-MAX(0,(('Business Case'!C11*$C543*'Business Case'!C12*$B543)-'Business Case'!C11*$C543*'Business Case'!C13*$D543-'Business Case'!C14*$E543))*'Business Case'!$B$7-'Business Case'!$B$8*(('Business Case'!C11*$C543*'Business Case'!C12*$B543)-('Business Case'!B11*$C543*'Business Case'!B12*$B543))-'Business Case'!C15*$F543</f>
        <v>-4089419.50553928</v>
      </c>
      <c r="J543" s="39" t="n">
        <f aca="false">(('Business Case'!D11*$C543*'Business Case'!D12*$B543)-'Business Case'!D11*$C543*'Business Case'!D13*$D543-'Business Case'!D14*$E543)-MAX(0,(('Business Case'!D11*$C543*'Business Case'!D12*$B543)-'Business Case'!D11*$C543*'Business Case'!D13*$D543-'Business Case'!D14*$E543))*'Business Case'!$B$7-'Business Case'!$B$8*(('Business Case'!D11*$C543*'Business Case'!D12*$B543)-('Business Case'!C11*$C543*'Business Case'!C12*$B543))-'Business Case'!D15*$F543</f>
        <v>279814214.970916</v>
      </c>
      <c r="K543" s="39" t="n">
        <f aca="false">(('Business Case'!E11*$C543*'Business Case'!E12*$B543)-'Business Case'!E11*$C543*'Business Case'!E13*$D543-'Business Case'!E14*$E543)-MAX(0,(('Business Case'!E11*$C543*'Business Case'!E12*$B543)-'Business Case'!E11*$C543*'Business Case'!E13*$D543-'Business Case'!E14*$E543))*'Business Case'!$B$7-'Business Case'!$B$8*(('Business Case'!E11*$C543*'Business Case'!E12*$B543)-('Business Case'!D11*$C543*'Business Case'!D12*$B543))-'Business Case'!E15*$F543</f>
        <v>613211005.268726</v>
      </c>
      <c r="L543" s="39" t="n">
        <f aca="false">(('Business Case'!F11*$C543*'Business Case'!F12*$B543)-'Business Case'!F11*$C543*'Business Case'!F13*$D543-'Business Case'!F14*$E543)-MAX(0,(('Business Case'!F11*$C543*'Business Case'!F12*$B543)-'Business Case'!F11*$C543*'Business Case'!F13*$D543-'Business Case'!F14*$E543))*'Business Case'!$B$7-'Business Case'!$B$8*(('Business Case'!F11*$C543*'Business Case'!F12*$B543)-('Business Case'!E11*$C543*'Business Case'!E12*$B543))-'Business Case'!F15*$F543</f>
        <v>742416122.656995</v>
      </c>
      <c r="M543" s="39" t="n">
        <f aca="false">(('Business Case'!G11*$C543*'Business Case'!G12*$B543)-'Business Case'!G11*$C543*'Business Case'!G13*$D543-'Business Case'!G14*$E543)-MAX(0,(('Business Case'!G11*$C543*'Business Case'!G12*$B543)-'Business Case'!G11*$C543*'Business Case'!G13*$D543-'Business Case'!G14*$E543))*'Business Case'!$B$7-'Business Case'!$B$8*(('Business Case'!G11*$C543*'Business Case'!G12*$B543)-('Business Case'!F11*$C543*'Business Case'!F12*$B543))-'Business Case'!G15*$F543+'Business Case'!$B$8*('Business Case'!G11*$C543*'Business Case'!G12*$B543)</f>
        <v>932554271.752309</v>
      </c>
      <c r="N543" s="39" t="n">
        <f aca="false">IF(COUNT('Business Case'!B11:G11)=0,"",H543+NPV(G543,I543:M543))</f>
        <v>-191265182.190836</v>
      </c>
      <c r="P543" s="40" t="n">
        <f aca="true">RAND()</f>
        <v>0.427264965167419</v>
      </c>
      <c r="Q543" s="40" t="n">
        <f aca="true">RAND()</f>
        <v>0.660654261440873</v>
      </c>
      <c r="R543" s="40" t="n">
        <f aca="true">RAND()</f>
        <v>0.748934193725511</v>
      </c>
      <c r="S543" s="40" t="n">
        <f aca="true">RAND()</f>
        <v>0.028005699601074</v>
      </c>
      <c r="T543" s="40" t="n">
        <f aca="true">RAND()</f>
        <v>0.127125444102417</v>
      </c>
      <c r="U543" s="40" t="n">
        <f aca="true">RAND()</f>
        <v>0.198706061871969</v>
      </c>
    </row>
    <row r="544" customFormat="false" ht="15" hidden="false" customHeight="false" outlineLevel="0" collapsed="false">
      <c r="A544" s="36" t="n">
        <v>464</v>
      </c>
      <c r="B544" s="37" t="n">
        <f aca="false">1+IF($G$6=$E$6,$F$6,IF(P544&lt;($F$6-$E$6)/($G$6-$E$6),$E$6+SQRT(P544*($G$6-$E$6)*($F$6-$E$6)),$G$6-SQRT((1-P544)*($G$6-$E$6)*($G$6-$F$6))))</f>
        <v>0.98605671092028</v>
      </c>
      <c r="C544" s="37" t="n">
        <f aca="false">1+IF($G$7=$E$7,$F$7,IF(Q544&lt;($F$7-$E$7)/($G$7-$E$7),$E$7+SQRT(Q544*($G$7-$E$7)*($F$7-$E$7)),$G$7-SQRT((1-Q544)*($G$7-$E$7)*($G$7-$F$7))))</f>
        <v>0.983882507103491</v>
      </c>
      <c r="D544" s="37" t="n">
        <f aca="false">1+IF($G$8=$E$8,$F$8,IF(R544&lt;($F$8-$E$8)/($G$8-$E$8),$E$8+SQRT(R544*($G$8-$E$8)*($F$8-$E$8)),$G$8-SQRT((1-R544)*($G$8-$E$8)*($G$8-$F$8))))</f>
        <v>0.988130160585644</v>
      </c>
      <c r="E544" s="37" t="n">
        <f aca="false">1+IF($G$9=$E$9,$F$9,IF(S544&lt;($F$9-$E$9)/($G$9-$E$9),$E$9+SQRT(S544*($G$9-$E$9)*($F$9-$E$9)),$G$9-SQRT((1-S544)*($G$9-$E$9)*($G$9-$F$9))))</f>
        <v>1.0277051314806</v>
      </c>
      <c r="F544" s="37" t="n">
        <f aca="false">1+IF($G$10=$E$10,$F$10,IF(T544&lt;($F$10-$E$10)/($G$10-$E$10),$E$10+SQRT(T544*($G$10-$E$10)*($F$10-$E$10)),$G$10-SQRT((1-T544)*($G$10-$E$10)*($G$10-$F$10))))</f>
        <v>1.06041535645595</v>
      </c>
      <c r="G544" s="38" t="n">
        <f aca="false">IF($G$11=$E$11,$F$11,IF(U544&lt;($F$11-$E$11)/($G$11-$E$11),$E$11+SQRT(U544*($G$11-$E$11)*($F$11-$E$11)),$G$11-SQRT((1-U544)*($G$11-$E$11)*($G$11-$F$11))))</f>
        <v>0.102501796418955</v>
      </c>
      <c r="H544" s="39" t="n">
        <f aca="false">(('Business Case'!B11*$C544*'Business Case'!B12*$B544)-'Business Case'!B11*$C544*'Business Case'!B13*$D544-'Business Case'!B14*$E544)-MAX(0,(('Business Case'!B11*$C544*'Business Case'!B12*$B544)-'Business Case'!B11*$C544*'Business Case'!B13*$D544-'Business Case'!B14*$E544))*'Business Case'!$B$7-'Business Case'!$B$8*('Business Case'!B11*$C544*'Business Case'!B12*$B544)-'Business Case'!B15*$F544</f>
        <v>-2120830712.91189</v>
      </c>
      <c r="I544" s="39" t="n">
        <f aca="false">(('Business Case'!C11*$C544*'Business Case'!C12*$B544)-'Business Case'!C11*$C544*'Business Case'!C13*$D544-'Business Case'!C14*$E544)-MAX(0,(('Business Case'!C11*$C544*'Business Case'!C12*$B544)-'Business Case'!C11*$C544*'Business Case'!C13*$D544-'Business Case'!C14*$E544))*'Business Case'!$B$7-'Business Case'!$B$8*(('Business Case'!C11*$C544*'Business Case'!C12*$B544)-('Business Case'!B11*$C544*'Business Case'!B12*$B544))-'Business Case'!C15*$F544</f>
        <v>-5531039.81938274</v>
      </c>
      <c r="J544" s="39" t="n">
        <f aca="false">(('Business Case'!D11*$C544*'Business Case'!D12*$B544)-'Business Case'!D11*$C544*'Business Case'!D13*$D544-'Business Case'!D14*$E544)-MAX(0,(('Business Case'!D11*$C544*'Business Case'!D12*$B544)-'Business Case'!D11*$C544*'Business Case'!D13*$D544-'Business Case'!D14*$E544))*'Business Case'!$B$7-'Business Case'!$B$8*(('Business Case'!D11*$C544*'Business Case'!D12*$B544)-('Business Case'!C11*$C544*'Business Case'!C12*$B544))-'Business Case'!D15*$F544</f>
        <v>291412424.813645</v>
      </c>
      <c r="K544" s="39" t="n">
        <f aca="false">(('Business Case'!E11*$C544*'Business Case'!E12*$B544)-'Business Case'!E11*$C544*'Business Case'!E13*$D544-'Business Case'!E14*$E544)-MAX(0,(('Business Case'!E11*$C544*'Business Case'!E12*$B544)-'Business Case'!E11*$C544*'Business Case'!E13*$D544-'Business Case'!E14*$E544))*'Business Case'!$B$7-'Business Case'!$B$8*(('Business Case'!E11*$C544*'Business Case'!E12*$B544)-('Business Case'!D11*$C544*'Business Case'!D12*$B544))-'Business Case'!E15*$F544</f>
        <v>641376657.26947</v>
      </c>
      <c r="L544" s="39" t="n">
        <f aca="false">(('Business Case'!F11*$C544*'Business Case'!F12*$B544)-'Business Case'!F11*$C544*'Business Case'!F13*$D544-'Business Case'!F14*$E544)-MAX(0,(('Business Case'!F11*$C544*'Business Case'!F12*$B544)-'Business Case'!F11*$C544*'Business Case'!F13*$D544-'Business Case'!F14*$E544))*'Business Case'!$B$7-'Business Case'!$B$8*(('Business Case'!F11*$C544*'Business Case'!F12*$B544)-('Business Case'!E11*$C544*'Business Case'!E12*$B544))-'Business Case'!F15*$F544</f>
        <v>773886678.220662</v>
      </c>
      <c r="M544" s="39" t="n">
        <f aca="false">(('Business Case'!G11*$C544*'Business Case'!G12*$B544)-'Business Case'!G11*$C544*'Business Case'!G13*$D544-'Business Case'!G14*$E544)-MAX(0,(('Business Case'!G11*$C544*'Business Case'!G12*$B544)-'Business Case'!G11*$C544*'Business Case'!G13*$D544-'Business Case'!G14*$E544))*'Business Case'!$B$7-'Business Case'!$B$8*(('Business Case'!G11*$C544*'Business Case'!G12*$B544)-('Business Case'!F11*$C544*'Business Case'!F12*$B544))-'Business Case'!G15*$F544+'Business Case'!$B$8*('Business Case'!G11*$C544*'Business Case'!G12*$B544)</f>
        <v>958295441.625002</v>
      </c>
      <c r="N544" s="39" t="n">
        <f aca="false">IF(COUNT('Business Case'!B11:G11)=0,"",H544+NPV(G544,I544:M544))</f>
        <v>-295400750.783839</v>
      </c>
      <c r="P544" s="40" t="n">
        <f aca="true">RAND()</f>
        <v>0.454530110167229</v>
      </c>
      <c r="Q544" s="40" t="n">
        <f aca="true">RAND()</f>
        <v>0.483039663123794</v>
      </c>
      <c r="R544" s="40" t="n">
        <f aca="true">RAND()</f>
        <v>0.223678330197995</v>
      </c>
      <c r="S544" s="40" t="n">
        <f aca="true">RAND()</f>
        <v>0.651563465717517</v>
      </c>
      <c r="T544" s="40" t="n">
        <f aca="true">RAND()</f>
        <v>0.610322545733587</v>
      </c>
      <c r="U544" s="40" t="n">
        <f aca="true">RAND()</f>
        <v>0.489688119060506</v>
      </c>
    </row>
    <row r="545" customFormat="false" ht="15" hidden="false" customHeight="false" outlineLevel="0" collapsed="false">
      <c r="A545" s="36" t="n">
        <v>465</v>
      </c>
      <c r="B545" s="37" t="n">
        <f aca="false">1+IF($G$6=$E$6,$F$6,IF(P545&lt;($F$6-$E$6)/($G$6-$E$6),$E$6+SQRT(P545*($G$6-$E$6)*($F$6-$E$6)),$G$6-SQRT((1-P545)*($G$6-$E$6)*($G$6-$F$6))))</f>
        <v>1.01243832476664</v>
      </c>
      <c r="C545" s="37" t="n">
        <f aca="false">1+IF($G$7=$E$7,$F$7,IF(Q545&lt;($F$7-$E$7)/($G$7-$E$7),$E$7+SQRT(Q545*($G$7-$E$7)*($F$7-$E$7)),$G$7-SQRT((1-Q545)*($G$7-$E$7)*($G$7-$F$7))))</f>
        <v>0.996170345798763</v>
      </c>
      <c r="D545" s="37" t="n">
        <f aca="false">1+IF($G$8=$E$8,$F$8,IF(R545&lt;($F$8-$E$8)/($G$8-$E$8),$E$8+SQRT(R545*($G$8-$E$8)*($F$8-$E$8)),$G$8-SQRT((1-R545)*($G$8-$E$8)*($G$8-$F$8))))</f>
        <v>0.991259349962873</v>
      </c>
      <c r="E545" s="37" t="n">
        <f aca="false">1+IF($G$9=$E$9,$F$9,IF(S545&lt;($F$9-$E$9)/($G$9-$E$9),$E$9+SQRT(S545*($G$9-$E$9)*($F$9-$E$9)),$G$9-SQRT((1-S545)*($G$9-$E$9)*($G$9-$F$9))))</f>
        <v>1.00459123193952</v>
      </c>
      <c r="F545" s="37" t="n">
        <f aca="false">1+IF($G$10=$E$10,$F$10,IF(T545&lt;($F$10-$E$10)/($G$10-$E$10),$E$10+SQRT(T545*($G$10-$E$10)*($F$10-$E$10)),$G$10-SQRT((1-T545)*($G$10-$E$10)*($G$10-$F$10))))</f>
        <v>1.13276131066585</v>
      </c>
      <c r="G545" s="38" t="n">
        <f aca="false">IF($G$11=$E$11,$F$11,IF(U545&lt;($F$11-$E$11)/($G$11-$E$11),$E$11+SQRT(U545*($G$11-$E$11)*($F$11-$E$11)),$G$11-SQRT((1-U545)*($G$11-$E$11)*($G$11-$F$11))))</f>
        <v>0.101236547745999</v>
      </c>
      <c r="H545" s="39" t="n">
        <f aca="false">(('Business Case'!B11*$C545*'Business Case'!B12*$B545)-'Business Case'!B11*$C545*'Business Case'!B13*$D545-'Business Case'!B14*$E545)-MAX(0,(('Business Case'!B11*$C545*'Business Case'!B12*$B545)-'Business Case'!B11*$C545*'Business Case'!B13*$D545-'Business Case'!B14*$E545))*'Business Case'!$B$7-'Business Case'!$B$8*('Business Case'!B11*$C545*'Business Case'!B12*$B545)-'Business Case'!B15*$F545</f>
        <v>-2265522621.3317</v>
      </c>
      <c r="I545" s="39" t="n">
        <f aca="false">(('Business Case'!C11*$C545*'Business Case'!C12*$B545)-'Business Case'!C11*$C545*'Business Case'!C13*$D545-'Business Case'!C14*$E545)-MAX(0,(('Business Case'!C11*$C545*'Business Case'!C12*$B545)-'Business Case'!C11*$C545*'Business Case'!C13*$D545-'Business Case'!C14*$E545))*'Business Case'!$B$7-'Business Case'!$B$8*(('Business Case'!C11*$C545*'Business Case'!C12*$B545)-('Business Case'!B11*$C545*'Business Case'!B12*$B545))-'Business Case'!C15*$F545</f>
        <v>12169150.8934411</v>
      </c>
      <c r="J545" s="39" t="n">
        <f aca="false">(('Business Case'!D11*$C545*'Business Case'!D12*$B545)-'Business Case'!D11*$C545*'Business Case'!D13*$D545-'Business Case'!D14*$E545)-MAX(0,(('Business Case'!D11*$C545*'Business Case'!D12*$B545)-'Business Case'!D11*$C545*'Business Case'!D13*$D545-'Business Case'!D14*$E545))*'Business Case'!$B$7-'Business Case'!$B$8*(('Business Case'!D11*$C545*'Business Case'!D12*$B545)-('Business Case'!C11*$C545*'Business Case'!C12*$B545))-'Business Case'!D15*$F545</f>
        <v>332751110.145794</v>
      </c>
      <c r="K545" s="39" t="n">
        <f aca="false">(('Business Case'!E11*$C545*'Business Case'!E12*$B545)-'Business Case'!E11*$C545*'Business Case'!E13*$D545-'Business Case'!E14*$E545)-MAX(0,(('Business Case'!E11*$C545*'Business Case'!E12*$B545)-'Business Case'!E11*$C545*'Business Case'!E13*$D545-'Business Case'!E14*$E545))*'Business Case'!$B$7-'Business Case'!$B$8*(('Business Case'!E11*$C545*'Business Case'!E12*$B545)-('Business Case'!D11*$C545*'Business Case'!D12*$B545))-'Business Case'!E15*$F545</f>
        <v>709971134.931439</v>
      </c>
      <c r="L545" s="39" t="n">
        <f aca="false">(('Business Case'!F11*$C545*'Business Case'!F12*$B545)-'Business Case'!F11*$C545*'Business Case'!F13*$D545-'Business Case'!F14*$E545)-MAX(0,(('Business Case'!F11*$C545*'Business Case'!F12*$B545)-'Business Case'!F11*$C545*'Business Case'!F13*$D545-'Business Case'!F14*$E545))*'Business Case'!$B$7-'Business Case'!$B$8*(('Business Case'!F11*$C545*'Business Case'!F12*$B545)-('Business Case'!E11*$C545*'Business Case'!E12*$B545))-'Business Case'!F15*$F545</f>
        <v>851687657.422576</v>
      </c>
      <c r="M545" s="39" t="n">
        <f aca="false">(('Business Case'!G11*$C545*'Business Case'!G12*$B545)-'Business Case'!G11*$C545*'Business Case'!G13*$D545-'Business Case'!G14*$E545)-MAX(0,(('Business Case'!G11*$C545*'Business Case'!G12*$B545)-'Business Case'!G11*$C545*'Business Case'!G13*$D545-'Business Case'!G14*$E545))*'Business Case'!$B$7-'Business Case'!$B$8*(('Business Case'!G11*$C545*'Business Case'!G12*$B545)-('Business Case'!F11*$C545*'Business Case'!F12*$B545))-'Business Case'!G15*$F545+'Business Case'!$B$8*('Business Case'!G11*$C545*'Business Case'!G12*$B545)</f>
        <v>1043394939.16118</v>
      </c>
      <c r="N545" s="39" t="n">
        <f aca="false">IF(COUNT('Business Case'!B11:G11)=0,"",H545+NPV(G545,I545:M545))</f>
        <v>-225128781.001567</v>
      </c>
      <c r="P545" s="40" t="n">
        <f aca="true">RAND()</f>
        <v>0.841740428818875</v>
      </c>
      <c r="Q545" s="40" t="n">
        <f aca="true">RAND()</f>
        <v>0.549754351011518</v>
      </c>
      <c r="R545" s="40" t="n">
        <f aca="true">RAND()</f>
        <v>0.261897532209044</v>
      </c>
      <c r="S545" s="40" t="n">
        <f aca="true">RAND()</f>
        <v>0.393144465145437</v>
      </c>
      <c r="T545" s="40" t="n">
        <f aca="true">RAND()</f>
        <v>0.90957917313251</v>
      </c>
      <c r="U545" s="40" t="n">
        <f aca="true">RAND()</f>
        <v>0.413221432519709</v>
      </c>
    </row>
    <row r="546" customFormat="false" ht="15" hidden="false" customHeight="false" outlineLevel="0" collapsed="false">
      <c r="A546" s="36" t="n">
        <v>466</v>
      </c>
      <c r="B546" s="37" t="n">
        <f aca="false">1+IF($G$6=$E$6,$F$6,IF(P546&lt;($F$6-$E$6)/($G$6-$E$6),$E$6+SQRT(P546*($G$6-$E$6)*($F$6-$E$6)),$G$6-SQRT((1-P546)*($G$6-$E$6)*($G$6-$F$6))))</f>
        <v>1.0020227078869</v>
      </c>
      <c r="C546" s="37" t="n">
        <f aca="false">1+IF($G$7=$E$7,$F$7,IF(Q546&lt;($F$7-$E$7)/($G$7-$E$7),$E$7+SQRT(Q546*($G$7-$E$7)*($F$7-$E$7)),$G$7-SQRT((1-Q546)*($G$7-$E$7)*($G$7-$F$7))))</f>
        <v>0.894569655822158</v>
      </c>
      <c r="D546" s="37" t="n">
        <f aca="false">1+IF($G$8=$E$8,$F$8,IF(R546&lt;($F$8-$E$8)/($G$8-$E$8),$E$8+SQRT(R546*($G$8-$E$8)*($F$8-$E$8)),$G$8-SQRT((1-R546)*($G$8-$E$8)*($G$8-$F$8))))</f>
        <v>1.00680567879585</v>
      </c>
      <c r="E546" s="37" t="n">
        <f aca="false">1+IF($G$9=$E$9,$F$9,IF(S546&lt;($F$9-$E$9)/($G$9-$E$9),$E$9+SQRT(S546*($G$9-$E$9)*($F$9-$E$9)),$G$9-SQRT((1-S546)*($G$9-$E$9)*($G$9-$F$9))))</f>
        <v>0.969943486929172</v>
      </c>
      <c r="F546" s="37" t="n">
        <f aca="false">1+IF($G$10=$E$10,$F$10,IF(T546&lt;($F$10-$E$10)/($G$10-$E$10),$E$10+SQRT(T546*($G$10-$E$10)*($F$10-$E$10)),$G$10-SQRT((1-T546)*($G$10-$E$10)*($G$10-$F$10))))</f>
        <v>1.00819761288125</v>
      </c>
      <c r="G546" s="38" t="n">
        <f aca="false">IF($G$11=$E$11,$F$11,IF(U546&lt;($F$11-$E$11)/($G$11-$E$11),$E$11+SQRT(U546*($G$11-$E$11)*($F$11-$E$11)),$G$11-SQRT((1-U546)*($G$11-$E$11)*($G$11-$F$11))))</f>
        <v>0.0964488946568341</v>
      </c>
      <c r="H546" s="39" t="n">
        <f aca="false">(('Business Case'!B11*$C546*'Business Case'!B12*$B546)-'Business Case'!B11*$C546*'Business Case'!B13*$D546-'Business Case'!B14*$E546)-MAX(0,(('Business Case'!B11*$C546*'Business Case'!B12*$B546)-'Business Case'!B11*$C546*'Business Case'!B13*$D546-'Business Case'!B14*$E546))*'Business Case'!$B$7-'Business Case'!$B$8*('Business Case'!B11*$C546*'Business Case'!B12*$B546)-'Business Case'!B15*$F546</f>
        <v>-2016395225.76251</v>
      </c>
      <c r="I546" s="39" t="n">
        <f aca="false">(('Business Case'!C11*$C546*'Business Case'!C12*$B546)-'Business Case'!C11*$C546*'Business Case'!C13*$D546-'Business Case'!C14*$E546)-MAX(0,(('Business Case'!C11*$C546*'Business Case'!C12*$B546)-'Business Case'!C11*$C546*'Business Case'!C13*$D546-'Business Case'!C14*$E546))*'Business Case'!$B$7-'Business Case'!$B$8*(('Business Case'!C11*$C546*'Business Case'!C12*$B546)-('Business Case'!B11*$C546*'Business Case'!B12*$B546))-'Business Case'!C15*$F546</f>
        <v>-12079734.5043174</v>
      </c>
      <c r="J546" s="39" t="n">
        <f aca="false">(('Business Case'!D11*$C546*'Business Case'!D12*$B546)-'Business Case'!D11*$C546*'Business Case'!D13*$D546-'Business Case'!D14*$E546)-MAX(0,(('Business Case'!D11*$C546*'Business Case'!D12*$B546)-'Business Case'!D11*$C546*'Business Case'!D13*$D546-'Business Case'!D14*$E546))*'Business Case'!$B$7-'Business Case'!$B$8*(('Business Case'!D11*$C546*'Business Case'!D12*$B546)-('Business Case'!C11*$C546*'Business Case'!C12*$B546))-'Business Case'!D15*$F546</f>
        <v>261054549.127251</v>
      </c>
      <c r="K546" s="39" t="n">
        <f aca="false">(('Business Case'!E11*$C546*'Business Case'!E12*$B546)-'Business Case'!E11*$C546*'Business Case'!E13*$D546-'Business Case'!E14*$E546)-MAX(0,(('Business Case'!E11*$C546*'Business Case'!E12*$B546)-'Business Case'!E11*$C546*'Business Case'!E13*$D546-'Business Case'!E14*$E546))*'Business Case'!$B$7-'Business Case'!$B$8*(('Business Case'!E11*$C546*'Business Case'!E12*$B546)-('Business Case'!D11*$C546*'Business Case'!D12*$B546))-'Business Case'!E15*$F546</f>
        <v>584598713.402882</v>
      </c>
      <c r="L546" s="39" t="n">
        <f aca="false">(('Business Case'!F11*$C546*'Business Case'!F12*$B546)-'Business Case'!F11*$C546*'Business Case'!F13*$D546-'Business Case'!F14*$E546)-MAX(0,(('Business Case'!F11*$C546*'Business Case'!F12*$B546)-'Business Case'!F11*$C546*'Business Case'!F13*$D546-'Business Case'!F14*$E546))*'Business Case'!$B$7-'Business Case'!$B$8*(('Business Case'!F11*$C546*'Business Case'!F12*$B546)-('Business Case'!E11*$C546*'Business Case'!E12*$B546))-'Business Case'!F15*$F546</f>
        <v>706622336.617693</v>
      </c>
      <c r="M546" s="39" t="n">
        <f aca="false">(('Business Case'!G11*$C546*'Business Case'!G12*$B546)-'Business Case'!G11*$C546*'Business Case'!G13*$D546-'Business Case'!G14*$E546)-MAX(0,(('Business Case'!G11*$C546*'Business Case'!G12*$B546)-'Business Case'!G11*$C546*'Business Case'!G13*$D546-'Business Case'!G14*$E546))*'Business Case'!$B$7-'Business Case'!$B$8*(('Business Case'!G11*$C546*'Business Case'!G12*$B546)-('Business Case'!F11*$C546*'Business Case'!F12*$B546))-'Business Case'!G15*$F546+'Business Case'!$B$8*('Business Case'!G11*$C546*'Business Case'!G12*$B546)</f>
        <v>877006077.641276</v>
      </c>
      <c r="N546" s="39" t="n">
        <f aca="false">IF(COUNT('Business Case'!B11:G11)=0,"",H546+NPV(G546,I546:M546))</f>
        <v>-324423172.800033</v>
      </c>
      <c r="P546" s="40" t="n">
        <f aca="true">RAND()</f>
        <v>0.699526100782504</v>
      </c>
      <c r="Q546" s="40" t="n">
        <f aca="true">RAND()</f>
        <v>0.127763140033163</v>
      </c>
      <c r="R546" s="40" t="n">
        <f aca="true">RAND()</f>
        <v>0.484864552256095</v>
      </c>
      <c r="S546" s="40" t="n">
        <f aca="true">RAND()</f>
        <v>0.0530323561192073</v>
      </c>
      <c r="T546" s="40" t="n">
        <f aca="true">RAND()</f>
        <v>0.26423688591102</v>
      </c>
      <c r="U546" s="40" t="n">
        <f aca="true">RAND()</f>
        <v>0.138627474316477</v>
      </c>
    </row>
    <row r="547" customFormat="false" ht="15" hidden="false" customHeight="false" outlineLevel="0" collapsed="false">
      <c r="A547" s="36" t="n">
        <v>467</v>
      </c>
      <c r="B547" s="37" t="n">
        <f aca="false">1+IF($G$6=$E$6,$F$6,IF(P547&lt;($F$6-$E$6)/($G$6-$E$6),$E$6+SQRT(P547*($G$6-$E$6)*($F$6-$E$6)),$G$6-SQRT((1-P547)*($G$6-$E$6)*($G$6-$F$6))))</f>
        <v>0.981261359847847</v>
      </c>
      <c r="C547" s="37" t="n">
        <f aca="false">1+IF($G$7=$E$7,$F$7,IF(Q547&lt;($F$7-$E$7)/($G$7-$E$7),$E$7+SQRT(Q547*($G$7-$E$7)*($F$7-$E$7)),$G$7-SQRT((1-Q547)*($G$7-$E$7)*($G$7-$F$7))))</f>
        <v>0.857909331046693</v>
      </c>
      <c r="D547" s="37" t="n">
        <f aca="false">1+IF($G$8=$E$8,$F$8,IF(R547&lt;($F$8-$E$8)/($G$8-$E$8),$E$8+SQRT(R547*($G$8-$E$8)*($F$8-$E$8)),$G$8-SQRT((1-R547)*($G$8-$E$8)*($G$8-$F$8))))</f>
        <v>0.96782227658222</v>
      </c>
      <c r="E547" s="37" t="n">
        <f aca="false">1+IF($G$9=$E$9,$F$9,IF(S547&lt;($F$9-$E$9)/($G$9-$E$9),$E$9+SQRT(S547*($G$9-$E$9)*($F$9-$E$9)),$G$9-SQRT((1-S547)*($G$9-$E$9)*($G$9-$F$9))))</f>
        <v>1.04033218878418</v>
      </c>
      <c r="F547" s="37" t="n">
        <f aca="false">1+IF($G$10=$E$10,$F$10,IF(T547&lt;($F$10-$E$10)/($G$10-$E$10),$E$10+SQRT(T547*($G$10-$E$10)*($F$10-$E$10)),$G$10-SQRT((1-T547)*($G$10-$E$10)*($G$10-$F$10))))</f>
        <v>0.961903138388237</v>
      </c>
      <c r="G547" s="38" t="n">
        <f aca="false">IF($G$11=$E$11,$F$11,IF(U547&lt;($F$11-$E$11)/($G$11-$E$11),$E$11+SQRT(U547*($G$11-$E$11)*($F$11-$E$11)),$G$11-SQRT((1-U547)*($G$11-$E$11)*($G$11-$F$11))))</f>
        <v>0.101640755764</v>
      </c>
      <c r="H547" s="39" t="n">
        <f aca="false">(('Business Case'!B11*$C547*'Business Case'!B12*$B547)-'Business Case'!B11*$C547*'Business Case'!B13*$D547-'Business Case'!B14*$E547)-MAX(0,(('Business Case'!B11*$C547*'Business Case'!B12*$B547)-'Business Case'!B11*$C547*'Business Case'!B13*$D547-'Business Case'!B14*$E547))*'Business Case'!$B$7-'Business Case'!$B$8*('Business Case'!B11*$C547*'Business Case'!B12*$B547)-'Business Case'!B15*$F547</f>
        <v>-1923806276.77647</v>
      </c>
      <c r="I547" s="39" t="n">
        <f aca="false">(('Business Case'!C11*$C547*'Business Case'!C12*$B547)-'Business Case'!C11*$C547*'Business Case'!C13*$D547-'Business Case'!C14*$E547)-MAX(0,(('Business Case'!C11*$C547*'Business Case'!C12*$B547)-'Business Case'!C11*$C547*'Business Case'!C13*$D547-'Business Case'!C14*$E547))*'Business Case'!$B$7-'Business Case'!$B$8*(('Business Case'!C11*$C547*'Business Case'!C12*$B547)-('Business Case'!B11*$C547*'Business Case'!B12*$B547))-'Business Case'!C15*$F547</f>
        <v>-23293224.2301012</v>
      </c>
      <c r="J547" s="39" t="n">
        <f aca="false">(('Business Case'!D11*$C547*'Business Case'!D12*$B547)-'Business Case'!D11*$C547*'Business Case'!D13*$D547-'Business Case'!D14*$E547)-MAX(0,(('Business Case'!D11*$C547*'Business Case'!D12*$B547)-'Business Case'!D11*$C547*'Business Case'!D13*$D547-'Business Case'!D14*$E547))*'Business Case'!$B$7-'Business Case'!$B$8*(('Business Case'!D11*$C547*'Business Case'!D12*$B547)-('Business Case'!C11*$C547*'Business Case'!C12*$B547))-'Business Case'!D15*$F547</f>
        <v>241179739.693511</v>
      </c>
      <c r="K547" s="39" t="n">
        <f aca="false">(('Business Case'!E11*$C547*'Business Case'!E12*$B547)-'Business Case'!E11*$C547*'Business Case'!E13*$D547-'Business Case'!E14*$E547)-MAX(0,(('Business Case'!E11*$C547*'Business Case'!E12*$B547)-'Business Case'!E11*$C547*'Business Case'!E13*$D547-'Business Case'!E14*$E547))*'Business Case'!$B$7-'Business Case'!$B$8*(('Business Case'!E11*$C547*'Business Case'!E12*$B547)-('Business Case'!D11*$C547*'Business Case'!D12*$B547))-'Business Case'!E15*$F547</f>
        <v>553747860.536536</v>
      </c>
      <c r="L547" s="39" t="n">
        <f aca="false">(('Business Case'!F11*$C547*'Business Case'!F12*$B547)-'Business Case'!F11*$C547*'Business Case'!F13*$D547-'Business Case'!F14*$E547)-MAX(0,(('Business Case'!F11*$C547*'Business Case'!F12*$B547)-'Business Case'!F11*$C547*'Business Case'!F13*$D547-'Business Case'!F14*$E547))*'Business Case'!$B$7-'Business Case'!$B$8*(('Business Case'!F11*$C547*'Business Case'!F12*$B547)-('Business Case'!E11*$C547*'Business Case'!E12*$B547))-'Business Case'!F15*$F547</f>
        <v>670999273.22426</v>
      </c>
      <c r="M547" s="39" t="n">
        <f aca="false">(('Business Case'!G11*$C547*'Business Case'!G12*$B547)-'Business Case'!G11*$C547*'Business Case'!G13*$D547-'Business Case'!G14*$E547)-MAX(0,(('Business Case'!G11*$C547*'Business Case'!G12*$B547)-'Business Case'!G11*$C547*'Business Case'!G13*$D547-'Business Case'!G14*$E547))*'Business Case'!$B$7-'Business Case'!$B$8*(('Business Case'!G11*$C547*'Business Case'!G12*$B547)-('Business Case'!F11*$C547*'Business Case'!F12*$B547))-'Business Case'!G15*$F547+'Business Case'!$B$8*('Business Case'!G11*$C547*'Business Case'!G12*$B547)</f>
        <v>831014942.480121</v>
      </c>
      <c r="N547" s="39" t="n">
        <f aca="false">IF(COUNT('Business Case'!B11:G11)=0,"",H547+NPV(G547,I547:M547))</f>
        <v>-364297695.712082</v>
      </c>
      <c r="P547" s="40" t="n">
        <f aca="true">RAND()</f>
        <v>0.390932730250766</v>
      </c>
      <c r="Q547" s="40" t="n">
        <f aca="true">RAND()</f>
        <v>0.0479070088896495</v>
      </c>
      <c r="R547" s="40" t="n">
        <f aca="true">RAND()</f>
        <v>0.0488666988574066</v>
      </c>
      <c r="S547" s="40" t="n">
        <f aca="true">RAND()</f>
        <v>0.762650153647511</v>
      </c>
      <c r="T547" s="40" t="n">
        <f aca="true">RAND()</f>
        <v>0.0113347762791615</v>
      </c>
      <c r="U547" s="40" t="n">
        <f aca="true">RAND()</f>
        <v>0.438230251804829</v>
      </c>
    </row>
    <row r="548" customFormat="false" ht="15" hidden="false" customHeight="false" outlineLevel="0" collapsed="false">
      <c r="A548" s="36" t="n">
        <v>468</v>
      </c>
      <c r="B548" s="37" t="n">
        <f aca="false">1+IF($G$6=$E$6,$F$6,IF(P548&lt;($F$6-$E$6)/($G$6-$E$6),$E$6+SQRT(P548*($G$6-$E$6)*($F$6-$E$6)),$G$6-SQRT((1-P548)*($G$6-$E$6)*($G$6-$F$6))))</f>
        <v>0.946377530169497</v>
      </c>
      <c r="C548" s="37" t="n">
        <f aca="false">1+IF($G$7=$E$7,$F$7,IF(Q548&lt;($F$7-$E$7)/($G$7-$E$7),$E$7+SQRT(Q548*($G$7-$E$7)*($F$7-$E$7)),$G$7-SQRT((1-Q548)*($G$7-$E$7)*($G$7-$F$7))))</f>
        <v>0.979963230268034</v>
      </c>
      <c r="D548" s="37" t="n">
        <f aca="false">1+IF($G$8=$E$8,$F$8,IF(R548&lt;($F$8-$E$8)/($G$8-$E$8),$E$8+SQRT(R548*($G$8-$E$8)*($F$8-$E$8)),$G$8-SQRT((1-R548)*($G$8-$E$8)*($G$8-$F$8))))</f>
        <v>0.988128966165522</v>
      </c>
      <c r="E548" s="37" t="n">
        <f aca="false">1+IF($G$9=$E$9,$F$9,IF(S548&lt;($F$9-$E$9)/($G$9-$E$9),$E$9+SQRT(S548*($G$9-$E$9)*($F$9-$E$9)),$G$9-SQRT((1-S548)*($G$9-$E$9)*($G$9-$F$9))))</f>
        <v>1.09840682845049</v>
      </c>
      <c r="F548" s="37" t="n">
        <f aca="false">1+IF($G$10=$E$10,$F$10,IF(T548&lt;($F$10-$E$10)/($G$10-$E$10),$E$10+SQRT(T548*($G$10-$E$10)*($F$10-$E$10)),$G$10-SQRT((1-T548)*($G$10-$E$10)*($G$10-$F$10))))</f>
        <v>1.06057006996198</v>
      </c>
      <c r="G548" s="38" t="n">
        <f aca="false">IF($G$11=$E$11,$F$11,IF(U548&lt;($F$11-$E$11)/($G$11-$E$11),$E$11+SQRT(U548*($G$11-$E$11)*($F$11-$E$11)),$G$11-SQRT((1-U548)*($G$11-$E$11)*($G$11-$F$11))))</f>
        <v>0.11149826247434</v>
      </c>
      <c r="H548" s="39" t="n">
        <f aca="false">(('Business Case'!B11*$C548*'Business Case'!B12*$B548)-'Business Case'!B11*$C548*'Business Case'!B13*$D548-'Business Case'!B14*$E548)-MAX(0,(('Business Case'!B11*$C548*'Business Case'!B12*$B548)-'Business Case'!B11*$C548*'Business Case'!B13*$D548-'Business Case'!B14*$E548))*'Business Case'!$B$7-'Business Case'!$B$8*('Business Case'!B11*$C548*'Business Case'!B12*$B548)-'Business Case'!B15*$F548</f>
        <v>-2121140139.92397</v>
      </c>
      <c r="I548" s="39" t="n">
        <f aca="false">(('Business Case'!C11*$C548*'Business Case'!C12*$B548)-'Business Case'!C11*$C548*'Business Case'!C13*$D548-'Business Case'!C14*$E548)-MAX(0,(('Business Case'!C11*$C548*'Business Case'!C12*$B548)-'Business Case'!C11*$C548*'Business Case'!C13*$D548-'Business Case'!C14*$E548))*'Business Case'!$B$7-'Business Case'!$B$8*(('Business Case'!C11*$C548*'Business Case'!C12*$B548)-('Business Case'!B11*$C548*'Business Case'!B12*$B548))-'Business Case'!C15*$F548</f>
        <v>-46415374.4969118</v>
      </c>
      <c r="J548" s="39" t="n">
        <f aca="false">(('Business Case'!D11*$C548*'Business Case'!D12*$B548)-'Business Case'!D11*$C548*'Business Case'!D13*$D548-'Business Case'!D14*$E548)-MAX(0,(('Business Case'!D11*$C548*'Business Case'!D12*$B548)-'Business Case'!D11*$C548*'Business Case'!D13*$D548-'Business Case'!D14*$E548))*'Business Case'!$B$7-'Business Case'!$B$8*(('Business Case'!D11*$C548*'Business Case'!D12*$B548)-('Business Case'!C11*$C548*'Business Case'!C12*$B548))-'Business Case'!D15*$F548</f>
        <v>217496912.017927</v>
      </c>
      <c r="K548" s="39" t="n">
        <f aca="false">(('Business Case'!E11*$C548*'Business Case'!E12*$B548)-'Business Case'!E11*$C548*'Business Case'!E13*$D548-'Business Case'!E14*$E548)-MAX(0,(('Business Case'!E11*$C548*'Business Case'!E12*$B548)-'Business Case'!E11*$C548*'Business Case'!E13*$D548-'Business Case'!E14*$E548))*'Business Case'!$B$7-'Business Case'!$B$8*(('Business Case'!E11*$C548*'Business Case'!E12*$B548)-('Business Case'!D11*$C548*'Business Case'!D12*$B548))-'Business Case'!E15*$F548</f>
        <v>534437702.030865</v>
      </c>
      <c r="L548" s="39" t="n">
        <f aca="false">(('Business Case'!F11*$C548*'Business Case'!F12*$B548)-'Business Case'!F11*$C548*'Business Case'!F13*$D548-'Business Case'!F14*$E548)-MAX(0,(('Business Case'!F11*$C548*'Business Case'!F12*$B548)-'Business Case'!F11*$C548*'Business Case'!F13*$D548-'Business Case'!F14*$E548))*'Business Case'!$B$7-'Business Case'!$B$8*(('Business Case'!F11*$C548*'Business Case'!F12*$B548)-('Business Case'!E11*$C548*'Business Case'!E12*$B548))-'Business Case'!F15*$F548</f>
        <v>654459932.875739</v>
      </c>
      <c r="M548" s="39" t="n">
        <f aca="false">(('Business Case'!G11*$C548*'Business Case'!G12*$B548)-'Business Case'!G11*$C548*'Business Case'!G13*$D548-'Business Case'!G14*$E548)-MAX(0,(('Business Case'!G11*$C548*'Business Case'!G12*$B548)-'Business Case'!G11*$C548*'Business Case'!G13*$D548-'Business Case'!G14*$E548))*'Business Case'!$B$7-'Business Case'!$B$8*(('Business Case'!G11*$C548*'Business Case'!G12*$B548)-('Business Case'!F11*$C548*'Business Case'!F12*$B548))-'Business Case'!G15*$F548+'Business Case'!$B$8*('Business Case'!G11*$C548*'Business Case'!G12*$B548)</f>
        <v>830743010.578677</v>
      </c>
      <c r="N548" s="39" t="n">
        <f aca="false">IF(COUNT('Business Case'!B11:G11)=0,"",H548+NPV(G548,I548:M548))</f>
        <v>-679166587.4829</v>
      </c>
      <c r="P548" s="40" t="n">
        <f aca="true">RAND()</f>
        <v>0.072476468525286</v>
      </c>
      <c r="Q548" s="40" t="n">
        <f aca="true">RAND()</f>
        <v>0.462668060692935</v>
      </c>
      <c r="R548" s="40" t="n">
        <f aca="true">RAND()</f>
        <v>0.223664317054074</v>
      </c>
      <c r="S548" s="40" t="n">
        <f aca="true">RAND()</f>
        <v>0.999830786960923</v>
      </c>
      <c r="T548" s="40" t="n">
        <f aca="true">RAND()</f>
        <v>0.611185892191873</v>
      </c>
      <c r="U548" s="40" t="n">
        <f aca="true">RAND()</f>
        <v>0.879534098407979</v>
      </c>
    </row>
    <row r="549" customFormat="false" ht="15" hidden="false" customHeight="false" outlineLevel="0" collapsed="false">
      <c r="A549" s="36" t="n">
        <v>469</v>
      </c>
      <c r="B549" s="37" t="n">
        <f aca="false">1+IF($G$6=$E$6,$F$6,IF(P549&lt;($F$6-$E$6)/($G$6-$E$6),$E$6+SQRT(P549*($G$6-$E$6)*($F$6-$E$6)),$G$6-SQRT((1-P549)*($G$6-$E$6)*($G$6-$F$6))))</f>
        <v>0.978708931216552</v>
      </c>
      <c r="C549" s="37" t="n">
        <f aca="false">1+IF($G$7=$E$7,$F$7,IF(Q549&lt;($F$7-$E$7)/($G$7-$E$7),$E$7+SQRT(Q549*($G$7-$E$7)*($F$7-$E$7)),$G$7-SQRT((1-Q549)*($G$7-$E$7)*($G$7-$F$7))))</f>
        <v>1.08970108370292</v>
      </c>
      <c r="D549" s="37" t="n">
        <f aca="false">1+IF($G$8=$E$8,$F$8,IF(R549&lt;($F$8-$E$8)/($G$8-$E$8),$E$8+SQRT(R549*($G$8-$E$8)*($F$8-$E$8)),$G$8-SQRT((1-R549)*($G$8-$E$8)*($G$8-$F$8))))</f>
        <v>1.0307352131559</v>
      </c>
      <c r="E549" s="37" t="n">
        <f aca="false">1+IF($G$9=$E$9,$F$9,IF(S549&lt;($F$9-$E$9)/($G$9-$E$9),$E$9+SQRT(S549*($G$9-$E$9)*($F$9-$E$9)),$G$9-SQRT((1-S549)*($G$9-$E$9)*($G$9-$F$9))))</f>
        <v>1.07015834435755</v>
      </c>
      <c r="F549" s="37" t="n">
        <f aca="false">1+IF($G$10=$E$10,$F$10,IF(T549&lt;($F$10-$E$10)/($G$10-$E$10),$E$10+SQRT(T549*($G$10-$E$10)*($F$10-$E$10)),$G$10-SQRT((1-T549)*($G$10-$E$10)*($G$10-$F$10))))</f>
        <v>0.986948789258248</v>
      </c>
      <c r="G549" s="38" t="n">
        <f aca="false">IF($G$11=$E$11,$F$11,IF(U549&lt;($F$11-$E$11)/($G$11-$E$11),$E$11+SQRT(U549*($G$11-$E$11)*($F$11-$E$11)),$G$11-SQRT((1-U549)*($G$11-$E$11)*($G$11-$F$11))))</f>
        <v>0.104336191916744</v>
      </c>
      <c r="H549" s="39" t="n">
        <f aca="false">(('Business Case'!B11*$C549*'Business Case'!B12*$B549)-'Business Case'!B11*$C549*'Business Case'!B13*$D549-'Business Case'!B14*$E549)-MAX(0,(('Business Case'!B11*$C549*'Business Case'!B12*$B549)-'Business Case'!B11*$C549*'Business Case'!B13*$D549-'Business Case'!B14*$E549))*'Business Case'!$B$7-'Business Case'!$B$8*('Business Case'!B11*$C549*'Business Case'!B12*$B549)-'Business Case'!B15*$F549</f>
        <v>-1973897578.5165</v>
      </c>
      <c r="I549" s="39" t="n">
        <f aca="false">(('Business Case'!C11*$C549*'Business Case'!C12*$B549)-'Business Case'!C11*$C549*'Business Case'!C13*$D549-'Business Case'!C14*$E549)-MAX(0,(('Business Case'!C11*$C549*'Business Case'!C12*$B549)-'Business Case'!C11*$C549*'Business Case'!C13*$D549-'Business Case'!C14*$E549))*'Business Case'!$B$7-'Business Case'!$B$8*(('Business Case'!C11*$C549*'Business Case'!C12*$B549)-('Business Case'!B11*$C549*'Business Case'!B12*$B549))-'Business Case'!C15*$F549</f>
        <v>-7603430.38462742</v>
      </c>
      <c r="J549" s="39" t="n">
        <f aca="false">(('Business Case'!D11*$C549*'Business Case'!D12*$B549)-'Business Case'!D11*$C549*'Business Case'!D13*$D549-'Business Case'!D14*$E549)-MAX(0,(('Business Case'!D11*$C549*'Business Case'!D12*$B549)-'Business Case'!D11*$C549*'Business Case'!D13*$D549-'Business Case'!D14*$E549))*'Business Case'!$B$7-'Business Case'!$B$8*(('Business Case'!D11*$C549*'Business Case'!D12*$B549)-('Business Case'!C11*$C549*'Business Case'!C12*$B549))-'Business Case'!D15*$F549</f>
        <v>290951904.20971</v>
      </c>
      <c r="K549" s="39" t="n">
        <f aca="false">(('Business Case'!E11*$C549*'Business Case'!E12*$B549)-'Business Case'!E11*$C549*'Business Case'!E13*$D549-'Business Case'!E14*$E549)-MAX(0,(('Business Case'!E11*$C549*'Business Case'!E12*$B549)-'Business Case'!E11*$C549*'Business Case'!E13*$D549-'Business Case'!E14*$E549))*'Business Case'!$B$7-'Business Case'!$B$8*(('Business Case'!E11*$C549*'Business Case'!E12*$B549)-('Business Case'!D11*$C549*'Business Case'!D12*$B549))-'Business Case'!E15*$F549</f>
        <v>638854678.26696</v>
      </c>
      <c r="L549" s="39" t="n">
        <f aca="false">(('Business Case'!F11*$C549*'Business Case'!F12*$B549)-'Business Case'!F11*$C549*'Business Case'!F13*$D549-'Business Case'!F14*$E549)-MAX(0,(('Business Case'!F11*$C549*'Business Case'!F12*$B549)-'Business Case'!F11*$C549*'Business Case'!F13*$D549-'Business Case'!F14*$E549))*'Business Case'!$B$7-'Business Case'!$B$8*(('Business Case'!F11*$C549*'Business Case'!F12*$B549)-('Business Case'!E11*$C549*'Business Case'!E12*$B549))-'Business Case'!F15*$F549</f>
        <v>775231369.455404</v>
      </c>
      <c r="M549" s="39" t="n">
        <f aca="false">(('Business Case'!G11*$C549*'Business Case'!G12*$B549)-'Business Case'!G11*$C549*'Business Case'!G13*$D549-'Business Case'!G14*$E549)-MAX(0,(('Business Case'!G11*$C549*'Business Case'!G12*$B549)-'Business Case'!G11*$C549*'Business Case'!G13*$D549-'Business Case'!G14*$E549))*'Business Case'!$B$7-'Business Case'!$B$8*(('Business Case'!G11*$C549*'Business Case'!G12*$B549)-('Business Case'!F11*$C549*'Business Case'!F12*$B549))-'Business Case'!G15*$F549+'Business Case'!$B$8*('Business Case'!G11*$C549*'Business Case'!G12*$B549)</f>
        <v>977951724.23556</v>
      </c>
      <c r="N549" s="39" t="n">
        <f aca="false">IF(COUNT('Business Case'!B11:G11)=0,"",H549+NPV(G549,I549:M549))</f>
        <v>-151233061.065306</v>
      </c>
      <c r="P549" s="40" t="n">
        <f aca="true">RAND()</f>
        <v>0.359035271311443</v>
      </c>
      <c r="Q549" s="40" t="n">
        <f aca="true">RAND()</f>
        <v>0.930743632255206</v>
      </c>
      <c r="R549" s="40" t="n">
        <f aca="true">RAND()</f>
        <v>0.766632767039017</v>
      </c>
      <c r="S549" s="40" t="n">
        <f aca="true">RAND()</f>
        <v>0.940631705901151</v>
      </c>
      <c r="T549" s="40" t="n">
        <f aca="true">RAND()</f>
        <v>0.109217042212033</v>
      </c>
      <c r="U549" s="40" t="n">
        <f aca="true">RAND()</f>
        <v>0.591075193884857</v>
      </c>
    </row>
    <row r="550" customFormat="false" ht="15" hidden="false" customHeight="false" outlineLevel="0" collapsed="false">
      <c r="A550" s="36" t="n">
        <v>470</v>
      </c>
      <c r="B550" s="37" t="n">
        <f aca="false">1+IF($G$6=$E$6,$F$6,IF(P550&lt;($F$6-$E$6)/($G$6-$E$6),$E$6+SQRT(P550*($G$6-$E$6)*($F$6-$E$6)),$G$6-SQRT((1-P550)*($G$6-$E$6)*($G$6-$F$6))))</f>
        <v>1.00431343335944</v>
      </c>
      <c r="C550" s="37" t="n">
        <f aca="false">1+IF($G$7=$E$7,$F$7,IF(Q550&lt;($F$7-$E$7)/($G$7-$E$7),$E$7+SQRT(Q550*($G$7-$E$7)*($F$7-$E$7)),$G$7-SQRT((1-Q550)*($G$7-$E$7)*($G$7-$F$7))))</f>
        <v>1.04116368111901</v>
      </c>
      <c r="D550" s="37" t="n">
        <f aca="false">1+IF($G$8=$E$8,$F$8,IF(R550&lt;($F$8-$E$8)/($G$8-$E$8),$E$8+SQRT(R550*($G$8-$E$8)*($F$8-$E$8)),$G$8-SQRT((1-R550)*($G$8-$E$8)*($G$8-$F$8))))</f>
        <v>0.970032779177864</v>
      </c>
      <c r="E550" s="37" t="n">
        <f aca="false">1+IF($G$9=$E$9,$F$9,IF(S550&lt;($F$9-$E$9)/($G$9-$E$9),$E$9+SQRT(S550*($G$9-$E$9)*($F$9-$E$9)),$G$9-SQRT((1-S550)*($G$9-$E$9)*($G$9-$F$9))))</f>
        <v>1.031500993881</v>
      </c>
      <c r="F550" s="37" t="n">
        <f aca="false">1+IF($G$10=$E$10,$F$10,IF(T550&lt;($F$10-$E$10)/($G$10-$E$10),$E$10+SQRT(T550*($G$10-$E$10)*($F$10-$E$10)),$G$10-SQRT((1-T550)*($G$10-$E$10)*($G$10-$F$10))))</f>
        <v>1.07306322248808</v>
      </c>
      <c r="G550" s="38" t="n">
        <f aca="false">IF($G$11=$E$11,$F$11,IF(U550&lt;($F$11-$E$11)/($G$11-$E$11),$E$11+SQRT(U550*($G$11-$E$11)*($F$11-$E$11)),$G$11-SQRT((1-U550)*($G$11-$E$11)*($G$11-$F$11))))</f>
        <v>0.117414126894895</v>
      </c>
      <c r="H550" s="39" t="n">
        <f aca="false">(('Business Case'!B11*$C550*'Business Case'!B12*$B550)-'Business Case'!B11*$C550*'Business Case'!B13*$D550-'Business Case'!B14*$E550)-MAX(0,(('Business Case'!B11*$C550*'Business Case'!B12*$B550)-'Business Case'!B11*$C550*'Business Case'!B13*$D550-'Business Case'!B14*$E550))*'Business Case'!$B$7-'Business Case'!$B$8*('Business Case'!B11*$C550*'Business Case'!B12*$B550)-'Business Case'!B15*$F550</f>
        <v>-2146126444.97616</v>
      </c>
      <c r="I550" s="39" t="n">
        <f aca="false">(('Business Case'!C11*$C550*'Business Case'!C12*$B550)-'Business Case'!C11*$C550*'Business Case'!C13*$D550-'Business Case'!C14*$E550)-MAX(0,(('Business Case'!C11*$C550*'Business Case'!C12*$B550)-'Business Case'!C11*$C550*'Business Case'!C13*$D550-'Business Case'!C14*$E550))*'Business Case'!$B$7-'Business Case'!$B$8*(('Business Case'!C11*$C550*'Business Case'!C12*$B550)-('Business Case'!B11*$C550*'Business Case'!B12*$B550))-'Business Case'!C15*$F550</f>
        <v>31253753.8264124</v>
      </c>
      <c r="J550" s="39" t="n">
        <f aca="false">(('Business Case'!D11*$C550*'Business Case'!D12*$B550)-'Business Case'!D11*$C550*'Business Case'!D13*$D550-'Business Case'!D14*$E550)-MAX(0,(('Business Case'!D11*$C550*'Business Case'!D12*$B550)-'Business Case'!D11*$C550*'Business Case'!D13*$D550-'Business Case'!D14*$E550))*'Business Case'!$B$7-'Business Case'!$B$8*(('Business Case'!D11*$C550*'Business Case'!D12*$B550)-('Business Case'!C11*$C550*'Business Case'!C12*$B550))-'Business Case'!D15*$F550</f>
        <v>370700009.390345</v>
      </c>
      <c r="K550" s="39" t="n">
        <f aca="false">(('Business Case'!E11*$C550*'Business Case'!E12*$B550)-'Business Case'!E11*$C550*'Business Case'!E13*$D550-'Business Case'!E14*$E550)-MAX(0,(('Business Case'!E11*$C550*'Business Case'!E12*$B550)-'Business Case'!E11*$C550*'Business Case'!E13*$D550-'Business Case'!E14*$E550))*'Business Case'!$B$7-'Business Case'!$B$8*(('Business Case'!E11*$C550*'Business Case'!E12*$B550)-('Business Case'!D11*$C550*'Business Case'!D12*$B550))-'Business Case'!E15*$F550</f>
        <v>763799426.078681</v>
      </c>
      <c r="L550" s="39" t="n">
        <f aca="false">(('Business Case'!F11*$C550*'Business Case'!F12*$B550)-'Business Case'!F11*$C550*'Business Case'!F13*$D550-'Business Case'!F14*$E550)-MAX(0,(('Business Case'!F11*$C550*'Business Case'!F12*$B550)-'Business Case'!F11*$C550*'Business Case'!F13*$D550-'Business Case'!F14*$E550))*'Business Case'!$B$7-'Business Case'!$B$8*(('Business Case'!F11*$C550*'Business Case'!F12*$B550)-('Business Case'!E11*$C550*'Business Case'!E12*$B550))-'Business Case'!F15*$F550</f>
        <v>913086003.372547</v>
      </c>
      <c r="M550" s="39" t="n">
        <f aca="false">(('Business Case'!G11*$C550*'Business Case'!G12*$B550)-'Business Case'!G11*$C550*'Business Case'!G13*$D550-'Business Case'!G14*$E550)-MAX(0,(('Business Case'!G11*$C550*'Business Case'!G12*$B550)-'Business Case'!G11*$C550*'Business Case'!G13*$D550-'Business Case'!G14*$E550))*'Business Case'!$B$7-'Business Case'!$B$8*(('Business Case'!G11*$C550*'Business Case'!G12*$B550)-('Business Case'!F11*$C550*'Business Case'!F12*$B550))-'Business Case'!G15*$F550+'Business Case'!$B$8*('Business Case'!G11*$C550*'Business Case'!G12*$B550)</f>
        <v>1111844043.28827</v>
      </c>
      <c r="N550" s="39" t="n">
        <f aca="false">IF(COUNT('Business Case'!B11:G11)=0,"",H550+NPV(G550,I550:M550))</f>
        <v>-49930465.1449544</v>
      </c>
      <c r="P550" s="40" t="n">
        <f aca="true">RAND()</f>
        <v>0.734681033626825</v>
      </c>
      <c r="Q550" s="40" t="n">
        <f aca="true">RAND()</f>
        <v>0.774374394141634</v>
      </c>
      <c r="R550" s="40" t="n">
        <f aca="true">RAND()</f>
        <v>0.0617403448598544</v>
      </c>
      <c r="S550" s="40" t="n">
        <f aca="true">RAND()</f>
        <v>0.687192410713968</v>
      </c>
      <c r="T550" s="40" t="n">
        <f aca="true">RAND()</f>
        <v>0.677741090297798</v>
      </c>
      <c r="U550" s="40" t="n">
        <f aca="true">RAND()</f>
        <v>0.988855433807154</v>
      </c>
    </row>
    <row r="551" customFormat="false" ht="15" hidden="false" customHeight="false" outlineLevel="0" collapsed="false">
      <c r="A551" s="36" t="n">
        <v>471</v>
      </c>
      <c r="B551" s="37" t="n">
        <f aca="false">1+IF($G$6=$E$6,$F$6,IF(P551&lt;($F$6-$E$6)/($G$6-$E$6),$E$6+SQRT(P551*($G$6-$E$6)*($F$6-$E$6)),$G$6-SQRT((1-P551)*($G$6-$E$6)*($G$6-$F$6))))</f>
        <v>0.985214851475491</v>
      </c>
      <c r="C551" s="37" t="n">
        <f aca="false">1+IF($G$7=$E$7,$F$7,IF(Q551&lt;($F$7-$E$7)/($G$7-$E$7),$E$7+SQRT(Q551*($G$7-$E$7)*($F$7-$E$7)),$G$7-SQRT((1-Q551)*($G$7-$E$7)*($G$7-$F$7))))</f>
        <v>1.10874932200556</v>
      </c>
      <c r="D551" s="37" t="n">
        <f aca="false">1+IF($G$8=$E$8,$F$8,IF(R551&lt;($F$8-$E$8)/($G$8-$E$8),$E$8+SQRT(R551*($G$8-$E$8)*($F$8-$E$8)),$G$8-SQRT((1-R551)*($G$8-$E$8)*($G$8-$F$8))))</f>
        <v>0.994722773666295</v>
      </c>
      <c r="E551" s="37" t="n">
        <f aca="false">1+IF($G$9=$E$9,$F$9,IF(S551&lt;($F$9-$E$9)/($G$9-$E$9),$E$9+SQRT(S551*($G$9-$E$9)*($F$9-$E$9)),$G$9-SQRT((1-S551)*($G$9-$E$9)*($G$9-$F$9))))</f>
        <v>0.981934067872623</v>
      </c>
      <c r="F551" s="37" t="n">
        <f aca="false">1+IF($G$10=$E$10,$F$10,IF(T551&lt;($F$10-$E$10)/($G$10-$E$10),$E$10+SQRT(T551*($G$10-$E$10)*($F$10-$E$10)),$G$10-SQRT((1-T551)*($G$10-$E$10)*($G$10-$F$10))))</f>
        <v>1.10140045698958</v>
      </c>
      <c r="G551" s="38" t="n">
        <f aca="false">IF($G$11=$E$11,$F$11,IF(U551&lt;($F$11-$E$11)/($G$11-$E$11),$E$11+SQRT(U551*($G$11-$E$11)*($F$11-$E$11)),$G$11-SQRT((1-U551)*($G$11-$E$11)*($G$11-$F$11))))</f>
        <v>0.104585155037316</v>
      </c>
      <c r="H551" s="39" t="n">
        <f aca="false">(('Business Case'!B11*$C551*'Business Case'!B12*$B551)-'Business Case'!B11*$C551*'Business Case'!B13*$D551-'Business Case'!B14*$E551)-MAX(0,(('Business Case'!B11*$C551*'Business Case'!B12*$B551)-'Business Case'!B11*$C551*'Business Case'!B13*$D551-'Business Case'!B14*$E551))*'Business Case'!$B$7-'Business Case'!$B$8*('Business Case'!B11*$C551*'Business Case'!B12*$B551)-'Business Case'!B15*$F551</f>
        <v>-2202800913.97915</v>
      </c>
      <c r="I551" s="39" t="n">
        <f aca="false">(('Business Case'!C11*$C551*'Business Case'!C12*$B551)-'Business Case'!C11*$C551*'Business Case'!C13*$D551-'Business Case'!C14*$E551)-MAX(0,(('Business Case'!C11*$C551*'Business Case'!C12*$B551)-'Business Case'!C11*$C551*'Business Case'!C13*$D551-'Business Case'!C14*$E551))*'Business Case'!$B$7-'Business Case'!$B$8*(('Business Case'!C11*$C551*'Business Case'!C12*$B551)-('Business Case'!B11*$C551*'Business Case'!B12*$B551))-'Business Case'!C15*$F551</f>
        <v>23723990.5419722</v>
      </c>
      <c r="J551" s="39" t="n">
        <f aca="false">(('Business Case'!D11*$C551*'Business Case'!D12*$B551)-'Business Case'!D11*$C551*'Business Case'!D13*$D551-'Business Case'!D14*$E551)-MAX(0,(('Business Case'!D11*$C551*'Business Case'!D12*$B551)-'Business Case'!D11*$C551*'Business Case'!D13*$D551-'Business Case'!D14*$E551))*'Business Case'!$B$7-'Business Case'!$B$8*(('Business Case'!D11*$C551*'Business Case'!D12*$B551)-('Business Case'!C11*$C551*'Business Case'!C12*$B551))-'Business Case'!D15*$F551</f>
        <v>353846801.753982</v>
      </c>
      <c r="K551" s="39" t="n">
        <f aca="false">(('Business Case'!E11*$C551*'Business Case'!E12*$B551)-'Business Case'!E11*$C551*'Business Case'!E13*$D551-'Business Case'!E14*$E551)-MAX(0,(('Business Case'!E11*$C551*'Business Case'!E12*$B551)-'Business Case'!E11*$C551*'Business Case'!E13*$D551-'Business Case'!E14*$E551))*'Business Case'!$B$7-'Business Case'!$B$8*(('Business Case'!E11*$C551*'Business Case'!E12*$B551)-('Business Case'!D11*$C551*'Business Case'!D12*$B551))-'Business Case'!E15*$F551</f>
        <v>739039635.81547</v>
      </c>
      <c r="L551" s="39" t="n">
        <f aca="false">(('Business Case'!F11*$C551*'Business Case'!F12*$B551)-'Business Case'!F11*$C551*'Business Case'!F13*$D551-'Business Case'!F14*$E551)-MAX(0,(('Business Case'!F11*$C551*'Business Case'!F12*$B551)-'Business Case'!F11*$C551*'Business Case'!F13*$D551-'Business Case'!F14*$E551))*'Business Case'!$B$7-'Business Case'!$B$8*(('Business Case'!F11*$C551*'Business Case'!F12*$B551)-('Business Case'!E11*$C551*'Business Case'!E12*$B551))-'Business Case'!F15*$F551</f>
        <v>886832406.565869</v>
      </c>
      <c r="M551" s="39" t="n">
        <f aca="false">(('Business Case'!G11*$C551*'Business Case'!G12*$B551)-'Business Case'!G11*$C551*'Business Case'!G13*$D551-'Business Case'!G14*$E551)-MAX(0,(('Business Case'!G11*$C551*'Business Case'!G12*$B551)-'Business Case'!G11*$C551*'Business Case'!G13*$D551-'Business Case'!G14*$E551))*'Business Case'!$B$7-'Business Case'!$B$8*(('Business Case'!G11*$C551*'Business Case'!G12*$B551)-('Business Case'!F11*$C551*'Business Case'!F12*$B551))-'Business Case'!G15*$F551+'Business Case'!$B$8*('Business Case'!G11*$C551*'Business Case'!G12*$B551)</f>
        <v>1094467491.80438</v>
      </c>
      <c r="N551" s="39" t="n">
        <f aca="false">IF(COUNT('Business Case'!B11:G11)=0,"",H551+NPV(G551,I551:M551))</f>
        <v>-81631452.7960012</v>
      </c>
      <c r="P551" s="40" t="n">
        <f aca="true">RAND()</f>
        <v>0.44301842218441</v>
      </c>
      <c r="Q551" s="40" t="n">
        <f aca="true">RAND()</f>
        <v>0.967588220285692</v>
      </c>
      <c r="R551" s="40" t="n">
        <f aca="true">RAND()</f>
        <v>0.307711766831789</v>
      </c>
      <c r="S551" s="40" t="n">
        <f aca="true">RAND()</f>
        <v>0.135971292119105</v>
      </c>
      <c r="T551" s="40" t="n">
        <f aca="true">RAND()</f>
        <v>0.805562602362711</v>
      </c>
      <c r="U551" s="40" t="n">
        <f aca="true">RAND()</f>
        <v>0.603970924627334</v>
      </c>
    </row>
    <row r="552" customFormat="false" ht="15" hidden="false" customHeight="false" outlineLevel="0" collapsed="false">
      <c r="A552" s="36" t="n">
        <v>472</v>
      </c>
      <c r="B552" s="37" t="n">
        <f aca="false">1+IF($G$6=$E$6,$F$6,IF(P552&lt;($F$6-$E$6)/($G$6-$E$6),$E$6+SQRT(P552*($G$6-$E$6)*($F$6-$E$6)),$G$6-SQRT((1-P552)*($G$6-$E$6)*($G$6-$F$6))))</f>
        <v>0.97579418138951</v>
      </c>
      <c r="C552" s="37" t="n">
        <f aca="false">1+IF($G$7=$E$7,$F$7,IF(Q552&lt;($F$7-$E$7)/($G$7-$E$7),$E$7+SQRT(Q552*($G$7-$E$7)*($F$7-$E$7)),$G$7-SQRT((1-Q552)*($G$7-$E$7)*($G$7-$F$7))))</f>
        <v>0.96434976558932</v>
      </c>
      <c r="D552" s="37" t="n">
        <f aca="false">1+IF($G$8=$E$8,$F$8,IF(R552&lt;($F$8-$E$8)/($G$8-$E$8),$E$8+SQRT(R552*($G$8-$E$8)*($F$8-$E$8)),$G$8-SQRT((1-R552)*($G$8-$E$8)*($G$8-$F$8))))</f>
        <v>1.05263236212698</v>
      </c>
      <c r="E552" s="37" t="n">
        <f aca="false">1+IF($G$9=$E$9,$F$9,IF(S552&lt;($F$9-$E$9)/($G$9-$E$9),$E$9+SQRT(S552*($G$9-$E$9)*($F$9-$E$9)),$G$9-SQRT((1-S552)*($G$9-$E$9)*($G$9-$F$9))))</f>
        <v>1.03108407373011</v>
      </c>
      <c r="F552" s="37" t="n">
        <f aca="false">1+IF($G$10=$E$10,$F$10,IF(T552&lt;($F$10-$E$10)/($G$10-$E$10),$E$10+SQRT(T552*($G$10-$E$10)*($F$10-$E$10)),$G$10-SQRT((1-T552)*($G$10-$E$10)*($G$10-$F$10))))</f>
        <v>0.997192571863282</v>
      </c>
      <c r="G552" s="38" t="n">
        <f aca="false">IF($G$11=$E$11,$F$11,IF(U552&lt;($F$11-$E$11)/($G$11-$E$11),$E$11+SQRT(U552*($G$11-$E$11)*($F$11-$E$11)),$G$11-SQRT((1-U552)*($G$11-$E$11)*($G$11-$F$11))))</f>
        <v>0.0999551570851227</v>
      </c>
      <c r="H552" s="39" t="n">
        <f aca="false">(('Business Case'!B11*$C552*'Business Case'!B12*$B552)-'Business Case'!B11*$C552*'Business Case'!B13*$D552-'Business Case'!B14*$E552)-MAX(0,(('Business Case'!B11*$C552*'Business Case'!B12*$B552)-'Business Case'!B11*$C552*'Business Case'!B13*$D552-'Business Case'!B14*$E552))*'Business Case'!$B$7-'Business Case'!$B$8*('Business Case'!B11*$C552*'Business Case'!B12*$B552)-'Business Case'!B15*$F552</f>
        <v>-1994385143.72656</v>
      </c>
      <c r="I552" s="39" t="n">
        <f aca="false">(('Business Case'!C11*$C552*'Business Case'!C12*$B552)-'Business Case'!C11*$C552*'Business Case'!C13*$D552-'Business Case'!C14*$E552)-MAX(0,(('Business Case'!C11*$C552*'Business Case'!C12*$B552)-'Business Case'!C11*$C552*'Business Case'!C13*$D552-'Business Case'!C14*$E552))*'Business Case'!$B$7-'Business Case'!$B$8*(('Business Case'!C11*$C552*'Business Case'!C12*$B552)-('Business Case'!B11*$C552*'Business Case'!B12*$B552))-'Business Case'!C15*$F552</f>
        <v>-44021760.8087185</v>
      </c>
      <c r="J552" s="39" t="n">
        <f aca="false">(('Business Case'!D11*$C552*'Business Case'!D12*$B552)-'Business Case'!D11*$C552*'Business Case'!D13*$D552-'Business Case'!D14*$E552)-MAX(0,(('Business Case'!D11*$C552*'Business Case'!D12*$B552)-'Business Case'!D11*$C552*'Business Case'!D13*$D552-'Business Case'!D14*$E552))*'Business Case'!$B$7-'Business Case'!$B$8*(('Business Case'!D11*$C552*'Business Case'!D12*$B552)-('Business Case'!C11*$C552*'Business Case'!C12*$B552))-'Business Case'!D15*$F552</f>
        <v>207077688.035391</v>
      </c>
      <c r="K552" s="39" t="n">
        <f aca="false">(('Business Case'!E11*$C552*'Business Case'!E12*$B552)-'Business Case'!E11*$C552*'Business Case'!E13*$D552-'Business Case'!E14*$E552)-MAX(0,(('Business Case'!E11*$C552*'Business Case'!E12*$B552)-'Business Case'!E11*$C552*'Business Case'!E13*$D552-'Business Case'!E14*$E552))*'Business Case'!$B$7-'Business Case'!$B$8*(('Business Case'!E11*$C552*'Business Case'!E12*$B552)-('Business Case'!D11*$C552*'Business Case'!D12*$B552))-'Business Case'!E15*$F552</f>
        <v>508036765.472666</v>
      </c>
      <c r="L552" s="39" t="n">
        <f aca="false">(('Business Case'!F11*$C552*'Business Case'!F12*$B552)-'Business Case'!F11*$C552*'Business Case'!F13*$D552-'Business Case'!F14*$E552)-MAX(0,(('Business Case'!F11*$C552*'Business Case'!F12*$B552)-'Business Case'!F11*$C552*'Business Case'!F13*$D552-'Business Case'!F14*$E552))*'Business Case'!$B$7-'Business Case'!$B$8*(('Business Case'!F11*$C552*'Business Case'!F12*$B552)-('Business Case'!E11*$C552*'Business Case'!E12*$B552))-'Business Case'!F15*$F552</f>
        <v>624257779.875422</v>
      </c>
      <c r="M552" s="39" t="n">
        <f aca="false">(('Business Case'!G11*$C552*'Business Case'!G12*$B552)-'Business Case'!G11*$C552*'Business Case'!G13*$D552-'Business Case'!G14*$E552)-MAX(0,(('Business Case'!G11*$C552*'Business Case'!G12*$B552)-'Business Case'!G11*$C552*'Business Case'!G13*$D552-'Business Case'!G14*$E552))*'Business Case'!$B$7-'Business Case'!$B$8*(('Business Case'!G11*$C552*'Business Case'!G12*$B552)-('Business Case'!F11*$C552*'Business Case'!F12*$B552))-'Business Case'!G15*$F552+'Business Case'!$B$8*('Business Case'!G11*$C552*'Business Case'!G12*$B552)</f>
        <v>803124369.543044</v>
      </c>
      <c r="N552" s="39" t="n">
        <f aca="false">IF(COUNT('Business Case'!B11:G11)=0,"",H552+NPV(G552,I552:M552))</f>
        <v>-556287090.287936</v>
      </c>
      <c r="P552" s="40" t="n">
        <f aca="true">RAND()</f>
        <v>0.324269862179748</v>
      </c>
      <c r="Q552" s="40" t="n">
        <f aca="true">RAND()</f>
        <v>0.385869220703776</v>
      </c>
      <c r="R552" s="40" t="n">
        <f aca="true">RAND()</f>
        <v>0.927981961274151</v>
      </c>
      <c r="S552" s="40" t="n">
        <f aca="true">RAND()</f>
        <v>0.683373007090854</v>
      </c>
      <c r="T552" s="40" t="n">
        <f aca="true">RAND()</f>
        <v>0.17817110712568</v>
      </c>
      <c r="U552" s="40" t="n">
        <f aca="true">RAND()</f>
        <v>0.330350508631566</v>
      </c>
    </row>
    <row r="553" customFormat="false" ht="15" hidden="false" customHeight="false" outlineLevel="0" collapsed="false">
      <c r="A553" s="36" t="n">
        <v>473</v>
      </c>
      <c r="B553" s="37" t="n">
        <f aca="false">1+IF($G$6=$E$6,$F$6,IF(P553&lt;($F$6-$E$6)/($G$6-$E$6),$E$6+SQRT(P553*($G$6-$E$6)*($F$6-$E$6)),$G$6-SQRT((1-P553)*($G$6-$E$6)*($G$6-$F$6))))</f>
        <v>1.0048531375861</v>
      </c>
      <c r="C553" s="37" t="n">
        <f aca="false">1+IF($G$7=$E$7,$F$7,IF(Q553&lt;($F$7-$E$7)/($G$7-$E$7),$E$7+SQRT(Q553*($G$7-$E$7)*($F$7-$E$7)),$G$7-SQRT((1-Q553)*($G$7-$E$7)*($G$7-$F$7))))</f>
        <v>1.0078553797006</v>
      </c>
      <c r="D553" s="37" t="n">
        <f aca="false">1+IF($G$8=$E$8,$F$8,IF(R553&lt;($F$8-$E$8)/($G$8-$E$8),$E$8+SQRT(R553*($G$8-$E$8)*($F$8-$E$8)),$G$8-SQRT((1-R553)*($G$8-$E$8)*($G$8-$F$8))))</f>
        <v>1.01301296956406</v>
      </c>
      <c r="E553" s="37" t="n">
        <f aca="false">1+IF($G$9=$E$9,$F$9,IF(S553&lt;($F$9-$E$9)/($G$9-$E$9),$E$9+SQRT(S553*($G$9-$E$9)*($F$9-$E$9)),$G$9-SQRT((1-S553)*($G$9-$E$9)*($G$9-$F$9))))</f>
        <v>1.05089174306855</v>
      </c>
      <c r="F553" s="37" t="n">
        <f aca="false">1+IF($G$10=$E$10,$F$10,IF(T553&lt;($F$10-$E$10)/($G$10-$E$10),$E$10+SQRT(T553*($G$10-$E$10)*($F$10-$E$10)),$G$10-SQRT((1-T553)*($G$10-$E$10)*($G$10-$F$10))))</f>
        <v>1.02207958666779</v>
      </c>
      <c r="G553" s="38" t="n">
        <f aca="false">IF($G$11=$E$11,$F$11,IF(U553&lt;($F$11-$E$11)/($G$11-$E$11),$E$11+SQRT(U553*($G$11-$E$11)*($F$11-$E$11)),$G$11-SQRT((1-U553)*($G$11-$E$11)*($G$11-$F$11))))</f>
        <v>0.0963518799620055</v>
      </c>
      <c r="H553" s="39" t="n">
        <f aca="false">(('Business Case'!B11*$C553*'Business Case'!B12*$B553)-'Business Case'!B11*$C553*'Business Case'!B13*$D553-'Business Case'!B14*$E553)-MAX(0,(('Business Case'!B11*$C553*'Business Case'!B12*$B553)-'Business Case'!B11*$C553*'Business Case'!B13*$D553-'Business Case'!B14*$E553))*'Business Case'!$B$7-'Business Case'!$B$8*('Business Case'!B11*$C553*'Business Case'!B12*$B553)-'Business Case'!B15*$F553</f>
        <v>-2044159173.33558</v>
      </c>
      <c r="I553" s="39" t="n">
        <f aca="false">(('Business Case'!C11*$C553*'Business Case'!C12*$B553)-'Business Case'!C11*$C553*'Business Case'!C13*$D553-'Business Case'!C14*$E553)-MAX(0,(('Business Case'!C11*$C553*'Business Case'!C12*$B553)-'Business Case'!C11*$C553*'Business Case'!C13*$D553-'Business Case'!C14*$E553))*'Business Case'!$B$7-'Business Case'!$B$8*(('Business Case'!C11*$C553*'Business Case'!C12*$B553)-('Business Case'!B11*$C553*'Business Case'!B12*$B553))-'Business Case'!C15*$F553</f>
        <v>2711611.22418277</v>
      </c>
      <c r="J553" s="39" t="n">
        <f aca="false">(('Business Case'!D11*$C553*'Business Case'!D12*$B553)-'Business Case'!D11*$C553*'Business Case'!D13*$D553-'Business Case'!D14*$E553)-MAX(0,(('Business Case'!D11*$C553*'Business Case'!D12*$B553)-'Business Case'!D11*$C553*'Business Case'!D13*$D553-'Business Case'!D14*$E553))*'Business Case'!$B$7-'Business Case'!$B$8*(('Business Case'!D11*$C553*'Business Case'!D12*$B553)-('Business Case'!C11*$C553*'Business Case'!C12*$B553))-'Business Case'!D15*$F553</f>
        <v>309568772.824317</v>
      </c>
      <c r="K553" s="39" t="n">
        <f aca="false">(('Business Case'!E11*$C553*'Business Case'!E12*$B553)-'Business Case'!E11*$C553*'Business Case'!E13*$D553-'Business Case'!E14*$E553)-MAX(0,(('Business Case'!E11*$C553*'Business Case'!E12*$B553)-'Business Case'!E11*$C553*'Business Case'!E13*$D553-'Business Case'!E14*$E553))*'Business Case'!$B$7-'Business Case'!$B$8*(('Business Case'!E11*$C553*'Business Case'!E12*$B553)-('Business Case'!D11*$C553*'Business Case'!D12*$B553))-'Business Case'!E15*$F553</f>
        <v>667529913.757841</v>
      </c>
      <c r="L553" s="39" t="n">
        <f aca="false">(('Business Case'!F11*$C553*'Business Case'!F12*$B553)-'Business Case'!F11*$C553*'Business Case'!F13*$D553-'Business Case'!F14*$E553)-MAX(0,(('Business Case'!F11*$C553*'Business Case'!F12*$B553)-'Business Case'!F11*$C553*'Business Case'!F13*$D553-'Business Case'!F14*$E553))*'Business Case'!$B$7-'Business Case'!$B$8*(('Business Case'!F11*$C553*'Business Case'!F12*$B553)-('Business Case'!E11*$C553*'Business Case'!E12*$B553))-'Business Case'!F15*$F553</f>
        <v>804816158.187769</v>
      </c>
      <c r="M553" s="39" t="n">
        <f aca="false">(('Business Case'!G11*$C553*'Business Case'!G12*$B553)-'Business Case'!G11*$C553*'Business Case'!G13*$D553-'Business Case'!G14*$E553)-MAX(0,(('Business Case'!G11*$C553*'Business Case'!G12*$B553)-'Business Case'!G11*$C553*'Business Case'!G13*$D553-'Business Case'!G14*$E553))*'Business Case'!$B$7-'Business Case'!$B$8*(('Business Case'!G11*$C553*'Business Case'!G12*$B553)-('Business Case'!F11*$C553*'Business Case'!F12*$B553))-'Business Case'!G15*$F553+'Business Case'!$B$8*('Business Case'!G11*$C553*'Business Case'!G12*$B553)</f>
        <v>997319039.618795</v>
      </c>
      <c r="N553" s="39" t="n">
        <f aca="false">IF(COUNT('Business Case'!B11:G11)=0,"",H553+NPV(G553,I553:M553))</f>
        <v>-90908420.0198231</v>
      </c>
      <c r="P553" s="40" t="n">
        <f aca="true">RAND()</f>
        <v>0.742645429678775</v>
      </c>
      <c r="Q553" s="40" t="n">
        <f aca="true">RAND()</f>
        <v>0.61514108418934</v>
      </c>
      <c r="R553" s="40" t="n">
        <f aca="true">RAND()</f>
        <v>0.568532476286014</v>
      </c>
      <c r="S553" s="40" t="n">
        <f aca="true">RAND()</f>
        <v>0.83922527341028</v>
      </c>
      <c r="T553" s="40" t="n">
        <f aca="true">RAND()</f>
        <v>0.366886530393919</v>
      </c>
      <c r="U553" s="40" t="n">
        <f aca="true">RAND()</f>
        <v>0.134487930172424</v>
      </c>
    </row>
    <row r="554" customFormat="false" ht="15" hidden="false" customHeight="false" outlineLevel="0" collapsed="false">
      <c r="A554" s="36" t="n">
        <v>474</v>
      </c>
      <c r="B554" s="37" t="n">
        <f aca="false">1+IF($G$6=$E$6,$F$6,IF(P554&lt;($F$6-$E$6)/($G$6-$E$6),$E$6+SQRT(P554*($G$6-$E$6)*($F$6-$E$6)),$G$6-SQRT((1-P554)*($G$6-$E$6)*($G$6-$F$6))))</f>
        <v>0.957974498753492</v>
      </c>
      <c r="C554" s="37" t="n">
        <f aca="false">1+IF($G$7=$E$7,$F$7,IF(Q554&lt;($F$7-$E$7)/($G$7-$E$7),$E$7+SQRT(Q554*($G$7-$E$7)*($F$7-$E$7)),$G$7-SQRT((1-Q554)*($G$7-$E$7)*($G$7-$F$7))))</f>
        <v>0.998419589679769</v>
      </c>
      <c r="D554" s="37" t="n">
        <f aca="false">1+IF($G$8=$E$8,$F$8,IF(R554&lt;($F$8-$E$8)/($G$8-$E$8),$E$8+SQRT(R554*($G$8-$E$8)*($F$8-$E$8)),$G$8-SQRT((1-R554)*($G$8-$E$8)*($G$8-$F$8))))</f>
        <v>0.965938269519825</v>
      </c>
      <c r="E554" s="37" t="n">
        <f aca="false">1+IF($G$9=$E$9,$F$9,IF(S554&lt;($F$9-$E$9)/($G$9-$E$9),$E$9+SQRT(S554*($G$9-$E$9)*($F$9-$E$9)),$G$9-SQRT((1-S554)*($G$9-$E$9)*($G$9-$F$9))))</f>
        <v>0.985694589907819</v>
      </c>
      <c r="F554" s="37" t="n">
        <f aca="false">1+IF($G$10=$E$10,$F$10,IF(T554&lt;($F$10-$E$10)/($G$10-$E$10),$E$10+SQRT(T554*($G$10-$E$10)*($F$10-$E$10)),$G$10-SQRT((1-T554)*($G$10-$E$10)*($G$10-$F$10))))</f>
        <v>0.980125633224057</v>
      </c>
      <c r="G554" s="38" t="n">
        <f aca="false">IF($G$11=$E$11,$F$11,IF(U554&lt;($F$11-$E$11)/($G$11-$E$11),$E$11+SQRT(U554*($G$11-$E$11)*($F$11-$E$11)),$G$11-SQRT((1-U554)*($G$11-$E$11)*($G$11-$F$11))))</f>
        <v>0.113722307281965</v>
      </c>
      <c r="H554" s="39" t="n">
        <f aca="false">(('Business Case'!B11*$C554*'Business Case'!B12*$B554)-'Business Case'!B11*$C554*'Business Case'!B13*$D554-'Business Case'!B14*$E554)-MAX(0,(('Business Case'!B11*$C554*'Business Case'!B12*$B554)-'Business Case'!B11*$C554*'Business Case'!B13*$D554-'Business Case'!B14*$E554))*'Business Case'!$B$7-'Business Case'!$B$8*('Business Case'!B11*$C554*'Business Case'!B12*$B554)-'Business Case'!B15*$F554</f>
        <v>-1960251266.44811</v>
      </c>
      <c r="I554" s="39" t="n">
        <f aca="false">(('Business Case'!C11*$C554*'Business Case'!C12*$B554)-'Business Case'!C11*$C554*'Business Case'!C13*$D554-'Business Case'!C14*$E554)-MAX(0,(('Business Case'!C11*$C554*'Business Case'!C12*$B554)-'Business Case'!C11*$C554*'Business Case'!C13*$D554-'Business Case'!C14*$E554))*'Business Case'!$B$7-'Business Case'!$B$8*(('Business Case'!C11*$C554*'Business Case'!C12*$B554)-('Business Case'!B11*$C554*'Business Case'!B12*$B554))-'Business Case'!C15*$F554</f>
        <v>1947140.20017295</v>
      </c>
      <c r="J554" s="39" t="n">
        <f aca="false">(('Business Case'!D11*$C554*'Business Case'!D12*$B554)-'Business Case'!D11*$C554*'Business Case'!D13*$D554-'Business Case'!D14*$E554)-MAX(0,(('Business Case'!D11*$C554*'Business Case'!D12*$B554)-'Business Case'!D11*$C554*'Business Case'!D13*$D554-'Business Case'!D14*$E554))*'Business Case'!$B$7-'Business Case'!$B$8*(('Business Case'!D11*$C554*'Business Case'!D12*$B554)-('Business Case'!C11*$C554*'Business Case'!C12*$B554))-'Business Case'!D15*$F554</f>
        <v>291655527.037084</v>
      </c>
      <c r="K554" s="39" t="n">
        <f aca="false">(('Business Case'!E11*$C554*'Business Case'!E12*$B554)-'Business Case'!E11*$C554*'Business Case'!E13*$D554-'Business Case'!E14*$E554)-MAX(0,(('Business Case'!E11*$C554*'Business Case'!E12*$B554)-'Business Case'!E11*$C554*'Business Case'!E13*$D554-'Business Case'!E14*$E554))*'Business Case'!$B$7-'Business Case'!$B$8*(('Business Case'!E11*$C554*'Business Case'!E12*$B554)-('Business Case'!D11*$C554*'Business Case'!D12*$B554))-'Business Case'!E15*$F554</f>
        <v>630370195.535198</v>
      </c>
      <c r="L554" s="39" t="n">
        <f aca="false">(('Business Case'!F11*$C554*'Business Case'!F12*$B554)-'Business Case'!F11*$C554*'Business Case'!F13*$D554-'Business Case'!F14*$E554)-MAX(0,(('Business Case'!F11*$C554*'Business Case'!F12*$B554)-'Business Case'!F11*$C554*'Business Case'!F13*$D554-'Business Case'!F14*$E554))*'Business Case'!$B$7-'Business Case'!$B$8*(('Business Case'!F11*$C554*'Business Case'!F12*$B554)-('Business Case'!E11*$C554*'Business Case'!E12*$B554))-'Business Case'!F15*$F554</f>
        <v>759994932.900462</v>
      </c>
      <c r="M554" s="39" t="n">
        <f aca="false">(('Business Case'!G11*$C554*'Business Case'!G12*$B554)-'Business Case'!G11*$C554*'Business Case'!G13*$D554-'Business Case'!G14*$E554)-MAX(0,(('Business Case'!G11*$C554*'Business Case'!G12*$B554)-'Business Case'!G11*$C554*'Business Case'!G13*$D554-'Business Case'!G14*$E554))*'Business Case'!$B$7-'Business Case'!$B$8*(('Business Case'!G11*$C554*'Business Case'!G12*$B554)-('Business Case'!F11*$C554*'Business Case'!F12*$B554))-'Business Case'!G15*$F554+'Business Case'!$B$8*('Business Case'!G11*$C554*'Business Case'!G12*$B554)</f>
        <v>941798945.875077</v>
      </c>
      <c r="N554" s="39" t="n">
        <f aca="false">IF(COUNT('Business Case'!B11:G11)=0,"",H554+NPV(G554,I554:M554))</f>
        <v>-223446451.56493</v>
      </c>
      <c r="P554" s="40" t="n">
        <f aca="true">RAND()</f>
        <v>0.150214849539477</v>
      </c>
      <c r="Q554" s="40" t="n">
        <f aca="true">RAND()</f>
        <v>0.562433336695541</v>
      </c>
      <c r="R554" s="40" t="n">
        <f aca="true">RAND()</f>
        <v>0.0390812977363964</v>
      </c>
      <c r="S554" s="40" t="n">
        <f aca="true">RAND()</f>
        <v>0.169880499824984</v>
      </c>
      <c r="T554" s="40" t="n">
        <f aca="true">RAND()</f>
        <v>0.072604302172033</v>
      </c>
      <c r="U554" s="40" t="n">
        <f aca="true">RAND()</f>
        <v>0.934317623563211</v>
      </c>
    </row>
    <row r="555" customFormat="false" ht="15" hidden="false" customHeight="false" outlineLevel="0" collapsed="false">
      <c r="A555" s="36" t="n">
        <v>475</v>
      </c>
      <c r="B555" s="37" t="n">
        <f aca="false">1+IF($G$6=$E$6,$F$6,IF(P555&lt;($F$6-$E$6)/($G$6-$E$6),$E$6+SQRT(P555*($G$6-$E$6)*($F$6-$E$6)),$G$6-SQRT((1-P555)*($G$6-$E$6)*($G$6-$F$6))))</f>
        <v>0.986277115785756</v>
      </c>
      <c r="C555" s="37" t="n">
        <f aca="false">1+IF($G$7=$E$7,$F$7,IF(Q555&lt;($F$7-$E$7)/($G$7-$E$7),$E$7+SQRT(Q555*($G$7-$E$7)*($F$7-$E$7)),$G$7-SQRT((1-Q555)*($G$7-$E$7)*($G$7-$F$7))))</f>
        <v>1.04068469420305</v>
      </c>
      <c r="D555" s="37" t="n">
        <f aca="false">1+IF($G$8=$E$8,$F$8,IF(R555&lt;($F$8-$E$8)/($G$8-$E$8),$E$8+SQRT(R555*($G$8-$E$8)*($F$8-$E$8)),$G$8-SQRT((1-R555)*($G$8-$E$8)*($G$8-$F$8))))</f>
        <v>1.01181432939264</v>
      </c>
      <c r="E555" s="37" t="n">
        <f aca="false">1+IF($G$9=$E$9,$F$9,IF(S555&lt;($F$9-$E$9)/($G$9-$E$9),$E$9+SQRT(S555*($G$9-$E$9)*($F$9-$E$9)),$G$9-SQRT((1-S555)*($G$9-$E$9)*($G$9-$F$9))))</f>
        <v>1.01145459140276</v>
      </c>
      <c r="F555" s="37" t="n">
        <f aca="false">1+IF($G$10=$E$10,$F$10,IF(T555&lt;($F$10-$E$10)/($G$10-$E$10),$E$10+SQRT(T555*($G$10-$E$10)*($F$10-$E$10)),$G$10-SQRT((1-T555)*($G$10-$E$10)*($G$10-$F$10))))</f>
        <v>1.05295274727809</v>
      </c>
      <c r="G555" s="38" t="n">
        <f aca="false">IF($G$11=$E$11,$F$11,IF(U555&lt;($F$11-$E$11)/($G$11-$E$11),$E$11+SQRT(U555*($G$11-$E$11)*($F$11-$E$11)),$G$11-SQRT((1-U555)*($G$11-$E$11)*($G$11-$F$11))))</f>
        <v>0.102493142320462</v>
      </c>
      <c r="H555" s="39" t="n">
        <f aca="false">(('Business Case'!B11*$C555*'Business Case'!B12*$B555)-'Business Case'!B11*$C555*'Business Case'!B13*$D555-'Business Case'!B14*$E555)-MAX(0,(('Business Case'!B11*$C555*'Business Case'!B12*$B555)-'Business Case'!B11*$C555*'Business Case'!B13*$D555-'Business Case'!B14*$E555))*'Business Case'!$B$7-'Business Case'!$B$8*('Business Case'!B11*$C555*'Business Case'!B12*$B555)-'Business Case'!B15*$F555</f>
        <v>-2105905494.55618</v>
      </c>
      <c r="I555" s="39" t="n">
        <f aca="false">(('Business Case'!C11*$C555*'Business Case'!C12*$B555)-'Business Case'!C11*$C555*'Business Case'!C13*$D555-'Business Case'!C14*$E555)-MAX(0,(('Business Case'!C11*$C555*'Business Case'!C12*$B555)-'Business Case'!C11*$C555*'Business Case'!C13*$D555-'Business Case'!C14*$E555))*'Business Case'!$B$7-'Business Case'!$B$8*(('Business Case'!C11*$C555*'Business Case'!C12*$B555)-('Business Case'!B11*$C555*'Business Case'!B12*$B555))-'Business Case'!C15*$F555</f>
        <v>-675869.399910286</v>
      </c>
      <c r="J555" s="39" t="n">
        <f aca="false">(('Business Case'!D11*$C555*'Business Case'!D12*$B555)-'Business Case'!D11*$C555*'Business Case'!D13*$D555-'Business Case'!D14*$E555)-MAX(0,(('Business Case'!D11*$C555*'Business Case'!D12*$B555)-'Business Case'!D11*$C555*'Business Case'!D13*$D555-'Business Case'!D14*$E555))*'Business Case'!$B$7-'Business Case'!$B$8*(('Business Case'!D11*$C555*'Business Case'!D12*$B555)-('Business Case'!C11*$C555*'Business Case'!C12*$B555))-'Business Case'!D15*$F555</f>
        <v>300981136.195008</v>
      </c>
      <c r="K555" s="39" t="n">
        <f aca="false">(('Business Case'!E11*$C555*'Business Case'!E12*$B555)-'Business Case'!E11*$C555*'Business Case'!E13*$D555-'Business Case'!E14*$E555)-MAX(0,(('Business Case'!E11*$C555*'Business Case'!E12*$B555)-'Business Case'!E11*$C555*'Business Case'!E13*$D555-'Business Case'!E14*$E555))*'Business Case'!$B$7-'Business Case'!$B$8*(('Business Case'!E11*$C555*'Business Case'!E12*$B555)-('Business Case'!D11*$C555*'Business Case'!D12*$B555))-'Business Case'!E15*$F555</f>
        <v>655285779.153831</v>
      </c>
      <c r="L555" s="39" t="n">
        <f aca="false">(('Business Case'!F11*$C555*'Business Case'!F12*$B555)-'Business Case'!F11*$C555*'Business Case'!F13*$D555-'Business Case'!F14*$E555)-MAX(0,(('Business Case'!F11*$C555*'Business Case'!F12*$B555)-'Business Case'!F11*$C555*'Business Case'!F13*$D555-'Business Case'!F14*$E555))*'Business Case'!$B$7-'Business Case'!$B$8*(('Business Case'!F11*$C555*'Business Case'!F12*$B555)-('Business Case'!E11*$C555*'Business Case'!E12*$B555))-'Business Case'!F15*$F555</f>
        <v>791310619.265169</v>
      </c>
      <c r="M555" s="39" t="n">
        <f aca="false">(('Business Case'!G11*$C555*'Business Case'!G12*$B555)-'Business Case'!G11*$C555*'Business Case'!G13*$D555-'Business Case'!G14*$E555)-MAX(0,(('Business Case'!G11*$C555*'Business Case'!G12*$B555)-'Business Case'!G11*$C555*'Business Case'!G13*$D555-'Business Case'!G14*$E555))*'Business Case'!$B$7-'Business Case'!$B$8*(('Business Case'!G11*$C555*'Business Case'!G12*$B555)-('Business Case'!F11*$C555*'Business Case'!F12*$B555))-'Business Case'!G15*$F555+'Business Case'!$B$8*('Business Case'!G11*$C555*'Business Case'!G12*$B555)</f>
        <v>986409396.286843</v>
      </c>
      <c r="N555" s="39" t="n">
        <f aca="false">IF(COUNT('Business Case'!B11:G11)=0,"",H555+NPV(G555,I555:M555))</f>
        <v>-228711927.058068</v>
      </c>
      <c r="P555" s="40" t="n">
        <f aca="true">RAND()</f>
        <v>0.45756834134151</v>
      </c>
      <c r="Q555" s="40" t="n">
        <f aca="true">RAND()</f>
        <v>0.772384074638453</v>
      </c>
      <c r="R555" s="40" t="n">
        <f aca="true">RAND()</f>
        <v>0.552953300367727</v>
      </c>
      <c r="S555" s="40" t="n">
        <f aca="true">RAND()</f>
        <v>0.477314041089839</v>
      </c>
      <c r="T555" s="40" t="n">
        <f aca="true">RAND()</f>
        <v>0.567542109338768</v>
      </c>
      <c r="U555" s="40" t="n">
        <f aca="true">RAND()</f>
        <v>0.489183223647316</v>
      </c>
    </row>
    <row r="556" customFormat="false" ht="15" hidden="false" customHeight="false" outlineLevel="0" collapsed="false">
      <c r="A556" s="36" t="n">
        <v>476</v>
      </c>
      <c r="B556" s="37" t="n">
        <f aca="false">1+IF($G$6=$E$6,$F$6,IF(P556&lt;($F$6-$E$6)/($G$6-$E$6),$E$6+SQRT(P556*($G$6-$E$6)*($F$6-$E$6)),$G$6-SQRT((1-P556)*($G$6-$E$6)*($G$6-$F$6))))</f>
        <v>1.01084284341418</v>
      </c>
      <c r="C556" s="37" t="n">
        <f aca="false">1+IF($G$7=$E$7,$F$7,IF(Q556&lt;($F$7-$E$7)/($G$7-$E$7),$E$7+SQRT(Q556*($G$7-$E$7)*($F$7-$E$7)),$G$7-SQRT((1-Q556)*($G$7-$E$7)*($G$7-$F$7))))</f>
        <v>0.819782177616273</v>
      </c>
      <c r="D556" s="37" t="n">
        <f aca="false">1+IF($G$8=$E$8,$F$8,IF(R556&lt;($F$8-$E$8)/($G$8-$E$8),$E$8+SQRT(R556*($G$8-$E$8)*($F$8-$E$8)),$G$8-SQRT((1-R556)*($G$8-$E$8)*($G$8-$F$8))))</f>
        <v>0.987383810712603</v>
      </c>
      <c r="E556" s="37" t="n">
        <f aca="false">1+IF($G$9=$E$9,$F$9,IF(S556&lt;($F$9-$E$9)/($G$9-$E$9),$E$9+SQRT(S556*($G$9-$E$9)*($F$9-$E$9)),$G$9-SQRT((1-S556)*($G$9-$E$9)*($G$9-$F$9))))</f>
        <v>0.979632372636543</v>
      </c>
      <c r="F556" s="37" t="n">
        <f aca="false">1+IF($G$10=$E$10,$F$10,IF(T556&lt;($F$10-$E$10)/($G$10-$E$10),$E$10+SQRT(T556*($G$10-$E$10)*($F$10-$E$10)),$G$10-SQRT((1-T556)*($G$10-$E$10)*($G$10-$F$10))))</f>
        <v>1.02858275735048</v>
      </c>
      <c r="G556" s="38" t="n">
        <f aca="false">IF($G$11=$E$11,$F$11,IF(U556&lt;($F$11-$E$11)/($G$11-$E$11),$E$11+SQRT(U556*($G$11-$E$11)*($F$11-$E$11)),$G$11-SQRT((1-U556)*($G$11-$E$11)*($G$11-$F$11))))</f>
        <v>0.104887910767354</v>
      </c>
      <c r="H556" s="39" t="n">
        <f aca="false">(('Business Case'!B11*$C556*'Business Case'!B12*$B556)-'Business Case'!B11*$C556*'Business Case'!B13*$D556-'Business Case'!B14*$E556)-MAX(0,(('Business Case'!B11*$C556*'Business Case'!B12*$B556)-'Business Case'!B11*$C556*'Business Case'!B13*$D556-'Business Case'!B14*$E556))*'Business Case'!$B$7-'Business Case'!$B$8*('Business Case'!B11*$C556*'Business Case'!B12*$B556)-'Business Case'!B15*$F556</f>
        <v>-2057165514.70095</v>
      </c>
      <c r="I556" s="39" t="n">
        <f aca="false">(('Business Case'!C11*$C556*'Business Case'!C12*$B556)-'Business Case'!C11*$C556*'Business Case'!C13*$D556-'Business Case'!C14*$E556)-MAX(0,(('Business Case'!C11*$C556*'Business Case'!C12*$B556)-'Business Case'!C11*$C556*'Business Case'!C13*$D556-'Business Case'!C14*$E556))*'Business Case'!$B$7-'Business Case'!$B$8*(('Business Case'!C11*$C556*'Business Case'!C12*$B556)-('Business Case'!B11*$C556*'Business Case'!B12*$B556))-'Business Case'!C15*$F556</f>
        <v>-20747476.6852513</v>
      </c>
      <c r="J556" s="39" t="n">
        <f aca="false">(('Business Case'!D11*$C556*'Business Case'!D12*$B556)-'Business Case'!D11*$C556*'Business Case'!D13*$D556-'Business Case'!D14*$E556)-MAX(0,(('Business Case'!D11*$C556*'Business Case'!D12*$B556)-'Business Case'!D11*$C556*'Business Case'!D13*$D556-'Business Case'!D14*$E556))*'Business Case'!$B$7-'Business Case'!$B$8*(('Business Case'!D11*$C556*'Business Case'!D12*$B556)-('Business Case'!C11*$C556*'Business Case'!C12*$B556))-'Business Case'!D15*$F556</f>
        <v>243625347.666776</v>
      </c>
      <c r="K556" s="39" t="n">
        <f aca="false">(('Business Case'!E11*$C556*'Business Case'!E12*$B556)-'Business Case'!E11*$C556*'Business Case'!E13*$D556-'Business Case'!E14*$E556)-MAX(0,(('Business Case'!E11*$C556*'Business Case'!E12*$B556)-'Business Case'!E11*$C556*'Business Case'!E13*$D556-'Business Case'!E14*$E556))*'Business Case'!$B$7-'Business Case'!$B$8*(('Business Case'!E11*$C556*'Business Case'!E12*$B556)-('Business Case'!D11*$C556*'Business Case'!D12*$B556))-'Business Case'!E15*$F556</f>
        <v>559427309.886327</v>
      </c>
      <c r="L556" s="39" t="n">
        <f aca="false">(('Business Case'!F11*$C556*'Business Case'!F12*$B556)-'Business Case'!F11*$C556*'Business Case'!F13*$D556-'Business Case'!F14*$E556)-MAX(0,(('Business Case'!F11*$C556*'Business Case'!F12*$B556)-'Business Case'!F11*$C556*'Business Case'!F13*$D556-'Business Case'!F14*$E556))*'Business Case'!$B$7-'Business Case'!$B$8*(('Business Case'!F11*$C556*'Business Case'!F12*$B556)-('Business Case'!E11*$C556*'Business Case'!E12*$B556))-'Business Case'!F15*$F556</f>
        <v>676190452.612546</v>
      </c>
      <c r="M556" s="39" t="n">
        <f aca="false">(('Business Case'!G11*$C556*'Business Case'!G12*$B556)-'Business Case'!G11*$C556*'Business Case'!G13*$D556-'Business Case'!G14*$E556)-MAX(0,(('Business Case'!G11*$C556*'Business Case'!G12*$B556)-'Business Case'!G11*$C556*'Business Case'!G13*$D556-'Business Case'!G14*$E556))*'Business Case'!$B$7-'Business Case'!$B$8*(('Business Case'!G11*$C556*'Business Case'!G12*$B556)-('Business Case'!F11*$C556*'Business Case'!F12*$B556))-'Business Case'!G15*$F556+'Business Case'!$B$8*('Business Case'!G11*$C556*'Business Case'!G12*$B556)</f>
        <v>833704226.2947</v>
      </c>
      <c r="N556" s="39" t="n">
        <f aca="false">IF(COUNT('Business Case'!B11:G11)=0,"",H556+NPV(G556,I556:M556))</f>
        <v>-501581461.354328</v>
      </c>
      <c r="P556" s="40" t="n">
        <f aca="true">RAND()</f>
        <v>0.822887545797951</v>
      </c>
      <c r="Q556" s="40" t="n">
        <f aca="true">RAND()</f>
        <v>0.00559049358916827</v>
      </c>
      <c r="R556" s="40" t="n">
        <f aca="true">RAND()</f>
        <v>0.215007585137808</v>
      </c>
      <c r="S556" s="40" t="n">
        <f aca="true">RAND()</f>
        <v>0.117077001076126</v>
      </c>
      <c r="T556" s="40" t="n">
        <f aca="true">RAND()</f>
        <v>0.412322578448689</v>
      </c>
      <c r="U556" s="40" t="n">
        <f aca="true">RAND()</f>
        <v>0.619374598374232</v>
      </c>
    </row>
    <row r="557" customFormat="false" ht="15" hidden="false" customHeight="false" outlineLevel="0" collapsed="false">
      <c r="A557" s="36" t="n">
        <v>477</v>
      </c>
      <c r="B557" s="37" t="n">
        <f aca="false">1+IF($G$6=$E$6,$F$6,IF(P557&lt;($F$6-$E$6)/($G$6-$E$6),$E$6+SQRT(P557*($G$6-$E$6)*($F$6-$E$6)),$G$6-SQRT((1-P557)*($G$6-$E$6)*($G$6-$F$6))))</f>
        <v>0.96493187246084</v>
      </c>
      <c r="C557" s="37" t="n">
        <f aca="false">1+IF($G$7=$E$7,$F$7,IF(Q557&lt;($F$7-$E$7)/($G$7-$E$7),$E$7+SQRT(Q557*($G$7-$E$7)*($F$7-$E$7)),$G$7-SQRT((1-Q557)*($G$7-$E$7)*($G$7-$F$7))))</f>
        <v>1.04676835003326</v>
      </c>
      <c r="D557" s="37" t="n">
        <f aca="false">1+IF($G$8=$E$8,$F$8,IF(R557&lt;($F$8-$E$8)/($G$8-$E$8),$E$8+SQRT(R557*($G$8-$E$8)*($F$8-$E$8)),$G$8-SQRT((1-R557)*($G$8-$E$8)*($G$8-$F$8))))</f>
        <v>1.01149427649731</v>
      </c>
      <c r="E557" s="37" t="n">
        <f aca="false">1+IF($G$9=$E$9,$F$9,IF(S557&lt;($F$9-$E$9)/($G$9-$E$9),$E$9+SQRT(S557*($G$9-$E$9)*($F$9-$E$9)),$G$9-SQRT((1-S557)*($G$9-$E$9)*($G$9-$F$9))))</f>
        <v>0.981216802114927</v>
      </c>
      <c r="F557" s="37" t="n">
        <f aca="false">1+IF($G$10=$E$10,$F$10,IF(T557&lt;($F$10-$E$10)/($G$10-$E$10),$E$10+SQRT(T557*($G$10-$E$10)*($F$10-$E$10)),$G$10-SQRT((1-T557)*($G$10-$E$10)*($G$10-$F$10))))</f>
        <v>1.0496679749557</v>
      </c>
      <c r="G557" s="38" t="n">
        <f aca="false">IF($G$11=$E$11,$F$11,IF(U557&lt;($F$11-$E$11)/($G$11-$E$11),$E$11+SQRT(U557*($G$11-$E$11)*($F$11-$E$11)),$G$11-SQRT((1-U557)*($G$11-$E$11)*($G$11-$F$11))))</f>
        <v>0.101748352120644</v>
      </c>
      <c r="H557" s="39" t="n">
        <f aca="false">(('Business Case'!B11*$C557*'Business Case'!B12*$B557)-'Business Case'!B11*$C557*'Business Case'!B13*$D557-'Business Case'!B14*$E557)-MAX(0,(('Business Case'!B11*$C557*'Business Case'!B12*$B557)-'Business Case'!B11*$C557*'Business Case'!B13*$D557-'Business Case'!B14*$E557))*'Business Case'!$B$7-'Business Case'!$B$8*('Business Case'!B11*$C557*'Business Case'!B12*$B557)-'Business Case'!B15*$F557</f>
        <v>-2099335949.9114</v>
      </c>
      <c r="I557" s="39" t="n">
        <f aca="false">(('Business Case'!C11*$C557*'Business Case'!C12*$B557)-'Business Case'!C11*$C557*'Business Case'!C13*$D557-'Business Case'!C14*$E557)-MAX(0,(('Business Case'!C11*$C557*'Business Case'!C12*$B557)-'Business Case'!C11*$C557*'Business Case'!C13*$D557-'Business Case'!C14*$E557))*'Business Case'!$B$7-'Business Case'!$B$8*(('Business Case'!C11*$C557*'Business Case'!C12*$B557)-('Business Case'!B11*$C557*'Business Case'!B12*$B557))-'Business Case'!C15*$F557</f>
        <v>-11566358.0931536</v>
      </c>
      <c r="J557" s="39" t="n">
        <f aca="false">(('Business Case'!D11*$C557*'Business Case'!D12*$B557)-'Business Case'!D11*$C557*'Business Case'!D13*$D557-'Business Case'!D14*$E557)-MAX(0,(('Business Case'!D11*$C557*'Business Case'!D12*$B557)-'Business Case'!D11*$C557*'Business Case'!D13*$D557-'Business Case'!D14*$E557))*'Business Case'!$B$7-'Business Case'!$B$8*(('Business Case'!D11*$C557*'Business Case'!D12*$B557)-('Business Case'!C11*$C557*'Business Case'!C12*$B557))-'Business Case'!D15*$F557</f>
        <v>273724628.436538</v>
      </c>
      <c r="K557" s="39" t="n">
        <f aca="false">(('Business Case'!E11*$C557*'Business Case'!E12*$B557)-'Business Case'!E11*$C557*'Business Case'!E13*$D557-'Business Case'!E14*$E557)-MAX(0,(('Business Case'!E11*$C557*'Business Case'!E12*$B557)-'Business Case'!E11*$C557*'Business Case'!E13*$D557-'Business Case'!E14*$E557))*'Business Case'!$B$7-'Business Case'!$B$8*(('Business Case'!E11*$C557*'Business Case'!E12*$B557)-('Business Case'!D11*$C557*'Business Case'!D12*$B557))-'Business Case'!E15*$F557</f>
        <v>611499013.714015</v>
      </c>
      <c r="L557" s="39" t="n">
        <f aca="false">(('Business Case'!F11*$C557*'Business Case'!F12*$B557)-'Business Case'!F11*$C557*'Business Case'!F13*$D557-'Business Case'!F14*$E557)-MAX(0,(('Business Case'!F11*$C557*'Business Case'!F12*$B557)-'Business Case'!F11*$C557*'Business Case'!F13*$D557-'Business Case'!F14*$E557))*'Business Case'!$B$7-'Business Case'!$B$8*(('Business Case'!F11*$C557*'Business Case'!F12*$B557)-('Business Case'!E11*$C557*'Business Case'!E12*$B557))-'Business Case'!F15*$F557</f>
        <v>741503687.801601</v>
      </c>
      <c r="M557" s="39" t="n">
        <f aca="false">(('Business Case'!G11*$C557*'Business Case'!G12*$B557)-'Business Case'!G11*$C557*'Business Case'!G13*$D557-'Business Case'!G14*$E557)-MAX(0,(('Business Case'!G11*$C557*'Business Case'!G12*$B557)-'Business Case'!G11*$C557*'Business Case'!G13*$D557-'Business Case'!G14*$E557))*'Business Case'!$B$7-'Business Case'!$B$8*(('Business Case'!G11*$C557*'Business Case'!G12*$B557)-('Business Case'!F11*$C557*'Business Case'!F12*$B557))-'Business Case'!G15*$F557+'Business Case'!$B$8*('Business Case'!G11*$C557*'Business Case'!G12*$B557)</f>
        <v>933495919.978888</v>
      </c>
      <c r="N557" s="39" t="n">
        <f aca="false">IF(COUNT('Business Case'!B11:G11)=0,"",H557+NPV(G557,I557:M557))</f>
        <v>-348795338.853332</v>
      </c>
      <c r="P557" s="40" t="n">
        <f aca="true">RAND()</f>
        <v>0.210299287795539</v>
      </c>
      <c r="Q557" s="40" t="n">
        <f aca="true">RAND()</f>
        <v>0.797013837050381</v>
      </c>
      <c r="R557" s="40" t="n">
        <f aca="true">RAND()</f>
        <v>0.548746716093599</v>
      </c>
      <c r="S557" s="40" t="n">
        <f aca="true">RAND()</f>
        <v>0.129931831237666</v>
      </c>
      <c r="T557" s="40" t="n">
        <f aca="true">RAND()</f>
        <v>0.548005644921607</v>
      </c>
      <c r="U557" s="40" t="n">
        <f aca="true">RAND()</f>
        <v>0.444795582813309</v>
      </c>
    </row>
    <row r="558" customFormat="false" ht="15" hidden="false" customHeight="false" outlineLevel="0" collapsed="false">
      <c r="A558" s="36" t="n">
        <v>478</v>
      </c>
      <c r="B558" s="37" t="n">
        <f aca="false">1+IF($G$6=$E$6,$F$6,IF(P558&lt;($F$6-$E$6)/($G$6-$E$6),$E$6+SQRT(P558*($G$6-$E$6)*($F$6-$E$6)),$G$6-SQRT((1-P558)*($G$6-$E$6)*($G$6-$F$6))))</f>
        <v>1.02696224509088</v>
      </c>
      <c r="C558" s="37" t="n">
        <f aca="false">1+IF($G$7=$E$7,$F$7,IF(Q558&lt;($F$7-$E$7)/($G$7-$E$7),$E$7+SQRT(Q558*($G$7-$E$7)*($F$7-$E$7)),$G$7-SQRT((1-Q558)*($G$7-$E$7)*($G$7-$F$7))))</f>
        <v>0.944208206117194</v>
      </c>
      <c r="D558" s="37" t="n">
        <f aca="false">1+IF($G$8=$E$8,$F$8,IF(R558&lt;($F$8-$E$8)/($G$8-$E$8),$E$8+SQRT(R558*($G$8-$E$8)*($F$8-$E$8)),$G$8-SQRT((1-R558)*($G$8-$E$8)*($G$8-$F$8))))</f>
        <v>0.989864957835909</v>
      </c>
      <c r="E558" s="37" t="n">
        <f aca="false">1+IF($G$9=$E$9,$F$9,IF(S558&lt;($F$9-$E$9)/($G$9-$E$9),$E$9+SQRT(S558*($G$9-$E$9)*($F$9-$E$9)),$G$9-SQRT((1-S558)*($G$9-$E$9)*($G$9-$F$9))))</f>
        <v>1.03574199474892</v>
      </c>
      <c r="F558" s="37" t="n">
        <f aca="false">1+IF($G$10=$E$10,$F$10,IF(T558&lt;($F$10-$E$10)/($G$10-$E$10),$E$10+SQRT(T558*($G$10-$E$10)*($F$10-$E$10)),$G$10-SQRT((1-T558)*($G$10-$E$10)*($G$10-$F$10))))</f>
        <v>1.08023784257116</v>
      </c>
      <c r="G558" s="38" t="n">
        <f aca="false">IF($G$11=$E$11,$F$11,IF(U558&lt;($F$11-$E$11)/($G$11-$E$11),$E$11+SQRT(U558*($G$11-$E$11)*($F$11-$E$11)),$G$11-SQRT((1-U558)*($G$11-$E$11)*($G$11-$F$11))))</f>
        <v>0.108284408169286</v>
      </c>
      <c r="H558" s="39" t="n">
        <f aca="false">(('Business Case'!B11*$C558*'Business Case'!B12*$B558)-'Business Case'!B11*$C558*'Business Case'!B13*$D558-'Business Case'!B14*$E558)-MAX(0,(('Business Case'!B11*$C558*'Business Case'!B12*$B558)-'Business Case'!B11*$C558*'Business Case'!B13*$D558-'Business Case'!B14*$E558))*'Business Case'!$B$7-'Business Case'!$B$8*('Business Case'!B11*$C558*'Business Case'!B12*$B558)-'Business Case'!B15*$F558</f>
        <v>-2160475685.14231</v>
      </c>
      <c r="I558" s="39" t="n">
        <f aca="false">(('Business Case'!C11*$C558*'Business Case'!C12*$B558)-'Business Case'!C11*$C558*'Business Case'!C13*$D558-'Business Case'!C14*$E558)-MAX(0,(('Business Case'!C11*$C558*'Business Case'!C12*$B558)-'Business Case'!C11*$C558*'Business Case'!C13*$D558-'Business Case'!C14*$E558))*'Business Case'!$B$7-'Business Case'!$B$8*(('Business Case'!C11*$C558*'Business Case'!C12*$B558)-('Business Case'!B11*$C558*'Business Case'!B12*$B558))-'Business Case'!C15*$F558</f>
        <v>10192425.7072465</v>
      </c>
      <c r="J558" s="39" t="n">
        <f aca="false">(('Business Case'!D11*$C558*'Business Case'!D12*$B558)-'Business Case'!D11*$C558*'Business Case'!D13*$D558-'Business Case'!D14*$E558)-MAX(0,(('Business Case'!D11*$C558*'Business Case'!D12*$B558)-'Business Case'!D11*$C558*'Business Case'!D13*$D558-'Business Case'!D14*$E558))*'Business Case'!$B$7-'Business Case'!$B$8*(('Business Case'!D11*$C558*'Business Case'!D12*$B558)-('Business Case'!C11*$C558*'Business Case'!C12*$B558))-'Business Case'!D15*$F558</f>
        <v>325958642.053976</v>
      </c>
      <c r="K558" s="39" t="n">
        <f aca="false">(('Business Case'!E11*$C558*'Business Case'!E12*$B558)-'Business Case'!E11*$C558*'Business Case'!E13*$D558-'Business Case'!E14*$E558)-MAX(0,(('Business Case'!E11*$C558*'Business Case'!E12*$B558)-'Business Case'!E11*$C558*'Business Case'!E13*$D558-'Business Case'!E14*$E558))*'Business Case'!$B$7-'Business Case'!$B$8*(('Business Case'!E11*$C558*'Business Case'!E12*$B558)-('Business Case'!D11*$C558*'Business Case'!D12*$B558))-'Business Case'!E15*$F558</f>
        <v>695736750.529264</v>
      </c>
      <c r="L558" s="39" t="n">
        <f aca="false">(('Business Case'!F11*$C558*'Business Case'!F12*$B558)-'Business Case'!F11*$C558*'Business Case'!F13*$D558-'Business Case'!F14*$E558)-MAX(0,(('Business Case'!F11*$C558*'Business Case'!F12*$B558)-'Business Case'!F11*$C558*'Business Case'!F13*$D558-'Business Case'!F14*$E558))*'Business Case'!$B$7-'Business Case'!$B$8*(('Business Case'!F11*$C558*'Business Case'!F12*$B558)-('Business Case'!E11*$C558*'Business Case'!E12*$B558))-'Business Case'!F15*$F558</f>
        <v>834503819.130889</v>
      </c>
      <c r="M558" s="39" t="n">
        <f aca="false">(('Business Case'!G11*$C558*'Business Case'!G12*$B558)-'Business Case'!G11*$C558*'Business Case'!G13*$D558-'Business Case'!G14*$E558)-MAX(0,(('Business Case'!G11*$C558*'Business Case'!G12*$B558)-'Business Case'!G11*$C558*'Business Case'!G13*$D558-'Business Case'!G14*$E558))*'Business Case'!$B$7-'Business Case'!$B$8*(('Business Case'!G11*$C558*'Business Case'!G12*$B558)-('Business Case'!F11*$C558*'Business Case'!F12*$B558))-'Business Case'!G15*$F558+'Business Case'!$B$8*('Business Case'!G11*$C558*'Business Case'!G12*$B558)</f>
        <v>1018817966.47082</v>
      </c>
      <c r="N558" s="39" t="n">
        <f aca="false">IF(COUNT('Business Case'!B11:G11)=0,"",H558+NPV(G558,I558:M558))</f>
        <v>-212383033.074004</v>
      </c>
      <c r="P558" s="40" t="n">
        <f aca="true">RAND()</f>
        <v>0.96458686394367</v>
      </c>
      <c r="Q558" s="40" t="n">
        <f aca="true">RAND()</f>
        <v>0.297085810164844</v>
      </c>
      <c r="R558" s="40" t="n">
        <f aca="true">RAND()</f>
        <v>0.244494594347506</v>
      </c>
      <c r="S558" s="40" t="n">
        <f aca="true">RAND()</f>
        <v>0.72472725074345</v>
      </c>
      <c r="T558" s="40" t="n">
        <f aca="true">RAND()</f>
        <v>0.713140512959775</v>
      </c>
      <c r="U558" s="40" t="n">
        <f aca="true">RAND()</f>
        <v>0.771241513426847</v>
      </c>
    </row>
    <row r="559" customFormat="false" ht="15" hidden="false" customHeight="false" outlineLevel="0" collapsed="false">
      <c r="A559" s="36" t="n">
        <v>479</v>
      </c>
      <c r="B559" s="37" t="n">
        <f aca="false">1+IF($G$6=$E$6,$F$6,IF(P559&lt;($F$6-$E$6)/($G$6-$E$6),$E$6+SQRT(P559*($G$6-$E$6)*($F$6-$E$6)),$G$6-SQRT((1-P559)*($G$6-$E$6)*($G$6-$F$6))))</f>
        <v>0.991949197099529</v>
      </c>
      <c r="C559" s="37" t="n">
        <f aca="false">1+IF($G$7=$E$7,$F$7,IF(Q559&lt;($F$7-$E$7)/($G$7-$E$7),$E$7+SQRT(Q559*($G$7-$E$7)*($F$7-$E$7)),$G$7-SQRT((1-Q559)*($G$7-$E$7)*($G$7-$F$7))))</f>
        <v>0.918402140156588</v>
      </c>
      <c r="D559" s="37" t="n">
        <f aca="false">1+IF($G$8=$E$8,$F$8,IF(R559&lt;($F$8-$E$8)/($G$8-$E$8),$E$8+SQRT(R559*($G$8-$E$8)*($F$8-$E$8)),$G$8-SQRT((1-R559)*($G$8-$E$8)*($G$8-$F$8))))</f>
        <v>0.982108099190994</v>
      </c>
      <c r="E559" s="37" t="n">
        <f aca="false">1+IF($G$9=$E$9,$F$9,IF(S559&lt;($F$9-$E$9)/($G$9-$E$9),$E$9+SQRT(S559*($G$9-$E$9)*($F$9-$E$9)),$G$9-SQRT((1-S559)*($G$9-$E$9)*($G$9-$F$9))))</f>
        <v>1.01520996799112</v>
      </c>
      <c r="F559" s="37" t="n">
        <f aca="false">1+IF($G$10=$E$10,$F$10,IF(T559&lt;($F$10-$E$10)/($G$10-$E$10),$E$10+SQRT(T559*($G$10-$E$10)*($F$10-$E$10)),$G$10-SQRT((1-T559)*($G$10-$E$10)*($G$10-$F$10))))</f>
        <v>1.12263448239018</v>
      </c>
      <c r="G559" s="38" t="n">
        <f aca="false">IF($G$11=$E$11,$F$11,IF(U559&lt;($F$11-$E$11)/($G$11-$E$11),$E$11+SQRT(U559*($G$11-$E$11)*($F$11-$E$11)),$G$11-SQRT((1-U559)*($G$11-$E$11)*($G$11-$F$11))))</f>
        <v>0.0999880290929327</v>
      </c>
      <c r="H559" s="39" t="n">
        <f aca="false">(('Business Case'!B11*$C559*'Business Case'!B12*$B559)-'Business Case'!B11*$C559*'Business Case'!B13*$D559-'Business Case'!B14*$E559)-MAX(0,(('Business Case'!B11*$C559*'Business Case'!B12*$B559)-'Business Case'!B11*$C559*'Business Case'!B13*$D559-'Business Case'!B14*$E559))*'Business Case'!$B$7-'Business Case'!$B$8*('Business Case'!B11*$C559*'Business Case'!B12*$B559)-'Business Case'!B15*$F559</f>
        <v>-2245268964.78037</v>
      </c>
      <c r="I559" s="39" t="n">
        <f aca="false">(('Business Case'!C11*$C559*'Business Case'!C12*$B559)-'Business Case'!C11*$C559*'Business Case'!C13*$D559-'Business Case'!C14*$E559)-MAX(0,(('Business Case'!C11*$C559*'Business Case'!C12*$B559)-'Business Case'!C11*$C559*'Business Case'!C13*$D559-'Business Case'!C14*$E559))*'Business Case'!$B$7-'Business Case'!$B$8*(('Business Case'!C11*$C559*'Business Case'!C12*$B559)-('Business Case'!B11*$C559*'Business Case'!B12*$B559))-'Business Case'!C15*$F559</f>
        <v>-19408186.7270063</v>
      </c>
      <c r="J559" s="39" t="n">
        <f aca="false">(('Business Case'!D11*$C559*'Business Case'!D12*$B559)-'Business Case'!D11*$C559*'Business Case'!D13*$D559-'Business Case'!D14*$E559)-MAX(0,(('Business Case'!D11*$C559*'Business Case'!D12*$B559)-'Business Case'!D11*$C559*'Business Case'!D13*$D559-'Business Case'!D14*$E559))*'Business Case'!$B$7-'Business Case'!$B$8*(('Business Case'!D11*$C559*'Business Case'!D12*$B559)-('Business Case'!C11*$C559*'Business Case'!C12*$B559))-'Business Case'!D15*$F559</f>
        <v>265036600.719083</v>
      </c>
      <c r="K559" s="39" t="n">
        <f aca="false">(('Business Case'!E11*$C559*'Business Case'!E12*$B559)-'Business Case'!E11*$C559*'Business Case'!E13*$D559-'Business Case'!E14*$E559)-MAX(0,(('Business Case'!E11*$C559*'Business Case'!E12*$B559)-'Business Case'!E11*$C559*'Business Case'!E13*$D559-'Business Case'!E14*$E559))*'Business Case'!$B$7-'Business Case'!$B$8*(('Business Case'!E11*$C559*'Business Case'!E12*$B559)-('Business Case'!D11*$C559*'Business Case'!D12*$B559))-'Business Case'!E15*$F559</f>
        <v>605613112.284682</v>
      </c>
      <c r="L559" s="39" t="n">
        <f aca="false">(('Business Case'!F11*$C559*'Business Case'!F12*$B559)-'Business Case'!F11*$C559*'Business Case'!F13*$D559-'Business Case'!F14*$E559)-MAX(0,(('Business Case'!F11*$C559*'Business Case'!F12*$B559)-'Business Case'!F11*$C559*'Business Case'!F13*$D559-'Business Case'!F14*$E559))*'Business Case'!$B$7-'Business Case'!$B$8*(('Business Case'!F11*$C559*'Business Case'!F12*$B559)-('Business Case'!E11*$C559*'Business Case'!E12*$B559))-'Business Case'!F15*$F559</f>
        <v>731912487.090538</v>
      </c>
      <c r="M559" s="39" t="n">
        <f aca="false">(('Business Case'!G11*$C559*'Business Case'!G12*$B559)-'Business Case'!G11*$C559*'Business Case'!G13*$D559-'Business Case'!G14*$E559)-MAX(0,(('Business Case'!G11*$C559*'Business Case'!G12*$B559)-'Business Case'!G11*$C559*'Business Case'!G13*$D559-'Business Case'!G14*$E559))*'Business Case'!$B$7-'Business Case'!$B$8*(('Business Case'!G11*$C559*'Business Case'!G12*$B559)-('Business Case'!F11*$C559*'Business Case'!F12*$B559))-'Business Case'!G15*$F559+'Business Case'!$B$8*('Business Case'!G11*$C559*'Business Case'!G12*$B559)</f>
        <v>905076938.204916</v>
      </c>
      <c r="N559" s="39" t="n">
        <f aca="false">IF(COUNT('Business Case'!B11:G11)=0,"",H559+NPV(G559,I559:M559))</f>
        <v>-526908743.411337</v>
      </c>
      <c r="P559" s="40" t="n">
        <f aca="true">RAND()</f>
        <v>0.539238225340292</v>
      </c>
      <c r="Q559" s="40" t="n">
        <f aca="true">RAND()</f>
        <v>0.200272382766577</v>
      </c>
      <c r="R559" s="40" t="n">
        <f aca="true">RAND()</f>
        <v>0.158604620562876</v>
      </c>
      <c r="S559" s="40" t="n">
        <f aca="true">RAND()</f>
        <v>0.520710031462257</v>
      </c>
      <c r="T559" s="40" t="n">
        <f aca="true">RAND()</f>
        <v>0.880291533699301</v>
      </c>
      <c r="U559" s="40" t="n">
        <f aca="true">RAND()</f>
        <v>0.332535750537566</v>
      </c>
    </row>
    <row r="560" customFormat="false" ht="15" hidden="false" customHeight="false" outlineLevel="0" collapsed="false">
      <c r="A560" s="36" t="n">
        <v>480</v>
      </c>
      <c r="B560" s="37" t="n">
        <f aca="false">1+IF($G$6=$E$6,$F$6,IF(P560&lt;($F$6-$E$6)/($G$6-$E$6),$E$6+SQRT(P560*($G$6-$E$6)*($F$6-$E$6)),$G$6-SQRT((1-P560)*($G$6-$E$6)*($G$6-$F$6))))</f>
        <v>0.986683441394899</v>
      </c>
      <c r="C560" s="37" t="n">
        <f aca="false">1+IF($G$7=$E$7,$F$7,IF(Q560&lt;($F$7-$E$7)/($G$7-$E$7),$E$7+SQRT(Q560*($G$7-$E$7)*($F$7-$E$7)),$G$7-SQRT((1-Q560)*($G$7-$E$7)*($G$7-$F$7))))</f>
        <v>1.07318279786259</v>
      </c>
      <c r="D560" s="37" t="n">
        <f aca="false">1+IF($G$8=$E$8,$F$8,IF(R560&lt;($F$8-$E$8)/($G$8-$E$8),$E$8+SQRT(R560*($G$8-$E$8)*($F$8-$E$8)),$G$8-SQRT((1-R560)*($G$8-$E$8)*($G$8-$F$8))))</f>
        <v>1.01425935883143</v>
      </c>
      <c r="E560" s="37" t="n">
        <f aca="false">1+IF($G$9=$E$9,$F$9,IF(S560&lt;($F$9-$E$9)/($G$9-$E$9),$E$9+SQRT(S560*($G$9-$E$9)*($F$9-$E$9)),$G$9-SQRT((1-S560)*($G$9-$E$9)*($G$9-$F$9))))</f>
        <v>0.968082454039165</v>
      </c>
      <c r="F560" s="37" t="n">
        <f aca="false">1+IF($G$10=$E$10,$F$10,IF(T560&lt;($F$10-$E$10)/($G$10-$E$10),$E$10+SQRT(T560*($G$10-$E$10)*($F$10-$E$10)),$G$10-SQRT((1-T560)*($G$10-$E$10)*($G$10-$F$10))))</f>
        <v>0.985282709406584</v>
      </c>
      <c r="G560" s="38" t="n">
        <f aca="false">IF($G$11=$E$11,$F$11,IF(U560&lt;($F$11-$E$11)/($G$11-$E$11),$E$11+SQRT(U560*($G$11-$E$11)*($F$11-$E$11)),$G$11-SQRT((1-U560)*($G$11-$E$11)*($G$11-$F$11))))</f>
        <v>0.0999827078504768</v>
      </c>
      <c r="H560" s="39" t="n">
        <f aca="false">(('Business Case'!B11*$C560*'Business Case'!B12*$B560)-'Business Case'!B11*$C560*'Business Case'!B13*$D560-'Business Case'!B14*$E560)-MAX(0,(('Business Case'!B11*$C560*'Business Case'!B12*$B560)-'Business Case'!B11*$C560*'Business Case'!B13*$D560-'Business Case'!B14*$E560))*'Business Case'!$B$7-'Business Case'!$B$8*('Business Case'!B11*$C560*'Business Case'!B12*$B560)-'Business Case'!B15*$F560</f>
        <v>-1970565418.81317</v>
      </c>
      <c r="I560" s="39" t="n">
        <f aca="false">(('Business Case'!C11*$C560*'Business Case'!C12*$B560)-'Business Case'!C11*$C560*'Business Case'!C13*$D560-'Business Case'!C14*$E560)-MAX(0,(('Business Case'!C11*$C560*'Business Case'!C12*$B560)-'Business Case'!C11*$C560*'Business Case'!C13*$D560-'Business Case'!C14*$E560))*'Business Case'!$B$7-'Business Case'!$B$8*(('Business Case'!C11*$C560*'Business Case'!C12*$B560)-('Business Case'!B11*$C560*'Business Case'!B12*$B560))-'Business Case'!C15*$F560</f>
        <v>19008400.2488169</v>
      </c>
      <c r="J560" s="39" t="n">
        <f aca="false">(('Business Case'!D11*$C560*'Business Case'!D12*$B560)-'Business Case'!D11*$C560*'Business Case'!D13*$D560-'Business Case'!D14*$E560)-MAX(0,(('Business Case'!D11*$C560*'Business Case'!D12*$B560)-'Business Case'!D11*$C560*'Business Case'!D13*$D560-'Business Case'!D14*$E560))*'Business Case'!$B$7-'Business Case'!$B$8*(('Business Case'!D11*$C560*'Business Case'!D12*$B560)-('Business Case'!C11*$C560*'Business Case'!C12*$B560))-'Business Case'!D15*$F560</f>
        <v>329099341.935788</v>
      </c>
      <c r="K560" s="39" t="n">
        <f aca="false">(('Business Case'!E11*$C560*'Business Case'!E12*$B560)-'Business Case'!E11*$C560*'Business Case'!E13*$D560-'Business Case'!E14*$E560)-MAX(0,(('Business Case'!E11*$C560*'Business Case'!E12*$B560)-'Business Case'!E11*$C560*'Business Case'!E13*$D560-'Business Case'!E14*$E560))*'Business Case'!$B$7-'Business Case'!$B$8*(('Business Case'!E11*$C560*'Business Case'!E12*$B560)-('Business Case'!D11*$C560*'Business Case'!D12*$B560))-'Business Case'!E15*$F560</f>
        <v>688454419.093088</v>
      </c>
      <c r="L560" s="39" t="n">
        <f aca="false">(('Business Case'!F11*$C560*'Business Case'!F12*$B560)-'Business Case'!F11*$C560*'Business Case'!F13*$D560-'Business Case'!F14*$E560)-MAX(0,(('Business Case'!F11*$C560*'Business Case'!F12*$B560)-'Business Case'!F11*$C560*'Business Case'!F13*$D560-'Business Case'!F14*$E560))*'Business Case'!$B$7-'Business Case'!$B$8*(('Business Case'!F11*$C560*'Business Case'!F12*$B560)-('Business Case'!E11*$C560*'Business Case'!E12*$B560))-'Business Case'!F15*$F560</f>
        <v>828413363.344163</v>
      </c>
      <c r="M560" s="39" t="n">
        <f aca="false">(('Business Case'!G11*$C560*'Business Case'!G12*$B560)-'Business Case'!G11*$C560*'Business Case'!G13*$D560-'Business Case'!G14*$E560)-MAX(0,(('Business Case'!G11*$C560*'Business Case'!G12*$B560)-'Business Case'!G11*$C560*'Business Case'!G13*$D560-'Business Case'!G14*$E560))*'Business Case'!$B$7-'Business Case'!$B$8*(('Business Case'!G11*$C560*'Business Case'!G12*$B560)-('Business Case'!F11*$C560*'Business Case'!F12*$B560))-'Business Case'!G15*$F560+'Business Case'!$B$8*('Business Case'!G11*$C560*'Business Case'!G12*$B560)</f>
        <v>1029687496.96563</v>
      </c>
      <c r="N560" s="39" t="n">
        <f aca="false">IF(COUNT('Business Case'!B11:G11)=0,"",H560+NPV(G560,I560:M560))</f>
        <v>41235317.5834706</v>
      </c>
      <c r="P560" s="40" t="n">
        <f aca="true">RAND()</f>
        <v>0.463195974611134</v>
      </c>
      <c r="Q560" s="40" t="n">
        <f aca="true">RAND()</f>
        <v>0.887602237252962</v>
      </c>
      <c r="R560" s="40" t="n">
        <f aca="true">RAND()</f>
        <v>0.584439240264019</v>
      </c>
      <c r="S560" s="40" t="n">
        <f aca="true">RAND()</f>
        <v>0.0435966858771338</v>
      </c>
      <c r="T560" s="40" t="n">
        <f aca="true">RAND()</f>
        <v>0.099589566645556</v>
      </c>
      <c r="U560" s="40" t="n">
        <f aca="true">RAND()</f>
        <v>0.332181520093235</v>
      </c>
    </row>
    <row r="561" customFormat="false" ht="15" hidden="false" customHeight="false" outlineLevel="0" collapsed="false">
      <c r="A561" s="36" t="n">
        <v>481</v>
      </c>
      <c r="B561" s="37" t="n">
        <f aca="false">1+IF($G$6=$E$6,$F$6,IF(P561&lt;($F$6-$E$6)/($G$6-$E$6),$E$6+SQRT(P561*($G$6-$E$6)*($F$6-$E$6)),$G$6-SQRT((1-P561)*($G$6-$E$6)*($G$6-$F$6))))</f>
        <v>1.01091492822033</v>
      </c>
      <c r="C561" s="37" t="n">
        <f aca="false">1+IF($G$7=$E$7,$F$7,IF(Q561&lt;($F$7-$E$7)/($G$7-$E$7),$E$7+SQRT(Q561*($G$7-$E$7)*($F$7-$E$7)),$G$7-SQRT((1-Q561)*($G$7-$E$7)*($G$7-$F$7))))</f>
        <v>0.963272527042426</v>
      </c>
      <c r="D561" s="37" t="n">
        <f aca="false">1+IF($G$8=$E$8,$F$8,IF(R561&lt;($F$8-$E$8)/($G$8-$E$8),$E$8+SQRT(R561*($G$8-$E$8)*($F$8-$E$8)),$G$8-SQRT((1-R561)*($G$8-$E$8)*($G$8-$F$8))))</f>
        <v>1.05436432010729</v>
      </c>
      <c r="E561" s="37" t="n">
        <f aca="false">1+IF($G$9=$E$9,$F$9,IF(S561&lt;($F$9-$E$9)/($G$9-$E$9),$E$9+SQRT(S561*($G$9-$E$9)*($F$9-$E$9)),$G$9-SQRT((1-S561)*($G$9-$E$9)*($G$9-$F$9))))</f>
        <v>1.04388571532381</v>
      </c>
      <c r="F561" s="37" t="n">
        <f aca="false">1+IF($G$10=$E$10,$F$10,IF(T561&lt;($F$10-$E$10)/($G$10-$E$10),$E$10+SQRT(T561*($G$10-$E$10)*($F$10-$E$10)),$G$10-SQRT((1-T561)*($G$10-$E$10)*($G$10-$F$10))))</f>
        <v>1.03612328498257</v>
      </c>
      <c r="G561" s="38" t="n">
        <f aca="false">IF($G$11=$E$11,$F$11,IF(U561&lt;($F$11-$E$11)/($G$11-$E$11),$E$11+SQRT(U561*($G$11-$E$11)*($F$11-$E$11)),$G$11-SQRT((1-U561)*($G$11-$E$11)*($G$11-$F$11))))</f>
        <v>0.111362619501086</v>
      </c>
      <c r="H561" s="39" t="n">
        <f aca="false">(('Business Case'!B11*$C561*'Business Case'!B12*$B561)-'Business Case'!B11*$C561*'Business Case'!B13*$D561-'Business Case'!B14*$E561)-MAX(0,(('Business Case'!B11*$C561*'Business Case'!B12*$B561)-'Business Case'!B11*$C561*'Business Case'!B13*$D561-'Business Case'!B14*$E561))*'Business Case'!$B$7-'Business Case'!$B$8*('Business Case'!B11*$C561*'Business Case'!B12*$B561)-'Business Case'!B15*$F561</f>
        <v>-2072246569.96514</v>
      </c>
      <c r="I561" s="39" t="n">
        <f aca="false">(('Business Case'!C11*$C561*'Business Case'!C12*$B561)-'Business Case'!C11*$C561*'Business Case'!C13*$D561-'Business Case'!C14*$E561)-MAX(0,(('Business Case'!C11*$C561*'Business Case'!C12*$B561)-'Business Case'!C11*$C561*'Business Case'!C13*$D561-'Business Case'!C14*$E561))*'Business Case'!$B$7-'Business Case'!$B$8*(('Business Case'!C11*$C561*'Business Case'!C12*$B561)-('Business Case'!B11*$C561*'Business Case'!B12*$B561))-'Business Case'!C15*$F561</f>
        <v>-24859176.2730426</v>
      </c>
      <c r="J561" s="39" t="n">
        <f aca="false">(('Business Case'!D11*$C561*'Business Case'!D12*$B561)-'Business Case'!D11*$C561*'Business Case'!D13*$D561-'Business Case'!D14*$E561)-MAX(0,(('Business Case'!D11*$C561*'Business Case'!D12*$B561)-'Business Case'!D11*$C561*'Business Case'!D13*$D561-'Business Case'!D14*$E561))*'Business Case'!$B$7-'Business Case'!$B$8*(('Business Case'!D11*$C561*'Business Case'!D12*$B561)-('Business Case'!C11*$C561*'Business Case'!C12*$B561))-'Business Case'!D15*$F561</f>
        <v>252815620.850461</v>
      </c>
      <c r="K561" s="39" t="n">
        <f aca="false">(('Business Case'!E11*$C561*'Business Case'!E12*$B561)-'Business Case'!E11*$C561*'Business Case'!E13*$D561-'Business Case'!E14*$E561)-MAX(0,(('Business Case'!E11*$C561*'Business Case'!E12*$B561)-'Business Case'!E11*$C561*'Business Case'!E13*$D561-'Business Case'!E14*$E561))*'Business Case'!$B$7-'Business Case'!$B$8*(('Business Case'!E11*$C561*'Business Case'!E12*$B561)-('Business Case'!D11*$C561*'Business Case'!D12*$B561))-'Business Case'!E15*$F561</f>
        <v>582296582.223093</v>
      </c>
      <c r="L561" s="39" t="n">
        <f aca="false">(('Business Case'!F11*$C561*'Business Case'!F12*$B561)-'Business Case'!F11*$C561*'Business Case'!F13*$D561-'Business Case'!F14*$E561)-MAX(0,(('Business Case'!F11*$C561*'Business Case'!F12*$B561)-'Business Case'!F11*$C561*'Business Case'!F13*$D561-'Business Case'!F14*$E561))*'Business Case'!$B$7-'Business Case'!$B$8*(('Business Case'!F11*$C561*'Business Case'!F12*$B561)-('Business Case'!E11*$C561*'Business Case'!E12*$B561))-'Business Case'!F15*$F561</f>
        <v>708508912.050423</v>
      </c>
      <c r="M561" s="39" t="n">
        <f aca="false">(('Business Case'!G11*$C561*'Business Case'!G12*$B561)-'Business Case'!G11*$C561*'Business Case'!G13*$D561-'Business Case'!G14*$E561)-MAX(0,(('Business Case'!G11*$C561*'Business Case'!G12*$B561)-'Business Case'!G11*$C561*'Business Case'!G13*$D561-'Business Case'!G14*$E561))*'Business Case'!$B$7-'Business Case'!$B$8*(('Business Case'!G11*$C561*'Business Case'!G12*$B561)-('Business Case'!F11*$C561*'Business Case'!F12*$B561))-'Business Case'!G15*$F561+'Business Case'!$B$8*('Business Case'!G11*$C561*'Business Case'!G12*$B561)</f>
        <v>893606264.707652</v>
      </c>
      <c r="N561" s="39" t="n">
        <f aca="false">IF(COUNT('Business Case'!B11:G11)=0,"",H561+NPV(G561,I561:M561))</f>
        <v>-474219905.102396</v>
      </c>
      <c r="P561" s="40" t="n">
        <f aca="true">RAND()</f>
        <v>0.823762208244086</v>
      </c>
      <c r="Q561" s="40" t="n">
        <f aca="true">RAND()</f>
        <v>0.380827401240284</v>
      </c>
      <c r="R561" s="40" t="n">
        <f aca="true">RAND()</f>
        <v>0.936808838119077</v>
      </c>
      <c r="S561" s="40" t="n">
        <f aca="true">RAND()</f>
        <v>0.790079137018603</v>
      </c>
      <c r="T561" s="40" t="n">
        <f aca="true">RAND()</f>
        <v>0.462888445501919</v>
      </c>
      <c r="U561" s="40" t="n">
        <f aca="true">RAND()</f>
        <v>0.875659430194978</v>
      </c>
    </row>
    <row r="562" customFormat="false" ht="15" hidden="false" customHeight="false" outlineLevel="0" collapsed="false">
      <c r="A562" s="36" t="n">
        <v>482</v>
      </c>
      <c r="B562" s="37" t="n">
        <f aca="false">1+IF($G$6=$E$6,$F$6,IF(P562&lt;($F$6-$E$6)/($G$6-$E$6),$E$6+SQRT(P562*($G$6-$E$6)*($F$6-$E$6)),$G$6-SQRT((1-P562)*($G$6-$E$6)*($G$6-$F$6))))</f>
        <v>0.952441443686134</v>
      </c>
      <c r="C562" s="37" t="n">
        <f aca="false">1+IF($G$7=$E$7,$F$7,IF(Q562&lt;($F$7-$E$7)/($G$7-$E$7),$E$7+SQRT(Q562*($G$7-$E$7)*($F$7-$E$7)),$G$7-SQRT((1-Q562)*($G$7-$E$7)*($G$7-$F$7))))</f>
        <v>1.0186024195898</v>
      </c>
      <c r="D562" s="37" t="n">
        <f aca="false">1+IF($G$8=$E$8,$F$8,IF(R562&lt;($F$8-$E$8)/($G$8-$E$8),$E$8+SQRT(R562*($G$8-$E$8)*($F$8-$E$8)),$G$8-SQRT((1-R562)*($G$8-$E$8)*($G$8-$F$8))))</f>
        <v>1.01235454029769</v>
      </c>
      <c r="E562" s="37" t="n">
        <f aca="false">1+IF($G$9=$E$9,$F$9,IF(S562&lt;($F$9-$E$9)/($G$9-$E$9),$E$9+SQRT(S562*($G$9-$E$9)*($F$9-$E$9)),$G$9-SQRT((1-S562)*($G$9-$E$9)*($G$9-$F$9))))</f>
        <v>0.983886575873714</v>
      </c>
      <c r="F562" s="37" t="n">
        <f aca="false">1+IF($G$10=$E$10,$F$10,IF(T562&lt;($F$10-$E$10)/($G$10-$E$10),$E$10+SQRT(T562*($G$10-$E$10)*($F$10-$E$10)),$G$10-SQRT((1-T562)*($G$10-$E$10)*($G$10-$F$10))))</f>
        <v>1.11566660654763</v>
      </c>
      <c r="G562" s="38" t="n">
        <f aca="false">IF($G$11=$E$11,$F$11,IF(U562&lt;($F$11-$E$11)/($G$11-$E$11),$E$11+SQRT(U562*($G$11-$E$11)*($F$11-$E$11)),$G$11-SQRT((1-U562)*($G$11-$E$11)*($G$11-$F$11))))</f>
        <v>0.105296370462068</v>
      </c>
      <c r="H562" s="39" t="n">
        <f aca="false">(('Business Case'!B11*$C562*'Business Case'!B12*$B562)-'Business Case'!B11*$C562*'Business Case'!B13*$D562-'Business Case'!B14*$E562)-MAX(0,(('Business Case'!B11*$C562*'Business Case'!B12*$B562)-'Business Case'!B11*$C562*'Business Case'!B13*$D562-'Business Case'!B14*$E562))*'Business Case'!$B$7-'Business Case'!$B$8*('Business Case'!B11*$C562*'Business Case'!B12*$B562)-'Business Case'!B15*$F562</f>
        <v>-2231333213.09527</v>
      </c>
      <c r="I562" s="39" t="n">
        <f aca="false">(('Business Case'!C11*$C562*'Business Case'!C12*$B562)-'Business Case'!C11*$C562*'Business Case'!C13*$D562-'Business Case'!C14*$E562)-MAX(0,(('Business Case'!C11*$C562*'Business Case'!C12*$B562)-'Business Case'!C11*$C562*'Business Case'!C13*$D562-'Business Case'!C14*$E562))*'Business Case'!$B$7-'Business Case'!$B$8*(('Business Case'!C11*$C562*'Business Case'!C12*$B562)-('Business Case'!B11*$C562*'Business Case'!B12*$B562))-'Business Case'!C15*$F562</f>
        <v>-35023318.4059193</v>
      </c>
      <c r="J562" s="39" t="n">
        <f aca="false">(('Business Case'!D11*$C562*'Business Case'!D12*$B562)-'Business Case'!D11*$C562*'Business Case'!D13*$D562-'Business Case'!D14*$E562)-MAX(0,(('Business Case'!D11*$C562*'Business Case'!D12*$B562)-'Business Case'!D11*$C562*'Business Case'!D13*$D562-'Business Case'!D14*$E562))*'Business Case'!$B$7-'Business Case'!$B$8*(('Business Case'!D11*$C562*'Business Case'!D12*$B562)-('Business Case'!C11*$C562*'Business Case'!C12*$B562))-'Business Case'!D15*$F562</f>
        <v>231721745.737645</v>
      </c>
      <c r="K562" s="39" t="n">
        <f aca="false">(('Business Case'!E11*$C562*'Business Case'!E12*$B562)-'Business Case'!E11*$C562*'Business Case'!E13*$D562-'Business Case'!E14*$E562)-MAX(0,(('Business Case'!E11*$C562*'Business Case'!E12*$B562)-'Business Case'!E11*$C562*'Business Case'!E13*$D562-'Business Case'!E14*$E562))*'Business Case'!$B$7-'Business Case'!$B$8*(('Business Case'!E11*$C562*'Business Case'!E12*$B562)-('Business Case'!D11*$C562*'Business Case'!D12*$B562))-'Business Case'!E15*$F562</f>
        <v>554250140.208593</v>
      </c>
      <c r="L562" s="39" t="n">
        <f aca="false">(('Business Case'!F11*$C562*'Business Case'!F12*$B562)-'Business Case'!F11*$C562*'Business Case'!F13*$D562-'Business Case'!F14*$E562)-MAX(0,(('Business Case'!F11*$C562*'Business Case'!F12*$B562)-'Business Case'!F11*$C562*'Business Case'!F13*$D562-'Business Case'!F14*$E562))*'Business Case'!$B$7-'Business Case'!$B$8*(('Business Case'!F11*$C562*'Business Case'!F12*$B562)-('Business Case'!E11*$C562*'Business Case'!E12*$B562))-'Business Case'!F15*$F562</f>
        <v>676693862.126767</v>
      </c>
      <c r="M562" s="39" t="n">
        <f aca="false">(('Business Case'!G11*$C562*'Business Case'!G12*$B562)-'Business Case'!G11*$C562*'Business Case'!G13*$D562-'Business Case'!G14*$E562)-MAX(0,(('Business Case'!G11*$C562*'Business Case'!G12*$B562)-'Business Case'!G11*$C562*'Business Case'!G13*$D562-'Business Case'!G14*$E562))*'Business Case'!$B$7-'Business Case'!$B$8*(('Business Case'!G11*$C562*'Business Case'!G12*$B562)-('Business Case'!F11*$C562*'Business Case'!F12*$B562))-'Business Case'!G15*$F562+'Business Case'!$B$8*('Business Case'!G11*$C562*'Business Case'!G12*$B562)</f>
        <v>861101715.080188</v>
      </c>
      <c r="N562" s="39" t="n">
        <f aca="false">IF(COUNT('Business Case'!B11:G11)=0,"",H562+NPV(G562,I562:M562))</f>
        <v>-687502743.468734</v>
      </c>
      <c r="P562" s="40" t="n">
        <f aca="true">RAND()</f>
        <v>0.109629923795894</v>
      </c>
      <c r="Q562" s="40" t="n">
        <f aca="true">RAND()</f>
        <v>0.671136683092294</v>
      </c>
      <c r="R562" s="40" t="n">
        <f aca="true">RAND()</f>
        <v>0.560008825159951</v>
      </c>
      <c r="S562" s="40" t="n">
        <f aca="true">RAND()</f>
        <v>0.153106669925992</v>
      </c>
      <c r="T562" s="40" t="n">
        <f aca="true">RAND()</f>
        <v>0.85775757497617</v>
      </c>
      <c r="U562" s="40" t="n">
        <f aca="true">RAND()</f>
        <v>0.639672130685405</v>
      </c>
    </row>
    <row r="563" customFormat="false" ht="15" hidden="false" customHeight="false" outlineLevel="0" collapsed="false">
      <c r="A563" s="36" t="n">
        <v>483</v>
      </c>
      <c r="B563" s="37" t="n">
        <f aca="false">1+IF($G$6=$E$6,$F$6,IF(P563&lt;($F$6-$E$6)/($G$6-$E$6),$E$6+SQRT(P563*($G$6-$E$6)*($F$6-$E$6)),$G$6-SQRT((1-P563)*($G$6-$E$6)*($G$6-$F$6))))</f>
        <v>0.939812767994793</v>
      </c>
      <c r="C563" s="37" t="n">
        <f aca="false">1+IF($G$7=$E$7,$F$7,IF(Q563&lt;($F$7-$E$7)/($G$7-$E$7),$E$7+SQRT(Q563*($G$7-$E$7)*($F$7-$E$7)),$G$7-SQRT((1-Q563)*($G$7-$E$7)*($G$7-$F$7))))</f>
        <v>0.882665325969412</v>
      </c>
      <c r="D563" s="37" t="n">
        <f aca="false">1+IF($G$8=$E$8,$F$8,IF(R563&lt;($F$8-$E$8)/($G$8-$E$8),$E$8+SQRT(R563*($G$8-$E$8)*($F$8-$E$8)),$G$8-SQRT((1-R563)*($G$8-$E$8)*($G$8-$F$8))))</f>
        <v>1.01604403580812</v>
      </c>
      <c r="E563" s="37" t="n">
        <f aca="false">1+IF($G$9=$E$9,$F$9,IF(S563&lt;($F$9-$E$9)/($G$9-$E$9),$E$9+SQRT(S563*($G$9-$E$9)*($F$9-$E$9)),$G$9-SQRT((1-S563)*($G$9-$E$9)*($G$9-$F$9))))</f>
        <v>0.963228262056762</v>
      </c>
      <c r="F563" s="37" t="n">
        <f aca="false">1+IF($G$10=$E$10,$F$10,IF(T563&lt;($F$10-$E$10)/($G$10-$E$10),$E$10+SQRT(T563*($G$10-$E$10)*($F$10-$E$10)),$G$10-SQRT((1-T563)*($G$10-$E$10)*($G$10-$F$10))))</f>
        <v>1.06061175227137</v>
      </c>
      <c r="G563" s="38" t="n">
        <f aca="false">IF($G$11=$E$11,$F$11,IF(U563&lt;($F$11-$E$11)/($G$11-$E$11),$E$11+SQRT(U563*($G$11-$E$11)*($F$11-$E$11)),$G$11-SQRT((1-U563)*($G$11-$E$11)*($G$11-$F$11))))</f>
        <v>0.105328003110897</v>
      </c>
      <c r="H563" s="39" t="n">
        <f aca="false">(('Business Case'!B11*$C563*'Business Case'!B12*$B563)-'Business Case'!B11*$C563*'Business Case'!B13*$D563-'Business Case'!B14*$E563)-MAX(0,(('Business Case'!B11*$C563*'Business Case'!B12*$B563)-'Business Case'!B11*$C563*'Business Case'!B13*$D563-'Business Case'!B14*$E563))*'Business Case'!$B$7-'Business Case'!$B$8*('Business Case'!B11*$C563*'Business Case'!B12*$B563)-'Business Case'!B15*$F563</f>
        <v>-2121223504.54274</v>
      </c>
      <c r="I563" s="39" t="n">
        <f aca="false">(('Business Case'!C11*$C563*'Business Case'!C12*$B563)-'Business Case'!C11*$C563*'Business Case'!C13*$D563-'Business Case'!C14*$E563)-MAX(0,(('Business Case'!C11*$C563*'Business Case'!C12*$B563)-'Business Case'!C11*$C563*'Business Case'!C13*$D563-'Business Case'!C14*$E563))*'Business Case'!$B$7-'Business Case'!$B$8*(('Business Case'!C11*$C563*'Business Case'!C12*$B563)-('Business Case'!B11*$C563*'Business Case'!B12*$B563))-'Business Case'!C15*$F563</f>
        <v>-65686086.9010312</v>
      </c>
      <c r="J563" s="39" t="n">
        <f aca="false">(('Business Case'!D11*$C563*'Business Case'!D12*$B563)-'Business Case'!D11*$C563*'Business Case'!D13*$D563-'Business Case'!D14*$E563)-MAX(0,(('Business Case'!D11*$C563*'Business Case'!D12*$B563)-'Business Case'!D11*$C563*'Business Case'!D13*$D563-'Business Case'!D14*$E563))*'Business Case'!$B$7-'Business Case'!$B$8*(('Business Case'!D11*$C563*'Business Case'!D12*$B563)-('Business Case'!C11*$C563*'Business Case'!C12*$B563))-'Business Case'!D15*$F563</f>
        <v>154663421.313674</v>
      </c>
      <c r="K563" s="39" t="n">
        <f aca="false">(('Business Case'!E11*$C563*'Business Case'!E12*$B563)-'Business Case'!E11*$C563*'Business Case'!E13*$D563-'Business Case'!E14*$E563)-MAX(0,(('Business Case'!E11*$C563*'Business Case'!E12*$B563)-'Business Case'!E11*$C563*'Business Case'!E13*$D563-'Business Case'!E14*$E563))*'Business Case'!$B$7-'Business Case'!$B$8*(('Business Case'!E11*$C563*'Business Case'!E12*$B563)-('Business Case'!D11*$C563*'Business Case'!D12*$B563))-'Business Case'!E15*$F563</f>
        <v>428043517.141947</v>
      </c>
      <c r="L563" s="39" t="n">
        <f aca="false">(('Business Case'!F11*$C563*'Business Case'!F12*$B563)-'Business Case'!F11*$C563*'Business Case'!F13*$D563-'Business Case'!F14*$E563)-MAX(0,(('Business Case'!F11*$C563*'Business Case'!F12*$B563)-'Business Case'!F11*$C563*'Business Case'!F13*$D563-'Business Case'!F14*$E563))*'Business Case'!$B$7-'Business Case'!$B$8*(('Business Case'!F11*$C563*'Business Case'!F12*$B563)-('Business Case'!E11*$C563*'Business Case'!E12*$B563))-'Business Case'!F15*$F563</f>
        <v>530162260.562934</v>
      </c>
      <c r="M563" s="39" t="n">
        <f aca="false">(('Business Case'!G11*$C563*'Business Case'!G12*$B563)-'Business Case'!G11*$C563*'Business Case'!G13*$D563-'Business Case'!G14*$E563)-MAX(0,(('Business Case'!G11*$C563*'Business Case'!G12*$B563)-'Business Case'!G11*$C563*'Business Case'!G13*$D563-'Business Case'!G14*$E563))*'Business Case'!$B$7-'Business Case'!$B$8*(('Business Case'!G11*$C563*'Business Case'!G12*$B563)-('Business Case'!F11*$C563*'Business Case'!F12*$B563))-'Business Case'!G15*$F563+'Business Case'!$B$8*('Business Case'!G11*$C563*'Business Case'!G12*$B563)</f>
        <v>687841250.984736</v>
      </c>
      <c r="N563" s="39" t="n">
        <f aca="false">IF(COUNT('Business Case'!B11:G11)=0,"",H563+NPV(G563,I563:M563))</f>
        <v>-965014463.420364</v>
      </c>
      <c r="P563" s="40" t="n">
        <f aca="true">RAND()</f>
        <v>0.0408901849599471</v>
      </c>
      <c r="Q563" s="40" t="n">
        <f aca="true">RAND()</f>
        <v>0.0976222302518446</v>
      </c>
      <c r="R563" s="40" t="n">
        <f aca="true">RAND()</f>
        <v>0.60669563887379</v>
      </c>
      <c r="S563" s="40" t="n">
        <f aca="true">RAND()</f>
        <v>0.0233315889389833</v>
      </c>
      <c r="T563" s="40" t="n">
        <f aca="true">RAND()</f>
        <v>0.611418327902841</v>
      </c>
      <c r="U563" s="40" t="n">
        <f aca="true">RAND()</f>
        <v>0.641220845476925</v>
      </c>
    </row>
    <row r="564" customFormat="false" ht="15" hidden="false" customHeight="false" outlineLevel="0" collapsed="false">
      <c r="A564" s="36" t="n">
        <v>484</v>
      </c>
      <c r="B564" s="37" t="n">
        <f aca="false">1+IF($G$6=$E$6,$F$6,IF(P564&lt;($F$6-$E$6)/($G$6-$E$6),$E$6+SQRT(P564*($G$6-$E$6)*($F$6-$E$6)),$G$6-SQRT((1-P564)*($G$6-$E$6)*($G$6-$F$6))))</f>
        <v>1.00200560362438</v>
      </c>
      <c r="C564" s="37" t="n">
        <f aca="false">1+IF($G$7=$E$7,$F$7,IF(Q564&lt;($F$7-$E$7)/($G$7-$E$7),$E$7+SQRT(Q564*($G$7-$E$7)*($F$7-$E$7)),$G$7-SQRT((1-Q564)*($G$7-$E$7)*($G$7-$F$7))))</f>
        <v>1.03178825004591</v>
      </c>
      <c r="D564" s="37" t="n">
        <f aca="false">1+IF($G$8=$E$8,$F$8,IF(R564&lt;($F$8-$E$8)/($G$8-$E$8),$E$8+SQRT(R564*($G$8-$E$8)*($F$8-$E$8)),$G$8-SQRT((1-R564)*($G$8-$E$8)*($G$8-$F$8))))</f>
        <v>0.99512822015524</v>
      </c>
      <c r="E564" s="37" t="n">
        <f aca="false">1+IF($G$9=$E$9,$F$9,IF(S564&lt;($F$9-$E$9)/($G$9-$E$9),$E$9+SQRT(S564*($G$9-$E$9)*($F$9-$E$9)),$G$9-SQRT((1-S564)*($G$9-$E$9)*($G$9-$F$9))))</f>
        <v>1.05823145764183</v>
      </c>
      <c r="F564" s="37" t="n">
        <f aca="false">1+IF($G$10=$E$10,$F$10,IF(T564&lt;($F$10-$E$10)/($G$10-$E$10),$E$10+SQRT(T564*($G$10-$E$10)*($F$10-$E$10)),$G$10-SQRT((1-T564)*($G$10-$E$10)*($G$10-$F$10))))</f>
        <v>0.99631008705632</v>
      </c>
      <c r="G564" s="38" t="n">
        <f aca="false">IF($G$11=$E$11,$F$11,IF(U564&lt;($F$11-$E$11)/($G$11-$E$11),$E$11+SQRT(U564*($G$11-$E$11)*($F$11-$E$11)),$G$11-SQRT((1-U564)*($G$11-$E$11)*($G$11-$F$11))))</f>
        <v>0.0931012051668742</v>
      </c>
      <c r="H564" s="39" t="n">
        <f aca="false">(('Business Case'!B11*$C564*'Business Case'!B12*$B564)-'Business Case'!B11*$C564*'Business Case'!B13*$D564-'Business Case'!B14*$E564)-MAX(0,(('Business Case'!B11*$C564*'Business Case'!B12*$B564)-'Business Case'!B11*$C564*'Business Case'!B13*$D564-'Business Case'!B14*$E564))*'Business Case'!$B$7-'Business Case'!$B$8*('Business Case'!B11*$C564*'Business Case'!B12*$B564)-'Business Case'!B15*$F564</f>
        <v>-1992620174.11264</v>
      </c>
      <c r="I564" s="39" t="n">
        <f aca="false">(('Business Case'!C11*$C564*'Business Case'!C12*$B564)-'Business Case'!C11*$C564*'Business Case'!C13*$D564-'Business Case'!C14*$E564)-MAX(0,(('Business Case'!C11*$C564*'Business Case'!C12*$B564)-'Business Case'!C11*$C564*'Business Case'!C13*$D564-'Business Case'!C14*$E564))*'Business Case'!$B$7-'Business Case'!$B$8*(('Business Case'!C11*$C564*'Business Case'!C12*$B564)-('Business Case'!B11*$C564*'Business Case'!B12*$B564))-'Business Case'!C15*$F564</f>
        <v>17477317.7963717</v>
      </c>
      <c r="J564" s="39" t="n">
        <f aca="false">(('Business Case'!D11*$C564*'Business Case'!D12*$B564)-'Business Case'!D11*$C564*'Business Case'!D13*$D564-'Business Case'!D14*$E564)-MAX(0,(('Business Case'!D11*$C564*'Business Case'!D12*$B564)-'Business Case'!D11*$C564*'Business Case'!D13*$D564-'Business Case'!D14*$E564))*'Business Case'!$B$7-'Business Case'!$B$8*(('Business Case'!D11*$C564*'Business Case'!D12*$B564)-('Business Case'!C11*$C564*'Business Case'!C12*$B564))-'Business Case'!D15*$F564</f>
        <v>338661335.989304</v>
      </c>
      <c r="K564" s="39" t="n">
        <f aca="false">(('Business Case'!E11*$C564*'Business Case'!E12*$B564)-'Business Case'!E11*$C564*'Business Case'!E13*$D564-'Business Case'!E14*$E564)-MAX(0,(('Business Case'!E11*$C564*'Business Case'!E12*$B564)-'Business Case'!E11*$C564*'Business Case'!E13*$D564-'Business Case'!E14*$E564))*'Business Case'!$B$7-'Business Case'!$B$8*(('Business Case'!E11*$C564*'Business Case'!E12*$B564)-('Business Case'!D11*$C564*'Business Case'!D12*$B564))-'Business Case'!E15*$F564</f>
        <v>709660858.535054</v>
      </c>
      <c r="L564" s="39" t="n">
        <f aca="false">(('Business Case'!F11*$C564*'Business Case'!F12*$B564)-'Business Case'!F11*$C564*'Business Case'!F13*$D564-'Business Case'!F14*$E564)-MAX(0,(('Business Case'!F11*$C564*'Business Case'!F12*$B564)-'Business Case'!F11*$C564*'Business Case'!F13*$D564-'Business Case'!F14*$E564))*'Business Case'!$B$7-'Business Case'!$B$8*(('Business Case'!F11*$C564*'Business Case'!F12*$B564)-('Business Case'!E11*$C564*'Business Case'!E12*$B564))-'Business Case'!F15*$F564</f>
        <v>852452316.875538</v>
      </c>
      <c r="M564" s="39" t="n">
        <f aca="false">(('Business Case'!G11*$C564*'Business Case'!G12*$B564)-'Business Case'!G11*$C564*'Business Case'!G13*$D564-'Business Case'!G14*$E564)-MAX(0,(('Business Case'!G11*$C564*'Business Case'!G12*$B564)-'Business Case'!G11*$C564*'Business Case'!G13*$D564-'Business Case'!G14*$E564))*'Business Case'!$B$7-'Business Case'!$B$8*(('Business Case'!G11*$C564*'Business Case'!G12*$B564)-('Business Case'!F11*$C564*'Business Case'!F12*$B564))-'Business Case'!G15*$F564+'Business Case'!$B$8*('Business Case'!G11*$C564*'Business Case'!G12*$B564)</f>
        <v>1048967971.06116</v>
      </c>
      <c r="N564" s="39" t="n">
        <f aca="false">IF(COUNT('Business Case'!B11:G11)=0,"",H564+NPV(G564,I564:M564))</f>
        <v>119351090.398666</v>
      </c>
      <c r="P564" s="40" t="n">
        <f aca="true">RAND()</f>
        <v>0.699255384177477</v>
      </c>
      <c r="Q564" s="40" t="n">
        <f aca="true">RAND()</f>
        <v>0.733828231862716</v>
      </c>
      <c r="R564" s="40" t="n">
        <f aca="true">RAND()</f>
        <v>0.313316346827658</v>
      </c>
      <c r="S564" s="40" t="n">
        <f aca="true">RAND()</f>
        <v>0.883692591284901</v>
      </c>
      <c r="T564" s="40" t="n">
        <f aca="true">RAND()</f>
        <v>0.171569933053115</v>
      </c>
      <c r="U564" s="40" t="n">
        <f aca="true">RAND()</f>
        <v>0.0320582449568234</v>
      </c>
    </row>
    <row r="565" customFormat="false" ht="15" hidden="false" customHeight="false" outlineLevel="0" collapsed="false">
      <c r="A565" s="36" t="n">
        <v>485</v>
      </c>
      <c r="B565" s="37" t="n">
        <f aca="false">1+IF($G$6=$E$6,$F$6,IF(P565&lt;($F$6-$E$6)/($G$6-$E$6),$E$6+SQRT(P565*($G$6-$E$6)*($F$6-$E$6)),$G$6-SQRT((1-P565)*($G$6-$E$6)*($G$6-$F$6))))</f>
        <v>0.958964001391853</v>
      </c>
      <c r="C565" s="37" t="n">
        <f aca="false">1+IF($G$7=$E$7,$F$7,IF(Q565&lt;($F$7-$E$7)/($G$7-$E$7),$E$7+SQRT(Q565*($G$7-$E$7)*($F$7-$E$7)),$G$7-SQRT((1-Q565)*($G$7-$E$7)*($G$7-$F$7))))</f>
        <v>1.00203230004207</v>
      </c>
      <c r="D565" s="37" t="n">
        <f aca="false">1+IF($G$8=$E$8,$F$8,IF(R565&lt;($F$8-$E$8)/($G$8-$E$8),$E$8+SQRT(R565*($G$8-$E$8)*($F$8-$E$8)),$G$8-SQRT((1-R565)*($G$8-$E$8)*($G$8-$F$8))))</f>
        <v>1.01664029056188</v>
      </c>
      <c r="E565" s="37" t="n">
        <f aca="false">1+IF($G$9=$E$9,$F$9,IF(S565&lt;($F$9-$E$9)/($G$9-$E$9),$E$9+SQRT(S565*($G$9-$E$9)*($F$9-$E$9)),$G$9-SQRT((1-S565)*($G$9-$E$9)*($G$9-$F$9))))</f>
        <v>0.99928633961097</v>
      </c>
      <c r="F565" s="37" t="n">
        <f aca="false">1+IF($G$10=$E$10,$F$10,IF(T565&lt;($F$10-$E$10)/($G$10-$E$10),$E$10+SQRT(T565*($G$10-$E$10)*($F$10-$E$10)),$G$10-SQRT((1-T565)*($G$10-$E$10)*($G$10-$F$10))))</f>
        <v>1.00548367804642</v>
      </c>
      <c r="G565" s="38" t="n">
        <f aca="false">IF($G$11=$E$11,$F$11,IF(U565&lt;($F$11-$E$11)/($G$11-$E$11),$E$11+SQRT(U565*($G$11-$E$11)*($F$11-$E$11)),$G$11-SQRT((1-U565)*($G$11-$E$11)*($G$11-$F$11))))</f>
        <v>0.0927299254748094</v>
      </c>
      <c r="H565" s="39" t="n">
        <f aca="false">(('Business Case'!B11*$C565*'Business Case'!B12*$B565)-'Business Case'!B11*$C565*'Business Case'!B13*$D565-'Business Case'!B14*$E565)-MAX(0,(('Business Case'!B11*$C565*'Business Case'!B12*$B565)-'Business Case'!B11*$C565*'Business Case'!B13*$D565-'Business Case'!B14*$E565))*'Business Case'!$B$7-'Business Case'!$B$8*('Business Case'!B11*$C565*'Business Case'!B12*$B565)-'Business Case'!B15*$F565</f>
        <v>-2010967356.09283</v>
      </c>
      <c r="I565" s="39" t="n">
        <f aca="false">(('Business Case'!C11*$C565*'Business Case'!C12*$B565)-'Business Case'!C11*$C565*'Business Case'!C13*$D565-'Business Case'!C14*$E565)-MAX(0,(('Business Case'!C11*$C565*'Business Case'!C12*$B565)-'Business Case'!C11*$C565*'Business Case'!C13*$D565-'Business Case'!C14*$E565))*'Business Case'!$B$7-'Business Case'!$B$8*(('Business Case'!C11*$C565*'Business Case'!C12*$B565)-('Business Case'!B11*$C565*'Business Case'!B12*$B565))-'Business Case'!C15*$F565</f>
        <v>-26899940.8817942</v>
      </c>
      <c r="J565" s="39" t="n">
        <f aca="false">(('Business Case'!D11*$C565*'Business Case'!D12*$B565)-'Business Case'!D11*$C565*'Business Case'!D13*$D565-'Business Case'!D14*$E565)-MAX(0,(('Business Case'!D11*$C565*'Business Case'!D12*$B565)-'Business Case'!D11*$C565*'Business Case'!D13*$D565-'Business Case'!D14*$E565))*'Business Case'!$B$7-'Business Case'!$B$8*(('Business Case'!D11*$C565*'Business Case'!D12*$B565)-('Business Case'!C11*$C565*'Business Case'!C12*$B565))-'Business Case'!D15*$F565</f>
        <v>238660728.475653</v>
      </c>
      <c r="K565" s="39" t="n">
        <f aca="false">(('Business Case'!E11*$C565*'Business Case'!E12*$B565)-'Business Case'!E11*$C565*'Business Case'!E13*$D565-'Business Case'!E14*$E565)-MAX(0,(('Business Case'!E11*$C565*'Business Case'!E12*$B565)-'Business Case'!E11*$C565*'Business Case'!E13*$D565-'Business Case'!E14*$E565))*'Business Case'!$B$7-'Business Case'!$B$8*(('Business Case'!E11*$C565*'Business Case'!E12*$B565)-('Business Case'!D11*$C565*'Business Case'!D12*$B565))-'Business Case'!E15*$F565</f>
        <v>554495581.735422</v>
      </c>
      <c r="L565" s="39" t="n">
        <f aca="false">(('Business Case'!F11*$C565*'Business Case'!F12*$B565)-'Business Case'!F11*$C565*'Business Case'!F13*$D565-'Business Case'!F14*$E565)-MAX(0,(('Business Case'!F11*$C565*'Business Case'!F12*$B565)-'Business Case'!F11*$C565*'Business Case'!F13*$D565-'Business Case'!F14*$E565))*'Business Case'!$B$7-'Business Case'!$B$8*(('Business Case'!F11*$C565*'Business Case'!F12*$B565)-('Business Case'!E11*$C565*'Business Case'!E12*$B565))-'Business Case'!F15*$F565</f>
        <v>676224954.815851</v>
      </c>
      <c r="M565" s="39" t="n">
        <f aca="false">(('Business Case'!G11*$C565*'Business Case'!G12*$B565)-'Business Case'!G11*$C565*'Business Case'!G13*$D565-'Business Case'!G14*$E565)-MAX(0,(('Business Case'!G11*$C565*'Business Case'!G12*$B565)-'Business Case'!G11*$C565*'Business Case'!G13*$D565-'Business Case'!G14*$E565))*'Business Case'!$B$7-'Business Case'!$B$8*(('Business Case'!G11*$C565*'Business Case'!G12*$B565)-('Business Case'!F11*$C565*'Business Case'!F12*$B565))-'Business Case'!G15*$F565+'Business Case'!$B$8*('Business Case'!G11*$C565*'Business Case'!G12*$B565)</f>
        <v>858875279.602891</v>
      </c>
      <c r="N565" s="39" t="n">
        <f aca="false">IF(COUNT('Business Case'!B11:G11)=0,"",H565+NPV(G565,I565:M565))</f>
        <v>-385182256.732449</v>
      </c>
      <c r="P565" s="40" t="n">
        <f aca="true">RAND()</f>
        <v>0.15814514629837</v>
      </c>
      <c r="Q565" s="40" t="n">
        <f aca="true">RAND()</f>
        <v>0.582963043222067</v>
      </c>
      <c r="R565" s="40" t="n">
        <f aca="true">RAND()</f>
        <v>0.613994924991971</v>
      </c>
      <c r="S565" s="40" t="n">
        <f aca="true">RAND()</f>
        <v>0.323885769633048</v>
      </c>
      <c r="T565" s="40" t="n">
        <f aca="true">RAND()</f>
        <v>0.243268009873003</v>
      </c>
      <c r="U565" s="40" t="n">
        <f aca="true">RAND()</f>
        <v>0.0248416436600445</v>
      </c>
    </row>
    <row r="566" customFormat="false" ht="15" hidden="false" customHeight="false" outlineLevel="0" collapsed="false">
      <c r="A566" s="36" t="n">
        <v>486</v>
      </c>
      <c r="B566" s="37" t="n">
        <f aca="false">1+IF($G$6=$E$6,$F$6,IF(P566&lt;($F$6-$E$6)/($G$6-$E$6),$E$6+SQRT(P566*($G$6-$E$6)*($F$6-$E$6)),$G$6-SQRT((1-P566)*($G$6-$E$6)*($G$6-$F$6))))</f>
        <v>1.03380417656237</v>
      </c>
      <c r="C566" s="37" t="n">
        <f aca="false">1+IF($G$7=$E$7,$F$7,IF(Q566&lt;($F$7-$E$7)/($G$7-$E$7),$E$7+SQRT(Q566*($G$7-$E$7)*($F$7-$E$7)),$G$7-SQRT((1-Q566)*($G$7-$E$7)*($G$7-$F$7))))</f>
        <v>0.969059256759551</v>
      </c>
      <c r="D566" s="37" t="n">
        <f aca="false">1+IF($G$8=$E$8,$F$8,IF(R566&lt;($F$8-$E$8)/($G$8-$E$8),$E$8+SQRT(R566*($G$8-$E$8)*($F$8-$E$8)),$G$8-SQRT((1-R566)*($G$8-$E$8)*($G$8-$F$8))))</f>
        <v>1.0079456841088</v>
      </c>
      <c r="E566" s="37" t="n">
        <f aca="false">1+IF($G$9=$E$9,$F$9,IF(S566&lt;($F$9-$E$9)/($G$9-$E$9),$E$9+SQRT(S566*($G$9-$E$9)*($F$9-$E$9)),$G$9-SQRT((1-S566)*($G$9-$E$9)*($G$9-$F$9))))</f>
        <v>1.00663525518757</v>
      </c>
      <c r="F566" s="37" t="n">
        <f aca="false">1+IF($G$10=$E$10,$F$10,IF(T566&lt;($F$10-$E$10)/($G$10-$E$10),$E$10+SQRT(T566*($G$10-$E$10)*($F$10-$E$10)),$G$10-SQRT((1-T566)*($G$10-$E$10)*($G$10-$F$10))))</f>
        <v>1.0006831635228</v>
      </c>
      <c r="G566" s="38" t="n">
        <f aca="false">IF($G$11=$E$11,$F$11,IF(U566&lt;($F$11-$E$11)/($G$11-$E$11),$E$11+SQRT(U566*($G$11-$E$11)*($F$11-$E$11)),$G$11-SQRT((1-U566)*($G$11-$E$11)*($G$11-$F$11))))</f>
        <v>0.111662190388005</v>
      </c>
      <c r="H566" s="39" t="n">
        <f aca="false">(('Business Case'!B11*$C566*'Business Case'!B12*$B566)-'Business Case'!B11*$C566*'Business Case'!B13*$D566-'Business Case'!B14*$E566)-MAX(0,(('Business Case'!B11*$C566*'Business Case'!B12*$B566)-'Business Case'!B11*$C566*'Business Case'!B13*$D566-'Business Case'!B14*$E566))*'Business Case'!$B$7-'Business Case'!$B$8*('Business Case'!B11*$C566*'Business Case'!B12*$B566)-'Business Case'!B15*$F566</f>
        <v>-2001366327.0456</v>
      </c>
      <c r="I566" s="39" t="n">
        <f aca="false">(('Business Case'!C11*$C566*'Business Case'!C12*$B566)-'Business Case'!C11*$C566*'Business Case'!C13*$D566-'Business Case'!C14*$E566)-MAX(0,(('Business Case'!C11*$C566*'Business Case'!C12*$B566)-'Business Case'!C11*$C566*'Business Case'!C13*$D566-'Business Case'!C14*$E566))*'Business Case'!$B$7-'Business Case'!$B$8*(('Business Case'!C11*$C566*'Business Case'!C12*$B566)-('Business Case'!B11*$C566*'Business Case'!B12*$B566))-'Business Case'!C15*$F566</f>
        <v>25392083.7045169</v>
      </c>
      <c r="J566" s="39" t="n">
        <f aca="false">(('Business Case'!D11*$C566*'Business Case'!D12*$B566)-'Business Case'!D11*$C566*'Business Case'!D13*$D566-'Business Case'!D14*$E566)-MAX(0,(('Business Case'!D11*$C566*'Business Case'!D12*$B566)-'Business Case'!D11*$C566*'Business Case'!D13*$D566-'Business Case'!D14*$E566))*'Business Case'!$B$7-'Business Case'!$B$8*(('Business Case'!D11*$C566*'Business Case'!D12*$B566)-('Business Case'!C11*$C566*'Business Case'!C12*$B566))-'Business Case'!D15*$F566</f>
        <v>345930236.610542</v>
      </c>
      <c r="K566" s="39" t="n">
        <f aca="false">(('Business Case'!E11*$C566*'Business Case'!E12*$B566)-'Business Case'!E11*$C566*'Business Case'!E13*$D566-'Business Case'!E14*$E566)-MAX(0,(('Business Case'!E11*$C566*'Business Case'!E12*$B566)-'Business Case'!E11*$C566*'Business Case'!E13*$D566-'Business Case'!E14*$E566))*'Business Case'!$B$7-'Business Case'!$B$8*(('Business Case'!E11*$C566*'Business Case'!E12*$B566)-('Business Case'!D11*$C566*'Business Case'!D12*$B566))-'Business Case'!E15*$F566</f>
        <v>716502547.692706</v>
      </c>
      <c r="L566" s="39" t="n">
        <f aca="false">(('Business Case'!F11*$C566*'Business Case'!F12*$B566)-'Business Case'!F11*$C566*'Business Case'!F13*$D566-'Business Case'!F14*$E566)-MAX(0,(('Business Case'!F11*$C566*'Business Case'!F12*$B566)-'Business Case'!F11*$C566*'Business Case'!F13*$D566-'Business Case'!F14*$E566))*'Business Case'!$B$7-'Business Case'!$B$8*(('Business Case'!F11*$C566*'Business Case'!F12*$B566)-('Business Case'!E11*$C566*'Business Case'!E12*$B566))-'Business Case'!F15*$F566</f>
        <v>857971411.702418</v>
      </c>
      <c r="M566" s="39" t="n">
        <f aca="false">(('Business Case'!G11*$C566*'Business Case'!G12*$B566)-'Business Case'!G11*$C566*'Business Case'!G13*$D566-'Business Case'!G14*$E566)-MAX(0,(('Business Case'!G11*$C566*'Business Case'!G12*$B566)-'Business Case'!G11*$C566*'Business Case'!G13*$D566-'Business Case'!G14*$E566))*'Business Case'!$B$7-'Business Case'!$B$8*(('Business Case'!G11*$C566*'Business Case'!G12*$B566)-('Business Case'!F11*$C566*'Business Case'!F12*$B566))-'Business Case'!G15*$F566+'Business Case'!$B$8*('Business Case'!G11*$C566*'Business Case'!G12*$B566)</f>
        <v>1048396883.42812</v>
      </c>
      <c r="N566" s="39" t="n">
        <f aca="false">IF(COUNT('Business Case'!B11:G11)=0,"",H566+NPV(G566,I566:M566))</f>
        <v>2289542.16633654</v>
      </c>
      <c r="P566" s="40" t="n">
        <f aca="true">RAND()</f>
        <v>0.992002452485365</v>
      </c>
      <c r="Q566" s="40" t="n">
        <f aca="true">RAND()</f>
        <v>0.408300461372739</v>
      </c>
      <c r="R566" s="40" t="n">
        <f aca="true">RAND()</f>
        <v>0.500786111678025</v>
      </c>
      <c r="S566" s="40" t="n">
        <f aca="true">RAND()</f>
        <v>0.418868295073946</v>
      </c>
      <c r="T566" s="40" t="n">
        <f aca="true">RAND()</f>
        <v>0.205455973934432</v>
      </c>
      <c r="U566" s="40" t="n">
        <f aca="true">RAND()</f>
        <v>0.884134884790219</v>
      </c>
    </row>
    <row r="567" customFormat="false" ht="15" hidden="false" customHeight="false" outlineLevel="0" collapsed="false">
      <c r="A567" s="36" t="n">
        <v>487</v>
      </c>
      <c r="B567" s="37" t="n">
        <f aca="false">1+IF($G$6=$E$6,$F$6,IF(P567&lt;($F$6-$E$6)/($G$6-$E$6),$E$6+SQRT(P567*($G$6-$E$6)*($F$6-$E$6)),$G$6-SQRT((1-P567)*($G$6-$E$6)*($G$6-$F$6))))</f>
        <v>0.996869689493346</v>
      </c>
      <c r="C567" s="37" t="n">
        <f aca="false">1+IF($G$7=$E$7,$F$7,IF(Q567&lt;($F$7-$E$7)/($G$7-$E$7),$E$7+SQRT(Q567*($G$7-$E$7)*($F$7-$E$7)),$G$7-SQRT((1-Q567)*($G$7-$E$7)*($G$7-$F$7))))</f>
        <v>0.974951191967012</v>
      </c>
      <c r="D567" s="37" t="n">
        <f aca="false">1+IF($G$8=$E$8,$F$8,IF(R567&lt;($F$8-$E$8)/($G$8-$E$8),$E$8+SQRT(R567*($G$8-$E$8)*($F$8-$E$8)),$G$8-SQRT((1-R567)*($G$8-$E$8)*($G$8-$F$8))))</f>
        <v>0.97353263850033</v>
      </c>
      <c r="E567" s="37" t="n">
        <f aca="false">1+IF($G$9=$E$9,$F$9,IF(S567&lt;($F$9-$E$9)/($G$9-$E$9),$E$9+SQRT(S567*($G$9-$E$9)*($F$9-$E$9)),$G$9-SQRT((1-S567)*($G$9-$E$9)*($G$9-$F$9))))</f>
        <v>0.998493952060489</v>
      </c>
      <c r="F567" s="37" t="n">
        <f aca="false">1+IF($G$10=$E$10,$F$10,IF(T567&lt;($F$10-$E$10)/($G$10-$E$10),$E$10+SQRT(T567*($G$10-$E$10)*($F$10-$E$10)),$G$10-SQRT((1-T567)*($G$10-$E$10)*($G$10-$F$10))))</f>
        <v>0.975692521777004</v>
      </c>
      <c r="G567" s="38" t="n">
        <f aca="false">IF($G$11=$E$11,$F$11,IF(U567&lt;($F$11-$E$11)/($G$11-$E$11),$E$11+SQRT(U567*($G$11-$E$11)*($F$11-$E$11)),$G$11-SQRT((1-U567)*($G$11-$E$11)*($G$11-$F$11))))</f>
        <v>0.0982974408347451</v>
      </c>
      <c r="H567" s="39" t="n">
        <f aca="false">(('Business Case'!B11*$C567*'Business Case'!B12*$B567)-'Business Case'!B11*$C567*'Business Case'!B13*$D567-'Business Case'!B14*$E567)-MAX(0,(('Business Case'!B11*$C567*'Business Case'!B12*$B567)-'Business Case'!B11*$C567*'Business Case'!B13*$D567-'Business Case'!B14*$E567))*'Business Case'!$B$7-'Business Case'!$B$8*('Business Case'!B11*$C567*'Business Case'!B12*$B567)-'Business Case'!B15*$F567</f>
        <v>-1951385043.55401</v>
      </c>
      <c r="I567" s="39" t="n">
        <f aca="false">(('Business Case'!C11*$C567*'Business Case'!C12*$B567)-'Business Case'!C11*$C567*'Business Case'!C13*$D567-'Business Case'!C14*$E567)-MAX(0,(('Business Case'!C11*$C567*'Business Case'!C12*$B567)-'Business Case'!C11*$C567*'Business Case'!C13*$D567-'Business Case'!C14*$E567))*'Business Case'!$B$7-'Business Case'!$B$8*(('Business Case'!C11*$C567*'Business Case'!C12*$B567)-('Business Case'!B11*$C567*'Business Case'!B12*$B567))-'Business Case'!C15*$F567</f>
        <v>20229912.3509263</v>
      </c>
      <c r="J567" s="39" t="n">
        <f aca="false">(('Business Case'!D11*$C567*'Business Case'!D12*$B567)-'Business Case'!D11*$C567*'Business Case'!D13*$D567-'Business Case'!D14*$E567)-MAX(0,(('Business Case'!D11*$C567*'Business Case'!D12*$B567)-'Business Case'!D11*$C567*'Business Case'!D13*$D567-'Business Case'!D14*$E567))*'Business Case'!$B$7-'Business Case'!$B$8*(('Business Case'!D11*$C567*'Business Case'!D12*$B567)-('Business Case'!C11*$C567*'Business Case'!C12*$B567))-'Business Case'!D15*$F567</f>
        <v>330398176.160214</v>
      </c>
      <c r="K567" s="39" t="n">
        <f aca="false">(('Business Case'!E11*$C567*'Business Case'!E12*$B567)-'Business Case'!E11*$C567*'Business Case'!E13*$D567-'Business Case'!E14*$E567)-MAX(0,(('Business Case'!E11*$C567*'Business Case'!E12*$B567)-'Business Case'!E11*$C567*'Business Case'!E13*$D567-'Business Case'!E14*$E567))*'Business Case'!$B$7-'Business Case'!$B$8*(('Business Case'!E11*$C567*'Business Case'!E12*$B567)-('Business Case'!D11*$C567*'Business Case'!D12*$B567))-'Business Case'!E15*$F567</f>
        <v>689351066.058352</v>
      </c>
      <c r="L567" s="39" t="n">
        <f aca="false">(('Business Case'!F11*$C567*'Business Case'!F12*$B567)-'Business Case'!F11*$C567*'Business Case'!F13*$D567-'Business Case'!F14*$E567)-MAX(0,(('Business Case'!F11*$C567*'Business Case'!F12*$B567)-'Business Case'!F11*$C567*'Business Case'!F13*$D567-'Business Case'!F14*$E567))*'Business Case'!$B$7-'Business Case'!$B$8*(('Business Case'!F11*$C567*'Business Case'!F12*$B567)-('Business Case'!E11*$C567*'Business Case'!E12*$B567))-'Business Case'!F15*$F567</f>
        <v>826329326.859888</v>
      </c>
      <c r="M567" s="39" t="n">
        <f aca="false">(('Business Case'!G11*$C567*'Business Case'!G12*$B567)-'Business Case'!G11*$C567*'Business Case'!G13*$D567-'Business Case'!G14*$E567)-MAX(0,(('Business Case'!G11*$C567*'Business Case'!G12*$B567)-'Business Case'!G11*$C567*'Business Case'!G13*$D567-'Business Case'!G14*$E567))*'Business Case'!$B$7-'Business Case'!$B$8*(('Business Case'!G11*$C567*'Business Case'!G12*$B567)-('Business Case'!F11*$C567*'Business Case'!F12*$B567))-'Business Case'!G15*$F567+'Business Case'!$B$8*('Business Case'!G11*$C567*'Business Case'!G12*$B567)</f>
        <v>1011067944.28464</v>
      </c>
      <c r="N567" s="39" t="n">
        <f aca="false">IF(COUNT('Business Case'!B11:G11)=0,"",H567+NPV(G567,I567:M567))</f>
        <v>61846437.1803503</v>
      </c>
      <c r="P567" s="40" t="n">
        <f aca="true">RAND()</f>
        <v>0.615515537792018</v>
      </c>
      <c r="Q567" s="40" t="n">
        <f aca="true">RAND()</f>
        <v>0.43725599386683</v>
      </c>
      <c r="R567" s="40" t="n">
        <f aca="true">RAND()</f>
        <v>0.085197703813417</v>
      </c>
      <c r="S567" s="40" t="n">
        <f aca="true">RAND()</f>
        <v>0.313555118192667</v>
      </c>
      <c r="T567" s="40" t="n">
        <f aca="true">RAND()</f>
        <v>0.0528084540209464</v>
      </c>
      <c r="U567" s="40" t="n">
        <f aca="true">RAND()</f>
        <v>0.229491748020316</v>
      </c>
    </row>
    <row r="568" customFormat="false" ht="15" hidden="false" customHeight="false" outlineLevel="0" collapsed="false">
      <c r="A568" s="36" t="n">
        <v>488</v>
      </c>
      <c r="B568" s="37" t="n">
        <f aca="false">1+IF($G$6=$E$6,$F$6,IF(P568&lt;($F$6-$E$6)/($G$6-$E$6),$E$6+SQRT(P568*($G$6-$E$6)*($F$6-$E$6)),$G$6-SQRT((1-P568)*($G$6-$E$6)*($G$6-$F$6))))</f>
        <v>0.961961675035391</v>
      </c>
      <c r="C568" s="37" t="n">
        <f aca="false">1+IF($G$7=$E$7,$F$7,IF(Q568&lt;($F$7-$E$7)/($G$7-$E$7),$E$7+SQRT(Q568*($G$7-$E$7)*($F$7-$E$7)),$G$7-SQRT((1-Q568)*($G$7-$E$7)*($G$7-$F$7))))</f>
        <v>1.07975432492926</v>
      </c>
      <c r="D568" s="37" t="n">
        <f aca="false">1+IF($G$8=$E$8,$F$8,IF(R568&lt;($F$8-$E$8)/($G$8-$E$8),$E$8+SQRT(R568*($G$8-$E$8)*($F$8-$E$8)),$G$8-SQRT((1-R568)*($G$8-$E$8)*($G$8-$F$8))))</f>
        <v>1.05759896198225</v>
      </c>
      <c r="E568" s="37" t="n">
        <f aca="false">1+IF($G$9=$E$9,$F$9,IF(S568&lt;($F$9-$E$9)/($G$9-$E$9),$E$9+SQRT(S568*($G$9-$E$9)*($F$9-$E$9)),$G$9-SQRT((1-S568)*($G$9-$E$9)*($G$9-$F$9))))</f>
        <v>1.01070088516548</v>
      </c>
      <c r="F568" s="37" t="n">
        <f aca="false">1+IF($G$10=$E$10,$F$10,IF(T568&lt;($F$10-$E$10)/($G$10-$E$10),$E$10+SQRT(T568*($G$10-$E$10)*($F$10-$E$10)),$G$10-SQRT((1-T568)*($G$10-$E$10)*($G$10-$F$10))))</f>
        <v>1.02050437195022</v>
      </c>
      <c r="G568" s="38" t="n">
        <f aca="false">IF($G$11=$E$11,$F$11,IF(U568&lt;($F$11-$E$11)/($G$11-$E$11),$E$11+SQRT(U568*($G$11-$E$11)*($F$11-$E$11)),$G$11-SQRT((1-U568)*($G$11-$E$11)*($G$11-$F$11))))</f>
        <v>0.110999107865306</v>
      </c>
      <c r="H568" s="39" t="n">
        <f aca="false">(('Business Case'!B11*$C568*'Business Case'!B12*$B568)-'Business Case'!B11*$C568*'Business Case'!B13*$D568-'Business Case'!B14*$E568)-MAX(0,(('Business Case'!B11*$C568*'Business Case'!B12*$B568)-'Business Case'!B11*$C568*'Business Case'!B13*$D568-'Business Case'!B14*$E568))*'Business Case'!$B$7-'Business Case'!$B$8*('Business Case'!B11*$C568*'Business Case'!B12*$B568)-'Business Case'!B15*$F568</f>
        <v>-2041008743.90044</v>
      </c>
      <c r="I568" s="39" t="n">
        <f aca="false">(('Business Case'!C11*$C568*'Business Case'!C12*$B568)-'Business Case'!C11*$C568*'Business Case'!C13*$D568-'Business Case'!C14*$E568)-MAX(0,(('Business Case'!C11*$C568*'Business Case'!C12*$B568)-'Business Case'!C11*$C568*'Business Case'!C13*$D568-'Business Case'!C14*$E568))*'Business Case'!$B$7-'Business Case'!$B$8*(('Business Case'!C11*$C568*'Business Case'!C12*$B568)-('Business Case'!B11*$C568*'Business Case'!B12*$B568))-'Business Case'!C15*$F568</f>
        <v>-33447356.2516148</v>
      </c>
      <c r="J568" s="39" t="n">
        <f aca="false">(('Business Case'!D11*$C568*'Business Case'!D12*$B568)-'Business Case'!D11*$C568*'Business Case'!D13*$D568-'Business Case'!D14*$E568)-MAX(0,(('Business Case'!D11*$C568*'Business Case'!D12*$B568)-'Business Case'!D11*$C568*'Business Case'!D13*$D568-'Business Case'!D14*$E568))*'Business Case'!$B$7-'Business Case'!$B$8*(('Business Case'!D11*$C568*'Business Case'!D12*$B568)-('Business Case'!C11*$C568*'Business Case'!C12*$B568))-'Business Case'!D15*$F568</f>
        <v>232722679.907532</v>
      </c>
      <c r="K568" s="39" t="n">
        <f aca="false">(('Business Case'!E11*$C568*'Business Case'!E12*$B568)-'Business Case'!E11*$C568*'Business Case'!E13*$D568-'Business Case'!E14*$E568)-MAX(0,(('Business Case'!E11*$C568*'Business Case'!E12*$B568)-'Business Case'!E11*$C568*'Business Case'!E13*$D568-'Business Case'!E14*$E568))*'Business Case'!$B$7-'Business Case'!$B$8*(('Business Case'!E11*$C568*'Business Case'!E12*$B568)-('Business Case'!D11*$C568*'Business Case'!D12*$B568))-'Business Case'!E15*$F568</f>
        <v>549917934.66419</v>
      </c>
      <c r="L568" s="39" t="n">
        <f aca="false">(('Business Case'!F11*$C568*'Business Case'!F12*$B568)-'Business Case'!F11*$C568*'Business Case'!F13*$D568-'Business Case'!F14*$E568)-MAX(0,(('Business Case'!F11*$C568*'Business Case'!F12*$B568)-'Business Case'!F11*$C568*'Business Case'!F13*$D568-'Business Case'!F14*$E568))*'Business Case'!$B$7-'Business Case'!$B$8*(('Business Case'!F11*$C568*'Business Case'!F12*$B568)-('Business Case'!E11*$C568*'Business Case'!E12*$B568))-'Business Case'!F15*$F568</f>
        <v>674538139.614045</v>
      </c>
      <c r="M568" s="39" t="n">
        <f aca="false">(('Business Case'!G11*$C568*'Business Case'!G12*$B568)-'Business Case'!G11*$C568*'Business Case'!G13*$D568-'Business Case'!G14*$E568)-MAX(0,(('Business Case'!G11*$C568*'Business Case'!G12*$B568)-'Business Case'!G11*$C568*'Business Case'!G13*$D568-'Business Case'!G14*$E568))*'Business Case'!$B$7-'Business Case'!$B$8*(('Business Case'!G11*$C568*'Business Case'!G12*$B568)-('Business Case'!F11*$C568*'Business Case'!F12*$B568))-'Business Case'!G15*$F568+'Business Case'!$B$8*('Business Case'!G11*$C568*'Business Case'!G12*$B568)</f>
        <v>871970867.213142</v>
      </c>
      <c r="N568" s="39" t="n">
        <f aca="false">IF(COUNT('Business Case'!B11:G11)=0,"",H568+NPV(G568,I568:M568))</f>
        <v>-523666953.946823</v>
      </c>
      <c r="P568" s="40" t="n">
        <f aca="true">RAND()</f>
        <v>0.183414809559976</v>
      </c>
      <c r="Q568" s="40" t="n">
        <f aca="true">RAND()</f>
        <v>0.90601038350201</v>
      </c>
      <c r="R568" s="40" t="n">
        <f aca="true">RAND()</f>
        <v>0.951749374589158</v>
      </c>
      <c r="S568" s="40" t="n">
        <f aca="true">RAND()</f>
        <v>0.468377872651448</v>
      </c>
      <c r="T568" s="40" t="n">
        <f aca="true">RAND()</f>
        <v>0.355626390220284</v>
      </c>
      <c r="U568" s="40" t="n">
        <f aca="true">RAND()</f>
        <v>0.864973234632673</v>
      </c>
    </row>
    <row r="569" customFormat="false" ht="15" hidden="false" customHeight="false" outlineLevel="0" collapsed="false">
      <c r="A569" s="36" t="n">
        <v>489</v>
      </c>
      <c r="B569" s="37" t="n">
        <f aca="false">1+IF($G$6=$E$6,$F$6,IF(P569&lt;($F$6-$E$6)/($G$6-$E$6),$E$6+SQRT(P569*($G$6-$E$6)*($F$6-$E$6)),$G$6-SQRT((1-P569)*($G$6-$E$6)*($G$6-$F$6))))</f>
        <v>0.997748729212385</v>
      </c>
      <c r="C569" s="37" t="n">
        <f aca="false">1+IF($G$7=$E$7,$F$7,IF(Q569&lt;($F$7-$E$7)/($G$7-$E$7),$E$7+SQRT(Q569*($G$7-$E$7)*($F$7-$E$7)),$G$7-SQRT((1-Q569)*($G$7-$E$7)*($G$7-$F$7))))</f>
        <v>1.00643266558288</v>
      </c>
      <c r="D569" s="37" t="n">
        <f aca="false">1+IF($G$8=$E$8,$F$8,IF(R569&lt;($F$8-$E$8)/($G$8-$E$8),$E$8+SQRT(R569*($G$8-$E$8)*($F$8-$E$8)),$G$8-SQRT((1-R569)*($G$8-$E$8)*($G$8-$F$8))))</f>
        <v>0.988592717186454</v>
      </c>
      <c r="E569" s="37" t="n">
        <f aca="false">1+IF($G$9=$E$9,$F$9,IF(S569&lt;($F$9-$E$9)/($G$9-$E$9),$E$9+SQRT(S569*($G$9-$E$9)*($F$9-$E$9)),$G$9-SQRT((1-S569)*($G$9-$E$9)*($G$9-$F$9))))</f>
        <v>1.07189073860891</v>
      </c>
      <c r="F569" s="37" t="n">
        <f aca="false">1+IF($G$10=$E$10,$F$10,IF(T569&lt;($F$10-$E$10)/($G$10-$E$10),$E$10+SQRT(T569*($G$10-$E$10)*($F$10-$E$10)),$G$10-SQRT((1-T569)*($G$10-$E$10)*($G$10-$F$10))))</f>
        <v>1.01717162389868</v>
      </c>
      <c r="G569" s="38" t="n">
        <f aca="false">IF($G$11=$E$11,$F$11,IF(U569&lt;($F$11-$E$11)/($G$11-$E$11),$E$11+SQRT(U569*($G$11-$E$11)*($F$11-$E$11)),$G$11-SQRT((1-U569)*($G$11-$E$11)*($G$11-$F$11))))</f>
        <v>0.105880215667406</v>
      </c>
      <c r="H569" s="39" t="n">
        <f aca="false">(('Business Case'!B11*$C569*'Business Case'!B12*$B569)-'Business Case'!B11*$C569*'Business Case'!B13*$D569-'Business Case'!B14*$E569)-MAX(0,(('Business Case'!B11*$C569*'Business Case'!B12*$B569)-'Business Case'!B11*$C569*'Business Case'!B13*$D569-'Business Case'!B14*$E569))*'Business Case'!$B$7-'Business Case'!$B$8*('Business Case'!B11*$C569*'Business Case'!B12*$B569)-'Business Case'!B15*$F569</f>
        <v>-2034343247.79735</v>
      </c>
      <c r="I569" s="39" t="n">
        <f aca="false">(('Business Case'!C11*$C569*'Business Case'!C12*$B569)-'Business Case'!C11*$C569*'Business Case'!C13*$D569-'Business Case'!C14*$E569)-MAX(0,(('Business Case'!C11*$C569*'Business Case'!C12*$B569)-'Business Case'!C11*$C569*'Business Case'!C13*$D569-'Business Case'!C14*$E569))*'Business Case'!$B$7-'Business Case'!$B$8*(('Business Case'!C11*$C569*'Business Case'!C12*$B569)-('Business Case'!B11*$C569*'Business Case'!B12*$B569))-'Business Case'!C15*$F569</f>
        <v>6953134.02023312</v>
      </c>
      <c r="J569" s="39" t="n">
        <f aca="false">(('Business Case'!D11*$C569*'Business Case'!D12*$B569)-'Business Case'!D11*$C569*'Business Case'!D13*$D569-'Business Case'!D14*$E569)-MAX(0,(('Business Case'!D11*$C569*'Business Case'!D12*$B569)-'Business Case'!D11*$C569*'Business Case'!D13*$D569-'Business Case'!D14*$E569))*'Business Case'!$B$7-'Business Case'!$B$8*(('Business Case'!D11*$C569*'Business Case'!D12*$B569)-('Business Case'!C11*$C569*'Business Case'!C12*$B569))-'Business Case'!D15*$F569</f>
        <v>320102306.236825</v>
      </c>
      <c r="K569" s="39" t="n">
        <f aca="false">(('Business Case'!E11*$C569*'Business Case'!E12*$B569)-'Business Case'!E11*$C569*'Business Case'!E13*$D569-'Business Case'!E14*$E569)-MAX(0,(('Business Case'!E11*$C569*'Business Case'!E12*$B569)-'Business Case'!E11*$C569*'Business Case'!E13*$D569-'Business Case'!E14*$E569))*'Business Case'!$B$7-'Business Case'!$B$8*(('Business Case'!E11*$C569*'Business Case'!E12*$B569)-('Business Case'!D11*$C569*'Business Case'!D12*$B569))-'Business Case'!E15*$F569</f>
        <v>684110059.648351</v>
      </c>
      <c r="L569" s="39" t="n">
        <f aca="false">(('Business Case'!F11*$C569*'Business Case'!F12*$B569)-'Business Case'!F11*$C569*'Business Case'!F13*$D569-'Business Case'!F14*$E569)-MAX(0,(('Business Case'!F11*$C569*'Business Case'!F12*$B569)-'Business Case'!F11*$C569*'Business Case'!F13*$D569-'Business Case'!F14*$E569))*'Business Case'!$B$7-'Business Case'!$B$8*(('Business Case'!F11*$C569*'Business Case'!F12*$B569)-('Business Case'!E11*$C569*'Business Case'!E12*$B569))-'Business Case'!F15*$F569</f>
        <v>823197125.571418</v>
      </c>
      <c r="M569" s="39" t="n">
        <f aca="false">(('Business Case'!G11*$C569*'Business Case'!G12*$B569)-'Business Case'!G11*$C569*'Business Case'!G13*$D569-'Business Case'!G14*$E569)-MAX(0,(('Business Case'!G11*$C569*'Business Case'!G12*$B569)-'Business Case'!G11*$C569*'Business Case'!G13*$D569-'Business Case'!G14*$E569))*'Business Case'!$B$7-'Business Case'!$B$8*(('Business Case'!G11*$C569*'Business Case'!G12*$B569)-('Business Case'!F11*$C569*'Business Case'!F12*$B569))-'Business Case'!G15*$F569+'Business Case'!$B$8*('Business Case'!G11*$C569*'Business Case'!G12*$B569)</f>
        <v>1014069172.41787</v>
      </c>
      <c r="N569" s="39" t="n">
        <f aca="false">IF(COUNT('Business Case'!B11:G11)=0,"",H569+NPV(G569,I569:M569))</f>
        <v>-97002335.4782651</v>
      </c>
      <c r="P569" s="40" t="n">
        <f aca="true">RAND()</f>
        <v>0.629673426472991</v>
      </c>
      <c r="Q569" s="40" t="n">
        <f aca="true">RAND()</f>
        <v>0.607398485492649</v>
      </c>
      <c r="R569" s="40" t="n">
        <f aca="true">RAND()</f>
        <v>0.22913812612825</v>
      </c>
      <c r="S569" s="40" t="n">
        <f aca="true">RAND()</f>
        <v>0.947324628269818</v>
      </c>
      <c r="T569" s="40" t="n">
        <f aca="true">RAND()</f>
        <v>0.331475697843066</v>
      </c>
      <c r="U569" s="40" t="n">
        <f aca="true">RAND()</f>
        <v>0.667719484001714</v>
      </c>
    </row>
    <row r="570" customFormat="false" ht="15" hidden="false" customHeight="false" outlineLevel="0" collapsed="false">
      <c r="A570" s="36" t="n">
        <v>490</v>
      </c>
      <c r="B570" s="37" t="n">
        <f aca="false">1+IF($G$6=$E$6,$F$6,IF(P570&lt;($F$6-$E$6)/($G$6-$E$6),$E$6+SQRT(P570*($G$6-$E$6)*($F$6-$E$6)),$G$6-SQRT((1-P570)*($G$6-$E$6)*($G$6-$F$6))))</f>
        <v>0.979186264856428</v>
      </c>
      <c r="C570" s="37" t="n">
        <f aca="false">1+IF($G$7=$E$7,$F$7,IF(Q570&lt;($F$7-$E$7)/($G$7-$E$7),$E$7+SQRT(Q570*($G$7-$E$7)*($F$7-$E$7)),$G$7-SQRT((1-Q570)*($G$7-$E$7)*($G$7-$F$7))))</f>
        <v>1.11063244649445</v>
      </c>
      <c r="D570" s="37" t="n">
        <f aca="false">1+IF($G$8=$E$8,$F$8,IF(R570&lt;($F$8-$E$8)/($G$8-$E$8),$E$8+SQRT(R570*($G$8-$E$8)*($F$8-$E$8)),$G$8-SQRT((1-R570)*($G$8-$E$8)*($G$8-$F$8))))</f>
        <v>1.05256821100909</v>
      </c>
      <c r="E570" s="37" t="n">
        <f aca="false">1+IF($G$9=$E$9,$F$9,IF(S570&lt;($F$9-$E$9)/($G$9-$E$9),$E$9+SQRT(S570*($G$9-$E$9)*($F$9-$E$9)),$G$9-SQRT((1-S570)*($G$9-$E$9)*($G$9-$F$9))))</f>
        <v>1.0177123132322</v>
      </c>
      <c r="F570" s="37" t="n">
        <f aca="false">1+IF($G$10=$E$10,$F$10,IF(T570&lt;($F$10-$E$10)/($G$10-$E$10),$E$10+SQRT(T570*($G$10-$E$10)*($F$10-$E$10)),$G$10-SQRT((1-T570)*($G$10-$E$10)*($G$10-$F$10))))</f>
        <v>1.03300523256956</v>
      </c>
      <c r="G570" s="38" t="n">
        <f aca="false">IF($G$11=$E$11,$F$11,IF(U570&lt;($F$11-$E$11)/($G$11-$E$11),$E$11+SQRT(U570*($G$11-$E$11)*($F$11-$E$11)),$G$11-SQRT((1-U570)*($G$11-$E$11)*($G$11-$F$11))))</f>
        <v>0.107924738547728</v>
      </c>
      <c r="H570" s="39" t="n">
        <f aca="false">(('Business Case'!B11*$C570*'Business Case'!B12*$B570)-'Business Case'!B11*$C570*'Business Case'!B13*$D570-'Business Case'!B14*$E570)-MAX(0,(('Business Case'!B11*$C570*'Business Case'!B12*$B570)-'Business Case'!B11*$C570*'Business Case'!B13*$D570-'Business Case'!B14*$E570))*'Business Case'!$B$7-'Business Case'!$B$8*('Business Case'!B11*$C570*'Business Case'!B12*$B570)-'Business Case'!B15*$F570</f>
        <v>-2066010465.13912</v>
      </c>
      <c r="I570" s="39" t="n">
        <f aca="false">(('Business Case'!C11*$C570*'Business Case'!C12*$B570)-'Business Case'!C11*$C570*'Business Case'!C13*$D570-'Business Case'!C14*$E570)-MAX(0,(('Business Case'!C11*$C570*'Business Case'!C12*$B570)-'Business Case'!C11*$C570*'Business Case'!C13*$D570-'Business Case'!C14*$E570))*'Business Case'!$B$7-'Business Case'!$B$8*(('Business Case'!C11*$C570*'Business Case'!C12*$B570)-('Business Case'!B11*$C570*'Business Case'!B12*$B570))-'Business Case'!C15*$F570</f>
        <v>-12084989.3896922</v>
      </c>
      <c r="J570" s="39" t="n">
        <f aca="false">(('Business Case'!D11*$C570*'Business Case'!D12*$B570)-'Business Case'!D11*$C570*'Business Case'!D13*$D570-'Business Case'!D14*$E570)-MAX(0,(('Business Case'!D11*$C570*'Business Case'!D12*$B570)-'Business Case'!D11*$C570*'Business Case'!D13*$D570-'Business Case'!D14*$E570))*'Business Case'!$B$7-'Business Case'!$B$8*(('Business Case'!D11*$C570*'Business Case'!D12*$B570)-('Business Case'!C11*$C570*'Business Case'!C12*$B570))-'Business Case'!D15*$F570</f>
        <v>280226066.772671</v>
      </c>
      <c r="K570" s="39" t="n">
        <f aca="false">(('Business Case'!E11*$C570*'Business Case'!E12*$B570)-'Business Case'!E11*$C570*'Business Case'!E13*$D570-'Business Case'!E14*$E570)-MAX(0,(('Business Case'!E11*$C570*'Business Case'!E12*$B570)-'Business Case'!E11*$C570*'Business Case'!E13*$D570-'Business Case'!E14*$E570))*'Business Case'!$B$7-'Business Case'!$B$8*(('Business Case'!E11*$C570*'Business Case'!E12*$B570)-('Business Case'!D11*$C570*'Business Case'!D12*$B570))-'Business Case'!E15*$F570</f>
        <v>624187384.563511</v>
      </c>
      <c r="L570" s="39" t="n">
        <f aca="false">(('Business Case'!F11*$C570*'Business Case'!F12*$B570)-'Business Case'!F11*$C570*'Business Case'!F13*$D570-'Business Case'!F14*$E570)-MAX(0,(('Business Case'!F11*$C570*'Business Case'!F12*$B570)-'Business Case'!F11*$C570*'Business Case'!F13*$D570-'Business Case'!F14*$E570))*'Business Case'!$B$7-'Business Case'!$B$8*(('Business Case'!F11*$C570*'Business Case'!F12*$B570)-('Business Case'!E11*$C570*'Business Case'!E12*$B570))-'Business Case'!F15*$F570</f>
        <v>759208957.519951</v>
      </c>
      <c r="M570" s="39" t="n">
        <f aca="false">(('Business Case'!G11*$C570*'Business Case'!G12*$B570)-'Business Case'!G11*$C570*'Business Case'!G13*$D570-'Business Case'!G14*$E570)-MAX(0,(('Business Case'!G11*$C570*'Business Case'!G12*$B570)-'Business Case'!G11*$C570*'Business Case'!G13*$D570-'Business Case'!G14*$E570))*'Business Case'!$B$7-'Business Case'!$B$8*(('Business Case'!G11*$C570*'Business Case'!G12*$B570)-('Business Case'!F11*$C570*'Business Case'!F12*$B570))-'Business Case'!G15*$F570+'Business Case'!$B$8*('Business Case'!G11*$C570*'Business Case'!G12*$B570)</f>
        <v>965924005.816043</v>
      </c>
      <c r="N570" s="39" t="n">
        <f aca="false">IF(COUNT('Business Case'!B11:G11)=0,"",H570+NPV(G570,I570:M570))</f>
        <v>-307168045.247185</v>
      </c>
      <c r="P570" s="40" t="n">
        <f aca="true">RAND()</f>
        <v>0.364897286214092</v>
      </c>
      <c r="Q570" s="40" t="n">
        <f aca="true">RAND()</f>
        <v>0.970479918685481</v>
      </c>
      <c r="R570" s="40" t="n">
        <f aca="true">RAND()</f>
        <v>0.927643937765201</v>
      </c>
      <c r="S570" s="40" t="n">
        <f aca="true">RAND()</f>
        <v>0.548582440427008</v>
      </c>
      <c r="T570" s="40" t="n">
        <f aca="true">RAND()</f>
        <v>0.44225495301705</v>
      </c>
      <c r="U570" s="40" t="n">
        <f aca="true">RAND()</f>
        <v>0.75698010143214</v>
      </c>
    </row>
    <row r="571" customFormat="false" ht="15" hidden="false" customHeight="false" outlineLevel="0" collapsed="false">
      <c r="A571" s="36" t="n">
        <v>491</v>
      </c>
      <c r="B571" s="37" t="n">
        <f aca="false">1+IF($G$6=$E$6,$F$6,IF(P571&lt;($F$6-$E$6)/($G$6-$E$6),$E$6+SQRT(P571*($G$6-$E$6)*($F$6-$E$6)),$G$6-SQRT((1-P571)*($G$6-$E$6)*($G$6-$F$6))))</f>
        <v>1.0127239607144</v>
      </c>
      <c r="C571" s="37" t="n">
        <f aca="false">1+IF($G$7=$E$7,$F$7,IF(Q571&lt;($F$7-$E$7)/($G$7-$E$7),$E$7+SQRT(Q571*($G$7-$E$7)*($F$7-$E$7)),$G$7-SQRT((1-Q571)*($G$7-$E$7)*($G$7-$F$7))))</f>
        <v>0.9519726384499</v>
      </c>
      <c r="D571" s="37" t="n">
        <f aca="false">1+IF($G$8=$E$8,$F$8,IF(R571&lt;($F$8-$E$8)/($G$8-$E$8),$E$8+SQRT(R571*($G$8-$E$8)*($F$8-$E$8)),$G$8-SQRT((1-R571)*($G$8-$E$8)*($G$8-$F$8))))</f>
        <v>0.985401988078326</v>
      </c>
      <c r="E571" s="37" t="n">
        <f aca="false">1+IF($G$9=$E$9,$F$9,IF(S571&lt;($F$9-$E$9)/($G$9-$E$9),$E$9+SQRT(S571*($G$9-$E$9)*($F$9-$E$9)),$G$9-SQRT((1-S571)*($G$9-$E$9)*($G$9-$F$9))))</f>
        <v>0.99571462195225</v>
      </c>
      <c r="F571" s="37" t="n">
        <f aca="false">1+IF($G$10=$E$10,$F$10,IF(T571&lt;($F$10-$E$10)/($G$10-$E$10),$E$10+SQRT(T571*($G$10-$E$10)*($F$10-$E$10)),$G$10-SQRT((1-T571)*($G$10-$E$10)*($G$10-$F$10))))</f>
        <v>0.975445382301297</v>
      </c>
      <c r="G571" s="38" t="n">
        <f aca="false">IF($G$11=$E$11,$F$11,IF(U571&lt;($F$11-$E$11)/($G$11-$E$11),$E$11+SQRT(U571*($G$11-$E$11)*($F$11-$E$11)),$G$11-SQRT((1-U571)*($G$11-$E$11)*($G$11-$F$11))))</f>
        <v>0.103791640308188</v>
      </c>
      <c r="H571" s="39" t="n">
        <f aca="false">(('Business Case'!B11*$C571*'Business Case'!B12*$B571)-'Business Case'!B11*$C571*'Business Case'!B13*$D571-'Business Case'!B14*$E571)-MAX(0,(('Business Case'!B11*$C571*'Business Case'!B12*$B571)-'Business Case'!B11*$C571*'Business Case'!B13*$D571-'Business Case'!B14*$E571))*'Business Case'!$B$7-'Business Case'!$B$8*('Business Case'!B11*$C571*'Business Case'!B12*$B571)-'Business Case'!B15*$F571</f>
        <v>-1950890764.60259</v>
      </c>
      <c r="I571" s="39" t="n">
        <f aca="false">(('Business Case'!C11*$C571*'Business Case'!C12*$B571)-'Business Case'!C11*$C571*'Business Case'!C13*$D571-'Business Case'!C14*$E571)-MAX(0,(('Business Case'!C11*$C571*'Business Case'!C12*$B571)-'Business Case'!C11*$C571*'Business Case'!C13*$D571-'Business Case'!C14*$E571))*'Business Case'!$B$7-'Business Case'!$B$8*(('Business Case'!C11*$C571*'Business Case'!C12*$B571)-('Business Case'!B11*$C571*'Business Case'!B12*$B571))-'Business Case'!C15*$F571</f>
        <v>20322361.5866532</v>
      </c>
      <c r="J571" s="39" t="n">
        <f aca="false">(('Business Case'!D11*$C571*'Business Case'!D12*$B571)-'Business Case'!D11*$C571*'Business Case'!D13*$D571-'Business Case'!D14*$E571)-MAX(0,(('Business Case'!D11*$C571*'Business Case'!D12*$B571)-'Business Case'!D11*$C571*'Business Case'!D13*$D571-'Business Case'!D14*$E571))*'Business Case'!$B$7-'Business Case'!$B$8*(('Business Case'!D11*$C571*'Business Case'!D12*$B571)-('Business Case'!C11*$C571*'Business Case'!C12*$B571))-'Business Case'!D15*$F571</f>
        <v>329758073.011843</v>
      </c>
      <c r="K571" s="39" t="n">
        <f aca="false">(('Business Case'!E11*$C571*'Business Case'!E12*$B571)-'Business Case'!E11*$C571*'Business Case'!E13*$D571-'Business Case'!E14*$E571)-MAX(0,(('Business Case'!E11*$C571*'Business Case'!E12*$B571)-'Business Case'!E11*$C571*'Business Case'!E13*$D571-'Business Case'!E14*$E571))*'Business Case'!$B$7-'Business Case'!$B$8*(('Business Case'!E11*$C571*'Business Case'!E12*$B571)-('Business Case'!D11*$C571*'Business Case'!D12*$B571))-'Business Case'!E15*$F571</f>
        <v>687966053.552098</v>
      </c>
      <c r="L571" s="39" t="n">
        <f aca="false">(('Business Case'!F11*$C571*'Business Case'!F12*$B571)-'Business Case'!F11*$C571*'Business Case'!F13*$D571-'Business Case'!F14*$E571)-MAX(0,(('Business Case'!F11*$C571*'Business Case'!F12*$B571)-'Business Case'!F11*$C571*'Business Case'!F13*$D571-'Business Case'!F14*$E571))*'Business Case'!$B$7-'Business Case'!$B$8*(('Business Case'!F11*$C571*'Business Case'!F12*$B571)-('Business Case'!E11*$C571*'Business Case'!E12*$B571))-'Business Case'!F15*$F571</f>
        <v>824430085.605026</v>
      </c>
      <c r="M571" s="39" t="n">
        <f aca="false">(('Business Case'!G11*$C571*'Business Case'!G12*$B571)-'Business Case'!G11*$C571*'Business Case'!G13*$D571-'Business Case'!G14*$E571)-MAX(0,(('Business Case'!G11*$C571*'Business Case'!G12*$B571)-'Business Case'!G11*$C571*'Business Case'!G13*$D571-'Business Case'!G14*$E571))*'Business Case'!$B$7-'Business Case'!$B$8*(('Business Case'!G11*$C571*'Business Case'!G12*$B571)-('Business Case'!F11*$C571*'Business Case'!F12*$B571))-'Business Case'!G15*$F571+'Business Case'!$B$8*('Business Case'!G11*$C571*'Business Case'!G12*$B571)</f>
        <v>1007683457.61662</v>
      </c>
      <c r="N571" s="39" t="n">
        <f aca="false">IF(COUNT('Business Case'!B11:G11)=0,"",H571+NPV(G571,I571:M571))</f>
        <v>20168190.7922525</v>
      </c>
      <c r="P571" s="40" t="n">
        <f aca="true">RAND()</f>
        <v>0.84500368351886</v>
      </c>
      <c r="Q571" s="40" t="n">
        <f aca="true">RAND()</f>
        <v>0.329938326248914</v>
      </c>
      <c r="R571" s="40" t="n">
        <f aca="true">RAND()</f>
        <v>0.192815501522753</v>
      </c>
      <c r="S571" s="40" t="n">
        <f aca="true">RAND()</f>
        <v>0.278643554698283</v>
      </c>
      <c r="T571" s="40" t="n">
        <f aca="true">RAND()</f>
        <v>0.0517973984367326</v>
      </c>
      <c r="U571" s="40" t="n">
        <f aca="true">RAND()</f>
        <v>0.562148460168068</v>
      </c>
    </row>
    <row r="572" customFormat="false" ht="15" hidden="false" customHeight="false" outlineLevel="0" collapsed="false">
      <c r="A572" s="36" t="n">
        <v>492</v>
      </c>
      <c r="B572" s="37" t="n">
        <f aca="false">1+IF($G$6=$E$6,$F$6,IF(P572&lt;($F$6-$E$6)/($G$6-$E$6),$E$6+SQRT(P572*($G$6-$E$6)*($F$6-$E$6)),$G$6-SQRT((1-P572)*($G$6-$E$6)*($G$6-$F$6))))</f>
        <v>1.01425344702669</v>
      </c>
      <c r="C572" s="37" t="n">
        <f aca="false">1+IF($G$7=$E$7,$F$7,IF(Q572&lt;($F$7-$E$7)/($G$7-$E$7),$E$7+SQRT(Q572*($G$7-$E$7)*($F$7-$E$7)),$G$7-SQRT((1-Q572)*($G$7-$E$7)*($G$7-$F$7))))</f>
        <v>1.02131982971851</v>
      </c>
      <c r="D572" s="37" t="n">
        <f aca="false">1+IF($G$8=$E$8,$F$8,IF(R572&lt;($F$8-$E$8)/($G$8-$E$8),$E$8+SQRT(R572*($G$8-$E$8)*($F$8-$E$8)),$G$8-SQRT((1-R572)*($G$8-$E$8)*($G$8-$F$8))))</f>
        <v>1.0303381995654</v>
      </c>
      <c r="E572" s="37" t="n">
        <f aca="false">1+IF($G$9=$E$9,$F$9,IF(S572&lt;($F$9-$E$9)/($G$9-$E$9),$E$9+SQRT(S572*($G$9-$E$9)*($F$9-$E$9)),$G$9-SQRT((1-S572)*($G$9-$E$9)*($G$9-$F$9))))</f>
        <v>0.966863076931367</v>
      </c>
      <c r="F572" s="37" t="n">
        <f aca="false">1+IF($G$10=$E$10,$F$10,IF(T572&lt;($F$10-$E$10)/($G$10-$E$10),$E$10+SQRT(T572*($G$10-$E$10)*($F$10-$E$10)),$G$10-SQRT((1-T572)*($G$10-$E$10)*($G$10-$F$10))))</f>
        <v>1.00576500294403</v>
      </c>
      <c r="G572" s="38" t="n">
        <f aca="false">IF($G$11=$E$11,$F$11,IF(U572&lt;($F$11-$E$11)/($G$11-$E$11),$E$11+SQRT(U572*($G$11-$E$11)*($F$11-$E$11)),$G$11-SQRT((1-U572)*($G$11-$E$11)*($G$11-$F$11))))</f>
        <v>0.112952920169739</v>
      </c>
      <c r="H572" s="39" t="n">
        <f aca="false">(('Business Case'!B11*$C572*'Business Case'!B12*$B572)-'Business Case'!B11*$C572*'Business Case'!B13*$D572-'Business Case'!B14*$E572)-MAX(0,(('Business Case'!B11*$C572*'Business Case'!B12*$B572)-'Business Case'!B11*$C572*'Business Case'!B13*$D572-'Business Case'!B14*$E572))*'Business Case'!$B$7-'Business Case'!$B$8*('Business Case'!B11*$C572*'Business Case'!B12*$B572)-'Business Case'!B15*$F572</f>
        <v>-2011530005.88807</v>
      </c>
      <c r="I572" s="39" t="n">
        <f aca="false">(('Business Case'!C11*$C572*'Business Case'!C12*$B572)-'Business Case'!C11*$C572*'Business Case'!C13*$D572-'Business Case'!C14*$E572)-MAX(0,(('Business Case'!C11*$C572*'Business Case'!C12*$B572)-'Business Case'!C11*$C572*'Business Case'!C13*$D572-'Business Case'!C14*$E572))*'Business Case'!$B$7-'Business Case'!$B$8*(('Business Case'!C11*$C572*'Business Case'!C12*$B572)-('Business Case'!B11*$C572*'Business Case'!B12*$B572))-'Business Case'!C15*$F572</f>
        <v>17997782.8119112</v>
      </c>
      <c r="J572" s="39" t="n">
        <f aca="false">(('Business Case'!D11*$C572*'Business Case'!D12*$B572)-'Business Case'!D11*$C572*'Business Case'!D13*$D572-'Business Case'!D14*$E572)-MAX(0,(('Business Case'!D11*$C572*'Business Case'!D12*$B572)-'Business Case'!D11*$C572*'Business Case'!D13*$D572-'Business Case'!D14*$E572))*'Business Case'!$B$7-'Business Case'!$B$8*(('Business Case'!D11*$C572*'Business Case'!D12*$B572)-('Business Case'!C11*$C572*'Business Case'!C12*$B572))-'Business Case'!D15*$F572</f>
        <v>327759867.31867</v>
      </c>
      <c r="K572" s="39" t="n">
        <f aca="false">(('Business Case'!E11*$C572*'Business Case'!E12*$B572)-'Business Case'!E11*$C572*'Business Case'!E13*$D572-'Business Case'!E14*$E572)-MAX(0,(('Business Case'!E11*$C572*'Business Case'!E12*$B572)-'Business Case'!E11*$C572*'Business Case'!E13*$D572-'Business Case'!E14*$E572))*'Business Case'!$B$7-'Business Case'!$B$8*(('Business Case'!E11*$C572*'Business Case'!E12*$B572)-('Business Case'!D11*$C572*'Business Case'!D12*$B572))-'Business Case'!E15*$F572</f>
        <v>687810201.972629</v>
      </c>
      <c r="L572" s="39" t="n">
        <f aca="false">(('Business Case'!F11*$C572*'Business Case'!F12*$B572)-'Business Case'!F11*$C572*'Business Case'!F13*$D572-'Business Case'!F14*$E572)-MAX(0,(('Business Case'!F11*$C572*'Business Case'!F12*$B572)-'Business Case'!F11*$C572*'Business Case'!F13*$D572-'Business Case'!F14*$E572))*'Business Case'!$B$7-'Business Case'!$B$8*(('Business Case'!F11*$C572*'Business Case'!F12*$B572)-('Business Case'!E11*$C572*'Business Case'!E12*$B572))-'Business Case'!F15*$F572</f>
        <v>826864144.715418</v>
      </c>
      <c r="M572" s="39" t="n">
        <f aca="false">(('Business Case'!G11*$C572*'Business Case'!G12*$B572)-'Business Case'!G11*$C572*'Business Case'!G13*$D572-'Business Case'!G14*$E572)-MAX(0,(('Business Case'!G11*$C572*'Business Case'!G12*$B572)-'Business Case'!G11*$C572*'Business Case'!G13*$D572-'Business Case'!G14*$E572))*'Business Case'!$B$7-'Business Case'!$B$8*(('Business Case'!G11*$C572*'Business Case'!G12*$B572)-('Business Case'!F11*$C572*'Business Case'!F12*$B572))-'Business Case'!G15*$F572+'Business Case'!$B$8*('Business Case'!G11*$C572*'Business Case'!G12*$B572)</f>
        <v>1023763674.8717</v>
      </c>
      <c r="N572" s="39" t="n">
        <f aca="false">IF(COUNT('Business Case'!B11:G11)=0,"",H572+NPV(G572,I572:M572))</f>
        <v>-93362874.8504002</v>
      </c>
      <c r="P572" s="40" t="n">
        <f aca="true">RAND()</f>
        <v>0.861898960415098</v>
      </c>
      <c r="Q572" s="40" t="n">
        <f aca="true">RAND()</f>
        <v>0.684598357644301</v>
      </c>
      <c r="R572" s="40" t="n">
        <f aca="true">RAND()</f>
        <v>0.762856305537916</v>
      </c>
      <c r="S572" s="40" t="n">
        <f aca="true">RAND()</f>
        <v>0.0379151151457581</v>
      </c>
      <c r="T572" s="40" t="n">
        <f aca="true">RAND()</f>
        <v>0.245455318373383</v>
      </c>
      <c r="U572" s="40" t="n">
        <f aca="true">RAND()</f>
        <v>0.917231109776554</v>
      </c>
    </row>
    <row r="573" customFormat="false" ht="15" hidden="false" customHeight="false" outlineLevel="0" collapsed="false">
      <c r="A573" s="36" t="n">
        <v>493</v>
      </c>
      <c r="B573" s="37" t="n">
        <f aca="false">1+IF($G$6=$E$6,$F$6,IF(P573&lt;($F$6-$E$6)/($G$6-$E$6),$E$6+SQRT(P573*($G$6-$E$6)*($F$6-$E$6)),$G$6-SQRT((1-P573)*($G$6-$E$6)*($G$6-$F$6))))</f>
        <v>1.01442057389119</v>
      </c>
      <c r="C573" s="37" t="n">
        <f aca="false">1+IF($G$7=$E$7,$F$7,IF(Q573&lt;($F$7-$E$7)/($G$7-$E$7),$E$7+SQRT(Q573*($G$7-$E$7)*($F$7-$E$7)),$G$7-SQRT((1-Q573)*($G$7-$E$7)*($G$7-$F$7))))</f>
        <v>1.09485138170426</v>
      </c>
      <c r="D573" s="37" t="n">
        <f aca="false">1+IF($G$8=$E$8,$F$8,IF(R573&lt;($F$8-$E$8)/($G$8-$E$8),$E$8+SQRT(R573*($G$8-$E$8)*($F$8-$E$8)),$G$8-SQRT((1-R573)*($G$8-$E$8)*($G$8-$F$8))))</f>
        <v>0.999951536128563</v>
      </c>
      <c r="E573" s="37" t="n">
        <f aca="false">1+IF($G$9=$E$9,$F$9,IF(S573&lt;($F$9-$E$9)/($G$9-$E$9),$E$9+SQRT(S573*($G$9-$E$9)*($F$9-$E$9)),$G$9-SQRT((1-S573)*($G$9-$E$9)*($G$9-$F$9))))</f>
        <v>1.07671744120062</v>
      </c>
      <c r="F573" s="37" t="n">
        <f aca="false">1+IF($G$10=$E$10,$F$10,IF(T573&lt;($F$10-$E$10)/($G$10-$E$10),$E$10+SQRT(T573*($G$10-$E$10)*($F$10-$E$10)),$G$10-SQRT((1-T573)*($G$10-$E$10)*($G$10-$F$10))))</f>
        <v>0.998404716712883</v>
      </c>
      <c r="G573" s="38" t="n">
        <f aca="false">IF($G$11=$E$11,$F$11,IF(U573&lt;($F$11-$E$11)/($G$11-$E$11),$E$11+SQRT(U573*($G$11-$E$11)*($F$11-$E$11)),$G$11-SQRT((1-U573)*($G$11-$E$11)*($G$11-$F$11))))</f>
        <v>0.107084829020156</v>
      </c>
      <c r="H573" s="39" t="n">
        <f aca="false">(('Business Case'!B11*$C573*'Business Case'!B12*$B573)-'Business Case'!B11*$C573*'Business Case'!B13*$D573-'Business Case'!B14*$E573)-MAX(0,(('Business Case'!B11*$C573*'Business Case'!B12*$B573)-'Business Case'!B11*$C573*'Business Case'!B13*$D573-'Business Case'!B14*$E573))*'Business Case'!$B$7-'Business Case'!$B$8*('Business Case'!B11*$C573*'Business Case'!B12*$B573)-'Business Case'!B15*$F573</f>
        <v>-1996809433.42577</v>
      </c>
      <c r="I573" s="39" t="n">
        <f aca="false">(('Business Case'!C11*$C573*'Business Case'!C12*$B573)-'Business Case'!C11*$C573*'Business Case'!C13*$D573-'Business Case'!C14*$E573)-MAX(0,(('Business Case'!C11*$C573*'Business Case'!C12*$B573)-'Business Case'!C11*$C573*'Business Case'!C13*$D573-'Business Case'!C14*$E573))*'Business Case'!$B$7-'Business Case'!$B$8*(('Business Case'!C11*$C573*'Business Case'!C12*$B573)-('Business Case'!B11*$C573*'Business Case'!B12*$B573))-'Business Case'!C15*$F573</f>
        <v>38719521.3998736</v>
      </c>
      <c r="J573" s="39" t="n">
        <f aca="false">(('Business Case'!D11*$C573*'Business Case'!D12*$B573)-'Business Case'!D11*$C573*'Business Case'!D13*$D573-'Business Case'!D14*$E573)-MAX(0,(('Business Case'!D11*$C573*'Business Case'!D12*$B573)-'Business Case'!D11*$C573*'Business Case'!D13*$D573-'Business Case'!D14*$E573))*'Business Case'!$B$7-'Business Case'!$B$8*(('Business Case'!D11*$C573*'Business Case'!D12*$B573)-('Business Case'!C11*$C573*'Business Case'!C12*$B573))-'Business Case'!D15*$F573</f>
        <v>387964300.128658</v>
      </c>
      <c r="K573" s="39" t="n">
        <f aca="false">(('Business Case'!E11*$C573*'Business Case'!E12*$B573)-'Business Case'!E11*$C573*'Business Case'!E13*$D573-'Business Case'!E14*$E573)-MAX(0,(('Business Case'!E11*$C573*'Business Case'!E12*$B573)-'Business Case'!E11*$C573*'Business Case'!E13*$D573-'Business Case'!E14*$E573))*'Business Case'!$B$7-'Business Case'!$B$8*(('Business Case'!E11*$C573*'Business Case'!E12*$B573)-('Business Case'!D11*$C573*'Business Case'!D12*$B573))-'Business Case'!E15*$F573</f>
        <v>787129314.693088</v>
      </c>
      <c r="L573" s="39" t="n">
        <f aca="false">(('Business Case'!F11*$C573*'Business Case'!F12*$B573)-'Business Case'!F11*$C573*'Business Case'!F13*$D573-'Business Case'!F14*$E573)-MAX(0,(('Business Case'!F11*$C573*'Business Case'!F12*$B573)-'Business Case'!F11*$C573*'Business Case'!F13*$D573-'Business Case'!F14*$E573))*'Business Case'!$B$7-'Business Case'!$B$8*(('Business Case'!F11*$C573*'Business Case'!F12*$B573)-('Business Case'!E11*$C573*'Business Case'!E12*$B573))-'Business Case'!F15*$F573</f>
        <v>941927951.281946</v>
      </c>
      <c r="M573" s="39" t="n">
        <f aca="false">(('Business Case'!G11*$C573*'Business Case'!G12*$B573)-'Business Case'!G11*$C573*'Business Case'!G13*$D573-'Business Case'!G14*$E573)-MAX(0,(('Business Case'!G11*$C573*'Business Case'!G12*$B573)-'Business Case'!G11*$C573*'Business Case'!G13*$D573-'Business Case'!G14*$E573))*'Business Case'!$B$7-'Business Case'!$B$8*(('Business Case'!G11*$C573*'Business Case'!G12*$B573)-('Business Case'!F11*$C573*'Business Case'!F12*$B573))-'Business Case'!G15*$F573+'Business Case'!$B$8*('Business Case'!G11*$C573*'Business Case'!G12*$B573)</f>
        <v>1153038358.18456</v>
      </c>
      <c r="N573" s="39" t="n">
        <f aca="false">IF(COUNT('Business Case'!B11:G11)=0,"",H573+NPV(G573,I573:M573))</f>
        <v>255173720.073712</v>
      </c>
      <c r="P573" s="40" t="n">
        <f aca="true">RAND()</f>
        <v>0.863686033321686</v>
      </c>
      <c r="Q573" s="40" t="n">
        <f aca="true">RAND()</f>
        <v>0.94206914095372</v>
      </c>
      <c r="R573" s="40" t="n">
        <f aca="true">RAND()</f>
        <v>0.38387014793894</v>
      </c>
      <c r="S573" s="40" t="n">
        <f aca="true">RAND()</f>
        <v>0.963861497050212</v>
      </c>
      <c r="T573" s="40" t="n">
        <f aca="true">RAND()</f>
        <v>0.187441328004357</v>
      </c>
      <c r="U573" s="40" t="n">
        <f aca="true">RAND()</f>
        <v>0.721997264269003</v>
      </c>
    </row>
    <row r="574" customFormat="false" ht="15" hidden="false" customHeight="false" outlineLevel="0" collapsed="false">
      <c r="A574" s="36" t="n">
        <v>494</v>
      </c>
      <c r="B574" s="37" t="n">
        <f aca="false">1+IF($G$6=$E$6,$F$6,IF(P574&lt;($F$6-$E$6)/($G$6-$E$6),$E$6+SQRT(P574*($G$6-$E$6)*($F$6-$E$6)),$G$6-SQRT((1-P574)*($G$6-$E$6)*($G$6-$F$6))))</f>
        <v>0.991603626552513</v>
      </c>
      <c r="C574" s="37" t="n">
        <f aca="false">1+IF($G$7=$E$7,$F$7,IF(Q574&lt;($F$7-$E$7)/($G$7-$E$7),$E$7+SQRT(Q574*($G$7-$E$7)*($F$7-$E$7)),$G$7-SQRT((1-Q574)*($G$7-$E$7)*($G$7-$F$7))))</f>
        <v>0.907972882945012</v>
      </c>
      <c r="D574" s="37" t="n">
        <f aca="false">1+IF($G$8=$E$8,$F$8,IF(R574&lt;($F$8-$E$8)/($G$8-$E$8),$E$8+SQRT(R574*($G$8-$E$8)*($F$8-$E$8)),$G$8-SQRT((1-R574)*($G$8-$E$8)*($G$8-$F$8))))</f>
        <v>1.03214426229109</v>
      </c>
      <c r="E574" s="37" t="n">
        <f aca="false">1+IF($G$9=$E$9,$F$9,IF(S574&lt;($F$9-$E$9)/($G$9-$E$9),$E$9+SQRT(S574*($G$9-$E$9)*($F$9-$E$9)),$G$9-SQRT((1-S574)*($G$9-$E$9)*($G$9-$F$9))))</f>
        <v>1.06391823529124</v>
      </c>
      <c r="F574" s="37" t="n">
        <f aca="false">1+IF($G$10=$E$10,$F$10,IF(T574&lt;($F$10-$E$10)/($G$10-$E$10),$E$10+SQRT(T574*($G$10-$E$10)*($F$10-$E$10)),$G$10-SQRT((1-T574)*($G$10-$E$10)*($G$10-$F$10))))</f>
        <v>1.11585133171598</v>
      </c>
      <c r="G574" s="38" t="n">
        <f aca="false">IF($G$11=$E$11,$F$11,IF(U574&lt;($F$11-$E$11)/($G$11-$E$11),$E$11+SQRT(U574*($G$11-$E$11)*($F$11-$E$11)),$G$11-SQRT((1-U574)*($G$11-$E$11)*($G$11-$F$11))))</f>
        <v>0.102945231849178</v>
      </c>
      <c r="H574" s="39" t="n">
        <f aca="false">(('Business Case'!B11*$C574*'Business Case'!B12*$B574)-'Business Case'!B11*$C574*'Business Case'!B13*$D574-'Business Case'!B14*$E574)-MAX(0,(('Business Case'!B11*$C574*'Business Case'!B12*$B574)-'Business Case'!B11*$C574*'Business Case'!B13*$D574-'Business Case'!B14*$E574))*'Business Case'!$B$7-'Business Case'!$B$8*('Business Case'!B11*$C574*'Business Case'!B12*$B574)-'Business Case'!B15*$F574</f>
        <v>-2231702663.43196</v>
      </c>
      <c r="I574" s="39" t="n">
        <f aca="false">(('Business Case'!C11*$C574*'Business Case'!C12*$B574)-'Business Case'!C11*$C574*'Business Case'!C13*$D574-'Business Case'!C14*$E574)-MAX(0,(('Business Case'!C11*$C574*'Business Case'!C12*$B574)-'Business Case'!C11*$C574*'Business Case'!C13*$D574-'Business Case'!C14*$E574))*'Business Case'!$B$7-'Business Case'!$B$8*(('Business Case'!C11*$C574*'Business Case'!C12*$B574)-('Business Case'!B11*$C574*'Business Case'!B12*$B574))-'Business Case'!C15*$F574</f>
        <v>-51848022.1209596</v>
      </c>
      <c r="J574" s="39" t="n">
        <f aca="false">(('Business Case'!D11*$C574*'Business Case'!D12*$B574)-'Business Case'!D11*$C574*'Business Case'!D13*$D574-'Business Case'!D14*$E574)-MAX(0,(('Business Case'!D11*$C574*'Business Case'!D12*$B574)-'Business Case'!D11*$C574*'Business Case'!D13*$D574-'Business Case'!D14*$E574))*'Business Case'!$B$7-'Business Case'!$B$8*(('Business Case'!D11*$C574*'Business Case'!D12*$B574)-('Business Case'!C11*$C574*'Business Case'!C12*$B574))-'Business Case'!D15*$F574</f>
        <v>205852364.699586</v>
      </c>
      <c r="K574" s="39" t="n">
        <f aca="false">(('Business Case'!E11*$C574*'Business Case'!E12*$B574)-'Business Case'!E11*$C574*'Business Case'!E13*$D574-'Business Case'!E14*$E574)-MAX(0,(('Business Case'!E11*$C574*'Business Case'!E12*$B574)-'Business Case'!E11*$C574*'Business Case'!E13*$D574-'Business Case'!E14*$E574))*'Business Case'!$B$7-'Business Case'!$B$8*(('Business Case'!E11*$C574*'Business Case'!E12*$B574)-('Business Case'!D11*$C574*'Business Case'!D12*$B574))-'Business Case'!E15*$F574</f>
        <v>519345318.105931</v>
      </c>
      <c r="L574" s="39" t="n">
        <f aca="false">(('Business Case'!F11*$C574*'Business Case'!F12*$B574)-'Business Case'!F11*$C574*'Business Case'!F13*$D574-'Business Case'!F14*$E574)-MAX(0,(('Business Case'!F11*$C574*'Business Case'!F12*$B574)-'Business Case'!F11*$C574*'Business Case'!F13*$D574-'Business Case'!F14*$E574))*'Business Case'!$B$7-'Business Case'!$B$8*(('Business Case'!F11*$C574*'Business Case'!F12*$B574)-('Business Case'!E11*$C574*'Business Case'!E12*$B574))-'Business Case'!F15*$F574</f>
        <v>636361515.520442</v>
      </c>
      <c r="M574" s="39" t="n">
        <f aca="false">(('Business Case'!G11*$C574*'Business Case'!G12*$B574)-'Business Case'!G11*$C574*'Business Case'!G13*$D574-'Business Case'!G14*$E574)-MAX(0,(('Business Case'!G11*$C574*'Business Case'!G12*$B574)-'Business Case'!G11*$C574*'Business Case'!G13*$D574-'Business Case'!G14*$E574))*'Business Case'!$B$7-'Business Case'!$B$8*(('Business Case'!G11*$C574*'Business Case'!G12*$B574)-('Business Case'!F11*$C574*'Business Case'!F12*$B574))-'Business Case'!G15*$F574+'Business Case'!$B$8*('Business Case'!G11*$C574*'Business Case'!G12*$B574)</f>
        <v>807499892.129252</v>
      </c>
      <c r="N574" s="39" t="n">
        <f aca="false">IF(COUNT('Business Case'!B11:G11)=0,"",H574+NPV(G574,I574:M574))</f>
        <v>-797663897.505181</v>
      </c>
      <c r="P574" s="40" t="n">
        <f aca="true">RAND()</f>
        <v>0.534070764111644</v>
      </c>
      <c r="Q574" s="40" t="n">
        <f aca="true">RAND()</f>
        <v>0.16654490644939</v>
      </c>
      <c r="R574" s="40" t="n">
        <f aca="true">RAND()</f>
        <v>0.779791189263103</v>
      </c>
      <c r="S574" s="40" t="n">
        <f aca="true">RAND()</f>
        <v>0.913207083700097</v>
      </c>
      <c r="T574" s="40" t="n">
        <f aca="true">RAND()</f>
        <v>0.858380032520513</v>
      </c>
      <c r="U574" s="40" t="n">
        <f aca="true">RAND()</f>
        <v>0.515224805536176</v>
      </c>
    </row>
    <row r="575" customFormat="false" ht="15" hidden="false" customHeight="false" outlineLevel="0" collapsed="false">
      <c r="A575" s="36" t="n">
        <v>495</v>
      </c>
      <c r="B575" s="37" t="n">
        <f aca="false">1+IF($G$6=$E$6,$F$6,IF(P575&lt;($F$6-$E$6)/($G$6-$E$6),$E$6+SQRT(P575*($G$6-$E$6)*($F$6-$E$6)),$G$6-SQRT((1-P575)*($G$6-$E$6)*($G$6-$F$6))))</f>
        <v>0.980642137353538</v>
      </c>
      <c r="C575" s="37" t="n">
        <f aca="false">1+IF($G$7=$E$7,$F$7,IF(Q575&lt;($F$7-$E$7)/($G$7-$E$7),$E$7+SQRT(Q575*($G$7-$E$7)*($F$7-$E$7)),$G$7-SQRT((1-Q575)*($G$7-$E$7)*($G$7-$F$7))))</f>
        <v>1.01659800958266</v>
      </c>
      <c r="D575" s="37" t="n">
        <f aca="false">1+IF($G$8=$E$8,$F$8,IF(R575&lt;($F$8-$E$8)/($G$8-$E$8),$E$8+SQRT(R575*($G$8-$E$8)*($F$8-$E$8)),$G$8-SQRT((1-R575)*($G$8-$E$8)*($G$8-$F$8))))</f>
        <v>0.985483366958044</v>
      </c>
      <c r="E575" s="37" t="n">
        <f aca="false">1+IF($G$9=$E$9,$F$9,IF(S575&lt;($F$9-$E$9)/($G$9-$E$9),$E$9+SQRT(S575*($G$9-$E$9)*($F$9-$E$9)),$G$9-SQRT((1-S575)*($G$9-$E$9)*($G$9-$F$9))))</f>
        <v>0.984367876626345</v>
      </c>
      <c r="F575" s="37" t="n">
        <f aca="false">1+IF($G$10=$E$10,$F$10,IF(T575&lt;($F$10-$E$10)/($G$10-$E$10),$E$10+SQRT(T575*($G$10-$E$10)*($F$10-$E$10)),$G$10-SQRT((1-T575)*($G$10-$E$10)*($G$10-$F$10))))</f>
        <v>1.06570026595253</v>
      </c>
      <c r="G575" s="38" t="n">
        <f aca="false">IF($G$11=$E$11,$F$11,IF(U575&lt;($F$11-$E$11)/($G$11-$E$11),$E$11+SQRT(U575*($G$11-$E$11)*($F$11-$E$11)),$G$11-SQRT((1-U575)*($G$11-$E$11)*($G$11-$F$11))))</f>
        <v>0.115486702239189</v>
      </c>
      <c r="H575" s="39" t="n">
        <f aca="false">(('Business Case'!B11*$C575*'Business Case'!B12*$B575)-'Business Case'!B11*$C575*'Business Case'!B13*$D575-'Business Case'!B14*$E575)-MAX(0,(('Business Case'!B11*$C575*'Business Case'!B12*$B575)-'Business Case'!B11*$C575*'Business Case'!B13*$D575-'Business Case'!B14*$E575))*'Business Case'!$B$7-'Business Case'!$B$8*('Business Case'!B11*$C575*'Business Case'!B12*$B575)-'Business Case'!B15*$F575</f>
        <v>-2131400531.90505</v>
      </c>
      <c r="I575" s="39" t="n">
        <f aca="false">(('Business Case'!C11*$C575*'Business Case'!C12*$B575)-'Business Case'!C11*$C575*'Business Case'!C13*$D575-'Business Case'!C14*$E575)-MAX(0,(('Business Case'!C11*$C575*'Business Case'!C12*$B575)-'Business Case'!C11*$C575*'Business Case'!C13*$D575-'Business Case'!C14*$E575))*'Business Case'!$B$7-'Business Case'!$B$8*(('Business Case'!C11*$C575*'Business Case'!C12*$B575)-('Business Case'!B11*$C575*'Business Case'!B12*$B575))-'Business Case'!C15*$F575</f>
        <v>5458748.01371546</v>
      </c>
      <c r="J575" s="39" t="n">
        <f aca="false">(('Business Case'!D11*$C575*'Business Case'!D12*$B575)-'Business Case'!D11*$C575*'Business Case'!D13*$D575-'Business Case'!D14*$E575)-MAX(0,(('Business Case'!D11*$C575*'Business Case'!D12*$B575)-'Business Case'!D11*$C575*'Business Case'!D13*$D575-'Business Case'!D14*$E575))*'Business Case'!$B$7-'Business Case'!$B$8*(('Business Case'!D11*$C575*'Business Case'!D12*$B575)-('Business Case'!C11*$C575*'Business Case'!C12*$B575))-'Business Case'!D15*$F575</f>
        <v>309144907.600976</v>
      </c>
      <c r="K575" s="39" t="n">
        <f aca="false">(('Business Case'!E11*$C575*'Business Case'!E12*$B575)-'Business Case'!E11*$C575*'Business Case'!E13*$D575-'Business Case'!E14*$E575)-MAX(0,(('Business Case'!E11*$C575*'Business Case'!E12*$B575)-'Business Case'!E11*$C575*'Business Case'!E13*$D575-'Business Case'!E14*$E575))*'Business Case'!$B$7-'Business Case'!$B$8*(('Business Case'!E11*$C575*'Business Case'!E12*$B575)-('Business Case'!D11*$C575*'Business Case'!D12*$B575))-'Business Case'!E15*$F575</f>
        <v>666116080.485864</v>
      </c>
      <c r="L575" s="39" t="n">
        <f aca="false">(('Business Case'!F11*$C575*'Business Case'!F12*$B575)-'Business Case'!F11*$C575*'Business Case'!F13*$D575-'Business Case'!F14*$E575)-MAX(0,(('Business Case'!F11*$C575*'Business Case'!F12*$B575)-'Business Case'!F11*$C575*'Business Case'!F13*$D575-'Business Case'!F14*$E575))*'Business Case'!$B$7-'Business Case'!$B$8*(('Business Case'!F11*$C575*'Business Case'!F12*$B575)-('Business Case'!E11*$C575*'Business Case'!E12*$B575))-'Business Case'!F15*$F575</f>
        <v>801798315.629634</v>
      </c>
      <c r="M575" s="39" t="n">
        <f aca="false">(('Business Case'!G11*$C575*'Business Case'!G12*$B575)-'Business Case'!G11*$C575*'Business Case'!G13*$D575-'Business Case'!G14*$E575)-MAX(0,(('Business Case'!G11*$C575*'Business Case'!G12*$B575)-'Business Case'!G11*$C575*'Business Case'!G13*$D575-'Business Case'!G14*$E575))*'Business Case'!$B$7-'Business Case'!$B$8*(('Business Case'!G11*$C575*'Business Case'!G12*$B575)-('Business Case'!F11*$C575*'Business Case'!F12*$B575))-'Business Case'!G15*$F575+'Business Case'!$B$8*('Business Case'!G11*$C575*'Business Case'!G12*$B575)</f>
        <v>991292649.677064</v>
      </c>
      <c r="N575" s="39" t="n">
        <f aca="false">IF(COUNT('Business Case'!B11:G11)=0,"",H575+NPV(G575,I575:M575))</f>
        <v>-306341614.353253</v>
      </c>
      <c r="P575" s="40" t="n">
        <f aca="true">RAND()</f>
        <v>0.383069669042225</v>
      </c>
      <c r="Q575" s="40" t="n">
        <f aca="true">RAND()</f>
        <v>0.661026837194139</v>
      </c>
      <c r="R575" s="40" t="n">
        <f aca="true">RAND()</f>
        <v>0.193702973950646</v>
      </c>
      <c r="S575" s="40" t="n">
        <f aca="true">RAND()</f>
        <v>0.157486792507158</v>
      </c>
      <c r="T575" s="40" t="n">
        <f aca="true">RAND()</f>
        <v>0.639271628695556</v>
      </c>
      <c r="U575" s="40" t="n">
        <f aca="true">RAND()</f>
        <v>0.966050238870432</v>
      </c>
    </row>
    <row r="576" customFormat="false" ht="15" hidden="false" customHeight="false" outlineLevel="0" collapsed="false">
      <c r="A576" s="36" t="n">
        <v>496</v>
      </c>
      <c r="B576" s="37" t="n">
        <f aca="false">1+IF($G$6=$E$6,$F$6,IF(P576&lt;($F$6-$E$6)/($G$6-$E$6),$E$6+SQRT(P576*($G$6-$E$6)*($F$6-$E$6)),$G$6-SQRT((1-P576)*($G$6-$E$6)*($G$6-$F$6))))</f>
        <v>1.02687152277013</v>
      </c>
      <c r="C576" s="37" t="n">
        <f aca="false">1+IF($G$7=$E$7,$F$7,IF(Q576&lt;($F$7-$E$7)/($G$7-$E$7),$E$7+SQRT(Q576*($G$7-$E$7)*($F$7-$E$7)),$G$7-SQRT((1-Q576)*($G$7-$E$7)*($G$7-$F$7))))</f>
        <v>1.100411266002</v>
      </c>
      <c r="D576" s="37" t="n">
        <f aca="false">1+IF($G$8=$E$8,$F$8,IF(R576&lt;($F$8-$E$8)/($G$8-$E$8),$E$8+SQRT(R576*($G$8-$E$8)*($F$8-$E$8)),$G$8-SQRT((1-R576)*($G$8-$E$8)*($G$8-$F$8))))</f>
        <v>1.01585393571789</v>
      </c>
      <c r="E576" s="37" t="n">
        <f aca="false">1+IF($G$9=$E$9,$F$9,IF(S576&lt;($F$9-$E$9)/($G$9-$E$9),$E$9+SQRT(S576*($G$9-$E$9)*($F$9-$E$9)),$G$9-SQRT((1-S576)*($G$9-$E$9)*($G$9-$F$9))))</f>
        <v>1.00125434351294</v>
      </c>
      <c r="F576" s="37" t="n">
        <f aca="false">1+IF($G$10=$E$10,$F$10,IF(T576&lt;($F$10-$E$10)/($G$10-$E$10),$E$10+SQRT(T576*($G$10-$E$10)*($F$10-$E$10)),$G$10-SQRT((1-T576)*($G$10-$E$10)*($G$10-$F$10))))</f>
        <v>1.1236134509195</v>
      </c>
      <c r="G576" s="38" t="n">
        <f aca="false">IF($G$11=$E$11,$F$11,IF(U576&lt;($F$11-$E$11)/($G$11-$E$11),$E$11+SQRT(U576*($G$11-$E$11)*($F$11-$E$11)),$G$11-SQRT((1-U576)*($G$11-$E$11)*($G$11-$F$11))))</f>
        <v>0.100522016152982</v>
      </c>
      <c r="H576" s="39" t="n">
        <f aca="false">(('Business Case'!B11*$C576*'Business Case'!B12*$B576)-'Business Case'!B11*$C576*'Business Case'!B13*$D576-'Business Case'!B14*$E576)-MAX(0,(('Business Case'!B11*$C576*'Business Case'!B12*$B576)-'Business Case'!B11*$C576*'Business Case'!B13*$D576-'Business Case'!B14*$E576))*'Business Case'!$B$7-'Business Case'!$B$8*('Business Case'!B11*$C576*'Business Case'!B12*$B576)-'Business Case'!B15*$F576</f>
        <v>-2247226901.839</v>
      </c>
      <c r="I576" s="39" t="n">
        <f aca="false">(('Business Case'!C11*$C576*'Business Case'!C12*$B576)-'Business Case'!C11*$C576*'Business Case'!C13*$D576-'Business Case'!C14*$E576)-MAX(0,(('Business Case'!C11*$C576*'Business Case'!C12*$B576)-'Business Case'!C11*$C576*'Business Case'!C13*$D576-'Business Case'!C14*$E576))*'Business Case'!$B$7-'Business Case'!$B$8*(('Business Case'!C11*$C576*'Business Case'!C12*$B576)-('Business Case'!B11*$C576*'Business Case'!B12*$B576))-'Business Case'!C15*$F576</f>
        <v>39964449.4613889</v>
      </c>
      <c r="J576" s="39" t="n">
        <f aca="false">(('Business Case'!D11*$C576*'Business Case'!D12*$B576)-'Business Case'!D11*$C576*'Business Case'!D13*$D576-'Business Case'!D14*$E576)-MAX(0,(('Business Case'!D11*$C576*'Business Case'!D12*$B576)-'Business Case'!D11*$C576*'Business Case'!D13*$D576-'Business Case'!D14*$E576))*'Business Case'!$B$7-'Business Case'!$B$8*(('Business Case'!D11*$C576*'Business Case'!D12*$B576)-('Business Case'!C11*$C576*'Business Case'!C12*$B576))-'Business Case'!D15*$F576</f>
        <v>393246826.307915</v>
      </c>
      <c r="K576" s="39" t="n">
        <f aca="false">(('Business Case'!E11*$C576*'Business Case'!E12*$B576)-'Business Case'!E11*$C576*'Business Case'!E13*$D576-'Business Case'!E14*$E576)-MAX(0,(('Business Case'!E11*$C576*'Business Case'!E12*$B576)-'Business Case'!E11*$C576*'Business Case'!E13*$D576-'Business Case'!E14*$E576))*'Business Case'!$B$7-'Business Case'!$B$8*(('Business Case'!E11*$C576*'Business Case'!E12*$B576)-('Business Case'!D11*$C576*'Business Case'!D12*$B576))-'Business Case'!E15*$F576</f>
        <v>802709875.700415</v>
      </c>
      <c r="L576" s="39" t="n">
        <f aca="false">(('Business Case'!F11*$C576*'Business Case'!F12*$B576)-'Business Case'!F11*$C576*'Business Case'!F13*$D576-'Business Case'!F14*$E576)-MAX(0,(('Business Case'!F11*$C576*'Business Case'!F12*$B576)-'Business Case'!F11*$C576*'Business Case'!F13*$D576-'Business Case'!F14*$E576))*'Business Case'!$B$7-'Business Case'!$B$8*(('Business Case'!F11*$C576*'Business Case'!F12*$B576)-('Business Case'!E11*$C576*'Business Case'!E12*$B576))-'Business Case'!F15*$F576</f>
        <v>959522811.079688</v>
      </c>
      <c r="M576" s="39" t="n">
        <f aca="false">(('Business Case'!G11*$C576*'Business Case'!G12*$B576)-'Business Case'!G11*$C576*'Business Case'!G13*$D576-'Business Case'!G14*$E576)-MAX(0,(('Business Case'!G11*$C576*'Business Case'!G12*$B576)-'Business Case'!G11*$C576*'Business Case'!G13*$D576-'Business Case'!G14*$E576))*'Business Case'!$B$7-'Business Case'!$B$8*(('Business Case'!G11*$C576*'Business Case'!G12*$B576)-('Business Case'!F11*$C576*'Business Case'!F12*$B576))-'Business Case'!G15*$F576+'Business Case'!$B$8*('Business Case'!G11*$C576*'Business Case'!G12*$B576)</f>
        <v>1174309598.11373</v>
      </c>
      <c r="N576" s="39" t="n">
        <f aca="false">IF(COUNT('Business Case'!B11:G11)=0,"",H576+NPV(G576,I576:M576))</f>
        <v>97556951.9999604</v>
      </c>
      <c r="P576" s="40" t="n">
        <f aca="true">RAND()</f>
        <v>0.964092309505173</v>
      </c>
      <c r="Q576" s="40" t="n">
        <f aca="true">RAND()</f>
        <v>0.95316109448524</v>
      </c>
      <c r="R576" s="40" t="n">
        <f aca="true">RAND()</f>
        <v>0.604354080491812</v>
      </c>
      <c r="S576" s="40" t="n">
        <f aca="true">RAND()</f>
        <v>0.349953021662633</v>
      </c>
      <c r="T576" s="40" t="n">
        <f aca="true">RAND()</f>
        <v>0.88330190239145</v>
      </c>
      <c r="U576" s="40" t="n">
        <f aca="true">RAND()</f>
        <v>0.367680242092173</v>
      </c>
    </row>
    <row r="577" customFormat="false" ht="15" hidden="false" customHeight="false" outlineLevel="0" collapsed="false">
      <c r="A577" s="36" t="n">
        <v>497</v>
      </c>
      <c r="B577" s="37" t="n">
        <f aca="false">1+IF($G$6=$E$6,$F$6,IF(P577&lt;($F$6-$E$6)/($G$6-$E$6),$E$6+SQRT(P577*($G$6-$E$6)*($F$6-$E$6)),$G$6-SQRT((1-P577)*($G$6-$E$6)*($G$6-$F$6))))</f>
        <v>0.969519213998527</v>
      </c>
      <c r="C577" s="37" t="n">
        <f aca="false">1+IF($G$7=$E$7,$F$7,IF(Q577&lt;($F$7-$E$7)/($G$7-$E$7),$E$7+SQRT(Q577*($G$7-$E$7)*($F$7-$E$7)),$G$7-SQRT((1-Q577)*($G$7-$E$7)*($G$7-$F$7))))</f>
        <v>1.01825254810855</v>
      </c>
      <c r="D577" s="37" t="n">
        <f aca="false">1+IF($G$8=$E$8,$F$8,IF(R577&lt;($F$8-$E$8)/($G$8-$E$8),$E$8+SQRT(R577*($G$8-$E$8)*($F$8-$E$8)),$G$8-SQRT((1-R577)*($G$8-$E$8)*($G$8-$F$8))))</f>
        <v>1.0262553257284</v>
      </c>
      <c r="E577" s="37" t="n">
        <f aca="false">1+IF($G$9=$E$9,$F$9,IF(S577&lt;($F$9-$E$9)/($G$9-$E$9),$E$9+SQRT(S577*($G$9-$E$9)*($F$9-$E$9)),$G$9-SQRT((1-S577)*($G$9-$E$9)*($G$9-$F$9))))</f>
        <v>0.997246127681829</v>
      </c>
      <c r="F577" s="37" t="n">
        <f aca="false">1+IF($G$10=$E$10,$F$10,IF(T577&lt;($F$10-$E$10)/($G$10-$E$10),$E$10+SQRT(T577*($G$10-$E$10)*($F$10-$E$10)),$G$10-SQRT((1-T577)*($G$10-$E$10)*($G$10-$F$10))))</f>
        <v>1.05423334573209</v>
      </c>
      <c r="G577" s="38" t="n">
        <f aca="false">IF($G$11=$E$11,$F$11,IF(U577&lt;($F$11-$E$11)/($G$11-$E$11),$E$11+SQRT(U577*($G$11-$E$11)*($F$11-$E$11)),$G$11-SQRT((1-U577)*($G$11-$E$11)*($G$11-$F$11))))</f>
        <v>0.118824817051937</v>
      </c>
      <c r="H577" s="39" t="n">
        <f aca="false">(('Business Case'!B11*$C577*'Business Case'!B12*$B577)-'Business Case'!B11*$C577*'Business Case'!B13*$D577-'Business Case'!B14*$E577)-MAX(0,(('Business Case'!B11*$C577*'Business Case'!B12*$B577)-'Business Case'!B11*$C577*'Business Case'!B13*$D577-'Business Case'!B14*$E577))*'Business Case'!$B$7-'Business Case'!$B$8*('Business Case'!B11*$C577*'Business Case'!B12*$B577)-'Business Case'!B15*$F577</f>
        <v>-2108466691.46419</v>
      </c>
      <c r="I577" s="39" t="n">
        <f aca="false">(('Business Case'!C11*$C577*'Business Case'!C12*$B577)-'Business Case'!C11*$C577*'Business Case'!C13*$D577-'Business Case'!C14*$E577)-MAX(0,(('Business Case'!C11*$C577*'Business Case'!C12*$B577)-'Business Case'!C11*$C577*'Business Case'!C13*$D577-'Business Case'!C14*$E577))*'Business Case'!$B$7-'Business Case'!$B$8*(('Business Case'!C11*$C577*'Business Case'!C12*$B577)-('Business Case'!B11*$C577*'Business Case'!B12*$B577))-'Business Case'!C15*$F577</f>
        <v>-24758276.8657881</v>
      </c>
      <c r="J577" s="39" t="n">
        <f aca="false">(('Business Case'!D11*$C577*'Business Case'!D12*$B577)-'Business Case'!D11*$C577*'Business Case'!D13*$D577-'Business Case'!D14*$E577)-MAX(0,(('Business Case'!D11*$C577*'Business Case'!D12*$B577)-'Business Case'!D11*$C577*'Business Case'!D13*$D577-'Business Case'!D14*$E577))*'Business Case'!$B$7-'Business Case'!$B$8*(('Business Case'!D11*$C577*'Business Case'!D12*$B577)-('Business Case'!C11*$C577*'Business Case'!C12*$B577))-'Business Case'!D15*$F577</f>
        <v>248892427.057272</v>
      </c>
      <c r="K577" s="39" t="n">
        <f aca="false">(('Business Case'!E11*$C577*'Business Case'!E12*$B577)-'Business Case'!E11*$C577*'Business Case'!E13*$D577-'Business Case'!E14*$E577)-MAX(0,(('Business Case'!E11*$C577*'Business Case'!E12*$B577)-'Business Case'!E11*$C577*'Business Case'!E13*$D577-'Business Case'!E14*$E577))*'Business Case'!$B$7-'Business Case'!$B$8*(('Business Case'!E11*$C577*'Business Case'!E12*$B577)-('Business Case'!D11*$C577*'Business Case'!D12*$B577))-'Business Case'!E15*$F577</f>
        <v>575254798.266938</v>
      </c>
      <c r="L577" s="39" t="n">
        <f aca="false">(('Business Case'!F11*$C577*'Business Case'!F12*$B577)-'Business Case'!F11*$C577*'Business Case'!F13*$D577-'Business Case'!F14*$E577)-MAX(0,(('Business Case'!F11*$C577*'Business Case'!F12*$B577)-'Business Case'!F11*$C577*'Business Case'!F13*$D577-'Business Case'!F14*$E577))*'Business Case'!$B$7-'Business Case'!$B$8*(('Business Case'!F11*$C577*'Business Case'!F12*$B577)-('Business Case'!E11*$C577*'Business Case'!E12*$B577))-'Business Case'!F15*$F577</f>
        <v>700589864.14748</v>
      </c>
      <c r="M577" s="39" t="n">
        <f aca="false">(('Business Case'!G11*$C577*'Business Case'!G12*$B577)-'Business Case'!G11*$C577*'Business Case'!G13*$D577-'Business Case'!G14*$E577)-MAX(0,(('Business Case'!G11*$C577*'Business Case'!G12*$B577)-'Business Case'!G11*$C577*'Business Case'!G13*$D577-'Business Case'!G14*$E577))*'Business Case'!$B$7-'Business Case'!$B$8*(('Business Case'!G11*$C577*'Business Case'!G12*$B577)-('Business Case'!F11*$C577*'Business Case'!F12*$B577))-'Business Case'!G15*$F577+'Business Case'!$B$8*('Business Case'!G11*$C577*'Business Case'!G12*$B577)</f>
        <v>888239769.298185</v>
      </c>
      <c r="N577" s="39" t="n">
        <f aca="false">IF(COUNT('Business Case'!B11:G11)=0,"",H577+NPV(G577,I577:M577))</f>
        <v>-567241558.975873</v>
      </c>
      <c r="P577" s="40" t="n">
        <f aca="true">RAND()</f>
        <v>0.255432557815821</v>
      </c>
      <c r="Q577" s="40" t="n">
        <f aca="true">RAND()</f>
        <v>0.66938302704972</v>
      </c>
      <c r="R577" s="40" t="n">
        <f aca="true">RAND()</f>
        <v>0.722260575715308</v>
      </c>
      <c r="S577" s="40" t="n">
        <f aca="true">RAND()</f>
        <v>0.297626210790361</v>
      </c>
      <c r="T577" s="40" t="n">
        <f aca="true">RAND()</f>
        <v>0.575041650070807</v>
      </c>
      <c r="U577" s="40" t="n">
        <f aca="true">RAND()</f>
        <v>0.997698241730972</v>
      </c>
    </row>
    <row r="578" customFormat="false" ht="15" hidden="false" customHeight="false" outlineLevel="0" collapsed="false">
      <c r="A578" s="36" t="n">
        <v>498</v>
      </c>
      <c r="B578" s="37" t="n">
        <f aca="false">1+IF($G$6=$E$6,$F$6,IF(P578&lt;($F$6-$E$6)/($G$6-$E$6),$E$6+SQRT(P578*($G$6-$E$6)*($F$6-$E$6)),$G$6-SQRT((1-P578)*($G$6-$E$6)*($G$6-$F$6))))</f>
        <v>0.929143777592648</v>
      </c>
      <c r="C578" s="37" t="n">
        <f aca="false">1+IF($G$7=$E$7,$F$7,IF(Q578&lt;($F$7-$E$7)/($G$7-$E$7),$E$7+SQRT(Q578*($G$7-$E$7)*($F$7-$E$7)),$G$7-SQRT((1-Q578)*($G$7-$E$7)*($G$7-$F$7))))</f>
        <v>0.981960223353351</v>
      </c>
      <c r="D578" s="37" t="n">
        <f aca="false">1+IF($G$8=$E$8,$F$8,IF(R578&lt;($F$8-$E$8)/($G$8-$E$8),$E$8+SQRT(R578*($G$8-$E$8)*($F$8-$E$8)),$G$8-SQRT((1-R578)*($G$8-$E$8)*($G$8-$F$8))))</f>
        <v>1.01583937387612</v>
      </c>
      <c r="E578" s="37" t="n">
        <f aca="false">1+IF($G$9=$E$9,$F$9,IF(S578&lt;($F$9-$E$9)/($G$9-$E$9),$E$9+SQRT(S578*($G$9-$E$9)*($F$9-$E$9)),$G$9-SQRT((1-S578)*($G$9-$E$9)*($G$9-$F$9))))</f>
        <v>1.05448008316589</v>
      </c>
      <c r="F578" s="37" t="n">
        <f aca="false">1+IF($G$10=$E$10,$F$10,IF(T578&lt;($F$10-$E$10)/($G$10-$E$10),$E$10+SQRT(T578*($G$10-$E$10)*($F$10-$E$10)),$G$10-SQRT((1-T578)*($G$10-$E$10)*($G$10-$F$10))))</f>
        <v>0.987425750878572</v>
      </c>
      <c r="G578" s="38" t="n">
        <f aca="false">IF($G$11=$E$11,$F$11,IF(U578&lt;($F$11-$E$11)/($G$11-$E$11),$E$11+SQRT(U578*($G$11-$E$11)*($F$11-$E$11)),$G$11-SQRT((1-U578)*($G$11-$E$11)*($G$11-$F$11))))</f>
        <v>0.103489835220659</v>
      </c>
      <c r="H578" s="39" t="n">
        <f aca="false">(('Business Case'!B11*$C578*'Business Case'!B12*$B578)-'Business Case'!B11*$C578*'Business Case'!B13*$D578-'Business Case'!B14*$E578)-MAX(0,(('Business Case'!B11*$C578*'Business Case'!B12*$B578)-'Business Case'!B11*$C578*'Business Case'!B13*$D578-'Business Case'!B14*$E578))*'Business Case'!$B$7-'Business Case'!$B$8*('Business Case'!B11*$C578*'Business Case'!B12*$B578)-'Business Case'!B15*$F578</f>
        <v>-1974851501.75714</v>
      </c>
      <c r="I578" s="39" t="n">
        <f aca="false">(('Business Case'!C11*$C578*'Business Case'!C12*$B578)-'Business Case'!C11*$C578*'Business Case'!C13*$D578-'Business Case'!C14*$E578)-MAX(0,(('Business Case'!C11*$C578*'Business Case'!C12*$B578)-'Business Case'!C11*$C578*'Business Case'!C13*$D578-'Business Case'!C14*$E578))*'Business Case'!$B$7-'Business Case'!$B$8*(('Business Case'!C11*$C578*'Business Case'!C12*$B578)-('Business Case'!B11*$C578*'Business Case'!B12*$B578))-'Business Case'!C15*$F578</f>
        <v>-59328093.197987</v>
      </c>
      <c r="J578" s="39" t="n">
        <f aca="false">(('Business Case'!D11*$C578*'Business Case'!D12*$B578)-'Business Case'!D11*$C578*'Business Case'!D13*$D578-'Business Case'!D14*$E578)-MAX(0,(('Business Case'!D11*$C578*'Business Case'!D12*$B578)-'Business Case'!D11*$C578*'Business Case'!D13*$D578-'Business Case'!D14*$E578))*'Business Case'!$B$7-'Business Case'!$B$8*(('Business Case'!D11*$C578*'Business Case'!D12*$B578)-('Business Case'!C11*$C578*'Business Case'!C12*$B578))-'Business Case'!D15*$F578</f>
        <v>177331351.39241</v>
      </c>
      <c r="K578" s="39" t="n">
        <f aca="false">(('Business Case'!E11*$C578*'Business Case'!E12*$B578)-'Business Case'!E11*$C578*'Business Case'!E13*$D578-'Business Case'!E14*$E578)-MAX(0,(('Business Case'!E11*$C578*'Business Case'!E12*$B578)-'Business Case'!E11*$C578*'Business Case'!E13*$D578-'Business Case'!E14*$E578))*'Business Case'!$B$7-'Business Case'!$B$8*(('Business Case'!E11*$C578*'Business Case'!E12*$B578)-('Business Case'!D11*$C578*'Business Case'!D12*$B578))-'Business Case'!E15*$F578</f>
        <v>463362083.526736</v>
      </c>
      <c r="L578" s="39" t="n">
        <f aca="false">(('Business Case'!F11*$C578*'Business Case'!F12*$B578)-'Business Case'!F11*$C578*'Business Case'!F13*$D578-'Business Case'!F14*$E578)-MAX(0,(('Business Case'!F11*$C578*'Business Case'!F12*$B578)-'Business Case'!F11*$C578*'Business Case'!F13*$D578-'Business Case'!F14*$E578))*'Business Case'!$B$7-'Business Case'!$B$8*(('Business Case'!F11*$C578*'Business Case'!F12*$B578)-('Business Case'!E11*$C578*'Business Case'!E12*$B578))-'Business Case'!F15*$F578</f>
        <v>573780494.973094</v>
      </c>
      <c r="M578" s="39" t="n">
        <f aca="false">(('Business Case'!G11*$C578*'Business Case'!G12*$B578)-'Business Case'!G11*$C578*'Business Case'!G13*$D578-'Business Case'!G14*$E578)-MAX(0,(('Business Case'!G11*$C578*'Business Case'!G12*$B578)-'Business Case'!G11*$C578*'Business Case'!G13*$D578-'Business Case'!G14*$E578))*'Business Case'!$B$7-'Business Case'!$B$8*(('Business Case'!G11*$C578*'Business Case'!G12*$B578)-('Business Case'!F11*$C578*'Business Case'!F12*$B578))-'Business Case'!G15*$F578+'Business Case'!$B$8*('Business Case'!G11*$C578*'Business Case'!G12*$B578)</f>
        <v>747206109.512332</v>
      </c>
      <c r="N578" s="39" t="n">
        <f aca="false">IF(COUNT('Business Case'!B11:G11)=0,"",H578+NPV(G578,I578:M578))</f>
        <v>-694516223.879464</v>
      </c>
      <c r="P578" s="40" t="n">
        <f aca="true">RAND()</f>
        <v>0.00870923631914741</v>
      </c>
      <c r="Q578" s="40" t="n">
        <f aca="true">RAND()</f>
        <v>0.472993184040018</v>
      </c>
      <c r="R578" s="40" t="n">
        <f aca="true">RAND()</f>
        <v>0.60417442840309</v>
      </c>
      <c r="S578" s="40" t="n">
        <f aca="true">RAND()</f>
        <v>0.861862478094388</v>
      </c>
      <c r="T578" s="40" t="n">
        <f aca="true">RAND()</f>
        <v>0.112054946305994</v>
      </c>
      <c r="U578" s="40" t="n">
        <f aca="true">RAND()</f>
        <v>0.545690764931654</v>
      </c>
    </row>
    <row r="579" customFormat="false" ht="15" hidden="false" customHeight="false" outlineLevel="0" collapsed="false">
      <c r="A579" s="36" t="n">
        <v>499</v>
      </c>
      <c r="B579" s="37" t="n">
        <f aca="false">1+IF($G$6=$E$6,$F$6,IF(P579&lt;($F$6-$E$6)/($G$6-$E$6),$E$6+SQRT(P579*($G$6-$E$6)*($F$6-$E$6)),$G$6-SQRT((1-P579)*($G$6-$E$6)*($G$6-$F$6))))</f>
        <v>0.950942524432197</v>
      </c>
      <c r="C579" s="37" t="n">
        <f aca="false">1+IF($G$7=$E$7,$F$7,IF(Q579&lt;($F$7-$E$7)/($G$7-$E$7),$E$7+SQRT(Q579*($G$7-$E$7)*($F$7-$E$7)),$G$7-SQRT((1-Q579)*($G$7-$E$7)*($G$7-$F$7))))</f>
        <v>1.01002619738474</v>
      </c>
      <c r="D579" s="37" t="n">
        <f aca="false">1+IF($G$8=$E$8,$F$8,IF(R579&lt;($F$8-$E$8)/($G$8-$E$8),$E$8+SQRT(R579*($G$8-$E$8)*($F$8-$E$8)),$G$8-SQRT((1-R579)*($G$8-$E$8)*($G$8-$F$8))))</f>
        <v>1.0074817271734</v>
      </c>
      <c r="E579" s="37" t="n">
        <f aca="false">1+IF($G$9=$E$9,$F$9,IF(S579&lt;($F$9-$E$9)/($G$9-$E$9),$E$9+SQRT(S579*($G$9-$E$9)*($F$9-$E$9)),$G$9-SQRT((1-S579)*($G$9-$E$9)*($G$9-$F$9))))</f>
        <v>1.0237098195465</v>
      </c>
      <c r="F579" s="37" t="n">
        <f aca="false">1+IF($G$10=$E$10,$F$10,IF(T579&lt;($F$10-$E$10)/($G$10-$E$10),$E$10+SQRT(T579*($G$10-$E$10)*($F$10-$E$10)),$G$10-SQRT((1-T579)*($G$10-$E$10)*($G$10-$F$10))))</f>
        <v>1.03530656666005</v>
      </c>
      <c r="G579" s="38" t="n">
        <f aca="false">IF($G$11=$E$11,$F$11,IF(U579&lt;($F$11-$E$11)/($G$11-$E$11),$E$11+SQRT(U579*($G$11-$E$11)*($F$11-$E$11)),$G$11-SQRT((1-U579)*($G$11-$E$11)*($G$11-$F$11))))</f>
        <v>0.107303311053532</v>
      </c>
      <c r="H579" s="39" t="n">
        <f aca="false">(('Business Case'!B11*$C579*'Business Case'!B12*$B579)-'Business Case'!B11*$C579*'Business Case'!B13*$D579-'Business Case'!B14*$E579)-MAX(0,(('Business Case'!B11*$C579*'Business Case'!B12*$B579)-'Business Case'!B11*$C579*'Business Case'!B13*$D579-'Business Case'!B14*$E579))*'Business Case'!$B$7-'Business Case'!$B$8*('Business Case'!B11*$C579*'Business Case'!B12*$B579)-'Business Case'!B15*$F579</f>
        <v>-2070613133.32009</v>
      </c>
      <c r="I579" s="39" t="n">
        <f aca="false">(('Business Case'!C11*$C579*'Business Case'!C12*$B579)-'Business Case'!C11*$C579*'Business Case'!C13*$D579-'Business Case'!C14*$E579)-MAX(0,(('Business Case'!C11*$C579*'Business Case'!C12*$B579)-'Business Case'!C11*$C579*'Business Case'!C13*$D579-'Business Case'!C14*$E579))*'Business Case'!$B$7-'Business Case'!$B$8*(('Business Case'!C11*$C579*'Business Case'!C12*$B579)-('Business Case'!B11*$C579*'Business Case'!B12*$B579))-'Business Case'!C15*$F579</f>
        <v>-33114666.8434954</v>
      </c>
      <c r="J579" s="39" t="n">
        <f aca="false">(('Business Case'!D11*$C579*'Business Case'!D12*$B579)-'Business Case'!D11*$C579*'Business Case'!D13*$D579-'Business Case'!D14*$E579)-MAX(0,(('Business Case'!D11*$C579*'Business Case'!D12*$B579)-'Business Case'!D11*$C579*'Business Case'!D13*$D579-'Business Case'!D14*$E579))*'Business Case'!$B$7-'Business Case'!$B$8*(('Business Case'!D11*$C579*'Business Case'!D12*$B579)-('Business Case'!C11*$C579*'Business Case'!C12*$B579))-'Business Case'!D15*$F579</f>
        <v>232663979.838577</v>
      </c>
      <c r="K579" s="39" t="n">
        <f aca="false">(('Business Case'!E11*$C579*'Business Case'!E12*$B579)-'Business Case'!E11*$C579*'Business Case'!E13*$D579-'Business Case'!E14*$E579)-MAX(0,(('Business Case'!E11*$C579*'Business Case'!E12*$B579)-'Business Case'!E11*$C579*'Business Case'!E13*$D579-'Business Case'!E14*$E579))*'Business Case'!$B$7-'Business Case'!$B$8*(('Business Case'!E11*$C579*'Business Case'!E12*$B579)-('Business Case'!D11*$C579*'Business Case'!D12*$B579))-'Business Case'!E15*$F579</f>
        <v>550207954.853651</v>
      </c>
      <c r="L579" s="39" t="n">
        <f aca="false">(('Business Case'!F11*$C579*'Business Case'!F12*$B579)-'Business Case'!F11*$C579*'Business Case'!F13*$D579-'Business Case'!F14*$E579)-MAX(0,(('Business Case'!F11*$C579*'Business Case'!F12*$B579)-'Business Case'!F11*$C579*'Business Case'!F13*$D579-'Business Case'!F14*$E579))*'Business Case'!$B$7-'Business Case'!$B$8*(('Business Case'!F11*$C579*'Business Case'!F12*$B579)-('Business Case'!E11*$C579*'Business Case'!E12*$B579))-'Business Case'!F15*$F579</f>
        <v>671994917.427709</v>
      </c>
      <c r="M579" s="39" t="n">
        <f aca="false">(('Business Case'!G11*$C579*'Business Case'!G12*$B579)-'Business Case'!G11*$C579*'Business Case'!G13*$D579-'Business Case'!G14*$E579)-MAX(0,(('Business Case'!G11*$C579*'Business Case'!G12*$B579)-'Business Case'!G11*$C579*'Business Case'!G13*$D579-'Business Case'!G14*$E579))*'Business Case'!$B$7-'Business Case'!$B$8*(('Business Case'!G11*$C579*'Business Case'!G12*$B579)-('Business Case'!F11*$C579*'Business Case'!F12*$B579))-'Business Case'!G15*$F579+'Business Case'!$B$8*('Business Case'!G11*$C579*'Business Case'!G12*$B579)</f>
        <v>854562359.334562</v>
      </c>
      <c r="N579" s="39" t="n">
        <f aca="false">IF(COUNT('Business Case'!B11:G11)=0,"",H579+NPV(G579,I579:M579))</f>
        <v>-545170323.727816</v>
      </c>
      <c r="P579" s="40" t="n">
        <f aca="true">RAND()</f>
        <v>0.0997333143996973</v>
      </c>
      <c r="Q579" s="40" t="n">
        <f aca="true">RAND()</f>
        <v>0.626806372979514</v>
      </c>
      <c r="R579" s="40" t="n">
        <f aca="true">RAND()</f>
        <v>0.494336548677574</v>
      </c>
      <c r="S579" s="40" t="n">
        <f aca="true">RAND()</f>
        <v>0.611987224424796</v>
      </c>
      <c r="T579" s="40" t="n">
        <f aca="true">RAND()</f>
        <v>0.45752146029396</v>
      </c>
      <c r="U579" s="40" t="n">
        <f aca="true">RAND()</f>
        <v>0.73132348299439</v>
      </c>
    </row>
    <row r="580" customFormat="false" ht="15" hidden="false" customHeight="false" outlineLevel="0" collapsed="false">
      <c r="A580" s="36" t="n">
        <v>500</v>
      </c>
      <c r="B580" s="37" t="n">
        <f aca="false">1+IF($G$6=$E$6,$F$6,IF(P580&lt;($F$6-$E$6)/($G$6-$E$6),$E$6+SQRT(P580*($G$6-$E$6)*($F$6-$E$6)),$G$6-SQRT((1-P580)*($G$6-$E$6)*($G$6-$F$6))))</f>
        <v>0.955691894422823</v>
      </c>
      <c r="C580" s="37" t="n">
        <f aca="false">1+IF($G$7=$E$7,$F$7,IF(Q580&lt;($F$7-$E$7)/($G$7-$E$7),$E$7+SQRT(Q580*($G$7-$E$7)*($F$7-$E$7)),$G$7-SQRT((1-Q580)*($G$7-$E$7)*($G$7-$F$7))))</f>
        <v>0.939873005473877</v>
      </c>
      <c r="D580" s="37" t="n">
        <f aca="false">1+IF($G$8=$E$8,$F$8,IF(R580&lt;($F$8-$E$8)/($G$8-$E$8),$E$8+SQRT(R580*($G$8-$E$8)*($F$8-$E$8)),$G$8-SQRT((1-R580)*($G$8-$E$8)*($G$8-$F$8))))</f>
        <v>1.02005363927485</v>
      </c>
      <c r="E580" s="37" t="n">
        <f aca="false">1+IF($G$9=$E$9,$F$9,IF(S580&lt;($F$9-$E$9)/($G$9-$E$9),$E$9+SQRT(S580*($G$9-$E$9)*($F$9-$E$9)),$G$9-SQRT((1-S580)*($G$9-$E$9)*($G$9-$F$9))))</f>
        <v>1.05296244059905</v>
      </c>
      <c r="F580" s="37" t="n">
        <f aca="false">1+IF($G$10=$E$10,$F$10,IF(T580&lt;($F$10-$E$10)/($G$10-$E$10),$E$10+SQRT(T580*($G$10-$E$10)*($F$10-$E$10)),$G$10-SQRT((1-T580)*($G$10-$E$10)*($G$10-$F$10))))</f>
        <v>1.02859232438292</v>
      </c>
      <c r="G580" s="38" t="n">
        <f aca="false">IF($G$11=$E$11,$F$11,IF(U580&lt;($F$11-$E$11)/($G$11-$E$11),$E$11+SQRT(U580*($G$11-$E$11)*($F$11-$E$11)),$G$11-SQRT((1-U580)*($G$11-$E$11)*($G$11-$F$11))))</f>
        <v>0.100837118095333</v>
      </c>
      <c r="H580" s="39" t="n">
        <f aca="false">(('Business Case'!B11*$C580*'Business Case'!B12*$B580)-'Business Case'!B11*$C580*'Business Case'!B13*$D580-'Business Case'!B14*$E580)-MAX(0,(('Business Case'!B11*$C580*'Business Case'!B12*$B580)-'Business Case'!B11*$C580*'Business Case'!B13*$D580-'Business Case'!B14*$E580))*'Business Case'!$B$7-'Business Case'!$B$8*('Business Case'!B11*$C580*'Business Case'!B12*$B580)-'Business Case'!B15*$F580</f>
        <v>-2057184648.76584</v>
      </c>
      <c r="I580" s="39" t="n">
        <f aca="false">(('Business Case'!C11*$C580*'Business Case'!C12*$B580)-'Business Case'!C11*$C580*'Business Case'!C13*$D580-'Business Case'!C14*$E580)-MAX(0,(('Business Case'!C11*$C580*'Business Case'!C12*$B580)-'Business Case'!C11*$C580*'Business Case'!C13*$D580-'Business Case'!C14*$E580))*'Business Case'!$B$7-'Business Case'!$B$8*(('Business Case'!C11*$C580*'Business Case'!C12*$B580)-('Business Case'!B11*$C580*'Business Case'!B12*$B580))-'Business Case'!C15*$F580</f>
        <v>-54228842.0295845</v>
      </c>
      <c r="J580" s="39" t="n">
        <f aca="false">(('Business Case'!D11*$C580*'Business Case'!D12*$B580)-'Business Case'!D11*$C580*'Business Case'!D13*$D580-'Business Case'!D14*$E580)-MAX(0,(('Business Case'!D11*$C580*'Business Case'!D12*$B580)-'Business Case'!D11*$C580*'Business Case'!D13*$D580-'Business Case'!D14*$E580))*'Business Case'!$B$7-'Business Case'!$B$8*(('Business Case'!D11*$C580*'Business Case'!D12*$B580)-('Business Case'!C11*$C580*'Business Case'!C12*$B580))-'Business Case'!D15*$F580</f>
        <v>190696999.472356</v>
      </c>
      <c r="K580" s="39" t="n">
        <f aca="false">(('Business Case'!E11*$C580*'Business Case'!E12*$B580)-'Business Case'!E11*$C580*'Business Case'!E13*$D580-'Business Case'!E14*$E580)-MAX(0,(('Business Case'!E11*$C580*'Business Case'!E12*$B580)-'Business Case'!E11*$C580*'Business Case'!E13*$D580-'Business Case'!E14*$E580))*'Business Case'!$B$7-'Business Case'!$B$8*(('Business Case'!E11*$C580*'Business Case'!E12*$B580)-('Business Case'!D11*$C580*'Business Case'!D12*$B580))-'Business Case'!E15*$F580</f>
        <v>487052457.193442</v>
      </c>
      <c r="L580" s="39" t="n">
        <f aca="false">(('Business Case'!F11*$C580*'Business Case'!F12*$B580)-'Business Case'!F11*$C580*'Business Case'!F13*$D580-'Business Case'!F14*$E580)-MAX(0,(('Business Case'!F11*$C580*'Business Case'!F12*$B580)-'Business Case'!F11*$C580*'Business Case'!F13*$D580-'Business Case'!F14*$E580))*'Business Case'!$B$7-'Business Case'!$B$8*(('Business Case'!F11*$C580*'Business Case'!F12*$B580)-('Business Case'!E11*$C580*'Business Case'!E12*$B580))-'Business Case'!F15*$F580</f>
        <v>599737199.05412</v>
      </c>
      <c r="M580" s="39" t="n">
        <f aca="false">(('Business Case'!G11*$C580*'Business Case'!G12*$B580)-'Business Case'!G11*$C580*'Business Case'!G13*$D580-'Business Case'!G14*$E580)-MAX(0,(('Business Case'!G11*$C580*'Business Case'!G12*$B580)-'Business Case'!G11*$C580*'Business Case'!G13*$D580-'Business Case'!G14*$E580))*'Business Case'!$B$7-'Business Case'!$B$8*(('Business Case'!G11*$C580*'Business Case'!G12*$B580)-('Business Case'!F11*$C580*'Business Case'!F12*$B580))-'Business Case'!G15*$F580+'Business Case'!$B$8*('Business Case'!G11*$C580*'Business Case'!G12*$B580)</f>
        <v>770472569.867628</v>
      </c>
      <c r="N580" s="39" t="n">
        <f aca="false">IF(COUNT('Business Case'!B11:G11)=0,"",H580+NPV(G580,I580:M580))</f>
        <v>-699018684.203827</v>
      </c>
      <c r="P580" s="40" t="n">
        <f aca="true">RAND()</f>
        <v>0.132699096613533</v>
      </c>
      <c r="Q580" s="40" t="n">
        <f aca="true">RAND()</f>
        <v>0.279492252289934</v>
      </c>
      <c r="R580" s="40" t="n">
        <f aca="true">RAND()</f>
        <v>0.654464791904809</v>
      </c>
      <c r="S580" s="40" t="n">
        <f aca="true">RAND()</f>
        <v>0.852497867040144</v>
      </c>
      <c r="T580" s="40" t="n">
        <f aca="true">RAND()</f>
        <v>0.412388174790996</v>
      </c>
      <c r="U580" s="40" t="n">
        <f aca="true">RAND()</f>
        <v>0.387973261846289</v>
      </c>
    </row>
    <row r="581" customFormat="false" ht="15" hidden="false" customHeight="false" outlineLevel="0" collapsed="false">
      <c r="A581" s="36" t="n">
        <v>501</v>
      </c>
      <c r="B581" s="37" t="n">
        <f aca="false">1+IF($G$6=$E$6,$F$6,IF(P581&lt;($F$6-$E$6)/($G$6-$E$6),$E$6+SQRT(P581*($G$6-$E$6)*($F$6-$E$6)),$G$6-SQRT((1-P581)*($G$6-$E$6)*($G$6-$F$6))))</f>
        <v>0.987978869019017</v>
      </c>
      <c r="C581" s="37" t="n">
        <f aca="false">1+IF($G$7=$E$7,$F$7,IF(Q581&lt;($F$7-$E$7)/($G$7-$E$7),$E$7+SQRT(Q581*($G$7-$E$7)*($F$7-$E$7)),$G$7-SQRT((1-Q581)*($G$7-$E$7)*($G$7-$F$7))))</f>
        <v>0.979780663124527</v>
      </c>
      <c r="D581" s="37" t="n">
        <f aca="false">1+IF($G$8=$E$8,$F$8,IF(R581&lt;($F$8-$E$8)/($G$8-$E$8),$E$8+SQRT(R581*($G$8-$E$8)*($F$8-$E$8)),$G$8-SQRT((1-R581)*($G$8-$E$8)*($G$8-$F$8))))</f>
        <v>0.980037175724119</v>
      </c>
      <c r="E581" s="37" t="n">
        <f aca="false">1+IF($G$9=$E$9,$F$9,IF(S581&lt;($F$9-$E$9)/($G$9-$E$9),$E$9+SQRT(S581*($G$9-$E$9)*($F$9-$E$9)),$G$9-SQRT((1-S581)*($G$9-$E$9)*($G$9-$F$9))))</f>
        <v>0.965726068873841</v>
      </c>
      <c r="F581" s="37" t="n">
        <f aca="false">1+IF($G$10=$E$10,$F$10,IF(T581&lt;($F$10-$E$10)/($G$10-$E$10),$E$10+SQRT(T581*($G$10-$E$10)*($F$10-$E$10)),$G$10-SQRT((1-T581)*($G$10-$E$10)*($G$10-$F$10))))</f>
        <v>1.11042495744748</v>
      </c>
      <c r="G581" s="38" t="n">
        <f aca="false">IF($G$11=$E$11,$F$11,IF(U581&lt;($F$11-$E$11)/($G$11-$E$11),$E$11+SQRT(U581*($G$11-$E$11)*($F$11-$E$11)),$G$11-SQRT((1-U581)*($G$11-$E$11)*($G$11-$F$11))))</f>
        <v>0.094782521196442</v>
      </c>
      <c r="H581" s="39" t="n">
        <f aca="false">(('Business Case'!B11*$C581*'Business Case'!B12*$B581)-'Business Case'!B11*$C581*'Business Case'!B13*$D581-'Business Case'!B14*$E581)-MAX(0,(('Business Case'!B11*$C581*'Business Case'!B12*$B581)-'Business Case'!B11*$C581*'Business Case'!B13*$D581-'Business Case'!B14*$E581))*'Business Case'!$B$7-'Business Case'!$B$8*('Business Case'!B11*$C581*'Business Case'!B12*$B581)-'Business Case'!B15*$F581</f>
        <v>-2220849914.89496</v>
      </c>
      <c r="I581" s="39" t="n">
        <f aca="false">(('Business Case'!C11*$C581*'Business Case'!C12*$B581)-'Business Case'!C11*$C581*'Business Case'!C13*$D581-'Business Case'!C14*$E581)-MAX(0,(('Business Case'!C11*$C581*'Business Case'!C12*$B581)-'Business Case'!C11*$C581*'Business Case'!C13*$D581-'Business Case'!C14*$E581))*'Business Case'!$B$7-'Business Case'!$B$8*(('Business Case'!C11*$C581*'Business Case'!C12*$B581)-('Business Case'!B11*$C581*'Business Case'!B12*$B581))-'Business Case'!C15*$F581</f>
        <v>2757244.56951737</v>
      </c>
      <c r="J581" s="39" t="n">
        <f aca="false">(('Business Case'!D11*$C581*'Business Case'!D12*$B581)-'Business Case'!D11*$C581*'Business Case'!D13*$D581-'Business Case'!D14*$E581)-MAX(0,(('Business Case'!D11*$C581*'Business Case'!D12*$B581)-'Business Case'!D11*$C581*'Business Case'!D13*$D581-'Business Case'!D14*$E581))*'Business Case'!$B$7-'Business Case'!$B$8*(('Business Case'!D11*$C581*'Business Case'!D12*$B581)-('Business Case'!C11*$C581*'Business Case'!C12*$B581))-'Business Case'!D15*$F581</f>
        <v>304064486.217917</v>
      </c>
      <c r="K581" s="39" t="n">
        <f aca="false">(('Business Case'!E11*$C581*'Business Case'!E12*$B581)-'Business Case'!E11*$C581*'Business Case'!E13*$D581-'Business Case'!E14*$E581)-MAX(0,(('Business Case'!E11*$C581*'Business Case'!E12*$B581)-'Business Case'!E11*$C581*'Business Case'!E13*$D581-'Business Case'!E14*$E581))*'Business Case'!$B$7-'Business Case'!$B$8*(('Business Case'!E11*$C581*'Business Case'!E12*$B581)-('Business Case'!D11*$C581*'Business Case'!D12*$B581))-'Business Case'!E15*$F581</f>
        <v>660892975.73869</v>
      </c>
      <c r="L581" s="39" t="n">
        <f aca="false">(('Business Case'!F11*$C581*'Business Case'!F12*$B581)-'Business Case'!F11*$C581*'Business Case'!F13*$D581-'Business Case'!F14*$E581)-MAX(0,(('Business Case'!F11*$C581*'Business Case'!F12*$B581)-'Business Case'!F11*$C581*'Business Case'!F13*$D581-'Business Case'!F14*$E581))*'Business Case'!$B$7-'Business Case'!$B$8*(('Business Case'!F11*$C581*'Business Case'!F12*$B581)-('Business Case'!E11*$C581*'Business Case'!E12*$B581))-'Business Case'!F15*$F581</f>
        <v>794782892.515006</v>
      </c>
      <c r="M581" s="39" t="n">
        <f aca="false">(('Business Case'!G11*$C581*'Business Case'!G12*$B581)-'Business Case'!G11*$C581*'Business Case'!G13*$D581-'Business Case'!G14*$E581)-MAX(0,(('Business Case'!G11*$C581*'Business Case'!G12*$B581)-'Business Case'!G11*$C581*'Business Case'!G13*$D581-'Business Case'!G14*$E581))*'Business Case'!$B$7-'Business Case'!$B$8*(('Business Case'!G11*$C581*'Business Case'!G12*$B581)-('Business Case'!F11*$C581*'Business Case'!F12*$B581))-'Business Case'!G15*$F581+'Business Case'!$B$8*('Business Case'!G11*$C581*'Business Case'!G12*$B581)</f>
        <v>978780825.096011</v>
      </c>
      <c r="N581" s="39" t="n">
        <f aca="false">IF(COUNT('Business Case'!B11:G11)=0,"",H581+NPV(G581,I581:M581))</f>
        <v>-285329363.729554</v>
      </c>
      <c r="P581" s="40" t="n">
        <f aca="true">RAND()</f>
        <v>0.481367357615077</v>
      </c>
      <c r="Q581" s="40" t="n">
        <f aca="true">RAND()</f>
        <v>0.461729811907064</v>
      </c>
      <c r="R581" s="40" t="n">
        <f aca="true">RAND()</f>
        <v>0.138804911612555</v>
      </c>
      <c r="S581" s="40" t="n">
        <f aca="true">RAND()</f>
        <v>0.0329745656299732</v>
      </c>
      <c r="T581" s="40" t="n">
        <f aca="true">RAND()</f>
        <v>0.839526235034277</v>
      </c>
      <c r="U581" s="40" t="n">
        <f aca="true">RAND()</f>
        <v>0.0762416966480556</v>
      </c>
    </row>
    <row r="582" customFormat="false" ht="15" hidden="false" customHeight="false" outlineLevel="0" collapsed="false">
      <c r="A582" s="36" t="n">
        <v>502</v>
      </c>
      <c r="B582" s="37" t="n">
        <f aca="false">1+IF($G$6=$E$6,$F$6,IF(P582&lt;($F$6-$E$6)/($G$6-$E$6),$E$6+SQRT(P582*($G$6-$E$6)*($F$6-$E$6)),$G$6-SQRT((1-P582)*($G$6-$E$6)*($G$6-$F$6))))</f>
        <v>0.928552710266367</v>
      </c>
      <c r="C582" s="37" t="n">
        <f aca="false">1+IF($G$7=$E$7,$F$7,IF(Q582&lt;($F$7-$E$7)/($G$7-$E$7),$E$7+SQRT(Q582*($G$7-$E$7)*($F$7-$E$7)),$G$7-SQRT((1-Q582)*($G$7-$E$7)*($G$7-$F$7))))</f>
        <v>0.93482119746986</v>
      </c>
      <c r="D582" s="37" t="n">
        <f aca="false">1+IF($G$8=$E$8,$F$8,IF(R582&lt;($F$8-$E$8)/($G$8-$E$8),$E$8+SQRT(R582*($G$8-$E$8)*($F$8-$E$8)),$G$8-SQRT((1-R582)*($G$8-$E$8)*($G$8-$F$8))))</f>
        <v>0.976613039191105</v>
      </c>
      <c r="E582" s="37" t="n">
        <f aca="false">1+IF($G$9=$E$9,$F$9,IF(S582&lt;($F$9-$E$9)/($G$9-$E$9),$E$9+SQRT(S582*($G$9-$E$9)*($F$9-$E$9)),$G$9-SQRT((1-S582)*($G$9-$E$9)*($G$9-$F$9))))</f>
        <v>1.0151681721963</v>
      </c>
      <c r="F582" s="37" t="n">
        <f aca="false">1+IF($G$10=$E$10,$F$10,IF(T582&lt;($F$10-$E$10)/($G$10-$E$10),$E$10+SQRT(T582*($G$10-$E$10)*($F$10-$E$10)),$G$10-SQRT((1-T582)*($G$10-$E$10)*($G$10-$F$10))))</f>
        <v>1.02272923445287</v>
      </c>
      <c r="G582" s="38" t="n">
        <f aca="false">IF($G$11=$E$11,$F$11,IF(U582&lt;($F$11-$E$11)/($G$11-$E$11),$E$11+SQRT(U582*($G$11-$E$11)*($F$11-$E$11)),$G$11-SQRT((1-U582)*($G$11-$E$11)*($G$11-$F$11))))</f>
        <v>0.104089464245627</v>
      </c>
      <c r="H582" s="39" t="n">
        <f aca="false">(('Business Case'!B11*$C582*'Business Case'!B12*$B582)-'Business Case'!B11*$C582*'Business Case'!B13*$D582-'Business Case'!B14*$E582)-MAX(0,(('Business Case'!B11*$C582*'Business Case'!B12*$B582)-'Business Case'!B11*$C582*'Business Case'!B13*$D582-'Business Case'!B14*$E582))*'Business Case'!$B$7-'Business Case'!$B$8*('Business Case'!B11*$C582*'Business Case'!B12*$B582)-'Business Case'!B15*$F582</f>
        <v>-2045458468.90575</v>
      </c>
      <c r="I582" s="39" t="n">
        <f aca="false">(('Business Case'!C11*$C582*'Business Case'!C12*$B582)-'Business Case'!C11*$C582*'Business Case'!C13*$D582-'Business Case'!C14*$E582)-MAX(0,(('Business Case'!C11*$C582*'Business Case'!C12*$B582)-'Business Case'!C11*$C582*'Business Case'!C13*$D582-'Business Case'!C14*$E582))*'Business Case'!$B$7-'Business Case'!$B$8*(('Business Case'!C11*$C582*'Business Case'!C12*$B582)-('Business Case'!B11*$C582*'Business Case'!B12*$B582))-'Business Case'!C15*$F582</f>
        <v>-48010615.685472</v>
      </c>
      <c r="J582" s="39" t="n">
        <f aca="false">(('Business Case'!D11*$C582*'Business Case'!D12*$B582)-'Business Case'!D11*$C582*'Business Case'!D13*$D582-'Business Case'!D14*$E582)-MAX(0,(('Business Case'!D11*$C582*'Business Case'!D12*$B582)-'Business Case'!D11*$C582*'Business Case'!D13*$D582-'Business Case'!D14*$E582))*'Business Case'!$B$7-'Business Case'!$B$8*(('Business Case'!D11*$C582*'Business Case'!D12*$B582)-('Business Case'!C11*$C582*'Business Case'!C12*$B582))-'Business Case'!D15*$F582</f>
        <v>195607320.578918</v>
      </c>
      <c r="K582" s="39" t="n">
        <f aca="false">(('Business Case'!E11*$C582*'Business Case'!E12*$B582)-'Business Case'!E11*$C582*'Business Case'!E13*$D582-'Business Case'!E14*$E582)-MAX(0,(('Business Case'!E11*$C582*'Business Case'!E12*$B582)-'Business Case'!E11*$C582*'Business Case'!E13*$D582-'Business Case'!E14*$E582))*'Business Case'!$B$7-'Business Case'!$B$8*(('Business Case'!E11*$C582*'Business Case'!E12*$B582)-('Business Case'!D11*$C582*'Business Case'!D12*$B582))-'Business Case'!E15*$F582</f>
        <v>490361718.56595</v>
      </c>
      <c r="L582" s="39" t="n">
        <f aca="false">(('Business Case'!F11*$C582*'Business Case'!F12*$B582)-'Business Case'!F11*$C582*'Business Case'!F13*$D582-'Business Case'!F14*$E582)-MAX(0,(('Business Case'!F11*$C582*'Business Case'!F12*$B582)-'Business Case'!F11*$C582*'Business Case'!F13*$D582-'Business Case'!F14*$E582))*'Business Case'!$B$7-'Business Case'!$B$8*(('Business Case'!F11*$C582*'Business Case'!F12*$B582)-('Business Case'!E11*$C582*'Business Case'!E12*$B582))-'Business Case'!F15*$F582</f>
        <v>601566840.266254</v>
      </c>
      <c r="M582" s="39" t="n">
        <f aca="false">(('Business Case'!G11*$C582*'Business Case'!G12*$B582)-'Business Case'!G11*$C582*'Business Case'!G13*$D582-'Business Case'!G14*$E582)-MAX(0,(('Business Case'!G11*$C582*'Business Case'!G12*$B582)-'Business Case'!G11*$C582*'Business Case'!G13*$D582-'Business Case'!G14*$E582))*'Business Case'!$B$7-'Business Case'!$B$8*(('Business Case'!G11*$C582*'Business Case'!G12*$B582)-('Business Case'!F11*$C582*'Business Case'!F12*$B582))-'Business Case'!G15*$F582+'Business Case'!$B$8*('Business Case'!G11*$C582*'Business Case'!G12*$B582)</f>
        <v>766562126.466543</v>
      </c>
      <c r="N582" s="39" t="n">
        <f aca="false">IF(COUNT('Business Case'!B11:G11)=0,"",H582+NPV(G582,I582:M582))</f>
        <v>-692092310.995432</v>
      </c>
      <c r="P582" s="40" t="n">
        <f aca="true">RAND()</f>
        <v>0.00761967217712783</v>
      </c>
      <c r="Q582" s="40" t="n">
        <f aca="true">RAND()</f>
        <v>0.259667932674385</v>
      </c>
      <c r="R582" s="40" t="n">
        <f aca="true">RAND()</f>
        <v>0.108962131536502</v>
      </c>
      <c r="S582" s="40" t="n">
        <f aca="true">RAND()</f>
        <v>0.520237399432203</v>
      </c>
      <c r="T582" s="40" t="n">
        <f aca="true">RAND()</f>
        <v>0.371501513646711</v>
      </c>
      <c r="U582" s="40" t="n">
        <f aca="true">RAND()</f>
        <v>0.578091420014683</v>
      </c>
    </row>
    <row r="583" customFormat="false" ht="15" hidden="false" customHeight="false" outlineLevel="0" collapsed="false">
      <c r="A583" s="36" t="n">
        <v>503</v>
      </c>
      <c r="B583" s="37" t="n">
        <f aca="false">1+IF($G$6=$E$6,$F$6,IF(P583&lt;($F$6-$E$6)/($G$6-$E$6),$E$6+SQRT(P583*($G$6-$E$6)*($F$6-$E$6)),$G$6-SQRT((1-P583)*($G$6-$E$6)*($G$6-$F$6))))</f>
        <v>1.02591270845749</v>
      </c>
      <c r="C583" s="37" t="n">
        <f aca="false">1+IF($G$7=$E$7,$F$7,IF(Q583&lt;($F$7-$E$7)/($G$7-$E$7),$E$7+SQRT(Q583*($G$7-$E$7)*($F$7-$E$7)),$G$7-SQRT((1-Q583)*($G$7-$E$7)*($G$7-$F$7))))</f>
        <v>1.0529523906103</v>
      </c>
      <c r="D583" s="37" t="n">
        <f aca="false">1+IF($G$8=$E$8,$F$8,IF(R583&lt;($F$8-$E$8)/($G$8-$E$8),$E$8+SQRT(R583*($G$8-$E$8)*($F$8-$E$8)),$G$8-SQRT((1-R583)*($G$8-$E$8)*($G$8-$F$8))))</f>
        <v>0.973131169068246</v>
      </c>
      <c r="E583" s="37" t="n">
        <f aca="false">1+IF($G$9=$E$9,$F$9,IF(S583&lt;($F$9-$E$9)/($G$9-$E$9),$E$9+SQRT(S583*($G$9-$E$9)*($F$9-$E$9)),$G$9-SQRT((1-S583)*($G$9-$E$9)*($G$9-$F$9))))</f>
        <v>1.00628932985193</v>
      </c>
      <c r="F583" s="37" t="n">
        <f aca="false">1+IF($G$10=$E$10,$F$10,IF(T583&lt;($F$10-$E$10)/($G$10-$E$10),$E$10+SQRT(T583*($G$10-$E$10)*($F$10-$E$10)),$G$10-SQRT((1-T583)*($G$10-$E$10)*($G$10-$F$10))))</f>
        <v>1.18348991655853</v>
      </c>
      <c r="G583" s="38" t="n">
        <f aca="false">IF($G$11=$E$11,$F$11,IF(U583&lt;($F$11-$E$11)/($G$11-$E$11),$E$11+SQRT(U583*($G$11-$E$11)*($F$11-$E$11)),$G$11-SQRT((1-U583)*($G$11-$E$11)*($G$11-$F$11))))</f>
        <v>0.100193270766328</v>
      </c>
      <c r="H583" s="39" t="n">
        <f aca="false">(('Business Case'!B11*$C583*'Business Case'!B12*$B583)-'Business Case'!B11*$C583*'Business Case'!B13*$D583-'Business Case'!B14*$E583)-MAX(0,(('Business Case'!B11*$C583*'Business Case'!B12*$B583)-'Business Case'!B11*$C583*'Business Case'!B13*$D583-'Business Case'!B14*$E583))*'Business Case'!$B$7-'Business Case'!$B$8*('Business Case'!B11*$C583*'Business Case'!B12*$B583)-'Business Case'!B15*$F583</f>
        <v>-2366979833.11707</v>
      </c>
      <c r="I583" s="39" t="n">
        <f aca="false">(('Business Case'!C11*$C583*'Business Case'!C12*$B583)-'Business Case'!C11*$C583*'Business Case'!C13*$D583-'Business Case'!C14*$E583)-MAX(0,(('Business Case'!C11*$C583*'Business Case'!C12*$B583)-'Business Case'!C11*$C583*'Business Case'!C13*$D583-'Business Case'!C14*$E583))*'Business Case'!$B$7-'Business Case'!$B$8*(('Business Case'!C11*$C583*'Business Case'!C12*$B583)-('Business Case'!B11*$C583*'Business Case'!B12*$B583))-'Business Case'!C15*$F583</f>
        <v>42804890.8854476</v>
      </c>
      <c r="J583" s="39" t="n">
        <f aca="false">(('Business Case'!D11*$C583*'Business Case'!D12*$B583)-'Business Case'!D11*$C583*'Business Case'!D13*$D583-'Business Case'!D14*$E583)-MAX(0,(('Business Case'!D11*$C583*'Business Case'!D12*$B583)-'Business Case'!D11*$C583*'Business Case'!D13*$D583-'Business Case'!D14*$E583))*'Business Case'!$B$7-'Business Case'!$B$8*(('Business Case'!D11*$C583*'Business Case'!D12*$B583)-('Business Case'!C11*$C583*'Business Case'!C12*$B583))-'Business Case'!D15*$F583</f>
        <v>403052614.59771</v>
      </c>
      <c r="K583" s="39" t="n">
        <f aca="false">(('Business Case'!E11*$C583*'Business Case'!E12*$B583)-'Business Case'!E11*$C583*'Business Case'!E13*$D583-'Business Case'!E14*$E583)-MAX(0,(('Business Case'!E11*$C583*'Business Case'!E12*$B583)-'Business Case'!E11*$C583*'Business Case'!E13*$D583-'Business Case'!E14*$E583))*'Business Case'!$B$7-'Business Case'!$B$8*(('Business Case'!E11*$C583*'Business Case'!E12*$B583)-('Business Case'!D11*$C583*'Business Case'!D12*$B583))-'Business Case'!E15*$F583</f>
        <v>822474834.137898</v>
      </c>
      <c r="L583" s="39" t="n">
        <f aca="false">(('Business Case'!F11*$C583*'Business Case'!F12*$B583)-'Business Case'!F11*$C583*'Business Case'!F13*$D583-'Business Case'!F14*$E583)-MAX(0,(('Business Case'!F11*$C583*'Business Case'!F12*$B583)-'Business Case'!F11*$C583*'Business Case'!F13*$D583-'Business Case'!F14*$E583))*'Business Case'!$B$7-'Business Case'!$B$8*(('Business Case'!F11*$C583*'Business Case'!F12*$B583)-('Business Case'!E11*$C583*'Business Case'!E12*$B583))-'Business Case'!F15*$F583</f>
        <v>979890407.685997</v>
      </c>
      <c r="M583" s="39" t="n">
        <f aca="false">(('Business Case'!G11*$C583*'Business Case'!G12*$B583)-'Business Case'!G11*$C583*'Business Case'!G13*$D583-'Business Case'!G14*$E583)-MAX(0,(('Business Case'!G11*$C583*'Business Case'!G12*$B583)-'Business Case'!G11*$C583*'Business Case'!G13*$D583-'Business Case'!G14*$E583))*'Business Case'!$B$7-'Business Case'!$B$8*(('Business Case'!G11*$C583*'Business Case'!G12*$B583)-('Business Case'!F11*$C583*'Business Case'!F12*$B583))-'Business Case'!G15*$F583+'Business Case'!$B$8*('Business Case'!G11*$C583*'Business Case'!G12*$B583)</f>
        <v>1185221902.06139</v>
      </c>
      <c r="N583" s="39" t="n">
        <f aca="false">IF(COUNT('Business Case'!B11:G11)=0,"",H583+NPV(G583,I583:M583))</f>
        <v>26614640.1948586</v>
      </c>
      <c r="P583" s="40" t="n">
        <f aca="true">RAND()</f>
        <v>0.958655878540885</v>
      </c>
      <c r="Q583" s="40" t="n">
        <f aca="true">RAND()</f>
        <v>0.820604981176088</v>
      </c>
      <c r="R583" s="40" t="n">
        <f aca="true">RAND()</f>
        <v>0.0823155357636597</v>
      </c>
      <c r="S583" s="40" t="n">
        <f aca="true">RAND()</f>
        <v>0.414554020026597</v>
      </c>
      <c r="T583" s="40" t="n">
        <f aca="true">RAND()</f>
        <v>0.994548342895117</v>
      </c>
      <c r="U583" s="40" t="n">
        <f aca="true">RAND()</f>
        <v>0.346155795106679</v>
      </c>
    </row>
    <row r="584" customFormat="false" ht="15" hidden="false" customHeight="false" outlineLevel="0" collapsed="false">
      <c r="A584" s="36" t="n">
        <v>504</v>
      </c>
      <c r="B584" s="37" t="n">
        <f aca="false">1+IF($G$6=$E$6,$F$6,IF(P584&lt;($F$6-$E$6)/($G$6-$E$6),$E$6+SQRT(P584*($G$6-$E$6)*($F$6-$E$6)),$G$6-SQRT((1-P584)*($G$6-$E$6)*($G$6-$F$6))))</f>
        <v>0.984675759562411</v>
      </c>
      <c r="C584" s="37" t="n">
        <f aca="false">1+IF($G$7=$E$7,$F$7,IF(Q584&lt;($F$7-$E$7)/($G$7-$E$7),$E$7+SQRT(Q584*($G$7-$E$7)*($F$7-$E$7)),$G$7-SQRT((1-Q584)*($G$7-$E$7)*($G$7-$F$7))))</f>
        <v>1.1096750281957</v>
      </c>
      <c r="D584" s="37" t="n">
        <f aca="false">1+IF($G$8=$E$8,$F$8,IF(R584&lt;($F$8-$E$8)/($G$8-$E$8),$E$8+SQRT(R584*($G$8-$E$8)*($F$8-$E$8)),$G$8-SQRT((1-R584)*($G$8-$E$8)*($G$8-$F$8))))</f>
        <v>1.04026021227414</v>
      </c>
      <c r="E584" s="37" t="n">
        <f aca="false">1+IF($G$9=$E$9,$F$9,IF(S584&lt;($F$9-$E$9)/($G$9-$E$9),$E$9+SQRT(S584*($G$9-$E$9)*($F$9-$E$9)),$G$9-SQRT((1-S584)*($G$9-$E$9)*($G$9-$F$9))))</f>
        <v>0.99387455158142</v>
      </c>
      <c r="F584" s="37" t="n">
        <f aca="false">1+IF($G$10=$E$10,$F$10,IF(T584&lt;($F$10-$E$10)/($G$10-$E$10),$E$10+SQRT(T584*($G$10-$E$10)*($F$10-$E$10)),$G$10-SQRT((1-T584)*($G$10-$E$10)*($G$10-$F$10))))</f>
        <v>0.966266969424854</v>
      </c>
      <c r="G584" s="38" t="n">
        <f aca="false">IF($G$11=$E$11,$F$11,IF(U584&lt;($F$11-$E$11)/($G$11-$E$11),$E$11+SQRT(U584*($G$11-$E$11)*($F$11-$E$11)),$G$11-SQRT((1-U584)*($G$11-$E$11)*($G$11-$F$11))))</f>
        <v>0.0972602496120063</v>
      </c>
      <c r="H584" s="39" t="n">
        <f aca="false">(('Business Case'!B11*$C584*'Business Case'!B12*$B584)-'Business Case'!B11*$C584*'Business Case'!B13*$D584-'Business Case'!B14*$E584)-MAX(0,(('Business Case'!B11*$C584*'Business Case'!B12*$B584)-'Business Case'!B11*$C584*'Business Case'!B13*$D584-'Business Case'!B14*$E584))*'Business Case'!$B$7-'Business Case'!$B$8*('Business Case'!B11*$C584*'Business Case'!B12*$B584)-'Business Case'!B15*$F584</f>
        <v>-1932533938.84971</v>
      </c>
      <c r="I584" s="39" t="n">
        <f aca="false">(('Business Case'!C11*$C584*'Business Case'!C12*$B584)-'Business Case'!C11*$C584*'Business Case'!C13*$D584-'Business Case'!C14*$E584)-MAX(0,(('Business Case'!C11*$C584*'Business Case'!C12*$B584)-'Business Case'!C11*$C584*'Business Case'!C13*$D584-'Business Case'!C14*$E584))*'Business Case'!$B$7-'Business Case'!$B$8*(('Business Case'!C11*$C584*'Business Case'!C12*$B584)-('Business Case'!B11*$C584*'Business Case'!B12*$B584))-'Business Case'!C15*$F584</f>
        <v>9440557.45421912</v>
      </c>
      <c r="J584" s="39" t="n">
        <f aca="false">(('Business Case'!D11*$C584*'Business Case'!D12*$B584)-'Business Case'!D11*$C584*'Business Case'!D13*$D584-'Business Case'!D14*$E584)-MAX(0,(('Business Case'!D11*$C584*'Business Case'!D12*$B584)-'Business Case'!D11*$C584*'Business Case'!D13*$D584-'Business Case'!D14*$E584))*'Business Case'!$B$7-'Business Case'!$B$8*(('Business Case'!D11*$C584*'Business Case'!D12*$B584)-('Business Case'!C11*$C584*'Business Case'!C12*$B584))-'Business Case'!D15*$F584</f>
        <v>313480791.134914</v>
      </c>
      <c r="K584" s="39" t="n">
        <f aca="false">(('Business Case'!E11*$C584*'Business Case'!E12*$B584)-'Business Case'!E11*$C584*'Business Case'!E13*$D584-'Business Case'!E14*$E584)-MAX(0,(('Business Case'!E11*$C584*'Business Case'!E12*$B584)-'Business Case'!E11*$C584*'Business Case'!E13*$D584-'Business Case'!E14*$E584))*'Business Case'!$B$7-'Business Case'!$B$8*(('Business Case'!E11*$C584*'Business Case'!E12*$B584)-('Business Case'!D11*$C584*'Business Case'!D12*$B584))-'Business Case'!E15*$F584</f>
        <v>665834373.286853</v>
      </c>
      <c r="L584" s="39" t="n">
        <f aca="false">(('Business Case'!F11*$C584*'Business Case'!F12*$B584)-'Business Case'!F11*$C584*'Business Case'!F13*$D584-'Business Case'!F14*$E584)-MAX(0,(('Business Case'!F11*$C584*'Business Case'!F12*$B584)-'Business Case'!F11*$C584*'Business Case'!F13*$D584-'Business Case'!F14*$E584))*'Business Case'!$B$7-'Business Case'!$B$8*(('Business Case'!F11*$C584*'Business Case'!F12*$B584)-('Business Case'!E11*$C584*'Business Case'!E12*$B584))-'Business Case'!F15*$F584</f>
        <v>804943796.546493</v>
      </c>
      <c r="M584" s="39" t="n">
        <f aca="false">(('Business Case'!G11*$C584*'Business Case'!G12*$B584)-'Business Case'!G11*$C584*'Business Case'!G13*$D584-'Business Case'!G14*$E584)-MAX(0,(('Business Case'!G11*$C584*'Business Case'!G12*$B584)-'Business Case'!G11*$C584*'Business Case'!G13*$D584-'Business Case'!G14*$E584))*'Business Case'!$B$7-'Business Case'!$B$8*(('Business Case'!G11*$C584*'Business Case'!G12*$B584)-('Business Case'!F11*$C584*'Business Case'!F12*$B584))-'Business Case'!G15*$F584+'Business Case'!$B$8*('Business Case'!G11*$C584*'Business Case'!G12*$B584)</f>
        <v>1012638529.39324</v>
      </c>
      <c r="N584" s="39" t="n">
        <f aca="false">IF(COUNT('Business Case'!B11:G11)=0,"",H584+NPV(G584,I584:M584))</f>
        <v>32405177.6830387</v>
      </c>
      <c r="P584" s="40" t="n">
        <f aca="true">RAND()</f>
        <v>0.435724361976536</v>
      </c>
      <c r="Q584" s="40" t="n">
        <f aca="true">RAND()</f>
        <v>0.969026602837754</v>
      </c>
      <c r="R584" s="40" t="n">
        <f aca="true">RAND()</f>
        <v>0.848148968413839</v>
      </c>
      <c r="S584" s="40" t="n">
        <f aca="true">RAND()</f>
        <v>0.256663503529418</v>
      </c>
      <c r="T584" s="40" t="n">
        <f aca="true">RAND()</f>
        <v>0.0211691435415303</v>
      </c>
      <c r="U584" s="40" t="n">
        <f aca="true">RAND()</f>
        <v>0.17570408142879</v>
      </c>
    </row>
    <row r="585" customFormat="false" ht="15" hidden="false" customHeight="false" outlineLevel="0" collapsed="false">
      <c r="A585" s="36" t="n">
        <v>505</v>
      </c>
      <c r="B585" s="37" t="n">
        <f aca="false">1+IF($G$6=$E$6,$F$6,IF(P585&lt;($F$6-$E$6)/($G$6-$E$6),$E$6+SQRT(P585*($G$6-$E$6)*($F$6-$E$6)),$G$6-SQRT((1-P585)*($G$6-$E$6)*($G$6-$F$6))))</f>
        <v>0.959340852058288</v>
      </c>
      <c r="C585" s="37" t="n">
        <f aca="false">1+IF($G$7=$E$7,$F$7,IF(Q585&lt;($F$7-$E$7)/($G$7-$E$7),$E$7+SQRT(Q585*($G$7-$E$7)*($F$7-$E$7)),$G$7-SQRT((1-Q585)*($G$7-$E$7)*($G$7-$F$7))))</f>
        <v>0.898035951075779</v>
      </c>
      <c r="D585" s="37" t="n">
        <f aca="false">1+IF($G$8=$E$8,$F$8,IF(R585&lt;($F$8-$E$8)/($G$8-$E$8),$E$8+SQRT(R585*($G$8-$E$8)*($F$8-$E$8)),$G$8-SQRT((1-R585)*($G$8-$E$8)*($G$8-$F$8))))</f>
        <v>0.991885664665433</v>
      </c>
      <c r="E585" s="37" t="n">
        <f aca="false">1+IF($G$9=$E$9,$F$9,IF(S585&lt;($F$9-$E$9)/($G$9-$E$9),$E$9+SQRT(S585*($G$9-$E$9)*($F$9-$E$9)),$G$9-SQRT((1-S585)*($G$9-$E$9)*($G$9-$F$9))))</f>
        <v>0.999287795658908</v>
      </c>
      <c r="F585" s="37" t="n">
        <f aca="false">1+IF($G$10=$E$10,$F$10,IF(T585&lt;($F$10-$E$10)/($G$10-$E$10),$E$10+SQRT(T585*($G$10-$E$10)*($F$10-$E$10)),$G$10-SQRT((1-T585)*($G$10-$E$10)*($G$10-$F$10))))</f>
        <v>0.970880974594073</v>
      </c>
      <c r="G585" s="38" t="n">
        <f aca="false">IF($G$11=$E$11,$F$11,IF(U585&lt;($F$11-$E$11)/($G$11-$E$11),$E$11+SQRT(U585*($G$11-$E$11)*($F$11-$E$11)),$G$11-SQRT((1-U585)*($G$11-$E$11)*($G$11-$F$11))))</f>
        <v>0.10929116030819</v>
      </c>
      <c r="H585" s="39" t="n">
        <f aca="false">(('Business Case'!B11*$C585*'Business Case'!B12*$B585)-'Business Case'!B11*$C585*'Business Case'!B13*$D585-'Business Case'!B14*$E585)-MAX(0,(('Business Case'!B11*$C585*'Business Case'!B12*$B585)-'Business Case'!B11*$C585*'Business Case'!B13*$D585-'Business Case'!B14*$E585))*'Business Case'!$B$7-'Business Case'!$B$8*('Business Case'!B11*$C585*'Business Case'!B12*$B585)-'Business Case'!B15*$F585</f>
        <v>-1941761949.18815</v>
      </c>
      <c r="I585" s="39" t="n">
        <f aca="false">(('Business Case'!C11*$C585*'Business Case'!C12*$B585)-'Business Case'!C11*$C585*'Business Case'!C13*$D585-'Business Case'!C14*$E585)-MAX(0,(('Business Case'!C11*$C585*'Business Case'!C12*$B585)-'Business Case'!C11*$C585*'Business Case'!C13*$D585-'Business Case'!C14*$E585))*'Business Case'!$B$7-'Business Case'!$B$8*(('Business Case'!C11*$C585*'Business Case'!C12*$B585)-('Business Case'!B11*$C585*'Business Case'!B12*$B585))-'Business Case'!C15*$F585</f>
        <v>-34191355.1645294</v>
      </c>
      <c r="J585" s="39" t="n">
        <f aca="false">(('Business Case'!D11*$C585*'Business Case'!D12*$B585)-'Business Case'!D11*$C585*'Business Case'!D13*$D585-'Business Case'!D14*$E585)-MAX(0,(('Business Case'!D11*$C585*'Business Case'!D12*$B585)-'Business Case'!D11*$C585*'Business Case'!D13*$D585-'Business Case'!D14*$E585))*'Business Case'!$B$7-'Business Case'!$B$8*(('Business Case'!D11*$C585*'Business Case'!D12*$B585)-('Business Case'!C11*$C585*'Business Case'!C12*$B585))-'Business Case'!D15*$F585</f>
        <v>215465441.934296</v>
      </c>
      <c r="K585" s="39" t="n">
        <f aca="false">(('Business Case'!E11*$C585*'Business Case'!E12*$B585)-'Business Case'!E11*$C585*'Business Case'!E13*$D585-'Business Case'!E14*$E585)-MAX(0,(('Business Case'!E11*$C585*'Business Case'!E12*$B585)-'Business Case'!E11*$C585*'Business Case'!E13*$D585-'Business Case'!E14*$E585))*'Business Case'!$B$7-'Business Case'!$B$8*(('Business Case'!E11*$C585*'Business Case'!E12*$B585)-('Business Case'!D11*$C585*'Business Case'!D12*$B585))-'Business Case'!E15*$F585</f>
        <v>513666287.762826</v>
      </c>
      <c r="L585" s="39" t="n">
        <f aca="false">(('Business Case'!F11*$C585*'Business Case'!F12*$B585)-'Business Case'!F11*$C585*'Business Case'!F13*$D585-'Business Case'!F14*$E585)-MAX(0,(('Business Case'!F11*$C585*'Business Case'!F12*$B585)-'Business Case'!F11*$C585*'Business Case'!F13*$D585-'Business Case'!F14*$E585))*'Business Case'!$B$7-'Business Case'!$B$8*(('Business Case'!F11*$C585*'Business Case'!F12*$B585)-('Business Case'!E11*$C585*'Business Case'!E12*$B585))-'Business Case'!F15*$F585</f>
        <v>626659440.303269</v>
      </c>
      <c r="M585" s="39" t="n">
        <f aca="false">(('Business Case'!G11*$C585*'Business Case'!G12*$B585)-'Business Case'!G11*$C585*'Business Case'!G13*$D585-'Business Case'!G14*$E585)-MAX(0,(('Business Case'!G11*$C585*'Business Case'!G12*$B585)-'Business Case'!G11*$C585*'Business Case'!G13*$D585-'Business Case'!G14*$E585))*'Business Case'!$B$7-'Business Case'!$B$8*(('Business Case'!G11*$C585*'Business Case'!G12*$B585)-('Business Case'!F11*$C585*'Business Case'!F12*$B585))-'Business Case'!G15*$F585+'Business Case'!$B$8*('Business Case'!G11*$C585*'Business Case'!G12*$B585)</f>
        <v>790417651.26119</v>
      </c>
      <c r="N585" s="39" t="n">
        <f aca="false">IF(COUNT('Business Case'!B11:G11)=0,"",H585+NPV(G585,I585:M585))</f>
        <v>-536744540.291745</v>
      </c>
      <c r="P585" s="40" t="n">
        <f aca="true">RAND()</f>
        <v>0.161219025070012</v>
      </c>
      <c r="Q585" s="40" t="n">
        <f aca="true">RAND()</f>
        <v>0.137300681476179</v>
      </c>
      <c r="R585" s="40" t="n">
        <f aca="true">RAND()</f>
        <v>0.269909062225403</v>
      </c>
      <c r="S585" s="40" t="n">
        <f aca="true">RAND()</f>
        <v>0.323904906788563</v>
      </c>
      <c r="T585" s="40" t="n">
        <f aca="true">RAND()</f>
        <v>0.0348812079998647</v>
      </c>
      <c r="U585" s="40" t="n">
        <f aca="true">RAND()</f>
        <v>0.808867920758519</v>
      </c>
    </row>
    <row r="586" customFormat="false" ht="15" hidden="false" customHeight="false" outlineLevel="0" collapsed="false">
      <c r="A586" s="36" t="n">
        <v>506</v>
      </c>
      <c r="B586" s="37" t="n">
        <f aca="false">1+IF($G$6=$E$6,$F$6,IF(P586&lt;($F$6-$E$6)/($G$6-$E$6),$E$6+SQRT(P586*($G$6-$E$6)*($F$6-$E$6)),$G$6-SQRT((1-P586)*($G$6-$E$6)*($G$6-$F$6))))</f>
        <v>0.966305466247301</v>
      </c>
      <c r="C586" s="37" t="n">
        <f aca="false">1+IF($G$7=$E$7,$F$7,IF(Q586&lt;($F$7-$E$7)/($G$7-$E$7),$E$7+SQRT(Q586*($G$7-$E$7)*($F$7-$E$7)),$G$7-SQRT((1-Q586)*($G$7-$E$7)*($G$7-$F$7))))</f>
        <v>0.943066222684773</v>
      </c>
      <c r="D586" s="37" t="n">
        <f aca="false">1+IF($G$8=$E$8,$F$8,IF(R586&lt;($F$8-$E$8)/($G$8-$E$8),$E$8+SQRT(R586*($G$8-$E$8)*($F$8-$E$8)),$G$8-SQRT((1-R586)*($G$8-$E$8)*($G$8-$F$8))))</f>
        <v>0.984004930219989</v>
      </c>
      <c r="E586" s="37" t="n">
        <f aca="false">1+IF($G$9=$E$9,$F$9,IF(S586&lt;($F$9-$E$9)/($G$9-$E$9),$E$9+SQRT(S586*($G$9-$E$9)*($F$9-$E$9)),$G$9-SQRT((1-S586)*($G$9-$E$9)*($G$9-$F$9))))</f>
        <v>1.00959525054877</v>
      </c>
      <c r="F586" s="37" t="n">
        <f aca="false">1+IF($G$10=$E$10,$F$10,IF(T586&lt;($F$10-$E$10)/($G$10-$E$10),$E$10+SQRT(T586*($G$10-$E$10)*($F$10-$E$10)),$G$10-SQRT((1-T586)*($G$10-$E$10)*($G$10-$F$10))))</f>
        <v>1.15278859504625</v>
      </c>
      <c r="G586" s="38" t="n">
        <f aca="false">IF($G$11=$E$11,$F$11,IF(U586&lt;($F$11-$E$11)/($G$11-$E$11),$E$11+SQRT(U586*($G$11-$E$11)*($F$11-$E$11)),$G$11-SQRT((1-U586)*($G$11-$E$11)*($G$11-$F$11))))</f>
        <v>0.101206691711601</v>
      </c>
      <c r="H586" s="39" t="n">
        <f aca="false">(('Business Case'!B11*$C586*'Business Case'!B12*$B586)-'Business Case'!B11*$C586*'Business Case'!B13*$D586-'Business Case'!B14*$E586)-MAX(0,(('Business Case'!B11*$C586*'Business Case'!B12*$B586)-'Business Case'!B11*$C586*'Business Case'!B13*$D586-'Business Case'!B14*$E586))*'Business Case'!$B$7-'Business Case'!$B$8*('Business Case'!B11*$C586*'Business Case'!B12*$B586)-'Business Case'!B15*$F586</f>
        <v>-2305577190.09249</v>
      </c>
      <c r="I586" s="39" t="n">
        <f aca="false">(('Business Case'!C11*$C586*'Business Case'!C12*$B586)-'Business Case'!C11*$C586*'Business Case'!C13*$D586-'Business Case'!C14*$E586)-MAX(0,(('Business Case'!C11*$C586*'Business Case'!C12*$B586)-'Business Case'!C11*$C586*'Business Case'!C13*$D586-'Business Case'!C14*$E586))*'Business Case'!$B$7-'Business Case'!$B$8*(('Business Case'!C11*$C586*'Business Case'!C12*$B586)-('Business Case'!B11*$C586*'Business Case'!B12*$B586))-'Business Case'!C15*$F586</f>
        <v>-34724869.0792541</v>
      </c>
      <c r="J586" s="39" t="n">
        <f aca="false">(('Business Case'!D11*$C586*'Business Case'!D12*$B586)-'Business Case'!D11*$C586*'Business Case'!D13*$D586-'Business Case'!D14*$E586)-MAX(0,(('Business Case'!D11*$C586*'Business Case'!D12*$B586)-'Business Case'!D11*$C586*'Business Case'!D13*$D586-'Business Case'!D14*$E586))*'Business Case'!$B$7-'Business Case'!$B$8*(('Business Case'!D11*$C586*'Business Case'!D12*$B586)-('Business Case'!C11*$C586*'Business Case'!C12*$B586))-'Business Case'!D15*$F586</f>
        <v>236634841.959491</v>
      </c>
      <c r="K586" s="39" t="n">
        <f aca="false">(('Business Case'!E11*$C586*'Business Case'!E12*$B586)-'Business Case'!E11*$C586*'Business Case'!E13*$D586-'Business Case'!E14*$E586)-MAX(0,(('Business Case'!E11*$C586*'Business Case'!E12*$B586)-'Business Case'!E11*$C586*'Business Case'!E13*$D586-'Business Case'!E14*$E586))*'Business Case'!$B$7-'Business Case'!$B$8*(('Business Case'!E11*$C586*'Business Case'!E12*$B586)-('Business Case'!D11*$C586*'Business Case'!D12*$B586))-'Business Case'!E15*$F586</f>
        <v>565633982.750548</v>
      </c>
      <c r="L586" s="39" t="n">
        <f aca="false">(('Business Case'!F11*$C586*'Business Case'!F12*$B586)-'Business Case'!F11*$C586*'Business Case'!F13*$D586-'Business Case'!F14*$E586)-MAX(0,(('Business Case'!F11*$C586*'Business Case'!F12*$B586)-'Business Case'!F11*$C586*'Business Case'!F13*$D586-'Business Case'!F14*$E586))*'Business Case'!$B$7-'Business Case'!$B$8*(('Business Case'!F11*$C586*'Business Case'!F12*$B586)-('Business Case'!E11*$C586*'Business Case'!E12*$B586))-'Business Case'!F15*$F586</f>
        <v>687581403.753689</v>
      </c>
      <c r="M586" s="39" t="n">
        <f aca="false">(('Business Case'!G11*$C586*'Business Case'!G12*$B586)-'Business Case'!G11*$C586*'Business Case'!G13*$D586-'Business Case'!G14*$E586)-MAX(0,(('Business Case'!G11*$C586*'Business Case'!G12*$B586)-'Business Case'!G11*$C586*'Business Case'!G13*$D586-'Business Case'!G14*$E586))*'Business Case'!$B$7-'Business Case'!$B$8*(('Business Case'!G11*$C586*'Business Case'!G12*$B586)-('Business Case'!F11*$C586*'Business Case'!F12*$B586))-'Business Case'!G15*$F586+'Business Case'!$B$8*('Business Case'!G11*$C586*'Business Case'!G12*$B586)</f>
        <v>860799415.699934</v>
      </c>
      <c r="N586" s="39" t="n">
        <f aca="false">IF(COUNT('Business Case'!B11:G11)=0,"",H586+NPV(G586,I586:M586))</f>
        <v>-719260393.825742</v>
      </c>
      <c r="P586" s="40" t="n">
        <f aca="true">RAND()</f>
        <v>0.223353771289576</v>
      </c>
      <c r="Q586" s="40" t="n">
        <f aca="true">RAND()</f>
        <v>0.292399201046985</v>
      </c>
      <c r="R586" s="40" t="n">
        <f aca="true">RAND()</f>
        <v>0.177897735271738</v>
      </c>
      <c r="S586" s="40" t="n">
        <f aca="true">RAND()</f>
        <v>0.455132085110691</v>
      </c>
      <c r="T586" s="40" t="n">
        <f aca="true">RAND()</f>
        <v>0.955421664845852</v>
      </c>
      <c r="U586" s="40" t="n">
        <f aca="true">RAND()</f>
        <v>0.411352605961974</v>
      </c>
    </row>
    <row r="587" customFormat="false" ht="15" hidden="false" customHeight="false" outlineLevel="0" collapsed="false">
      <c r="A587" s="36" t="n">
        <v>507</v>
      </c>
      <c r="B587" s="37" t="n">
        <f aca="false">1+IF($G$6=$E$6,$F$6,IF(P587&lt;($F$6-$E$6)/($G$6-$E$6),$E$6+SQRT(P587*($G$6-$E$6)*($F$6-$E$6)),$G$6-SQRT((1-P587)*($G$6-$E$6)*($G$6-$F$6))))</f>
        <v>1.0039686883314</v>
      </c>
      <c r="C587" s="37" t="n">
        <f aca="false">1+IF($G$7=$E$7,$F$7,IF(Q587&lt;($F$7-$E$7)/($G$7-$E$7),$E$7+SQRT(Q587*($G$7-$E$7)*($F$7-$E$7)),$G$7-SQRT((1-Q587)*($G$7-$E$7)*($G$7-$F$7))))</f>
        <v>1.00447693146033</v>
      </c>
      <c r="D587" s="37" t="n">
        <f aca="false">1+IF($G$8=$E$8,$F$8,IF(R587&lt;($F$8-$E$8)/($G$8-$E$8),$E$8+SQRT(R587*($G$8-$E$8)*($F$8-$E$8)),$G$8-SQRT((1-R587)*($G$8-$E$8)*($G$8-$F$8))))</f>
        <v>1.01320827878429</v>
      </c>
      <c r="E587" s="37" t="n">
        <f aca="false">1+IF($G$9=$E$9,$F$9,IF(S587&lt;($F$9-$E$9)/($G$9-$E$9),$E$9+SQRT(S587*($G$9-$E$9)*($F$9-$E$9)),$G$9-SQRT((1-S587)*($G$9-$E$9)*($G$9-$F$9))))</f>
        <v>0.968297827027806</v>
      </c>
      <c r="F587" s="37" t="n">
        <f aca="false">1+IF($G$10=$E$10,$F$10,IF(T587&lt;($F$10-$E$10)/($G$10-$E$10),$E$10+SQRT(T587*($G$10-$E$10)*($F$10-$E$10)),$G$10-SQRT((1-T587)*($G$10-$E$10)*($G$10-$F$10))))</f>
        <v>1.03168299402181</v>
      </c>
      <c r="G587" s="38" t="n">
        <f aca="false">IF($G$11=$E$11,$F$11,IF(U587&lt;($F$11-$E$11)/($G$11-$E$11),$E$11+SQRT(U587*($G$11-$E$11)*($F$11-$E$11)),$G$11-SQRT((1-U587)*($G$11-$E$11)*($G$11-$F$11))))</f>
        <v>0.104851719410001</v>
      </c>
      <c r="H587" s="39" t="n">
        <f aca="false">(('Business Case'!B11*$C587*'Business Case'!B12*$B587)-'Business Case'!B11*$C587*'Business Case'!B13*$D587-'Business Case'!B14*$E587)-MAX(0,(('Business Case'!B11*$C587*'Business Case'!B12*$B587)-'Business Case'!B11*$C587*'Business Case'!B13*$D587-'Business Case'!B14*$E587))*'Business Case'!$B$7-'Business Case'!$B$8*('Business Case'!B11*$C587*'Business Case'!B12*$B587)-'Business Case'!B15*$F587</f>
        <v>-2063365988.04362</v>
      </c>
      <c r="I587" s="39" t="n">
        <f aca="false">(('Business Case'!C11*$C587*'Business Case'!C12*$B587)-'Business Case'!C11*$C587*'Business Case'!C13*$D587-'Business Case'!C14*$E587)-MAX(0,(('Business Case'!C11*$C587*'Business Case'!C12*$B587)-'Business Case'!C11*$C587*'Business Case'!C13*$D587-'Business Case'!C14*$E587))*'Business Case'!$B$7-'Business Case'!$B$8*(('Business Case'!C11*$C587*'Business Case'!C12*$B587)-('Business Case'!B11*$C587*'Business Case'!B12*$B587))-'Business Case'!C15*$F587</f>
        <v>11861447.2201553</v>
      </c>
      <c r="J587" s="39" t="n">
        <f aca="false">(('Business Case'!D11*$C587*'Business Case'!D12*$B587)-'Business Case'!D11*$C587*'Business Case'!D13*$D587-'Business Case'!D14*$E587)-MAX(0,(('Business Case'!D11*$C587*'Business Case'!D12*$B587)-'Business Case'!D11*$C587*'Business Case'!D13*$D587-'Business Case'!D14*$E587))*'Business Case'!$B$7-'Business Case'!$B$8*(('Business Case'!D11*$C587*'Business Case'!D12*$B587)-('Business Case'!C11*$C587*'Business Case'!C12*$B587))-'Business Case'!D15*$F587</f>
        <v>316861886.845415</v>
      </c>
      <c r="K587" s="39" t="n">
        <f aca="false">(('Business Case'!E11*$C587*'Business Case'!E12*$B587)-'Business Case'!E11*$C587*'Business Case'!E13*$D587-'Business Case'!E14*$E587)-MAX(0,(('Business Case'!E11*$C587*'Business Case'!E12*$B587)-'Business Case'!E11*$C587*'Business Case'!E13*$D587-'Business Case'!E14*$E587))*'Business Case'!$B$7-'Business Case'!$B$8*(('Business Case'!E11*$C587*'Business Case'!E12*$B587)-('Business Case'!D11*$C587*'Business Case'!D12*$B587))-'Business Case'!E15*$F587</f>
        <v>673446476.171766</v>
      </c>
      <c r="L587" s="39" t="n">
        <f aca="false">(('Business Case'!F11*$C587*'Business Case'!F12*$B587)-'Business Case'!F11*$C587*'Business Case'!F13*$D587-'Business Case'!F14*$E587)-MAX(0,(('Business Case'!F11*$C587*'Business Case'!F12*$B587)-'Business Case'!F11*$C587*'Business Case'!F13*$D587-'Business Case'!F14*$E587))*'Business Case'!$B$7-'Business Case'!$B$8*(('Business Case'!F11*$C587*'Business Case'!F12*$B587)-('Business Case'!E11*$C587*'Business Case'!E12*$B587))-'Business Case'!F15*$F587</f>
        <v>809965784.046566</v>
      </c>
      <c r="M587" s="39" t="n">
        <f aca="false">(('Business Case'!G11*$C587*'Business Case'!G12*$B587)-'Business Case'!G11*$C587*'Business Case'!G13*$D587-'Business Case'!G14*$E587)-MAX(0,(('Business Case'!G11*$C587*'Business Case'!G12*$B587)-'Business Case'!G11*$C587*'Business Case'!G13*$D587-'Business Case'!G14*$E587))*'Business Case'!$B$7-'Business Case'!$B$8*(('Business Case'!G11*$C587*'Business Case'!G12*$B587)-('Business Case'!F11*$C587*'Business Case'!F12*$B587))-'Business Case'!G15*$F587+'Business Case'!$B$8*('Business Case'!G11*$C587*'Business Case'!G12*$B587)</f>
        <v>1001654504.71165</v>
      </c>
      <c r="N587" s="39" t="n">
        <f aca="false">IF(COUNT('Business Case'!B11:G11)=0,"",H587+NPV(G587,I587:M587))</f>
        <v>-141745480.13368</v>
      </c>
      <c r="P587" s="40" t="n">
        <f aca="true">RAND()</f>
        <v>0.72953012071668</v>
      </c>
      <c r="Q587" s="40" t="n">
        <f aca="true">RAND()</f>
        <v>0.596629267100941</v>
      </c>
      <c r="R587" s="40" t="n">
        <f aca="true">RAND()</f>
        <v>0.571044805484869</v>
      </c>
      <c r="S587" s="40" t="n">
        <f aca="true">RAND()</f>
        <v>0.0446413965252685</v>
      </c>
      <c r="T587" s="40" t="n">
        <f aca="true">RAND()</f>
        <v>0.433387709970772</v>
      </c>
      <c r="U587" s="40" t="n">
        <f aca="true">RAND()</f>
        <v>0.617549325277743</v>
      </c>
    </row>
    <row r="588" customFormat="false" ht="15" hidden="false" customHeight="false" outlineLevel="0" collapsed="false">
      <c r="A588" s="36" t="n">
        <v>508</v>
      </c>
      <c r="B588" s="37" t="n">
        <f aca="false">1+IF($G$6=$E$6,$F$6,IF(P588&lt;($F$6-$E$6)/($G$6-$E$6),$E$6+SQRT(P588*($G$6-$E$6)*($F$6-$E$6)),$G$6-SQRT((1-P588)*($G$6-$E$6)*($G$6-$F$6))))</f>
        <v>0.997781956929693</v>
      </c>
      <c r="C588" s="37" t="n">
        <f aca="false">1+IF($G$7=$E$7,$F$7,IF(Q588&lt;($F$7-$E$7)/($G$7-$E$7),$E$7+SQRT(Q588*($G$7-$E$7)*($F$7-$E$7)),$G$7-SQRT((1-Q588)*($G$7-$E$7)*($G$7-$F$7))))</f>
        <v>1.00719417460407</v>
      </c>
      <c r="D588" s="37" t="n">
        <f aca="false">1+IF($G$8=$E$8,$F$8,IF(R588&lt;($F$8-$E$8)/($G$8-$E$8),$E$8+SQRT(R588*($G$8-$E$8)*($F$8-$E$8)),$G$8-SQRT((1-R588)*($G$8-$E$8)*($G$8-$F$8))))</f>
        <v>1.00437205778327</v>
      </c>
      <c r="E588" s="37" t="n">
        <f aca="false">1+IF($G$9=$E$9,$F$9,IF(S588&lt;($F$9-$E$9)/($G$9-$E$9),$E$9+SQRT(S588*($G$9-$E$9)*($F$9-$E$9)),$G$9-SQRT((1-S588)*($G$9-$E$9)*($G$9-$F$9))))</f>
        <v>1.01917095243046</v>
      </c>
      <c r="F588" s="37" t="n">
        <f aca="false">1+IF($G$10=$E$10,$F$10,IF(T588&lt;($F$10-$E$10)/($G$10-$E$10),$E$10+SQRT(T588*($G$10-$E$10)*($F$10-$E$10)),$G$10-SQRT((1-T588)*($G$10-$E$10)*($G$10-$F$10))))</f>
        <v>1.04270802962968</v>
      </c>
      <c r="G588" s="38" t="n">
        <f aca="false">IF($G$11=$E$11,$F$11,IF(U588&lt;($F$11-$E$11)/($G$11-$E$11),$E$11+SQRT(U588*($G$11-$E$11)*($F$11-$E$11)),$G$11-SQRT((1-U588)*($G$11-$E$11)*($G$11-$F$11))))</f>
        <v>0.107956927296691</v>
      </c>
      <c r="H588" s="39" t="n">
        <f aca="false">(('Business Case'!B11*$C588*'Business Case'!B12*$B588)-'Business Case'!B11*$C588*'Business Case'!B13*$D588-'Business Case'!B14*$E588)-MAX(0,(('Business Case'!B11*$C588*'Business Case'!B12*$B588)-'Business Case'!B11*$C588*'Business Case'!B13*$D588-'Business Case'!B14*$E588))*'Business Case'!$B$7-'Business Case'!$B$8*('Business Case'!B11*$C588*'Business Case'!B12*$B588)-'Business Case'!B15*$F588</f>
        <v>-2085416059.25937</v>
      </c>
      <c r="I588" s="39" t="n">
        <f aca="false">(('Business Case'!C11*$C588*'Business Case'!C12*$B588)-'Business Case'!C11*$C588*'Business Case'!C13*$D588-'Business Case'!C14*$E588)-MAX(0,(('Business Case'!C11*$C588*'Business Case'!C12*$B588)-'Business Case'!C11*$C588*'Business Case'!C13*$D588-'Business Case'!C14*$E588))*'Business Case'!$B$7-'Business Case'!$B$8*(('Business Case'!C11*$C588*'Business Case'!C12*$B588)-('Business Case'!B11*$C588*'Business Case'!B12*$B588))-'Business Case'!C15*$F588</f>
        <v>3983604.95649305</v>
      </c>
      <c r="J588" s="39" t="n">
        <f aca="false">(('Business Case'!D11*$C588*'Business Case'!D12*$B588)-'Business Case'!D11*$C588*'Business Case'!D13*$D588-'Business Case'!D14*$E588)-MAX(0,(('Business Case'!D11*$C588*'Business Case'!D12*$B588)-'Business Case'!D11*$C588*'Business Case'!D13*$D588-'Business Case'!D14*$E588))*'Business Case'!$B$7-'Business Case'!$B$8*(('Business Case'!D11*$C588*'Business Case'!D12*$B588)-('Business Case'!C11*$C588*'Business Case'!C12*$B588))-'Business Case'!D15*$F588</f>
        <v>309261257.75996</v>
      </c>
      <c r="K588" s="39" t="n">
        <f aca="false">(('Business Case'!E11*$C588*'Business Case'!E12*$B588)-'Business Case'!E11*$C588*'Business Case'!E13*$D588-'Business Case'!E14*$E588)-MAX(0,(('Business Case'!E11*$C588*'Business Case'!E12*$B588)-'Business Case'!E11*$C588*'Business Case'!E13*$D588-'Business Case'!E14*$E588))*'Business Case'!$B$7-'Business Case'!$B$8*(('Business Case'!E11*$C588*'Business Case'!E12*$B588)-('Business Case'!D11*$C588*'Business Case'!D12*$B588))-'Business Case'!E15*$F588</f>
        <v>666674312.044911</v>
      </c>
      <c r="L588" s="39" t="n">
        <f aca="false">(('Business Case'!F11*$C588*'Business Case'!F12*$B588)-'Business Case'!F11*$C588*'Business Case'!F13*$D588-'Business Case'!F14*$E588)-MAX(0,(('Business Case'!F11*$C588*'Business Case'!F12*$B588)-'Business Case'!F11*$C588*'Business Case'!F13*$D588-'Business Case'!F14*$E588))*'Business Case'!$B$7-'Business Case'!$B$8*(('Business Case'!F11*$C588*'Business Case'!F12*$B588)-('Business Case'!E11*$C588*'Business Case'!E12*$B588))-'Business Case'!F15*$F588</f>
        <v>803164953.27833</v>
      </c>
      <c r="M588" s="39" t="n">
        <f aca="false">(('Business Case'!G11*$C588*'Business Case'!G12*$B588)-'Business Case'!G11*$C588*'Business Case'!G13*$D588-'Business Case'!G14*$E588)-MAX(0,(('Business Case'!G11*$C588*'Business Case'!G12*$B588)-'Business Case'!G11*$C588*'Business Case'!G13*$D588-'Business Case'!G14*$E588))*'Business Case'!$B$7-'Business Case'!$B$8*(('Business Case'!G11*$C588*'Business Case'!G12*$B588)-('Business Case'!F11*$C588*'Business Case'!F12*$B588))-'Business Case'!G15*$F588+'Business Case'!$B$8*('Business Case'!G11*$C588*'Business Case'!G12*$B588)</f>
        <v>994187783.255775</v>
      </c>
      <c r="N588" s="39" t="n">
        <f aca="false">IF(COUNT('Business Case'!B11:G11)=0,"",H588+NPV(G588,I588:M588))</f>
        <v>-211277691.879674</v>
      </c>
      <c r="P588" s="40" t="n">
        <f aca="true">RAND()</f>
        <v>0.630211752480485</v>
      </c>
      <c r="Q588" s="40" t="n">
        <f aca="true">RAND()</f>
        <v>0.611552309199767</v>
      </c>
      <c r="R588" s="40" t="n">
        <f aca="true">RAND()</f>
        <v>0.450039841929062</v>
      </c>
      <c r="S588" s="40" t="n">
        <f aca="true">RAND()</f>
        <v>0.564444337933418</v>
      </c>
      <c r="T588" s="40" t="n">
        <f aca="true">RAND()</f>
        <v>0.505184721140471</v>
      </c>
      <c r="U588" s="40" t="n">
        <f aca="true">RAND()</f>
        <v>0.758273999771351</v>
      </c>
    </row>
    <row r="589" customFormat="false" ht="15" hidden="false" customHeight="false" outlineLevel="0" collapsed="false">
      <c r="A589" s="36" t="n">
        <v>509</v>
      </c>
      <c r="B589" s="37" t="n">
        <f aca="false">1+IF($G$6=$E$6,$F$6,IF(P589&lt;($F$6-$E$6)/($G$6-$E$6),$E$6+SQRT(P589*($G$6-$E$6)*($F$6-$E$6)),$G$6-SQRT((1-P589)*($G$6-$E$6)*($G$6-$F$6))))</f>
        <v>0.974624663472568</v>
      </c>
      <c r="C589" s="37" t="n">
        <f aca="false">1+IF($G$7=$E$7,$F$7,IF(Q589&lt;($F$7-$E$7)/($G$7-$E$7),$E$7+SQRT(Q589*($G$7-$E$7)*($F$7-$E$7)),$G$7-SQRT((1-Q589)*($G$7-$E$7)*($G$7-$F$7))))</f>
        <v>1.03528035876412</v>
      </c>
      <c r="D589" s="37" t="n">
        <f aca="false">1+IF($G$8=$E$8,$F$8,IF(R589&lt;($F$8-$E$8)/($G$8-$E$8),$E$8+SQRT(R589*($G$8-$E$8)*($F$8-$E$8)),$G$8-SQRT((1-R589)*($G$8-$E$8)*($G$8-$F$8))))</f>
        <v>1.04984599185212</v>
      </c>
      <c r="E589" s="37" t="n">
        <f aca="false">1+IF($G$9=$E$9,$F$9,IF(S589&lt;($F$9-$E$9)/($G$9-$E$9),$E$9+SQRT(S589*($G$9-$E$9)*($F$9-$E$9)),$G$9-SQRT((1-S589)*($G$9-$E$9)*($G$9-$F$9))))</f>
        <v>1.09334155128568</v>
      </c>
      <c r="F589" s="37" t="n">
        <f aca="false">1+IF($G$10=$E$10,$F$10,IF(T589&lt;($F$10-$E$10)/($G$10-$E$10),$E$10+SQRT(T589*($G$10-$E$10)*($F$10-$E$10)),$G$10-SQRT((1-T589)*($G$10-$E$10)*($G$10-$F$10))))</f>
        <v>1.02630158850525</v>
      </c>
      <c r="G589" s="38" t="n">
        <f aca="false">IF($G$11=$E$11,$F$11,IF(U589&lt;($F$11-$E$11)/($G$11-$E$11),$E$11+SQRT(U589*($G$11-$E$11)*($F$11-$E$11)),$G$11-SQRT((1-U589)*($G$11-$E$11)*($G$11-$F$11))))</f>
        <v>0.0919886370113099</v>
      </c>
      <c r="H589" s="39" t="n">
        <f aca="false">(('Business Case'!B11*$C589*'Business Case'!B12*$B589)-'Business Case'!B11*$C589*'Business Case'!B13*$D589-'Business Case'!B14*$E589)-MAX(0,(('Business Case'!B11*$C589*'Business Case'!B12*$B589)-'Business Case'!B11*$C589*'Business Case'!B13*$D589-'Business Case'!B14*$E589))*'Business Case'!$B$7-'Business Case'!$B$8*('Business Case'!B11*$C589*'Business Case'!B12*$B589)-'Business Case'!B15*$F589</f>
        <v>-2052603177.0105</v>
      </c>
      <c r="I589" s="39" t="n">
        <f aca="false">(('Business Case'!C11*$C589*'Business Case'!C12*$B589)-'Business Case'!C11*$C589*'Business Case'!C13*$D589-'Business Case'!C14*$E589)-MAX(0,(('Business Case'!C11*$C589*'Business Case'!C12*$B589)-'Business Case'!C11*$C589*'Business Case'!C13*$D589-'Business Case'!C14*$E589))*'Business Case'!$B$7-'Business Case'!$B$8*(('Business Case'!C11*$C589*'Business Case'!C12*$B589)-('Business Case'!B11*$C589*'Business Case'!B12*$B589))-'Business Case'!C15*$F589</f>
        <v>-40356878.5919759</v>
      </c>
      <c r="J589" s="39" t="n">
        <f aca="false">(('Business Case'!D11*$C589*'Business Case'!D12*$B589)-'Business Case'!D11*$C589*'Business Case'!D13*$D589-'Business Case'!D14*$E589)-MAX(0,(('Business Case'!D11*$C589*'Business Case'!D12*$B589)-'Business Case'!D11*$C589*'Business Case'!D13*$D589-'Business Case'!D14*$E589))*'Business Case'!$B$7-'Business Case'!$B$8*(('Business Case'!D11*$C589*'Business Case'!D12*$B589)-('Business Case'!C11*$C589*'Business Case'!C12*$B589))-'Business Case'!D15*$F589</f>
        <v>229696636.801528</v>
      </c>
      <c r="K589" s="39" t="n">
        <f aca="false">(('Business Case'!E11*$C589*'Business Case'!E12*$B589)-'Business Case'!E11*$C589*'Business Case'!E13*$D589-'Business Case'!E14*$E589)-MAX(0,(('Business Case'!E11*$C589*'Business Case'!E12*$B589)-'Business Case'!E11*$C589*'Business Case'!E13*$D589-'Business Case'!E14*$E589))*'Business Case'!$B$7-'Business Case'!$B$8*(('Business Case'!E11*$C589*'Business Case'!E12*$B589)-('Business Case'!D11*$C589*'Business Case'!D12*$B589))-'Business Case'!E15*$F589</f>
        <v>551065231.620296</v>
      </c>
      <c r="L589" s="39" t="n">
        <f aca="false">(('Business Case'!F11*$C589*'Business Case'!F12*$B589)-'Business Case'!F11*$C589*'Business Case'!F13*$D589-'Business Case'!F14*$E589)-MAX(0,(('Business Case'!F11*$C589*'Business Case'!F12*$B589)-'Business Case'!F11*$C589*'Business Case'!F13*$D589-'Business Case'!F14*$E589))*'Business Case'!$B$7-'Business Case'!$B$8*(('Business Case'!F11*$C589*'Business Case'!F12*$B589)-('Business Case'!E11*$C589*'Business Case'!E12*$B589))-'Business Case'!F15*$F589</f>
        <v>675954447.77955</v>
      </c>
      <c r="M589" s="39" t="n">
        <f aca="false">(('Business Case'!G11*$C589*'Business Case'!G12*$B589)-'Business Case'!G11*$C589*'Business Case'!G13*$D589-'Business Case'!G14*$E589)-MAX(0,(('Business Case'!G11*$C589*'Business Case'!G12*$B589)-'Business Case'!G11*$C589*'Business Case'!G13*$D589-'Business Case'!G14*$E589))*'Business Case'!$B$7-'Business Case'!$B$8*(('Business Case'!G11*$C589*'Business Case'!G12*$B589)-('Business Case'!F11*$C589*'Business Case'!F12*$B589))-'Business Case'!G15*$F589+'Business Case'!$B$8*('Business Case'!G11*$C589*'Business Case'!G12*$B589)</f>
        <v>867747025.100696</v>
      </c>
      <c r="N589" s="39" t="n">
        <f aca="false">IF(COUNT('Business Case'!B11:G11)=0,"",H589+NPV(G589,I589:M589))</f>
        <v>-439486143.323776</v>
      </c>
      <c r="P589" s="40" t="n">
        <f aca="true">RAND()</f>
        <v>0.310818110363677</v>
      </c>
      <c r="Q589" s="40" t="n">
        <f aca="true">RAND()</f>
        <v>0.749321979327816</v>
      </c>
      <c r="R589" s="40" t="n">
        <f aca="true">RAND()</f>
        <v>0.912570749290159</v>
      </c>
      <c r="S589" s="40" t="n">
        <f aca="true">RAND()</f>
        <v>0.997044337381255</v>
      </c>
      <c r="T589" s="40" t="n">
        <f aca="true">RAND()</f>
        <v>0.396577236884022</v>
      </c>
      <c r="U589" s="40" t="n">
        <f aca="true">RAND()</f>
        <v>0.0131822572091717</v>
      </c>
    </row>
    <row r="590" customFormat="false" ht="15" hidden="false" customHeight="false" outlineLevel="0" collapsed="false">
      <c r="A590" s="36" t="n">
        <v>510</v>
      </c>
      <c r="B590" s="37" t="n">
        <f aca="false">1+IF($G$6=$E$6,$F$6,IF(P590&lt;($F$6-$E$6)/($G$6-$E$6),$E$6+SQRT(P590*($G$6-$E$6)*($F$6-$E$6)),$G$6-SQRT((1-P590)*($G$6-$E$6)*($G$6-$F$6))))</f>
        <v>0.953399729615424</v>
      </c>
      <c r="C590" s="37" t="n">
        <f aca="false">1+IF($G$7=$E$7,$F$7,IF(Q590&lt;($F$7-$E$7)/($G$7-$E$7),$E$7+SQRT(Q590*($G$7-$E$7)*($F$7-$E$7)),$G$7-SQRT((1-Q590)*($G$7-$E$7)*($G$7-$F$7))))</f>
        <v>1.03640708174573</v>
      </c>
      <c r="D590" s="37" t="n">
        <f aca="false">1+IF($G$8=$E$8,$F$8,IF(R590&lt;($F$8-$E$8)/($G$8-$E$8),$E$8+SQRT(R590*($G$8-$E$8)*($F$8-$E$8)),$G$8-SQRT((1-R590)*($G$8-$E$8)*($G$8-$F$8))))</f>
        <v>1.03166703487283</v>
      </c>
      <c r="E590" s="37" t="n">
        <f aca="false">1+IF($G$9=$E$9,$F$9,IF(S590&lt;($F$9-$E$9)/($G$9-$E$9),$E$9+SQRT(S590*($G$9-$E$9)*($F$9-$E$9)),$G$9-SQRT((1-S590)*($G$9-$E$9)*($G$9-$F$9))))</f>
        <v>1.02165838770825</v>
      </c>
      <c r="F590" s="37" t="n">
        <f aca="false">1+IF($G$10=$E$10,$F$10,IF(T590&lt;($F$10-$E$10)/($G$10-$E$10),$E$10+SQRT(T590*($G$10-$E$10)*($F$10-$E$10)),$G$10-SQRT((1-T590)*($G$10-$E$10)*($G$10-$F$10))))</f>
        <v>0.99411011198725</v>
      </c>
      <c r="G590" s="38" t="n">
        <f aca="false">IF($G$11=$E$11,$F$11,IF(U590&lt;($F$11-$E$11)/($G$11-$E$11),$E$11+SQRT(U590*($G$11-$E$11)*($F$11-$E$11)),$G$11-SQRT((1-U590)*($G$11-$E$11)*($G$11-$F$11))))</f>
        <v>0.11405594819798</v>
      </c>
      <c r="H590" s="39" t="n">
        <f aca="false">(('Business Case'!B11*$C590*'Business Case'!B12*$B590)-'Business Case'!B11*$C590*'Business Case'!B13*$D590-'Business Case'!B14*$E590)-MAX(0,(('Business Case'!B11*$C590*'Business Case'!B12*$B590)-'Business Case'!B11*$C590*'Business Case'!B13*$D590-'Business Case'!B14*$E590))*'Business Case'!$B$7-'Business Case'!$B$8*('Business Case'!B11*$C590*'Business Case'!B12*$B590)-'Business Case'!B15*$F590</f>
        <v>-1988220223.9745</v>
      </c>
      <c r="I590" s="39" t="n">
        <f aca="false">(('Business Case'!C11*$C590*'Business Case'!C12*$B590)-'Business Case'!C11*$C590*'Business Case'!C13*$D590-'Business Case'!C14*$E590)-MAX(0,(('Business Case'!C11*$C590*'Business Case'!C12*$B590)-'Business Case'!C11*$C590*'Business Case'!C13*$D590-'Business Case'!C14*$E590))*'Business Case'!$B$7-'Business Case'!$B$8*(('Business Case'!C11*$C590*'Business Case'!C12*$B590)-('Business Case'!B11*$C590*'Business Case'!B12*$B590))-'Business Case'!C15*$F590</f>
        <v>-33939741.3531583</v>
      </c>
      <c r="J590" s="39" t="n">
        <f aca="false">(('Business Case'!D11*$C590*'Business Case'!D12*$B590)-'Business Case'!D11*$C590*'Business Case'!D13*$D590-'Business Case'!D14*$E590)-MAX(0,(('Business Case'!D11*$C590*'Business Case'!D12*$B590)-'Business Case'!D11*$C590*'Business Case'!D13*$D590-'Business Case'!D14*$E590))*'Business Case'!$B$7-'Business Case'!$B$8*(('Business Case'!D11*$C590*'Business Case'!D12*$B590)-('Business Case'!C11*$C590*'Business Case'!C12*$B590))-'Business Case'!D15*$F590</f>
        <v>228034985.625891</v>
      </c>
      <c r="K590" s="39" t="n">
        <f aca="false">(('Business Case'!E11*$C590*'Business Case'!E12*$B590)-'Business Case'!E11*$C590*'Business Case'!E13*$D590-'Business Case'!E14*$E590)-MAX(0,(('Business Case'!E11*$C590*'Business Case'!E12*$B590)-'Business Case'!E11*$C590*'Business Case'!E13*$D590-'Business Case'!E14*$E590))*'Business Case'!$B$7-'Business Case'!$B$8*(('Business Case'!E11*$C590*'Business Case'!E12*$B590)-('Business Case'!D11*$C590*'Business Case'!D12*$B590))-'Business Case'!E15*$F590</f>
        <v>539715218.204303</v>
      </c>
      <c r="L590" s="39" t="n">
        <f aca="false">(('Business Case'!F11*$C590*'Business Case'!F12*$B590)-'Business Case'!F11*$C590*'Business Case'!F13*$D590-'Business Case'!F14*$E590)-MAX(0,(('Business Case'!F11*$C590*'Business Case'!F12*$B590)-'Business Case'!F11*$C590*'Business Case'!F13*$D590-'Business Case'!F14*$E590))*'Business Case'!$B$7-'Business Case'!$B$8*(('Business Case'!F11*$C590*'Business Case'!F12*$B590)-('Business Case'!E11*$C590*'Business Case'!E12*$B590))-'Business Case'!F15*$F590</f>
        <v>661189216.798232</v>
      </c>
      <c r="M590" s="39" t="n">
        <f aca="false">(('Business Case'!G11*$C590*'Business Case'!G12*$B590)-'Business Case'!G11*$C590*'Business Case'!G13*$D590-'Business Case'!G14*$E590)-MAX(0,(('Business Case'!G11*$C590*'Business Case'!G12*$B590)-'Business Case'!G11*$C590*'Business Case'!G13*$D590-'Business Case'!G14*$E590))*'Business Case'!$B$7-'Business Case'!$B$8*(('Business Case'!G11*$C590*'Business Case'!G12*$B590)-('Business Case'!F11*$C590*'Business Case'!F12*$B590))-'Business Case'!G15*$F590+'Business Case'!$B$8*('Business Case'!G11*$C590*'Business Case'!G12*$B590)</f>
        <v>849009209.603252</v>
      </c>
      <c r="N590" s="39" t="n">
        <f aca="false">IF(COUNT('Business Case'!B11:G11)=0,"",H590+NPV(G590,I590:M590))</f>
        <v>-520633559.837879</v>
      </c>
      <c r="P590" s="40" t="n">
        <f aca="true">RAND()</f>
        <v>0.116202285248271</v>
      </c>
      <c r="Q590" s="40" t="n">
        <f aca="true">RAND()</f>
        <v>0.75422188423771</v>
      </c>
      <c r="R590" s="40" t="n">
        <f aca="true">RAND()</f>
        <v>0.775377354039933</v>
      </c>
      <c r="S590" s="40" t="n">
        <f aca="true">RAND()</f>
        <v>0.590839452235291</v>
      </c>
      <c r="T590" s="40" t="n">
        <f aca="true">RAND()</f>
        <v>0.155656158362218</v>
      </c>
      <c r="U590" s="40" t="n">
        <f aca="true">RAND()</f>
        <v>0.94111374695817</v>
      </c>
    </row>
    <row r="591" customFormat="false" ht="15" hidden="false" customHeight="false" outlineLevel="0" collapsed="false">
      <c r="A591" s="36" t="n">
        <v>511</v>
      </c>
      <c r="B591" s="37" t="n">
        <f aca="false">1+IF($G$6=$E$6,$F$6,IF(P591&lt;($F$6-$E$6)/($G$6-$E$6),$E$6+SQRT(P591*($G$6-$E$6)*($F$6-$E$6)),$G$6-SQRT((1-P591)*($G$6-$E$6)*($G$6-$F$6))))</f>
        <v>1.01536183782312</v>
      </c>
      <c r="C591" s="37" t="n">
        <f aca="false">1+IF($G$7=$E$7,$F$7,IF(Q591&lt;($F$7-$E$7)/($G$7-$E$7),$E$7+SQRT(Q591*($G$7-$E$7)*($F$7-$E$7)),$G$7-SQRT((1-Q591)*($G$7-$E$7)*($G$7-$F$7))))</f>
        <v>0.979126943427318</v>
      </c>
      <c r="D591" s="37" t="n">
        <f aca="false">1+IF($G$8=$E$8,$F$8,IF(R591&lt;($F$8-$E$8)/($G$8-$E$8),$E$8+SQRT(R591*($G$8-$E$8)*($F$8-$E$8)),$G$8-SQRT((1-R591)*($G$8-$E$8)*($G$8-$F$8))))</f>
        <v>1.06113337061862</v>
      </c>
      <c r="E591" s="37" t="n">
        <f aca="false">1+IF($G$9=$E$9,$F$9,IF(S591&lt;($F$9-$E$9)/($G$9-$E$9),$E$9+SQRT(S591*($G$9-$E$9)*($F$9-$E$9)),$G$9-SQRT((1-S591)*($G$9-$E$9)*($G$9-$F$9))))</f>
        <v>1.01214568186751</v>
      </c>
      <c r="F591" s="37" t="n">
        <f aca="false">1+IF($G$10=$E$10,$F$10,IF(T591&lt;($F$10-$E$10)/($G$10-$E$10),$E$10+SQRT(T591*($G$10-$E$10)*($F$10-$E$10)),$G$10-SQRT((1-T591)*($G$10-$E$10)*($G$10-$F$10))))</f>
        <v>1.01457286128306</v>
      </c>
      <c r="G591" s="38" t="n">
        <f aca="false">IF($G$11=$E$11,$F$11,IF(U591&lt;($F$11-$E$11)/($G$11-$E$11),$E$11+SQRT(U591*($G$11-$E$11)*($F$11-$E$11)),$G$11-SQRT((1-U591)*($G$11-$E$11)*($G$11-$F$11))))</f>
        <v>0.103694850698705</v>
      </c>
      <c r="H591" s="39" t="n">
        <f aca="false">(('Business Case'!B11*$C591*'Business Case'!B12*$B591)-'Business Case'!B11*$C591*'Business Case'!B13*$D591-'Business Case'!B14*$E591)-MAX(0,(('Business Case'!B11*$C591*'Business Case'!B12*$B591)-'Business Case'!B11*$C591*'Business Case'!B13*$D591-'Business Case'!B14*$E591))*'Business Case'!$B$7-'Business Case'!$B$8*('Business Case'!B11*$C591*'Business Case'!B12*$B591)-'Business Case'!B15*$F591</f>
        <v>-2029145722.56613</v>
      </c>
      <c r="I591" s="39" t="n">
        <f aca="false">(('Business Case'!C11*$C591*'Business Case'!C12*$B591)-'Business Case'!C11*$C591*'Business Case'!C13*$D591-'Business Case'!C14*$E591)-MAX(0,(('Business Case'!C11*$C591*'Business Case'!C12*$B591)-'Business Case'!C11*$C591*'Business Case'!C13*$D591-'Business Case'!C14*$E591))*'Business Case'!$B$7-'Business Case'!$B$8*(('Business Case'!C11*$C591*'Business Case'!C12*$B591)-('Business Case'!B11*$C591*'Business Case'!B12*$B591))-'Business Case'!C15*$F591</f>
        <v>-14503626.6853864</v>
      </c>
      <c r="J591" s="39" t="n">
        <f aca="false">(('Business Case'!D11*$C591*'Business Case'!D12*$B591)-'Business Case'!D11*$C591*'Business Case'!D13*$D591-'Business Case'!D14*$E591)-MAX(0,(('Business Case'!D11*$C591*'Business Case'!D12*$B591)-'Business Case'!D11*$C591*'Business Case'!D13*$D591-'Business Case'!D14*$E591))*'Business Case'!$B$7-'Business Case'!$B$8*(('Business Case'!D11*$C591*'Business Case'!D12*$B591)-('Business Case'!C11*$C591*'Business Case'!C12*$B591))-'Business Case'!D15*$F591</f>
        <v>267914824.720361</v>
      </c>
      <c r="K591" s="39" t="n">
        <f aca="false">(('Business Case'!E11*$C591*'Business Case'!E12*$B591)-'Business Case'!E11*$C591*'Business Case'!E13*$D591-'Business Case'!E14*$E591)-MAX(0,(('Business Case'!E11*$C591*'Business Case'!E12*$B591)-'Business Case'!E11*$C591*'Business Case'!E13*$D591-'Business Case'!E14*$E591))*'Business Case'!$B$7-'Business Case'!$B$8*(('Business Case'!E11*$C591*'Business Case'!E12*$B591)-('Business Case'!D11*$C591*'Business Case'!D12*$B591))-'Business Case'!E15*$F591</f>
        <v>601061919.190261</v>
      </c>
      <c r="L591" s="39" t="n">
        <f aca="false">(('Business Case'!F11*$C591*'Business Case'!F12*$B591)-'Business Case'!F11*$C591*'Business Case'!F13*$D591-'Business Case'!F14*$E591)-MAX(0,(('Business Case'!F11*$C591*'Business Case'!F12*$B591)-'Business Case'!F11*$C591*'Business Case'!F13*$D591-'Business Case'!F14*$E591))*'Business Case'!$B$7-'Business Case'!$B$8*(('Business Case'!F11*$C591*'Business Case'!F12*$B591)-('Business Case'!E11*$C591*'Business Case'!E12*$B591))-'Business Case'!F15*$F591</f>
        <v>729559853.659689</v>
      </c>
      <c r="M591" s="39" t="n">
        <f aca="false">(('Business Case'!G11*$C591*'Business Case'!G12*$B591)-'Business Case'!G11*$C591*'Business Case'!G13*$D591-'Business Case'!G14*$E591)-MAX(0,(('Business Case'!G11*$C591*'Business Case'!G12*$B591)-'Business Case'!G11*$C591*'Business Case'!G13*$D591-'Business Case'!G14*$E591))*'Business Case'!$B$7-'Business Case'!$B$8*(('Business Case'!G11*$C591*'Business Case'!G12*$B591)-('Business Case'!F11*$C591*'Business Case'!F12*$B591))-'Business Case'!G15*$F591+'Business Case'!$B$8*('Business Case'!G11*$C591*'Business Case'!G12*$B591)</f>
        <v>918531332.331003</v>
      </c>
      <c r="N591" s="39" t="n">
        <f aca="false">IF(COUNT('Business Case'!B11:G11)=0,"",H591+NPV(G591,I591:M591))</f>
        <v>-322770164.72409</v>
      </c>
      <c r="P591" s="40" t="n">
        <f aca="true">RAND()</f>
        <v>0.873533534280392</v>
      </c>
      <c r="Q591" s="40" t="n">
        <f aca="true">RAND()</f>
        <v>0.458378026594479</v>
      </c>
      <c r="R591" s="40" t="n">
        <f aca="true">RAND()</f>
        <v>0.965774066902454</v>
      </c>
      <c r="S591" s="40" t="n">
        <f aca="true">RAND()</f>
        <v>0.485441252365013</v>
      </c>
      <c r="T591" s="40" t="n">
        <f aca="true">RAND()</f>
        <v>0.312335524544999</v>
      </c>
      <c r="U591" s="40" t="n">
        <f aca="true">RAND()</f>
        <v>0.556903510437441</v>
      </c>
    </row>
    <row r="592" customFormat="false" ht="15" hidden="false" customHeight="false" outlineLevel="0" collapsed="false">
      <c r="A592" s="36" t="n">
        <v>512</v>
      </c>
      <c r="B592" s="37" t="n">
        <f aca="false">1+IF($G$6=$E$6,$F$6,IF(P592&lt;($F$6-$E$6)/($G$6-$E$6),$E$6+SQRT(P592*($G$6-$E$6)*($F$6-$E$6)),$G$6-SQRT((1-P592)*($G$6-$E$6)*($G$6-$F$6))))</f>
        <v>0.960971714988335</v>
      </c>
      <c r="C592" s="37" t="n">
        <f aca="false">1+IF($G$7=$E$7,$F$7,IF(Q592&lt;($F$7-$E$7)/($G$7-$E$7),$E$7+SQRT(Q592*($G$7-$E$7)*($F$7-$E$7)),$G$7-SQRT((1-Q592)*($G$7-$E$7)*($G$7-$F$7))))</f>
        <v>1.01126060029846</v>
      </c>
      <c r="D592" s="37" t="n">
        <f aca="false">1+IF($G$8=$E$8,$F$8,IF(R592&lt;($F$8-$E$8)/($G$8-$E$8),$E$8+SQRT(R592*($G$8-$E$8)*($F$8-$E$8)),$G$8-SQRT((1-R592)*($G$8-$E$8)*($G$8-$F$8))))</f>
        <v>1.00874960201673</v>
      </c>
      <c r="E592" s="37" t="n">
        <f aca="false">1+IF($G$9=$E$9,$F$9,IF(S592&lt;($F$9-$E$9)/($G$9-$E$9),$E$9+SQRT(S592*($G$9-$E$9)*($F$9-$E$9)),$G$9-SQRT((1-S592)*($G$9-$E$9)*($G$9-$F$9))))</f>
        <v>0.975519447779896</v>
      </c>
      <c r="F592" s="37" t="n">
        <f aca="false">1+IF($G$10=$E$10,$F$10,IF(T592&lt;($F$10-$E$10)/($G$10-$E$10),$E$10+SQRT(T592*($G$10-$E$10)*($F$10-$E$10)),$G$10-SQRT((1-T592)*($G$10-$E$10)*($G$10-$F$10))))</f>
        <v>0.997016731588267</v>
      </c>
      <c r="G592" s="38" t="n">
        <f aca="false">IF($G$11=$E$11,$F$11,IF(U592&lt;($F$11-$E$11)/($G$11-$E$11),$E$11+SQRT(U592*($G$11-$E$11)*($F$11-$E$11)),$G$11-SQRT((1-U592)*($G$11-$E$11)*($G$11-$F$11))))</f>
        <v>0.11510882527135</v>
      </c>
      <c r="H592" s="39" t="n">
        <f aca="false">(('Business Case'!B11*$C592*'Business Case'!B12*$B592)-'Business Case'!B11*$C592*'Business Case'!B13*$D592-'Business Case'!B14*$E592)-MAX(0,(('Business Case'!B11*$C592*'Business Case'!B12*$B592)-'Business Case'!B11*$C592*'Business Case'!B13*$D592-'Business Case'!B14*$E592))*'Business Case'!$B$7-'Business Case'!$B$8*('Business Case'!B11*$C592*'Business Case'!B12*$B592)-'Business Case'!B15*$F592</f>
        <v>-1994033463.17653</v>
      </c>
      <c r="I592" s="39" t="n">
        <f aca="false">(('Business Case'!C11*$C592*'Business Case'!C12*$B592)-'Business Case'!C11*$C592*'Business Case'!C13*$D592-'Business Case'!C14*$E592)-MAX(0,(('Business Case'!C11*$C592*'Business Case'!C12*$B592)-'Business Case'!C11*$C592*'Business Case'!C13*$D592-'Business Case'!C14*$E592))*'Business Case'!$B$7-'Business Case'!$B$8*(('Business Case'!C11*$C592*'Business Case'!C12*$B592)-('Business Case'!B11*$C592*'Business Case'!B12*$B592))-'Business Case'!C15*$F592</f>
        <v>-15044039.5837304</v>
      </c>
      <c r="J592" s="39" t="n">
        <f aca="false">(('Business Case'!D11*$C592*'Business Case'!D12*$B592)-'Business Case'!D11*$C592*'Business Case'!D13*$D592-'Business Case'!D14*$E592)-MAX(0,(('Business Case'!D11*$C592*'Business Case'!D12*$B592)-'Business Case'!D11*$C592*'Business Case'!D13*$D592-'Business Case'!D14*$E592))*'Business Case'!$B$7-'Business Case'!$B$8*(('Business Case'!D11*$C592*'Business Case'!D12*$B592)-('Business Case'!C11*$C592*'Business Case'!C12*$B592))-'Business Case'!D15*$F592</f>
        <v>258710199.947514</v>
      </c>
      <c r="K592" s="39" t="n">
        <f aca="false">(('Business Case'!E11*$C592*'Business Case'!E12*$B592)-'Business Case'!E11*$C592*'Business Case'!E13*$D592-'Business Case'!E14*$E592)-MAX(0,(('Business Case'!E11*$C592*'Business Case'!E12*$B592)-'Business Case'!E11*$C592*'Business Case'!E13*$D592-'Business Case'!E14*$E592))*'Business Case'!$B$7-'Business Case'!$B$8*(('Business Case'!E11*$C592*'Business Case'!E12*$B592)-('Business Case'!D11*$C592*'Business Case'!D12*$B592))-'Business Case'!E15*$F592</f>
        <v>582315276.05817</v>
      </c>
      <c r="L592" s="39" t="n">
        <f aca="false">(('Business Case'!F11*$C592*'Business Case'!F12*$B592)-'Business Case'!F11*$C592*'Business Case'!F13*$D592-'Business Case'!F14*$E592)-MAX(0,(('Business Case'!F11*$C592*'Business Case'!F12*$B592)-'Business Case'!F11*$C592*'Business Case'!F13*$D592-'Business Case'!F14*$E592))*'Business Case'!$B$7-'Business Case'!$B$8*(('Business Case'!F11*$C592*'Business Case'!F12*$B592)-('Business Case'!E11*$C592*'Business Case'!E12*$B592))-'Business Case'!F15*$F592</f>
        <v>707151849.556482</v>
      </c>
      <c r="M592" s="39" t="n">
        <f aca="false">(('Business Case'!G11*$C592*'Business Case'!G12*$B592)-'Business Case'!G11*$C592*'Business Case'!G13*$D592-'Business Case'!G14*$E592)-MAX(0,(('Business Case'!G11*$C592*'Business Case'!G12*$B592)-'Business Case'!G11*$C592*'Business Case'!G13*$D592-'Business Case'!G14*$E592))*'Business Case'!$B$7-'Business Case'!$B$8*(('Business Case'!G11*$C592*'Business Case'!G12*$B592)-('Business Case'!F11*$C592*'Business Case'!F12*$B592))-'Business Case'!G15*$F592+'Business Case'!$B$8*('Business Case'!G11*$C592*'Business Case'!G12*$B592)</f>
        <v>891870231.323252</v>
      </c>
      <c r="N592" s="39" t="n">
        <f aca="false">IF(COUNT('Business Case'!B11:G11)=0,"",H592+NPV(G592,I592:M592))</f>
        <v>-404898114.33965</v>
      </c>
      <c r="P592" s="40" t="n">
        <f aca="true">RAND()</f>
        <v>0.174862648863059</v>
      </c>
      <c r="Q592" s="40" t="n">
        <f aca="true">RAND()</f>
        <v>0.633359599437288</v>
      </c>
      <c r="R592" s="40" t="n">
        <f aca="true">RAND()</f>
        <v>0.511863537233277</v>
      </c>
      <c r="S592" s="40" t="n">
        <f aca="true">RAND()</f>
        <v>0.0868322953321133</v>
      </c>
      <c r="T592" s="40" t="n">
        <f aca="true">RAND()</f>
        <v>0.176845843939449</v>
      </c>
      <c r="U592" s="40" t="n">
        <f aca="true">RAND()</f>
        <v>0.960127349623018</v>
      </c>
    </row>
    <row r="593" customFormat="false" ht="15" hidden="false" customHeight="false" outlineLevel="0" collapsed="false">
      <c r="A593" s="36" t="n">
        <v>513</v>
      </c>
      <c r="B593" s="37" t="n">
        <f aca="false">1+IF($G$6=$E$6,$F$6,IF(P593&lt;($F$6-$E$6)/($G$6-$E$6),$E$6+SQRT(P593*($G$6-$E$6)*($F$6-$E$6)),$G$6-SQRT((1-P593)*($G$6-$E$6)*($G$6-$F$6))))</f>
        <v>0.948743424836042</v>
      </c>
      <c r="C593" s="37" t="n">
        <f aca="false">1+IF($G$7=$E$7,$F$7,IF(Q593&lt;($F$7-$E$7)/($G$7-$E$7),$E$7+SQRT(Q593*($G$7-$E$7)*($F$7-$E$7)),$G$7-SQRT((1-Q593)*($G$7-$E$7)*($G$7-$F$7))))</f>
        <v>1.01934497746441</v>
      </c>
      <c r="D593" s="37" t="n">
        <f aca="false">1+IF($G$8=$E$8,$F$8,IF(R593&lt;($F$8-$E$8)/($G$8-$E$8),$E$8+SQRT(R593*($G$8-$E$8)*($F$8-$E$8)),$G$8-SQRT((1-R593)*($G$8-$E$8)*($G$8-$F$8))))</f>
        <v>0.982531410010526</v>
      </c>
      <c r="E593" s="37" t="n">
        <f aca="false">1+IF($G$9=$E$9,$F$9,IF(S593&lt;($F$9-$E$9)/($G$9-$E$9),$E$9+SQRT(S593*($G$9-$E$9)*($F$9-$E$9)),$G$9-SQRT((1-S593)*($G$9-$E$9)*($G$9-$F$9))))</f>
        <v>1.01169728415315</v>
      </c>
      <c r="F593" s="37" t="n">
        <f aca="false">1+IF($G$10=$E$10,$F$10,IF(T593&lt;($F$10-$E$10)/($G$10-$E$10),$E$10+SQRT(T593*($G$10-$E$10)*($F$10-$E$10)),$G$10-SQRT((1-T593)*($G$10-$E$10)*($G$10-$F$10))))</f>
        <v>1.07063073847234</v>
      </c>
      <c r="G593" s="38" t="n">
        <f aca="false">IF($G$11=$E$11,$F$11,IF(U593&lt;($F$11-$E$11)/($G$11-$E$11),$E$11+SQRT(U593*($G$11-$E$11)*($F$11-$E$11)),$G$11-SQRT((1-U593)*($G$11-$E$11)*($G$11-$F$11))))</f>
        <v>0.0977687369893505</v>
      </c>
      <c r="H593" s="39" t="n">
        <f aca="false">(('Business Case'!B11*$C593*'Business Case'!B12*$B593)-'Business Case'!B11*$C593*'Business Case'!B13*$D593-'Business Case'!B14*$E593)-MAX(0,(('Business Case'!B11*$C593*'Business Case'!B12*$B593)-'Business Case'!B11*$C593*'Business Case'!B13*$D593-'Business Case'!B14*$E593))*'Business Case'!$B$7-'Business Case'!$B$8*('Business Case'!B11*$C593*'Business Case'!B12*$B593)-'Business Case'!B15*$F593</f>
        <v>-2141261476.94467</v>
      </c>
      <c r="I593" s="39" t="n">
        <f aca="false">(('Business Case'!C11*$C593*'Business Case'!C12*$B593)-'Business Case'!C11*$C593*'Business Case'!C13*$D593-'Business Case'!C14*$E593)-MAX(0,(('Business Case'!C11*$C593*'Business Case'!C12*$B593)-'Business Case'!C11*$C593*'Business Case'!C13*$D593-'Business Case'!C14*$E593))*'Business Case'!$B$7-'Business Case'!$B$8*(('Business Case'!C11*$C593*'Business Case'!C12*$B593)-('Business Case'!B11*$C593*'Business Case'!B12*$B593))-'Business Case'!C15*$F593</f>
        <v>-21646348.4807939</v>
      </c>
      <c r="J593" s="39" t="n">
        <f aca="false">(('Business Case'!D11*$C593*'Business Case'!D12*$B593)-'Business Case'!D11*$C593*'Business Case'!D13*$D593-'Business Case'!D14*$E593)-MAX(0,(('Business Case'!D11*$C593*'Business Case'!D12*$B593)-'Business Case'!D11*$C593*'Business Case'!D13*$D593-'Business Case'!D14*$E593))*'Business Case'!$B$7-'Business Case'!$B$8*(('Business Case'!D11*$C593*'Business Case'!D12*$B593)-('Business Case'!C11*$C593*'Business Case'!C12*$B593))-'Business Case'!D15*$F593</f>
        <v>257768031.13749</v>
      </c>
      <c r="K593" s="39" t="n">
        <f aca="false">(('Business Case'!E11*$C593*'Business Case'!E12*$B593)-'Business Case'!E11*$C593*'Business Case'!E13*$D593-'Business Case'!E14*$E593)-MAX(0,(('Business Case'!E11*$C593*'Business Case'!E12*$B593)-'Business Case'!E11*$C593*'Business Case'!E13*$D593-'Business Case'!E14*$E593))*'Business Case'!$B$7-'Business Case'!$B$8*(('Business Case'!E11*$C593*'Business Case'!E12*$B593)-('Business Case'!D11*$C593*'Business Case'!D12*$B593))-'Business Case'!E15*$F593</f>
        <v>590713947.679391</v>
      </c>
      <c r="L593" s="39" t="n">
        <f aca="false">(('Business Case'!F11*$C593*'Business Case'!F12*$B593)-'Business Case'!F11*$C593*'Business Case'!F13*$D593-'Business Case'!F14*$E593)-MAX(0,(('Business Case'!F11*$C593*'Business Case'!F12*$B593)-'Business Case'!F11*$C593*'Business Case'!F13*$D593-'Business Case'!F14*$E593))*'Business Case'!$B$7-'Business Case'!$B$8*(('Business Case'!F11*$C593*'Business Case'!F12*$B593)-('Business Case'!E11*$C593*'Business Case'!E12*$B593))-'Business Case'!F15*$F593</f>
        <v>717274941.18233</v>
      </c>
      <c r="M593" s="39" t="n">
        <f aca="false">(('Business Case'!G11*$C593*'Business Case'!G12*$B593)-'Business Case'!G11*$C593*'Business Case'!G13*$D593-'Business Case'!G14*$E593)-MAX(0,(('Business Case'!G11*$C593*'Business Case'!G12*$B593)-'Business Case'!G11*$C593*'Business Case'!G13*$D593-'Business Case'!G14*$E593))*'Business Case'!$B$7-'Business Case'!$B$8*(('Business Case'!G11*$C593*'Business Case'!G12*$B593)-('Business Case'!F11*$C593*'Business Case'!F12*$B593))-'Business Case'!G15*$F593+'Business Case'!$B$8*('Business Case'!G11*$C593*'Business Case'!G12*$B593)</f>
        <v>901100709.481642</v>
      </c>
      <c r="N593" s="39" t="n">
        <f aca="false">IF(COUNT('Business Case'!B11:G11)=0,"",H593+NPV(G593,I593:M593))</f>
        <v>-441432218.165887</v>
      </c>
      <c r="P593" s="40" t="n">
        <f aca="true">RAND()</f>
        <v>0.0860608824276264</v>
      </c>
      <c r="Q593" s="40" t="n">
        <f aca="true">RAND()</f>
        <v>0.67484314449953</v>
      </c>
      <c r="R593" s="40" t="n">
        <f aca="true">RAND()</f>
        <v>0.162814251888147</v>
      </c>
      <c r="S593" s="40" t="n">
        <f aca="true">RAND()</f>
        <v>0.48017535827132</v>
      </c>
      <c r="T593" s="40" t="n">
        <f aca="true">RAND()</f>
        <v>0.665271883435739</v>
      </c>
      <c r="U593" s="40" t="n">
        <f aca="true">RAND()</f>
        <v>0.201177581365675</v>
      </c>
    </row>
    <row r="594" customFormat="false" ht="15" hidden="false" customHeight="false" outlineLevel="0" collapsed="false">
      <c r="A594" s="36" t="n">
        <v>514</v>
      </c>
      <c r="B594" s="37" t="n">
        <f aca="false">1+IF($G$6=$E$6,$F$6,IF(P594&lt;($F$6-$E$6)/($G$6-$E$6),$E$6+SQRT(P594*($G$6-$E$6)*($F$6-$E$6)),$G$6-SQRT((1-P594)*($G$6-$E$6)*($G$6-$F$6))))</f>
        <v>0.97807848277579</v>
      </c>
      <c r="C594" s="37" t="n">
        <f aca="false">1+IF($G$7=$E$7,$F$7,IF(Q594&lt;($F$7-$E$7)/($G$7-$E$7),$E$7+SQRT(Q594*($G$7-$E$7)*($F$7-$E$7)),$G$7-SQRT((1-Q594)*($G$7-$E$7)*($G$7-$F$7))))</f>
        <v>0.960843137223639</v>
      </c>
      <c r="D594" s="37" t="n">
        <f aca="false">1+IF($G$8=$E$8,$F$8,IF(R594&lt;($F$8-$E$8)/($G$8-$E$8),$E$8+SQRT(R594*($G$8-$E$8)*($F$8-$E$8)),$G$8-SQRT((1-R594)*($G$8-$E$8)*($G$8-$F$8))))</f>
        <v>1.00328272612263</v>
      </c>
      <c r="E594" s="37" t="n">
        <f aca="false">1+IF($G$9=$E$9,$F$9,IF(S594&lt;($F$9-$E$9)/($G$9-$E$9),$E$9+SQRT(S594*($G$9-$E$9)*($F$9-$E$9)),$G$9-SQRT((1-S594)*($G$9-$E$9)*($G$9-$F$9))))</f>
        <v>1.08369635469414</v>
      </c>
      <c r="F594" s="37" t="n">
        <f aca="false">1+IF($G$10=$E$10,$F$10,IF(T594&lt;($F$10-$E$10)/($G$10-$E$10),$E$10+SQRT(T594*($G$10-$E$10)*($F$10-$E$10)),$G$10-SQRT((1-T594)*($G$10-$E$10)*($G$10-$F$10))))</f>
        <v>1.05562655480088</v>
      </c>
      <c r="G594" s="38" t="n">
        <f aca="false">IF($G$11=$E$11,$F$11,IF(U594&lt;($F$11-$E$11)/($G$11-$E$11),$E$11+SQRT(U594*($G$11-$E$11)*($F$11-$E$11)),$G$11-SQRT((1-U594)*($G$11-$E$11)*($G$11-$F$11))))</f>
        <v>0.0992437888078275</v>
      </c>
      <c r="H594" s="39" t="n">
        <f aca="false">(('Business Case'!B11*$C594*'Business Case'!B12*$B594)-'Business Case'!B11*$C594*'Business Case'!B13*$D594-'Business Case'!B14*$E594)-MAX(0,(('Business Case'!B11*$C594*'Business Case'!B12*$B594)-'Business Case'!B11*$C594*'Business Case'!B13*$D594-'Business Case'!B14*$E594))*'Business Case'!$B$7-'Business Case'!$B$8*('Business Case'!B11*$C594*'Business Case'!B12*$B594)-'Business Case'!B15*$F594</f>
        <v>-2111253109.60177</v>
      </c>
      <c r="I594" s="39" t="n">
        <f aca="false">(('Business Case'!C11*$C594*'Business Case'!C12*$B594)-'Business Case'!C11*$C594*'Business Case'!C13*$D594-'Business Case'!C14*$E594)-MAX(0,(('Business Case'!C11*$C594*'Business Case'!C12*$B594)-'Business Case'!C11*$C594*'Business Case'!C13*$D594-'Business Case'!C14*$E594))*'Business Case'!$B$7-'Business Case'!$B$8*(('Business Case'!C11*$C594*'Business Case'!C12*$B594)-('Business Case'!B11*$C594*'Business Case'!B12*$B594))-'Business Case'!C15*$F594</f>
        <v>-32124498.9381654</v>
      </c>
      <c r="J594" s="39" t="n">
        <f aca="false">(('Business Case'!D11*$C594*'Business Case'!D12*$B594)-'Business Case'!D11*$C594*'Business Case'!D13*$D594-'Business Case'!D14*$E594)-MAX(0,(('Business Case'!D11*$C594*'Business Case'!D12*$B594)-'Business Case'!D11*$C594*'Business Case'!D13*$D594-'Business Case'!D14*$E594))*'Business Case'!$B$7-'Business Case'!$B$8*(('Business Case'!D11*$C594*'Business Case'!D12*$B594)-('Business Case'!C11*$C594*'Business Case'!C12*$B594))-'Business Case'!D15*$F594</f>
        <v>244133474.329353</v>
      </c>
      <c r="K594" s="39" t="n">
        <f aca="false">(('Business Case'!E11*$C594*'Business Case'!E12*$B594)-'Business Case'!E11*$C594*'Business Case'!E13*$D594-'Business Case'!E14*$E594)-MAX(0,(('Business Case'!E11*$C594*'Business Case'!E12*$B594)-'Business Case'!E11*$C594*'Business Case'!E13*$D594-'Business Case'!E14*$E594))*'Business Case'!$B$7-'Business Case'!$B$8*(('Business Case'!E11*$C594*'Business Case'!E12*$B594)-('Business Case'!D11*$C594*'Business Case'!D12*$B594))-'Business Case'!E15*$F594</f>
        <v>573172775.336916</v>
      </c>
      <c r="L594" s="39" t="n">
        <f aca="false">(('Business Case'!F11*$C594*'Business Case'!F12*$B594)-'Business Case'!F11*$C594*'Business Case'!F13*$D594-'Business Case'!F14*$E594)-MAX(0,(('Business Case'!F11*$C594*'Business Case'!F12*$B594)-'Business Case'!F11*$C594*'Business Case'!F13*$D594-'Business Case'!F14*$E594))*'Business Case'!$B$7-'Business Case'!$B$8*(('Business Case'!F11*$C594*'Business Case'!F12*$B594)-('Business Case'!E11*$C594*'Business Case'!E12*$B594))-'Business Case'!F15*$F594</f>
        <v>697737563.151482</v>
      </c>
      <c r="M594" s="39" t="n">
        <f aca="false">(('Business Case'!G11*$C594*'Business Case'!G12*$B594)-'Business Case'!G11*$C594*'Business Case'!G13*$D594-'Business Case'!G14*$E594)-MAX(0,(('Business Case'!G11*$C594*'Business Case'!G12*$B594)-'Business Case'!G11*$C594*'Business Case'!G13*$D594-'Business Case'!G14*$E594))*'Business Case'!$B$7-'Business Case'!$B$8*(('Business Case'!G11*$C594*'Business Case'!G12*$B594)-('Business Case'!F11*$C594*'Business Case'!F12*$B594))-'Business Case'!G15*$F594+'Business Case'!$B$8*('Business Case'!G11*$C594*'Business Case'!G12*$B594)</f>
        <v>876370945.141142</v>
      </c>
      <c r="N594" s="39" t="n">
        <f aca="false">IF(COUNT('Business Case'!B11:G11)=0,"",H594+NPV(G594,I594:M594))</f>
        <v>-483005245.131385</v>
      </c>
      <c r="P594" s="40" t="n">
        <f aca="true">RAND()</f>
        <v>0.351365641826846</v>
      </c>
      <c r="Q594" s="40" t="n">
        <f aca="true">RAND()</f>
        <v>0.369578782742033</v>
      </c>
      <c r="R594" s="40" t="n">
        <f aca="true">RAND()</f>
        <v>0.434082681617806</v>
      </c>
      <c r="S594" s="40" t="n">
        <f aca="true">RAND()</f>
        <v>0.98227940998271</v>
      </c>
      <c r="T594" s="40" t="n">
        <f aca="true">RAND()</f>
        <v>0.583126166426762</v>
      </c>
      <c r="U594" s="40" t="n">
        <f aca="true">RAND()</f>
        <v>0.28482543841239</v>
      </c>
    </row>
    <row r="595" customFormat="false" ht="15" hidden="false" customHeight="false" outlineLevel="0" collapsed="false">
      <c r="A595" s="36" t="n">
        <v>515</v>
      </c>
      <c r="B595" s="37" t="n">
        <f aca="false">1+IF($G$6=$E$6,$F$6,IF(P595&lt;($F$6-$E$6)/($G$6-$E$6),$E$6+SQRT(P595*($G$6-$E$6)*($F$6-$E$6)),$G$6-SQRT((1-P595)*($G$6-$E$6)*($G$6-$F$6))))</f>
        <v>1.00606774474964</v>
      </c>
      <c r="C595" s="37" t="n">
        <f aca="false">1+IF($G$7=$E$7,$F$7,IF(Q595&lt;($F$7-$E$7)/($G$7-$E$7),$E$7+SQRT(Q595*($G$7-$E$7)*($F$7-$E$7)),$G$7-SQRT((1-Q595)*($G$7-$E$7)*($G$7-$F$7))))</f>
        <v>0.966044748346558</v>
      </c>
      <c r="D595" s="37" t="n">
        <f aca="false">1+IF($G$8=$E$8,$F$8,IF(R595&lt;($F$8-$E$8)/($G$8-$E$8),$E$8+SQRT(R595*($G$8-$E$8)*($F$8-$E$8)),$G$8-SQRT((1-R595)*($G$8-$E$8)*($G$8-$F$8))))</f>
        <v>0.962884512719872</v>
      </c>
      <c r="E595" s="37" t="n">
        <f aca="false">1+IF($G$9=$E$9,$F$9,IF(S595&lt;($F$9-$E$9)/($G$9-$E$9),$E$9+SQRT(S595*($G$9-$E$9)*($F$9-$E$9)),$G$9-SQRT((1-S595)*($G$9-$E$9)*($G$9-$F$9))))</f>
        <v>1.00231434941805</v>
      </c>
      <c r="F595" s="37" t="n">
        <f aca="false">1+IF($G$10=$E$10,$F$10,IF(T595&lt;($F$10-$E$10)/($G$10-$E$10),$E$10+SQRT(T595*($G$10-$E$10)*($F$10-$E$10)),$G$10-SQRT((1-T595)*($G$10-$E$10)*($G$10-$F$10))))</f>
        <v>1.06120749435707</v>
      </c>
      <c r="G595" s="38" t="n">
        <f aca="false">IF($G$11=$E$11,$F$11,IF(U595&lt;($F$11-$E$11)/($G$11-$E$11),$E$11+SQRT(U595*($G$11-$E$11)*($F$11-$E$11)),$G$11-SQRT((1-U595)*($G$11-$E$11)*($G$11-$F$11))))</f>
        <v>0.0959253700499453</v>
      </c>
      <c r="H595" s="39" t="n">
        <f aca="false">(('Business Case'!B11*$C595*'Business Case'!B12*$B595)-'Business Case'!B11*$C595*'Business Case'!B13*$D595-'Business Case'!B14*$E595)-MAX(0,(('Business Case'!B11*$C595*'Business Case'!B12*$B595)-'Business Case'!B11*$C595*'Business Case'!B13*$D595-'Business Case'!B14*$E595))*'Business Case'!$B$7-'Business Case'!$B$8*('Business Case'!B11*$C595*'Business Case'!B12*$B595)-'Business Case'!B15*$F595</f>
        <v>-2122414988.71414</v>
      </c>
      <c r="I595" s="39" t="n">
        <f aca="false">(('Business Case'!C11*$C595*'Business Case'!C12*$B595)-'Business Case'!C11*$C595*'Business Case'!C13*$D595-'Business Case'!C14*$E595)-MAX(0,(('Business Case'!C11*$C595*'Business Case'!C12*$B595)-'Business Case'!C11*$C595*'Business Case'!C13*$D595-'Business Case'!C14*$E595))*'Business Case'!$B$7-'Business Case'!$B$8*(('Business Case'!C11*$C595*'Business Case'!C12*$B595)-('Business Case'!B11*$C595*'Business Case'!B12*$B595))-'Business Case'!C15*$F595</f>
        <v>20845265.6424764</v>
      </c>
      <c r="J595" s="39" t="n">
        <f aca="false">(('Business Case'!D11*$C595*'Business Case'!D12*$B595)-'Business Case'!D11*$C595*'Business Case'!D13*$D595-'Business Case'!D14*$E595)-MAX(0,(('Business Case'!D11*$C595*'Business Case'!D12*$B595)-'Business Case'!D11*$C595*'Business Case'!D13*$D595-'Business Case'!D14*$E595))*'Business Case'!$B$7-'Business Case'!$B$8*(('Business Case'!D11*$C595*'Business Case'!D12*$B595)-('Business Case'!C11*$C595*'Business Case'!C12*$B595))-'Business Case'!D15*$F595</f>
        <v>340724012.161504</v>
      </c>
      <c r="K595" s="39" t="n">
        <f aca="false">(('Business Case'!E11*$C595*'Business Case'!E12*$B595)-'Business Case'!E11*$C595*'Business Case'!E13*$D595-'Business Case'!E14*$E595)-MAX(0,(('Business Case'!E11*$C595*'Business Case'!E12*$B595)-'Business Case'!E11*$C595*'Business Case'!E13*$D595-'Business Case'!E14*$E595))*'Business Case'!$B$7-'Business Case'!$B$8*(('Business Case'!E11*$C595*'Business Case'!E12*$B595)-('Business Case'!D11*$C595*'Business Case'!D12*$B595))-'Business Case'!E15*$F595</f>
        <v>713663133.398386</v>
      </c>
      <c r="L595" s="39" t="n">
        <f aca="false">(('Business Case'!F11*$C595*'Business Case'!F12*$B595)-'Business Case'!F11*$C595*'Business Case'!F13*$D595-'Business Case'!F14*$E595)-MAX(0,(('Business Case'!F11*$C595*'Business Case'!F12*$B595)-'Business Case'!F11*$C595*'Business Case'!F13*$D595-'Business Case'!F14*$E595))*'Business Case'!$B$7-'Business Case'!$B$8*(('Business Case'!F11*$C595*'Business Case'!F12*$B595)-('Business Case'!E11*$C595*'Business Case'!E12*$B595))-'Business Case'!F15*$F595</f>
        <v>853878469.54046</v>
      </c>
      <c r="M595" s="39" t="n">
        <f aca="false">(('Business Case'!G11*$C595*'Business Case'!G12*$B595)-'Business Case'!G11*$C595*'Business Case'!G13*$D595-'Business Case'!G14*$E595)-MAX(0,(('Business Case'!G11*$C595*'Business Case'!G12*$B595)-'Business Case'!G11*$C595*'Business Case'!G13*$D595-'Business Case'!G14*$E595))*'Business Case'!$B$7-'Business Case'!$B$8*(('Business Case'!G11*$C595*'Business Case'!G12*$B595)-('Business Case'!F11*$C595*'Business Case'!F12*$B595))-'Business Case'!G15*$F595+'Business Case'!$B$8*('Business Case'!G11*$C595*'Business Case'!G12*$B595)</f>
        <v>1038618449.70365</v>
      </c>
      <c r="N595" s="39" t="n">
        <f aca="false">IF(COUNT('Business Case'!B11:G11)=0,"",H595+NPV(G595,I595:M595))</f>
        <v>-28606992.9385991</v>
      </c>
      <c r="P595" s="40" t="n">
        <f aca="true">RAND()</f>
        <v>0.760125427838419</v>
      </c>
      <c r="Q595" s="40" t="n">
        <f aca="true">RAND()</f>
        <v>0.393869406478168</v>
      </c>
      <c r="R595" s="40" t="n">
        <f aca="true">RAND()</f>
        <v>0.0255401027736211</v>
      </c>
      <c r="S595" s="40" t="n">
        <f aca="true">RAND()</f>
        <v>0.363834244692087</v>
      </c>
      <c r="T595" s="40" t="n">
        <f aca="true">RAND()</f>
        <v>0.614732807547141</v>
      </c>
      <c r="U595" s="40" t="n">
        <f aca="true">RAND()</f>
        <v>0.117033367429295</v>
      </c>
    </row>
    <row r="596" customFormat="false" ht="15" hidden="false" customHeight="false" outlineLevel="0" collapsed="false">
      <c r="A596" s="36" t="n">
        <v>516</v>
      </c>
      <c r="B596" s="37" t="n">
        <f aca="false">1+IF($G$6=$E$6,$F$6,IF(P596&lt;($F$6-$E$6)/($G$6-$E$6),$E$6+SQRT(P596*($G$6-$E$6)*($F$6-$E$6)),$G$6-SQRT((1-P596)*($G$6-$E$6)*($G$6-$F$6))))</f>
        <v>0.983581470181014</v>
      </c>
      <c r="C596" s="37" t="n">
        <f aca="false">1+IF($G$7=$E$7,$F$7,IF(Q596&lt;($F$7-$E$7)/($G$7-$E$7),$E$7+SQRT(Q596*($G$7-$E$7)*($F$7-$E$7)),$G$7-SQRT((1-Q596)*($G$7-$E$7)*($G$7-$F$7))))</f>
        <v>0.938025657003907</v>
      </c>
      <c r="D596" s="37" t="n">
        <f aca="false">1+IF($G$8=$E$8,$F$8,IF(R596&lt;($F$8-$E$8)/($G$8-$E$8),$E$8+SQRT(R596*($G$8-$E$8)*($F$8-$E$8)),$G$8-SQRT((1-R596)*($G$8-$E$8)*($G$8-$F$8))))</f>
        <v>1.02552619438009</v>
      </c>
      <c r="E596" s="37" t="n">
        <f aca="false">1+IF($G$9=$E$9,$F$9,IF(S596&lt;($F$9-$E$9)/($G$9-$E$9),$E$9+SQRT(S596*($G$9-$E$9)*($F$9-$E$9)),$G$9-SQRT((1-S596)*($G$9-$E$9)*($G$9-$F$9))))</f>
        <v>0.988387659271952</v>
      </c>
      <c r="F596" s="37" t="n">
        <f aca="false">1+IF($G$10=$E$10,$F$10,IF(T596&lt;($F$10-$E$10)/($G$10-$E$10),$E$10+SQRT(T596*($G$10-$E$10)*($F$10-$E$10)),$G$10-SQRT((1-T596)*($G$10-$E$10)*($G$10-$F$10))))</f>
        <v>1.0100939202577</v>
      </c>
      <c r="G596" s="38" t="n">
        <f aca="false">IF($G$11=$E$11,$F$11,IF(U596&lt;($F$11-$E$11)/($G$11-$E$11),$E$11+SQRT(U596*($G$11-$E$11)*($F$11-$E$11)),$G$11-SQRT((1-U596)*($G$11-$E$11)*($G$11-$F$11))))</f>
        <v>0.109170649446404</v>
      </c>
      <c r="H596" s="39" t="n">
        <f aca="false">(('Business Case'!B11*$C596*'Business Case'!B12*$B596)-'Business Case'!B11*$C596*'Business Case'!B13*$D596-'Business Case'!B14*$E596)-MAX(0,(('Business Case'!B11*$C596*'Business Case'!B12*$B596)-'Business Case'!B11*$C596*'Business Case'!B13*$D596-'Business Case'!B14*$E596))*'Business Case'!$B$7-'Business Case'!$B$8*('Business Case'!B11*$C596*'Business Case'!B12*$B596)-'Business Case'!B15*$F596</f>
        <v>-2020187840.5154</v>
      </c>
      <c r="I596" s="39" t="n">
        <f aca="false">(('Business Case'!C11*$C596*'Business Case'!C12*$B596)-'Business Case'!C11*$C596*'Business Case'!C13*$D596-'Business Case'!C14*$E596)-MAX(0,(('Business Case'!C11*$C596*'Business Case'!C12*$B596)-'Business Case'!C11*$C596*'Business Case'!C13*$D596-'Business Case'!C14*$E596))*'Business Case'!$B$7-'Business Case'!$B$8*(('Business Case'!C11*$C596*'Business Case'!C12*$B596)-('Business Case'!B11*$C596*'Business Case'!B12*$B596))-'Business Case'!C15*$F596</f>
        <v>-26142580.1610178</v>
      </c>
      <c r="J596" s="39" t="n">
        <f aca="false">(('Business Case'!D11*$C596*'Business Case'!D12*$B596)-'Business Case'!D11*$C596*'Business Case'!D13*$D596-'Business Case'!D14*$E596)-MAX(0,(('Business Case'!D11*$C596*'Business Case'!D12*$B596)-'Business Case'!D11*$C596*'Business Case'!D13*$D596-'Business Case'!D14*$E596))*'Business Case'!$B$7-'Business Case'!$B$8*(('Business Case'!D11*$C596*'Business Case'!D12*$B596)-('Business Case'!C11*$C596*'Business Case'!C12*$B596))-'Business Case'!D15*$F596</f>
        <v>237101818.956178</v>
      </c>
      <c r="K596" s="39" t="n">
        <f aca="false">(('Business Case'!E11*$C596*'Business Case'!E12*$B596)-'Business Case'!E11*$C596*'Business Case'!E13*$D596-'Business Case'!E14*$E596)-MAX(0,(('Business Case'!E11*$C596*'Business Case'!E12*$B596)-'Business Case'!E11*$C596*'Business Case'!E13*$D596-'Business Case'!E14*$E596))*'Business Case'!$B$7-'Business Case'!$B$8*(('Business Case'!E11*$C596*'Business Case'!E12*$B596)-('Business Case'!D11*$C596*'Business Case'!D12*$B596))-'Business Case'!E15*$F596</f>
        <v>550850914.086259</v>
      </c>
      <c r="L596" s="39" t="n">
        <f aca="false">(('Business Case'!F11*$C596*'Business Case'!F12*$B596)-'Business Case'!F11*$C596*'Business Case'!F13*$D596-'Business Case'!F14*$E596)-MAX(0,(('Business Case'!F11*$C596*'Business Case'!F12*$B596)-'Business Case'!F11*$C596*'Business Case'!F13*$D596-'Business Case'!F14*$E596))*'Business Case'!$B$7-'Business Case'!$B$8*(('Business Case'!F11*$C596*'Business Case'!F12*$B596)-('Business Case'!E11*$C596*'Business Case'!E12*$B596))-'Business Case'!F15*$F596</f>
        <v>670484955.194639</v>
      </c>
      <c r="M596" s="39" t="n">
        <f aca="false">(('Business Case'!G11*$C596*'Business Case'!G12*$B596)-'Business Case'!G11*$C596*'Business Case'!G13*$D596-'Business Case'!G14*$E596)-MAX(0,(('Business Case'!G11*$C596*'Business Case'!G12*$B596)-'Business Case'!G11*$C596*'Business Case'!G13*$D596-'Business Case'!G14*$E596))*'Business Case'!$B$7-'Business Case'!$B$8*(('Business Case'!G11*$C596*'Business Case'!G12*$B596)-('Business Case'!F11*$C596*'Business Case'!F12*$B596))-'Business Case'!G15*$F596+'Business Case'!$B$8*('Business Case'!G11*$C596*'Business Case'!G12*$B596)</f>
        <v>845857449.575871</v>
      </c>
      <c r="N596" s="39" t="n">
        <f aca="false">IF(COUNT('Business Case'!B11:G11)=0,"",H596+NPV(G596,I596:M596))</f>
        <v>-500504275.617098</v>
      </c>
      <c r="P596" s="40" t="n">
        <f aca="true">RAND()</f>
        <v>0.421104515664502</v>
      </c>
      <c r="Q596" s="40" t="n">
        <f aca="true">RAND()</f>
        <v>0.272158314162287</v>
      </c>
      <c r="R596" s="40" t="n">
        <f aca="true">RAND()</f>
        <v>0.714673509738833</v>
      </c>
      <c r="S596" s="40" t="n">
        <f aca="true">RAND()</f>
        <v>0.196481651250593</v>
      </c>
      <c r="T596" s="40" t="n">
        <f aca="true">RAND()</f>
        <v>0.27871361753822</v>
      </c>
      <c r="U596" s="40" t="n">
        <f aca="true">RAND()</f>
        <v>0.804541944312204</v>
      </c>
    </row>
    <row r="597" customFormat="false" ht="15" hidden="false" customHeight="false" outlineLevel="0" collapsed="false">
      <c r="A597" s="36" t="n">
        <v>517</v>
      </c>
      <c r="B597" s="37" t="n">
        <f aca="false">1+IF($G$6=$E$6,$F$6,IF(P597&lt;($F$6-$E$6)/($G$6-$E$6),$E$6+SQRT(P597*($G$6-$E$6)*($F$6-$E$6)),$G$6-SQRT((1-P597)*($G$6-$E$6)*($G$6-$F$6))))</f>
        <v>0.962739416260966</v>
      </c>
      <c r="C597" s="37" t="n">
        <f aca="false">1+IF($G$7=$E$7,$F$7,IF(Q597&lt;($F$7-$E$7)/($G$7-$E$7),$E$7+SQRT(Q597*($G$7-$E$7)*($F$7-$E$7)),$G$7-SQRT((1-Q597)*($G$7-$E$7)*($G$7-$F$7))))</f>
        <v>1.06208837999418</v>
      </c>
      <c r="D597" s="37" t="n">
        <f aca="false">1+IF($G$8=$E$8,$F$8,IF(R597&lt;($F$8-$E$8)/($G$8-$E$8),$E$8+SQRT(R597*($G$8-$E$8)*($F$8-$E$8)),$G$8-SQRT((1-R597)*($G$8-$E$8)*($G$8-$F$8))))</f>
        <v>1.05217295869147</v>
      </c>
      <c r="E597" s="37" t="n">
        <f aca="false">1+IF($G$9=$E$9,$F$9,IF(S597&lt;($F$9-$E$9)/($G$9-$E$9),$E$9+SQRT(S597*($G$9-$E$9)*($F$9-$E$9)),$G$9-SQRT((1-S597)*($G$9-$E$9)*($G$9-$F$9))))</f>
        <v>0.996704626923576</v>
      </c>
      <c r="F597" s="37" t="n">
        <f aca="false">1+IF($G$10=$E$10,$F$10,IF(T597&lt;($F$10-$E$10)/($G$10-$E$10),$E$10+SQRT(T597*($G$10-$E$10)*($F$10-$E$10)),$G$10-SQRT((1-T597)*($G$10-$E$10)*($G$10-$F$10))))</f>
        <v>1.00410136836971</v>
      </c>
      <c r="G597" s="38" t="n">
        <f aca="false">IF($G$11=$E$11,$F$11,IF(U597&lt;($F$11-$E$11)/($G$11-$E$11),$E$11+SQRT(U597*($G$11-$E$11)*($F$11-$E$11)),$G$11-SQRT((1-U597)*($G$11-$E$11)*($G$11-$F$11))))</f>
        <v>0.0984744120289473</v>
      </c>
      <c r="H597" s="39" t="n">
        <f aca="false">(('Business Case'!B11*$C597*'Business Case'!B12*$B597)-'Business Case'!B11*$C597*'Business Case'!B13*$D597-'Business Case'!B14*$E597)-MAX(0,(('Business Case'!B11*$C597*'Business Case'!B12*$B597)-'Business Case'!B11*$C597*'Business Case'!B13*$D597-'Business Case'!B14*$E597))*'Business Case'!$B$7-'Business Case'!$B$8*('Business Case'!B11*$C597*'Business Case'!B12*$B597)-'Business Case'!B15*$F597</f>
        <v>-2008202736.73942</v>
      </c>
      <c r="I597" s="39" t="n">
        <f aca="false">(('Business Case'!C11*$C597*'Business Case'!C12*$B597)-'Business Case'!C11*$C597*'Business Case'!C13*$D597-'Business Case'!C14*$E597)-MAX(0,(('Business Case'!C11*$C597*'Business Case'!C12*$B597)-'Business Case'!C11*$C597*'Business Case'!C13*$D597-'Business Case'!C14*$E597))*'Business Case'!$B$7-'Business Case'!$B$8*(('Business Case'!C11*$C597*'Business Case'!C12*$B597)-('Business Case'!B11*$C597*'Business Case'!B12*$B597))-'Business Case'!C15*$F597</f>
        <v>-29706751.9379412</v>
      </c>
      <c r="J597" s="39" t="n">
        <f aca="false">(('Business Case'!D11*$C597*'Business Case'!D12*$B597)-'Business Case'!D11*$C597*'Business Case'!D13*$D597-'Business Case'!D14*$E597)-MAX(0,(('Business Case'!D11*$C597*'Business Case'!D12*$B597)-'Business Case'!D11*$C597*'Business Case'!D13*$D597-'Business Case'!D14*$E597))*'Business Case'!$B$7-'Business Case'!$B$8*(('Business Case'!D11*$C597*'Business Case'!D12*$B597)-('Business Case'!C11*$C597*'Business Case'!C12*$B597))-'Business Case'!D15*$F597</f>
        <v>235735174.65671</v>
      </c>
      <c r="K597" s="39" t="n">
        <f aca="false">(('Business Case'!E11*$C597*'Business Case'!E12*$B597)-'Business Case'!E11*$C597*'Business Case'!E13*$D597-'Business Case'!E14*$E597)-MAX(0,(('Business Case'!E11*$C597*'Business Case'!E12*$B597)-'Business Case'!E11*$C597*'Business Case'!E13*$D597-'Business Case'!E14*$E597))*'Business Case'!$B$7-'Business Case'!$B$8*(('Business Case'!E11*$C597*'Business Case'!E12*$B597)-('Business Case'!D11*$C597*'Business Case'!D12*$B597))-'Business Case'!E15*$F597</f>
        <v>551382169.669846</v>
      </c>
      <c r="L597" s="39" t="n">
        <f aca="false">(('Business Case'!F11*$C597*'Business Case'!F12*$B597)-'Business Case'!F11*$C597*'Business Case'!F13*$D597-'Business Case'!F14*$E597)-MAX(0,(('Business Case'!F11*$C597*'Business Case'!F12*$B597)-'Business Case'!F11*$C597*'Business Case'!F13*$D597-'Business Case'!F14*$E597))*'Business Case'!$B$7-'Business Case'!$B$8*(('Business Case'!F11*$C597*'Business Case'!F12*$B597)-('Business Case'!E11*$C597*'Business Case'!E12*$B597))-'Business Case'!F15*$F597</f>
        <v>675200907.699455</v>
      </c>
      <c r="M597" s="39" t="n">
        <f aca="false">(('Business Case'!G11*$C597*'Business Case'!G12*$B597)-'Business Case'!G11*$C597*'Business Case'!G13*$D597-'Business Case'!G14*$E597)-MAX(0,(('Business Case'!G11*$C597*'Business Case'!G12*$B597)-'Business Case'!G11*$C597*'Business Case'!G13*$D597-'Business Case'!G14*$E597))*'Business Case'!$B$7-'Business Case'!$B$8*(('Business Case'!G11*$C597*'Business Case'!G12*$B597)-('Business Case'!F11*$C597*'Business Case'!F12*$B597))-'Business Case'!G15*$F597+'Business Case'!$B$8*('Business Case'!G11*$C597*'Business Case'!G12*$B597)</f>
        <v>869560434.772113</v>
      </c>
      <c r="N597" s="39" t="n">
        <f aca="false">IF(COUNT('Business Case'!B11:G11)=0,"",H597+NPV(G597,I597:M597))</f>
        <v>-416465441.020403</v>
      </c>
      <c r="P597" s="40" t="n">
        <f aca="true">RAND()</f>
        <v>0.190276843992514</v>
      </c>
      <c r="Q597" s="40" t="n">
        <f aca="true">RAND()</f>
        <v>0.852791372722914</v>
      </c>
      <c r="R597" s="40" t="n">
        <f aca="true">RAND()</f>
        <v>0.925543824232059</v>
      </c>
      <c r="S597" s="40" t="n">
        <f aca="true">RAND()</f>
        <v>0.290842956809388</v>
      </c>
      <c r="T597" s="40" t="n">
        <f aca="true">RAND()</f>
        <v>0.23247452250761</v>
      </c>
      <c r="U597" s="40" t="n">
        <f aca="true">RAND()</f>
        <v>0.239385530787887</v>
      </c>
    </row>
    <row r="598" customFormat="false" ht="15" hidden="false" customHeight="false" outlineLevel="0" collapsed="false">
      <c r="A598" s="36" t="n">
        <v>518</v>
      </c>
      <c r="B598" s="37" t="n">
        <f aca="false">1+IF($G$6=$E$6,$F$6,IF(P598&lt;($F$6-$E$6)/($G$6-$E$6),$E$6+SQRT(P598*($G$6-$E$6)*($F$6-$E$6)),$G$6-SQRT((1-P598)*($G$6-$E$6)*($G$6-$F$6))))</f>
        <v>1.00548961934475</v>
      </c>
      <c r="C598" s="37" t="n">
        <f aca="false">1+IF($G$7=$E$7,$F$7,IF(Q598&lt;($F$7-$E$7)/($G$7-$E$7),$E$7+SQRT(Q598*($G$7-$E$7)*($F$7-$E$7)),$G$7-SQRT((1-Q598)*($G$7-$E$7)*($G$7-$F$7))))</f>
        <v>1.00164660004349</v>
      </c>
      <c r="D598" s="37" t="n">
        <f aca="false">1+IF($G$8=$E$8,$F$8,IF(R598&lt;($F$8-$E$8)/($G$8-$E$8),$E$8+SQRT(R598*($G$8-$E$8)*($F$8-$E$8)),$G$8-SQRT((1-R598)*($G$8-$E$8)*($G$8-$F$8))))</f>
        <v>0.978503261870389</v>
      </c>
      <c r="E598" s="37" t="n">
        <f aca="false">1+IF($G$9=$E$9,$F$9,IF(S598&lt;($F$9-$E$9)/($G$9-$E$9),$E$9+SQRT(S598*($G$9-$E$9)*($F$9-$E$9)),$G$9-SQRT((1-S598)*($G$9-$E$9)*($G$9-$F$9))))</f>
        <v>1.03154107696752</v>
      </c>
      <c r="F598" s="37" t="n">
        <f aca="false">1+IF($G$10=$E$10,$F$10,IF(T598&lt;($F$10-$E$10)/($G$10-$E$10),$E$10+SQRT(T598*($G$10-$E$10)*($F$10-$E$10)),$G$10-SQRT((1-T598)*($G$10-$E$10)*($G$10-$F$10))))</f>
        <v>1.09501988674269</v>
      </c>
      <c r="G598" s="38" t="n">
        <f aca="false">IF($G$11=$E$11,$F$11,IF(U598&lt;($F$11-$E$11)/($G$11-$E$11),$E$11+SQRT(U598*($G$11-$E$11)*($F$11-$E$11)),$G$11-SQRT((1-U598)*($G$11-$E$11)*($G$11-$F$11))))</f>
        <v>0.0998911591744886</v>
      </c>
      <c r="H598" s="39" t="n">
        <f aca="false">(('Business Case'!B11*$C598*'Business Case'!B12*$B598)-'Business Case'!B11*$C598*'Business Case'!B13*$D598-'Business Case'!B14*$E598)-MAX(0,(('Business Case'!B11*$C598*'Business Case'!B12*$B598)-'Business Case'!B11*$C598*'Business Case'!B13*$D598-'Business Case'!B14*$E598))*'Business Case'!$B$7-'Business Case'!$B$8*('Business Case'!B11*$C598*'Business Case'!B12*$B598)-'Business Case'!B15*$F598</f>
        <v>-2190039773.48537</v>
      </c>
      <c r="I598" s="39" t="n">
        <f aca="false">(('Business Case'!C11*$C598*'Business Case'!C12*$B598)-'Business Case'!C11*$C598*'Business Case'!C13*$D598-'Business Case'!C14*$E598)-MAX(0,(('Business Case'!C11*$C598*'Business Case'!C12*$B598)-'Business Case'!C11*$C598*'Business Case'!C13*$D598-'Business Case'!C14*$E598))*'Business Case'!$B$7-'Business Case'!$B$8*(('Business Case'!C11*$C598*'Business Case'!C12*$B598)-('Business Case'!B11*$C598*'Business Case'!B12*$B598))-'Business Case'!C15*$F598</f>
        <v>14786744.1044932</v>
      </c>
      <c r="J598" s="39" t="n">
        <f aca="false">(('Business Case'!D11*$C598*'Business Case'!D12*$B598)-'Business Case'!D11*$C598*'Business Case'!D13*$D598-'Business Case'!D14*$E598)-MAX(0,(('Business Case'!D11*$C598*'Business Case'!D12*$B598)-'Business Case'!D11*$C598*'Business Case'!D13*$D598-'Business Case'!D14*$E598))*'Business Case'!$B$7-'Business Case'!$B$8*(('Business Case'!D11*$C598*'Business Case'!D12*$B598)-('Business Case'!C11*$C598*'Business Case'!C12*$B598))-'Business Case'!D15*$F598</f>
        <v>337971028.233637</v>
      </c>
      <c r="K598" s="39" t="n">
        <f aca="false">(('Business Case'!E11*$C598*'Business Case'!E12*$B598)-'Business Case'!E11*$C598*'Business Case'!E13*$D598-'Business Case'!E14*$E598)-MAX(0,(('Business Case'!E11*$C598*'Business Case'!E12*$B598)-'Business Case'!E11*$C598*'Business Case'!E13*$D598-'Business Case'!E14*$E598))*'Business Case'!$B$7-'Business Case'!$B$8*(('Business Case'!E11*$C598*'Business Case'!E12*$B598)-('Business Case'!D11*$C598*'Business Case'!D12*$B598))-'Business Case'!E15*$F598</f>
        <v>715906306.699915</v>
      </c>
      <c r="L598" s="39" t="n">
        <f aca="false">(('Business Case'!F11*$C598*'Business Case'!F12*$B598)-'Business Case'!F11*$C598*'Business Case'!F13*$D598-'Business Case'!F14*$E598)-MAX(0,(('Business Case'!F11*$C598*'Business Case'!F12*$B598)-'Business Case'!F11*$C598*'Business Case'!F13*$D598-'Business Case'!F14*$E598))*'Business Case'!$B$7-'Business Case'!$B$8*(('Business Case'!F11*$C598*'Business Case'!F12*$B598)-('Business Case'!E11*$C598*'Business Case'!E12*$B598))-'Business Case'!F15*$F598</f>
        <v>858441341.546697</v>
      </c>
      <c r="M598" s="39" t="n">
        <f aca="false">(('Business Case'!G11*$C598*'Business Case'!G12*$B598)-'Business Case'!G11*$C598*'Business Case'!G13*$D598-'Business Case'!G14*$E598)-MAX(0,(('Business Case'!G11*$C598*'Business Case'!G12*$B598)-'Business Case'!G11*$C598*'Business Case'!G13*$D598-'Business Case'!G14*$E598))*'Business Case'!$B$7-'Business Case'!$B$8*(('Business Case'!G11*$C598*'Business Case'!G12*$B598)-('Business Case'!F11*$C598*'Business Case'!F12*$B598))-'Business Case'!G15*$F598+'Business Case'!$B$8*('Business Case'!G11*$C598*'Business Case'!G12*$B598)</f>
        <v>1049879512.30057</v>
      </c>
      <c r="N598" s="39" t="n">
        <f aca="false">IF(COUNT('Business Case'!B11:G11)=0,"",H598+NPV(G598,I598:M598))</f>
        <v>-120420783.269616</v>
      </c>
      <c r="P598" s="40" t="n">
        <f aca="true">RAND()</f>
        <v>0.751882005631221</v>
      </c>
      <c r="Q598" s="40" t="n">
        <f aca="true">RAND()</f>
        <v>0.580786070882719</v>
      </c>
      <c r="R598" s="40" t="n">
        <f aca="true">RAND()</f>
        <v>0.124990144192613</v>
      </c>
      <c r="S598" s="40" t="n">
        <f aca="true">RAND()</f>
        <v>0.687558390482223</v>
      </c>
      <c r="T598" s="40" t="n">
        <f aca="true">RAND()</f>
        <v>0.779583516409633</v>
      </c>
      <c r="U598" s="40" t="n">
        <f aca="true">RAND()</f>
        <v>0.326116766050234</v>
      </c>
    </row>
    <row r="599" customFormat="false" ht="15" hidden="false" customHeight="false" outlineLevel="0" collapsed="false">
      <c r="A599" s="36" t="n">
        <v>519</v>
      </c>
      <c r="B599" s="37" t="n">
        <f aca="false">1+IF($G$6=$E$6,$F$6,IF(P599&lt;($F$6-$E$6)/($G$6-$E$6),$E$6+SQRT(P599*($G$6-$E$6)*($F$6-$E$6)),$G$6-SQRT((1-P599)*($G$6-$E$6)*($G$6-$F$6))))</f>
        <v>0.975736862436782</v>
      </c>
      <c r="C599" s="37" t="n">
        <f aca="false">1+IF($G$7=$E$7,$F$7,IF(Q599&lt;($F$7-$E$7)/($G$7-$E$7),$E$7+SQRT(Q599*($G$7-$E$7)*($F$7-$E$7)),$G$7-SQRT((1-Q599)*($G$7-$E$7)*($G$7-$F$7))))</f>
        <v>1.09044903318101</v>
      </c>
      <c r="D599" s="37" t="n">
        <f aca="false">1+IF($G$8=$E$8,$F$8,IF(R599&lt;($F$8-$E$8)/($G$8-$E$8),$E$8+SQRT(R599*($G$8-$E$8)*($F$8-$E$8)),$G$8-SQRT((1-R599)*($G$8-$E$8)*($G$8-$F$8))))</f>
        <v>1.00773869320753</v>
      </c>
      <c r="E599" s="37" t="n">
        <f aca="false">1+IF($G$9=$E$9,$F$9,IF(S599&lt;($F$9-$E$9)/($G$9-$E$9),$E$9+SQRT(S599*($G$9-$E$9)*($F$9-$E$9)),$G$9-SQRT((1-S599)*($G$9-$E$9)*($G$9-$F$9))))</f>
        <v>1.03136596141555</v>
      </c>
      <c r="F599" s="37" t="n">
        <f aca="false">1+IF($G$10=$E$10,$F$10,IF(T599&lt;($F$10-$E$10)/($G$10-$E$10),$E$10+SQRT(T599*($G$10-$E$10)*($F$10-$E$10)),$G$10-SQRT((1-T599)*($G$10-$E$10)*($G$10-$F$10))))</f>
        <v>1.14867808097138</v>
      </c>
      <c r="G599" s="38" t="n">
        <f aca="false">IF($G$11=$E$11,$F$11,IF(U599&lt;($F$11-$E$11)/($G$11-$E$11),$E$11+SQRT(U599*($G$11-$E$11)*($F$11-$E$11)),$G$11-SQRT((1-U599)*($G$11-$E$11)*($G$11-$F$11))))</f>
        <v>0.101588238226784</v>
      </c>
      <c r="H599" s="39" t="n">
        <f aca="false">(('Business Case'!B11*$C599*'Business Case'!B12*$B599)-'Business Case'!B11*$C599*'Business Case'!B13*$D599-'Business Case'!B14*$E599)-MAX(0,(('Business Case'!B11*$C599*'Business Case'!B12*$B599)-'Business Case'!B11*$C599*'Business Case'!B13*$D599-'Business Case'!B14*$E599))*'Business Case'!$B$7-'Business Case'!$B$8*('Business Case'!B11*$C599*'Business Case'!B12*$B599)-'Business Case'!B15*$F599</f>
        <v>-2297356161.94275</v>
      </c>
      <c r="I599" s="39" t="n">
        <f aca="false">(('Business Case'!C11*$C599*'Business Case'!C12*$B599)-'Business Case'!C11*$C599*'Business Case'!C13*$D599-'Business Case'!C14*$E599)-MAX(0,(('Business Case'!C11*$C599*'Business Case'!C12*$B599)-'Business Case'!C11*$C599*'Business Case'!C13*$D599-'Business Case'!C14*$E599))*'Business Case'!$B$7-'Business Case'!$B$8*(('Business Case'!C11*$C599*'Business Case'!C12*$B599)-('Business Case'!B11*$C599*'Business Case'!B12*$B599))-'Business Case'!C15*$F599</f>
        <v>-7742443.74474061</v>
      </c>
      <c r="J599" s="39" t="n">
        <f aca="false">(('Business Case'!D11*$C599*'Business Case'!D12*$B599)-'Business Case'!D11*$C599*'Business Case'!D13*$D599-'Business Case'!D14*$E599)-MAX(0,(('Business Case'!D11*$C599*'Business Case'!D12*$B599)-'Business Case'!D11*$C599*'Business Case'!D13*$D599-'Business Case'!D14*$E599))*'Business Case'!$B$7-'Business Case'!$B$8*(('Business Case'!D11*$C599*'Business Case'!D12*$B599)-('Business Case'!C11*$C599*'Business Case'!C12*$B599))-'Business Case'!D15*$F599</f>
        <v>301200470.260752</v>
      </c>
      <c r="K599" s="39" t="n">
        <f aca="false">(('Business Case'!E11*$C599*'Business Case'!E12*$B599)-'Business Case'!E11*$C599*'Business Case'!E13*$D599-'Business Case'!E14*$E599)-MAX(0,(('Business Case'!E11*$C599*'Business Case'!E12*$B599)-'Business Case'!E11*$C599*'Business Case'!E13*$D599-'Business Case'!E14*$E599))*'Business Case'!$B$7-'Business Case'!$B$8*(('Business Case'!E11*$C599*'Business Case'!E12*$B599)-('Business Case'!D11*$C599*'Business Case'!D12*$B599))-'Business Case'!E15*$F599</f>
        <v>667577288.314813</v>
      </c>
      <c r="L599" s="39" t="n">
        <f aca="false">(('Business Case'!F11*$C599*'Business Case'!F12*$B599)-'Business Case'!F11*$C599*'Business Case'!F13*$D599-'Business Case'!F14*$E599)-MAX(0,(('Business Case'!F11*$C599*'Business Case'!F12*$B599)-'Business Case'!F11*$C599*'Business Case'!F13*$D599-'Business Case'!F14*$E599))*'Business Case'!$B$7-'Business Case'!$B$8*(('Business Case'!F11*$C599*'Business Case'!F12*$B599)-('Business Case'!E11*$C599*'Business Case'!E12*$B599))-'Business Case'!F15*$F599</f>
        <v>807329799.609847</v>
      </c>
      <c r="M599" s="39" t="n">
        <f aca="false">(('Business Case'!G11*$C599*'Business Case'!G12*$B599)-'Business Case'!G11*$C599*'Business Case'!G13*$D599-'Business Case'!G14*$E599)-MAX(0,(('Business Case'!G11*$C599*'Business Case'!G12*$B599)-'Business Case'!G11*$C599*'Business Case'!G13*$D599-'Business Case'!G14*$E599))*'Business Case'!$B$7-'Business Case'!$B$8*(('Business Case'!G11*$C599*'Business Case'!G12*$B599)-('Business Case'!F11*$C599*'Business Case'!F12*$B599))-'Business Case'!G15*$F599+'Business Case'!$B$8*('Business Case'!G11*$C599*'Business Case'!G12*$B599)</f>
        <v>1009573269.38913</v>
      </c>
      <c r="N599" s="39" t="n">
        <f aca="false">IF(COUNT('Business Case'!B11:G11)=0,"",H599+NPV(G599,I599:M599))</f>
        <v>-386177929.671388</v>
      </c>
      <c r="P599" s="40" t="n">
        <f aca="true">RAND()</f>
        <v>0.323603941072579</v>
      </c>
      <c r="Q599" s="40" t="n">
        <f aca="true">RAND()</f>
        <v>0.932451092398544</v>
      </c>
      <c r="R599" s="40" t="n">
        <f aca="true">RAND()</f>
        <v>0.497913801985093</v>
      </c>
      <c r="S599" s="40" t="n">
        <f aca="true">RAND()</f>
        <v>0.685957916505892</v>
      </c>
      <c r="T599" s="40" t="n">
        <f aca="true">RAND()</f>
        <v>0.947321212544387</v>
      </c>
      <c r="U599" s="40" t="n">
        <f aca="true">RAND()</f>
        <v>0.435011714010586</v>
      </c>
    </row>
    <row r="600" customFormat="false" ht="15" hidden="false" customHeight="false" outlineLevel="0" collapsed="false">
      <c r="A600" s="36" t="n">
        <v>520</v>
      </c>
      <c r="B600" s="37" t="n">
        <f aca="false">1+IF($G$6=$E$6,$F$6,IF(P600&lt;($F$6-$E$6)/($G$6-$E$6),$E$6+SQRT(P600*($G$6-$E$6)*($F$6-$E$6)),$G$6-SQRT((1-P600)*($G$6-$E$6)*($G$6-$F$6))))</f>
        <v>1.00001948964085</v>
      </c>
      <c r="C600" s="37" t="n">
        <f aca="false">1+IF($G$7=$E$7,$F$7,IF(Q600&lt;($F$7-$E$7)/($G$7-$E$7),$E$7+SQRT(Q600*($G$7-$E$7)*($F$7-$E$7)),$G$7-SQRT((1-Q600)*($G$7-$E$7)*($G$7-$F$7))))</f>
        <v>1.08484174679907</v>
      </c>
      <c r="D600" s="37" t="n">
        <f aca="false">1+IF($G$8=$E$8,$F$8,IF(R600&lt;($F$8-$E$8)/($G$8-$E$8),$E$8+SQRT(R600*($G$8-$E$8)*($F$8-$E$8)),$G$8-SQRT((1-R600)*($G$8-$E$8)*($G$8-$F$8))))</f>
        <v>1.02459916274845</v>
      </c>
      <c r="E600" s="37" t="n">
        <f aca="false">1+IF($G$9=$E$9,$F$9,IF(S600&lt;($F$9-$E$9)/($G$9-$E$9),$E$9+SQRT(S600*($G$9-$E$9)*($F$9-$E$9)),$G$9-SQRT((1-S600)*($G$9-$E$9)*($G$9-$F$9))))</f>
        <v>1.04603704652464</v>
      </c>
      <c r="F600" s="37" t="n">
        <f aca="false">1+IF($G$10=$E$10,$F$10,IF(T600&lt;($F$10-$E$10)/($G$10-$E$10),$E$10+SQRT(T600*($G$10-$E$10)*($F$10-$E$10)),$G$10-SQRT((1-T600)*($G$10-$E$10)*($G$10-$F$10))))</f>
        <v>1.03519769674907</v>
      </c>
      <c r="G600" s="38" t="n">
        <f aca="false">IF($G$11=$E$11,$F$11,IF(U600&lt;($F$11-$E$11)/($G$11-$E$11),$E$11+SQRT(U600*($G$11-$E$11)*($F$11-$E$11)),$G$11-SQRT((1-U600)*($G$11-$E$11)*($G$11-$F$11))))</f>
        <v>0.100818421324936</v>
      </c>
      <c r="H600" s="39" t="n">
        <f aca="false">(('Business Case'!B11*$C600*'Business Case'!B12*$B600)-'Business Case'!B11*$C600*'Business Case'!B13*$D600-'Business Case'!B14*$E600)-MAX(0,(('Business Case'!B11*$C600*'Business Case'!B12*$B600)-'Business Case'!B11*$C600*'Business Case'!B13*$D600-'Business Case'!B14*$E600))*'Business Case'!$B$7-'Business Case'!$B$8*('Business Case'!B11*$C600*'Business Case'!B12*$B600)-'Business Case'!B15*$F600</f>
        <v>-2070395393.49813</v>
      </c>
      <c r="I600" s="39" t="n">
        <f aca="false">(('Business Case'!C11*$C600*'Business Case'!C12*$B600)-'Business Case'!C11*$C600*'Business Case'!C13*$D600-'Business Case'!C14*$E600)-MAX(0,(('Business Case'!C11*$C600*'Business Case'!C12*$B600)-'Business Case'!C11*$C600*'Business Case'!C13*$D600-'Business Case'!C14*$E600))*'Business Case'!$B$7-'Business Case'!$B$8*(('Business Case'!C11*$C600*'Business Case'!C12*$B600)-('Business Case'!B11*$C600*'Business Case'!B12*$B600))-'Business Case'!C15*$F600</f>
        <v>11061901.2580332</v>
      </c>
      <c r="J600" s="39" t="n">
        <f aca="false">(('Business Case'!D11*$C600*'Business Case'!D12*$B600)-'Business Case'!D11*$C600*'Business Case'!D13*$D600-'Business Case'!D14*$E600)-MAX(0,(('Business Case'!D11*$C600*'Business Case'!D12*$B600)-'Business Case'!D11*$C600*'Business Case'!D13*$D600-'Business Case'!D14*$E600))*'Business Case'!$B$7-'Business Case'!$B$8*(('Business Case'!D11*$C600*'Business Case'!D12*$B600)-('Business Case'!C11*$C600*'Business Case'!C12*$B600))-'Business Case'!D15*$F600</f>
        <v>330629332.423086</v>
      </c>
      <c r="K600" s="39" t="n">
        <f aca="false">(('Business Case'!E11*$C600*'Business Case'!E12*$B600)-'Business Case'!E11*$C600*'Business Case'!E13*$D600-'Business Case'!E14*$E600)-MAX(0,(('Business Case'!E11*$C600*'Business Case'!E12*$B600)-'Business Case'!E11*$C600*'Business Case'!E13*$D600-'Business Case'!E14*$E600))*'Business Case'!$B$7-'Business Case'!$B$8*(('Business Case'!E11*$C600*'Business Case'!E12*$B600)-('Business Case'!D11*$C600*'Business Case'!D12*$B600))-'Business Case'!E15*$F600</f>
        <v>701956648.425592</v>
      </c>
      <c r="L600" s="39" t="n">
        <f aca="false">(('Business Case'!F11*$C600*'Business Case'!F12*$B600)-'Business Case'!F11*$C600*'Business Case'!F13*$D600-'Business Case'!F14*$E600)-MAX(0,(('Business Case'!F11*$C600*'Business Case'!F12*$B600)-'Business Case'!F11*$C600*'Business Case'!F13*$D600-'Business Case'!F14*$E600))*'Business Case'!$B$7-'Business Case'!$B$8*(('Business Case'!F11*$C600*'Business Case'!F12*$B600)-('Business Case'!E11*$C600*'Business Case'!E12*$B600))-'Business Case'!F15*$F600</f>
        <v>845971986.958149</v>
      </c>
      <c r="M600" s="39" t="n">
        <f aca="false">(('Business Case'!G11*$C600*'Business Case'!G12*$B600)-'Business Case'!G11*$C600*'Business Case'!G13*$D600-'Business Case'!G14*$E600)-MAX(0,(('Business Case'!G11*$C600*'Business Case'!G12*$B600)-'Business Case'!G11*$C600*'Business Case'!G13*$D600-'Business Case'!G14*$E600))*'Business Case'!$B$7-'Business Case'!$B$8*(('Business Case'!G11*$C600*'Business Case'!G12*$B600)-('Business Case'!F11*$C600*'Business Case'!F12*$B600))-'Business Case'!G15*$F600+'Business Case'!$B$8*('Business Case'!G11*$C600*'Business Case'!G12*$B600)</f>
        <v>1052182725.08461</v>
      </c>
      <c r="N600" s="39" t="n">
        <f aca="false">IF(COUNT('Business Case'!B11:G11)=0,"",H600+NPV(G600,I600:M600))</f>
        <v>-34298843.2498121</v>
      </c>
      <c r="P600" s="40" t="n">
        <f aca="true">RAND()</f>
        <v>0.666991414879601</v>
      </c>
      <c r="Q600" s="40" t="n">
        <f aca="true">RAND()</f>
        <v>0.919131467424822</v>
      </c>
      <c r="R600" s="40" t="n">
        <f aca="true">RAND()</f>
        <v>0.704879541521899</v>
      </c>
      <c r="S600" s="40" t="n">
        <f aca="true">RAND()</f>
        <v>0.805866643481099</v>
      </c>
      <c r="T600" s="40" t="n">
        <f aca="true">RAND()</f>
        <v>0.456804016863741</v>
      </c>
      <c r="U600" s="40" t="n">
        <f aca="true">RAND()</f>
        <v>0.386778399220561</v>
      </c>
    </row>
    <row r="601" customFormat="false" ht="15" hidden="false" customHeight="false" outlineLevel="0" collapsed="false">
      <c r="A601" s="36" t="n">
        <v>521</v>
      </c>
      <c r="B601" s="37" t="n">
        <f aca="false">1+IF($G$6=$E$6,$F$6,IF(P601&lt;($F$6-$E$6)/($G$6-$E$6),$E$6+SQRT(P601*($G$6-$E$6)*($F$6-$E$6)),$G$6-SQRT((1-P601)*($G$6-$E$6)*($G$6-$F$6))))</f>
        <v>1.00600022167545</v>
      </c>
      <c r="C601" s="37" t="n">
        <f aca="false">1+IF($G$7=$E$7,$F$7,IF(Q601&lt;($F$7-$E$7)/($G$7-$E$7),$E$7+SQRT(Q601*($G$7-$E$7)*($F$7-$E$7)),$G$7-SQRT((1-Q601)*($G$7-$E$7)*($G$7-$F$7))))</f>
        <v>1.0020252746373</v>
      </c>
      <c r="D601" s="37" t="n">
        <f aca="false">1+IF($G$8=$E$8,$F$8,IF(R601&lt;($F$8-$E$8)/($G$8-$E$8),$E$8+SQRT(R601*($G$8-$E$8)*($F$8-$E$8)),$G$8-SQRT((1-R601)*($G$8-$E$8)*($G$8-$F$8))))</f>
        <v>1.06645726945909</v>
      </c>
      <c r="E601" s="37" t="n">
        <f aca="false">1+IF($G$9=$E$9,$F$9,IF(S601&lt;($F$9-$E$9)/($G$9-$E$9),$E$9+SQRT(S601*($G$9-$E$9)*($F$9-$E$9)),$G$9-SQRT((1-S601)*($G$9-$E$9)*($G$9-$F$9))))</f>
        <v>0.966621489533815</v>
      </c>
      <c r="F601" s="37" t="n">
        <f aca="false">1+IF($G$10=$E$10,$F$10,IF(T601&lt;($F$10-$E$10)/($G$10-$E$10),$E$10+SQRT(T601*($G$10-$E$10)*($F$10-$E$10)),$G$10-SQRT((1-T601)*($G$10-$E$10)*($G$10-$F$10))))</f>
        <v>1.03002038392141</v>
      </c>
      <c r="G601" s="38" t="n">
        <f aca="false">IF($G$11=$E$11,$F$11,IF(U601&lt;($F$11-$E$11)/($G$11-$E$11),$E$11+SQRT(U601*($G$11-$E$11)*($F$11-$E$11)),$G$11-SQRT((1-U601)*($G$11-$E$11)*($G$11-$F$11))))</f>
        <v>0.101340725470657</v>
      </c>
      <c r="H601" s="39" t="n">
        <f aca="false">(('Business Case'!B11*$C601*'Business Case'!B12*$B601)-'Business Case'!B11*$C601*'Business Case'!B13*$D601-'Business Case'!B14*$E601)-MAX(0,(('Business Case'!B11*$C601*'Business Case'!B12*$B601)-'Business Case'!B11*$C601*'Business Case'!B13*$D601-'Business Case'!B14*$E601))*'Business Case'!$B$7-'Business Case'!$B$8*('Business Case'!B11*$C601*'Business Case'!B12*$B601)-'Business Case'!B15*$F601</f>
        <v>-2060040767.84281</v>
      </c>
      <c r="I601" s="39" t="n">
        <f aca="false">(('Business Case'!C11*$C601*'Business Case'!C12*$B601)-'Business Case'!C11*$C601*'Business Case'!C13*$D601-'Business Case'!C14*$E601)-MAX(0,(('Business Case'!C11*$C601*'Business Case'!C12*$B601)-'Business Case'!C11*$C601*'Business Case'!C13*$D601-'Business Case'!C14*$E601))*'Business Case'!$B$7-'Business Case'!$B$8*(('Business Case'!C11*$C601*'Business Case'!C12*$B601)-('Business Case'!B11*$C601*'Business Case'!B12*$B601))-'Business Case'!C15*$F601</f>
        <v>-14103358.5874129</v>
      </c>
      <c r="J601" s="39" t="n">
        <f aca="false">(('Business Case'!D11*$C601*'Business Case'!D12*$B601)-'Business Case'!D11*$C601*'Business Case'!D13*$D601-'Business Case'!D14*$E601)-MAX(0,(('Business Case'!D11*$C601*'Business Case'!D12*$B601)-'Business Case'!D11*$C601*'Business Case'!D13*$D601-'Business Case'!D14*$E601))*'Business Case'!$B$7-'Business Case'!$B$8*(('Business Case'!D11*$C601*'Business Case'!D12*$B601)-('Business Case'!C11*$C601*'Business Case'!C12*$B601))-'Business Case'!D15*$F601</f>
        <v>264505568.722573</v>
      </c>
      <c r="K601" s="39" t="n">
        <f aca="false">(('Business Case'!E11*$C601*'Business Case'!E12*$B601)-'Business Case'!E11*$C601*'Business Case'!E13*$D601-'Business Case'!E14*$E601)-MAX(0,(('Business Case'!E11*$C601*'Business Case'!E12*$B601)-'Business Case'!E11*$C601*'Business Case'!E13*$D601-'Business Case'!E14*$E601))*'Business Case'!$B$7-'Business Case'!$B$8*(('Business Case'!E11*$C601*'Business Case'!E12*$B601)-('Business Case'!D11*$C601*'Business Case'!D12*$B601))-'Business Case'!E15*$F601</f>
        <v>594615515.228629</v>
      </c>
      <c r="L601" s="39" t="n">
        <f aca="false">(('Business Case'!F11*$C601*'Business Case'!F12*$B601)-'Business Case'!F11*$C601*'Business Case'!F13*$D601-'Business Case'!F14*$E601)-MAX(0,(('Business Case'!F11*$C601*'Business Case'!F12*$B601)-'Business Case'!F11*$C601*'Business Case'!F13*$D601-'Business Case'!F14*$E601))*'Business Case'!$B$7-'Business Case'!$B$8*(('Business Case'!F11*$C601*'Business Case'!F12*$B601)-('Business Case'!E11*$C601*'Business Case'!E12*$B601))-'Business Case'!F15*$F601</f>
        <v>722322938.794324</v>
      </c>
      <c r="M601" s="39" t="n">
        <f aca="false">(('Business Case'!G11*$C601*'Business Case'!G12*$B601)-'Business Case'!G11*$C601*'Business Case'!G13*$D601-'Business Case'!G14*$E601)-MAX(0,(('Business Case'!G11*$C601*'Business Case'!G12*$B601)-'Business Case'!G11*$C601*'Business Case'!G13*$D601-'Business Case'!G14*$E601))*'Business Case'!$B$7-'Business Case'!$B$8*(('Business Case'!G11*$C601*'Business Case'!G12*$B601)-('Business Case'!F11*$C601*'Business Case'!F12*$B601))-'Business Case'!G15*$F601+'Business Case'!$B$8*('Business Case'!G11*$C601*'Business Case'!G12*$B601)</f>
        <v>913930735.004006</v>
      </c>
      <c r="N601" s="39" t="n">
        <f aca="false">IF(COUNT('Business Case'!B11:G11)=0,"",H601+NPV(G601,I601:M601))</f>
        <v>-354673110.468575</v>
      </c>
      <c r="P601" s="40" t="n">
        <f aca="true">RAND()</f>
        <v>0.759169807058653</v>
      </c>
      <c r="Q601" s="40" t="n">
        <f aca="true">RAND()</f>
        <v>0.582923441025381</v>
      </c>
      <c r="R601" s="40" t="n">
        <f aca="true">RAND()</f>
        <v>0.982364850913101</v>
      </c>
      <c r="S601" s="40" t="n">
        <f aca="true">RAND()</f>
        <v>0.036836521909696</v>
      </c>
      <c r="T601" s="40" t="n">
        <f aca="true">RAND()</f>
        <v>0.42213860235547</v>
      </c>
      <c r="U601" s="40" t="n">
        <f aca="true">RAND()</f>
        <v>0.419719123397699</v>
      </c>
    </row>
    <row r="602" customFormat="false" ht="15" hidden="false" customHeight="false" outlineLevel="0" collapsed="false">
      <c r="A602" s="36" t="n">
        <v>522</v>
      </c>
      <c r="B602" s="37" t="n">
        <f aca="false">1+IF($G$6=$E$6,$F$6,IF(P602&lt;($F$6-$E$6)/($G$6-$E$6),$E$6+SQRT(P602*($G$6-$E$6)*($F$6-$E$6)),$G$6-SQRT((1-P602)*($G$6-$E$6)*($G$6-$F$6))))</f>
        <v>1.02482742510494</v>
      </c>
      <c r="C602" s="37" t="n">
        <f aca="false">1+IF($G$7=$E$7,$F$7,IF(Q602&lt;($F$7-$E$7)/($G$7-$E$7),$E$7+SQRT(Q602*($G$7-$E$7)*($F$7-$E$7)),$G$7-SQRT((1-Q602)*($G$7-$E$7)*($G$7-$F$7))))</f>
        <v>0.96571059162432</v>
      </c>
      <c r="D602" s="37" t="n">
        <f aca="false">1+IF($G$8=$E$8,$F$8,IF(R602&lt;($F$8-$E$8)/($G$8-$E$8),$E$8+SQRT(R602*($G$8-$E$8)*($F$8-$E$8)),$G$8-SQRT((1-R602)*($G$8-$E$8)*($G$8-$F$8))))</f>
        <v>0.998702259855212</v>
      </c>
      <c r="E602" s="37" t="n">
        <f aca="false">1+IF($G$9=$E$9,$F$9,IF(S602&lt;($F$9-$E$9)/($G$9-$E$9),$E$9+SQRT(S602*($G$9-$E$9)*($F$9-$E$9)),$G$9-SQRT((1-S602)*($G$9-$E$9)*($G$9-$F$9))))</f>
        <v>1.00869326320941</v>
      </c>
      <c r="F602" s="37" t="n">
        <f aca="false">1+IF($G$10=$E$10,$F$10,IF(T602&lt;($F$10-$E$10)/($G$10-$E$10),$E$10+SQRT(T602*($G$10-$E$10)*($F$10-$E$10)),$G$10-SQRT((1-T602)*($G$10-$E$10)*($G$10-$F$10))))</f>
        <v>1.04728035646907</v>
      </c>
      <c r="G602" s="38" t="n">
        <f aca="false">IF($G$11=$E$11,$F$11,IF(U602&lt;($F$11-$E$11)/($G$11-$E$11),$E$11+SQRT(U602*($G$11-$E$11)*($F$11-$E$11)),$G$11-SQRT((1-U602)*($G$11-$E$11)*($G$11-$F$11))))</f>
        <v>0.105127637427082</v>
      </c>
      <c r="H602" s="39" t="n">
        <f aca="false">(('Business Case'!B11*$C602*'Business Case'!B12*$B602)-'Business Case'!B11*$C602*'Business Case'!B13*$D602-'Business Case'!B14*$E602)-MAX(0,(('Business Case'!B11*$C602*'Business Case'!B12*$B602)-'Business Case'!B11*$C602*'Business Case'!B13*$D602-'Business Case'!B14*$E602))*'Business Case'!$B$7-'Business Case'!$B$8*('Business Case'!B11*$C602*'Business Case'!B12*$B602)-'Business Case'!B15*$F602</f>
        <v>-2094560712.93814</v>
      </c>
      <c r="I602" s="39" t="n">
        <f aca="false">(('Business Case'!C11*$C602*'Business Case'!C12*$B602)-'Business Case'!C11*$C602*'Business Case'!C13*$D602-'Business Case'!C14*$E602)-MAX(0,(('Business Case'!C11*$C602*'Business Case'!C12*$B602)-'Business Case'!C11*$C602*'Business Case'!C13*$D602-'Business Case'!C14*$E602))*'Business Case'!$B$7-'Business Case'!$B$8*(('Business Case'!C11*$C602*'Business Case'!C12*$B602)-('Business Case'!B11*$C602*'Business Case'!B12*$B602))-'Business Case'!C15*$F602</f>
        <v>17430081.0549596</v>
      </c>
      <c r="J602" s="39" t="n">
        <f aca="false">(('Business Case'!D11*$C602*'Business Case'!D12*$B602)-'Business Case'!D11*$C602*'Business Case'!D13*$D602-'Business Case'!D14*$E602)-MAX(0,(('Business Case'!D11*$C602*'Business Case'!D12*$B602)-'Business Case'!D11*$C602*'Business Case'!D13*$D602-'Business Case'!D14*$E602))*'Business Case'!$B$7-'Business Case'!$B$8*(('Business Case'!D11*$C602*'Business Case'!D12*$B602)-('Business Case'!C11*$C602*'Business Case'!C12*$B602))-'Business Case'!D15*$F602</f>
        <v>334329738.26193</v>
      </c>
      <c r="K602" s="39" t="n">
        <f aca="false">(('Business Case'!E11*$C602*'Business Case'!E12*$B602)-'Business Case'!E11*$C602*'Business Case'!E13*$D602-'Business Case'!E14*$E602)-MAX(0,(('Business Case'!E11*$C602*'Business Case'!E12*$B602)-'Business Case'!E11*$C602*'Business Case'!E13*$D602-'Business Case'!E14*$E602))*'Business Case'!$B$7-'Business Case'!$B$8*(('Business Case'!E11*$C602*'Business Case'!E12*$B602)-('Business Case'!D11*$C602*'Business Case'!D12*$B602))-'Business Case'!E15*$F602</f>
        <v>703593413.292354</v>
      </c>
      <c r="L602" s="39" t="n">
        <f aca="false">(('Business Case'!F11*$C602*'Business Case'!F12*$B602)-'Business Case'!F11*$C602*'Business Case'!F13*$D602-'Business Case'!F14*$E602)-MAX(0,(('Business Case'!F11*$C602*'Business Case'!F12*$B602)-'Business Case'!F11*$C602*'Business Case'!F13*$D602-'Business Case'!F14*$E602))*'Business Case'!$B$7-'Business Case'!$B$8*(('Business Case'!F11*$C602*'Business Case'!F12*$B602)-('Business Case'!E11*$C602*'Business Case'!E12*$B602))-'Business Case'!F15*$F602</f>
        <v>843430204.679161</v>
      </c>
      <c r="M602" s="39" t="n">
        <f aca="false">(('Business Case'!G11*$C602*'Business Case'!G12*$B602)-'Business Case'!G11*$C602*'Business Case'!G13*$D602-'Business Case'!G14*$E602)-MAX(0,(('Business Case'!G11*$C602*'Business Case'!G12*$B602)-'Business Case'!G11*$C602*'Business Case'!G13*$D602-'Business Case'!G14*$E602))*'Business Case'!$B$7-'Business Case'!$B$8*(('Business Case'!G11*$C602*'Business Case'!G12*$B602)-('Business Case'!F11*$C602*'Business Case'!F12*$B602))-'Business Case'!G15*$F602+'Business Case'!$B$8*('Business Case'!G11*$C602*'Business Case'!G12*$B602)</f>
        <v>1031549852.42716</v>
      </c>
      <c r="N602" s="39" t="n">
        <f aca="false">IF(COUNT('Business Case'!B11:G11)=0,"",H602+NPV(G602,I602:M602))</f>
        <v>-92499279.2530122</v>
      </c>
      <c r="P602" s="40" t="n">
        <f aca="true">RAND()</f>
        <v>0.952040202302855</v>
      </c>
      <c r="Q602" s="40" t="n">
        <f aca="true">RAND()</f>
        <v>0.392285716806886</v>
      </c>
      <c r="R602" s="40" t="n">
        <f aca="true">RAND()</f>
        <v>0.364909248462252</v>
      </c>
      <c r="S602" s="40" t="n">
        <f aca="true">RAND()</f>
        <v>0.444205321110261</v>
      </c>
      <c r="T602" s="40" t="n">
        <f aca="true">RAND()</f>
        <v>0.533534209595699</v>
      </c>
      <c r="U602" s="40" t="n">
        <f aca="true">RAND()</f>
        <v>0.631354719166112</v>
      </c>
    </row>
    <row r="603" customFormat="false" ht="15" hidden="false" customHeight="false" outlineLevel="0" collapsed="false">
      <c r="A603" s="36" t="n">
        <v>523</v>
      </c>
      <c r="B603" s="37" t="n">
        <f aca="false">1+IF($G$6=$E$6,$F$6,IF(P603&lt;($F$6-$E$6)/($G$6-$E$6),$E$6+SQRT(P603*($G$6-$E$6)*($F$6-$E$6)),$G$6-SQRT((1-P603)*($G$6-$E$6)*($G$6-$F$6))))</f>
        <v>0.995666027788506</v>
      </c>
      <c r="C603" s="37" t="n">
        <f aca="false">1+IF($G$7=$E$7,$F$7,IF(Q603&lt;($F$7-$E$7)/($G$7-$E$7),$E$7+SQRT(Q603*($G$7-$E$7)*($F$7-$E$7)),$G$7-SQRT((1-Q603)*($G$7-$E$7)*($G$7-$F$7))))</f>
        <v>0.851834087959471</v>
      </c>
      <c r="D603" s="37" t="n">
        <f aca="false">1+IF($G$8=$E$8,$F$8,IF(R603&lt;($F$8-$E$8)/($G$8-$E$8),$E$8+SQRT(R603*($G$8-$E$8)*($F$8-$E$8)),$G$8-SQRT((1-R603)*($G$8-$E$8)*($G$8-$F$8))))</f>
        <v>0.991504931312871</v>
      </c>
      <c r="E603" s="37" t="n">
        <f aca="false">1+IF($G$9=$E$9,$F$9,IF(S603&lt;($F$9-$E$9)/($G$9-$E$9),$E$9+SQRT(S603*($G$9-$E$9)*($F$9-$E$9)),$G$9-SQRT((1-S603)*($G$9-$E$9)*($G$9-$F$9))))</f>
        <v>0.965929918130171</v>
      </c>
      <c r="F603" s="37" t="n">
        <f aca="false">1+IF($G$10=$E$10,$F$10,IF(T603&lt;($F$10-$E$10)/($G$10-$E$10),$E$10+SQRT(T603*($G$10-$E$10)*($F$10-$E$10)),$G$10-SQRT((1-T603)*($G$10-$E$10)*($G$10-$F$10))))</f>
        <v>1.03709031506418</v>
      </c>
      <c r="G603" s="38" t="n">
        <f aca="false">IF($G$11=$E$11,$F$11,IF(U603&lt;($F$11-$E$11)/($G$11-$E$11),$E$11+SQRT(U603*($G$11-$E$11)*($F$11-$E$11)),$G$11-SQRT((1-U603)*($G$11-$E$11)*($G$11-$F$11))))</f>
        <v>0.0996455556096439</v>
      </c>
      <c r="H603" s="39" t="n">
        <f aca="false">(('Business Case'!B11*$C603*'Business Case'!B12*$B603)-'Business Case'!B11*$C603*'Business Case'!B13*$D603-'Business Case'!B14*$E603)-MAX(0,(('Business Case'!B11*$C603*'Business Case'!B12*$B603)-'Business Case'!B11*$C603*'Business Case'!B13*$D603-'Business Case'!B14*$E603))*'Business Case'!$B$7-'Business Case'!$B$8*('Business Case'!B11*$C603*'Business Case'!B12*$B603)-'Business Case'!B15*$F603</f>
        <v>-2074180630.12836</v>
      </c>
      <c r="I603" s="39" t="n">
        <f aca="false">(('Business Case'!C11*$C603*'Business Case'!C12*$B603)-'Business Case'!C11*$C603*'Business Case'!C13*$D603-'Business Case'!C14*$E603)-MAX(0,(('Business Case'!C11*$C603*'Business Case'!C12*$B603)-'Business Case'!C11*$C603*'Business Case'!C13*$D603-'Business Case'!C14*$E603))*'Business Case'!$B$7-'Business Case'!$B$8*(('Business Case'!C11*$C603*'Business Case'!C12*$B603)-('Business Case'!B11*$C603*'Business Case'!B12*$B603))-'Business Case'!C15*$F603</f>
        <v>-22708835.3803714</v>
      </c>
      <c r="J603" s="39" t="n">
        <f aca="false">(('Business Case'!D11*$C603*'Business Case'!D12*$B603)-'Business Case'!D11*$C603*'Business Case'!D13*$D603-'Business Case'!D14*$E603)-MAX(0,(('Business Case'!D11*$C603*'Business Case'!D12*$B603)-'Business Case'!D11*$C603*'Business Case'!D13*$D603-'Business Case'!D14*$E603))*'Business Case'!$B$7-'Business Case'!$B$8*(('Business Case'!D11*$C603*'Business Case'!D12*$B603)-('Business Case'!C11*$C603*'Business Case'!C12*$B603))-'Business Case'!D15*$F603</f>
        <v>239614290.001814</v>
      </c>
      <c r="K603" s="39" t="n">
        <f aca="false">(('Business Case'!E11*$C603*'Business Case'!E12*$B603)-'Business Case'!E11*$C603*'Business Case'!E13*$D603-'Business Case'!E14*$E603)-MAX(0,(('Business Case'!E11*$C603*'Business Case'!E12*$B603)-'Business Case'!E11*$C603*'Business Case'!E13*$D603-'Business Case'!E14*$E603))*'Business Case'!$B$7-'Business Case'!$B$8*(('Business Case'!E11*$C603*'Business Case'!E12*$B603)-('Business Case'!D11*$C603*'Business Case'!D12*$B603))-'Business Case'!E15*$F603</f>
        <v>553791931.137208</v>
      </c>
      <c r="L603" s="39" t="n">
        <f aca="false">(('Business Case'!F11*$C603*'Business Case'!F12*$B603)-'Business Case'!F11*$C603*'Business Case'!F13*$D603-'Business Case'!F14*$E603)-MAX(0,(('Business Case'!F11*$C603*'Business Case'!F12*$B603)-'Business Case'!F11*$C603*'Business Case'!F13*$D603-'Business Case'!F14*$E603))*'Business Case'!$B$7-'Business Case'!$B$8*(('Business Case'!F11*$C603*'Business Case'!F12*$B603)-('Business Case'!E11*$C603*'Business Case'!E12*$B603))-'Business Case'!F15*$F603</f>
        <v>670544769.529956</v>
      </c>
      <c r="M603" s="39" t="n">
        <f aca="false">(('Business Case'!G11*$C603*'Business Case'!G12*$B603)-'Business Case'!G11*$C603*'Business Case'!G13*$D603-'Business Case'!G14*$E603)-MAX(0,(('Business Case'!G11*$C603*'Business Case'!G12*$B603)-'Business Case'!G11*$C603*'Business Case'!G13*$D603-'Business Case'!G14*$E603))*'Business Case'!$B$7-'Business Case'!$B$8*(('Business Case'!G11*$C603*'Business Case'!G12*$B603)-('Business Case'!F11*$C603*'Business Case'!F12*$B603))-'Business Case'!G15*$F603+'Business Case'!$B$8*('Business Case'!G11*$C603*'Business Case'!G12*$B603)</f>
        <v>831759650.822727</v>
      </c>
      <c r="N603" s="39" t="n">
        <f aca="false">IF(COUNT('Business Case'!B11:G11)=0,"",H603+NPV(G603,I603:M603))</f>
        <v>-504329071.437914</v>
      </c>
      <c r="P603" s="40" t="n">
        <f aca="true">RAND()</f>
        <v>0.596390391801147</v>
      </c>
      <c r="Q603" s="40" t="n">
        <f aca="true">RAND()</f>
        <v>0.0383824667798597</v>
      </c>
      <c r="R603" s="40" t="n">
        <f aca="true">RAND()</f>
        <v>0.265024511274785</v>
      </c>
      <c r="S603" s="40" t="n">
        <f aca="true">RAND()</f>
        <v>0.0338349722178583</v>
      </c>
      <c r="T603" s="40" t="n">
        <f aca="true">RAND()</f>
        <v>0.469208691082248</v>
      </c>
      <c r="U603" s="40" t="n">
        <f aca="true">RAND()</f>
        <v>0.310122476729108</v>
      </c>
    </row>
    <row r="604" customFormat="false" ht="15" hidden="false" customHeight="false" outlineLevel="0" collapsed="false">
      <c r="A604" s="36" t="n">
        <v>524</v>
      </c>
      <c r="B604" s="37" t="n">
        <f aca="false">1+IF($G$6=$E$6,$F$6,IF(P604&lt;($F$6-$E$6)/($G$6-$E$6),$E$6+SQRT(P604*($G$6-$E$6)*($F$6-$E$6)),$G$6-SQRT((1-P604)*($G$6-$E$6)*($G$6-$F$6))))</f>
        <v>1.02601930900512</v>
      </c>
      <c r="C604" s="37" t="n">
        <f aca="false">1+IF($G$7=$E$7,$F$7,IF(Q604&lt;($F$7-$E$7)/($G$7-$E$7),$E$7+SQRT(Q604*($G$7-$E$7)*($F$7-$E$7)),$G$7-SQRT((1-Q604)*($G$7-$E$7)*($G$7-$F$7))))</f>
        <v>1.10380575255434</v>
      </c>
      <c r="D604" s="37" t="n">
        <f aca="false">1+IF($G$8=$E$8,$F$8,IF(R604&lt;($F$8-$E$8)/($G$8-$E$8),$E$8+SQRT(R604*($G$8-$E$8)*($F$8-$E$8)),$G$8-SQRT((1-R604)*($G$8-$E$8)*($G$8-$F$8))))</f>
        <v>0.98045613073582</v>
      </c>
      <c r="E604" s="37" t="n">
        <f aca="false">1+IF($G$9=$E$9,$F$9,IF(S604&lt;($F$9-$E$9)/($G$9-$E$9),$E$9+SQRT(S604*($G$9-$E$9)*($F$9-$E$9)),$G$9-SQRT((1-S604)*($G$9-$E$9)*($G$9-$F$9))))</f>
        <v>0.997840347070105</v>
      </c>
      <c r="F604" s="37" t="n">
        <f aca="false">1+IF($G$10=$E$10,$F$10,IF(T604&lt;($F$10-$E$10)/($G$10-$E$10),$E$10+SQRT(T604*($G$10-$E$10)*($F$10-$E$10)),$G$10-SQRT((1-T604)*($G$10-$E$10)*($G$10-$F$10))))</f>
        <v>1.01048035145034</v>
      </c>
      <c r="G604" s="38" t="n">
        <f aca="false">IF($G$11=$E$11,$F$11,IF(U604&lt;($F$11-$E$11)/($G$11-$E$11),$E$11+SQRT(U604*($G$11-$E$11)*($F$11-$E$11)),$G$11-SQRT((1-U604)*($G$11-$E$11)*($G$11-$F$11))))</f>
        <v>0.0977941312336015</v>
      </c>
      <c r="H604" s="39" t="n">
        <f aca="false">(('Business Case'!B11*$C604*'Business Case'!B12*$B604)-'Business Case'!B11*$C604*'Business Case'!B13*$D604-'Business Case'!B14*$E604)-MAX(0,(('Business Case'!B11*$C604*'Business Case'!B12*$B604)-'Business Case'!B11*$C604*'Business Case'!B13*$D604-'Business Case'!B14*$E604))*'Business Case'!$B$7-'Business Case'!$B$8*('Business Case'!B11*$C604*'Business Case'!B12*$B604)-'Business Case'!B15*$F604</f>
        <v>-2020960702.90068</v>
      </c>
      <c r="I604" s="39" t="n">
        <f aca="false">(('Business Case'!C11*$C604*'Business Case'!C12*$B604)-'Business Case'!C11*$C604*'Business Case'!C13*$D604-'Business Case'!C14*$E604)-MAX(0,(('Business Case'!C11*$C604*'Business Case'!C12*$B604)-'Business Case'!C11*$C604*'Business Case'!C13*$D604-'Business Case'!C14*$E604))*'Business Case'!$B$7-'Business Case'!$B$8*(('Business Case'!C11*$C604*'Business Case'!C12*$B604)-('Business Case'!B11*$C604*'Business Case'!B12*$B604))-'Business Case'!C15*$F604</f>
        <v>71952490.0605499</v>
      </c>
      <c r="J604" s="39" t="n">
        <f aca="false">(('Business Case'!D11*$C604*'Business Case'!D12*$B604)-'Business Case'!D11*$C604*'Business Case'!D13*$D604-'Business Case'!D14*$E604)-MAX(0,(('Business Case'!D11*$C604*'Business Case'!D12*$B604)-'Business Case'!D11*$C604*'Business Case'!D13*$D604-'Business Case'!D14*$E604))*'Business Case'!$B$7-'Business Case'!$B$8*(('Business Case'!D11*$C604*'Business Case'!D12*$B604)-('Business Case'!C11*$C604*'Business Case'!C12*$B604))-'Business Case'!D15*$F604</f>
        <v>445556061.263628</v>
      </c>
      <c r="K604" s="39" t="n">
        <f aca="false">(('Business Case'!E11*$C604*'Business Case'!E12*$B604)-'Business Case'!E11*$C604*'Business Case'!E13*$D604-'Business Case'!E14*$E604)-MAX(0,(('Business Case'!E11*$C604*'Business Case'!E12*$B604)-'Business Case'!E11*$C604*'Business Case'!E13*$D604-'Business Case'!E14*$E604))*'Business Case'!$B$7-'Business Case'!$B$8*(('Business Case'!E11*$C604*'Business Case'!E12*$B604)-('Business Case'!D11*$C604*'Business Case'!D12*$B604))-'Business Case'!E15*$F604</f>
        <v>869683650.039224</v>
      </c>
      <c r="L604" s="39" t="n">
        <f aca="false">(('Business Case'!F11*$C604*'Business Case'!F12*$B604)-'Business Case'!F11*$C604*'Business Case'!F13*$D604-'Business Case'!F14*$E604)-MAX(0,(('Business Case'!F11*$C604*'Business Case'!F12*$B604)-'Business Case'!F11*$C604*'Business Case'!F13*$D604-'Business Case'!F14*$E604))*'Business Case'!$B$7-'Business Case'!$B$8*(('Business Case'!F11*$C604*'Business Case'!F12*$B604)-('Business Case'!E11*$C604*'Business Case'!E12*$B604))-'Business Case'!F15*$F604</f>
        <v>1033358272.86967</v>
      </c>
      <c r="M604" s="39" t="n">
        <f aca="false">(('Business Case'!G11*$C604*'Business Case'!G12*$B604)-'Business Case'!G11*$C604*'Business Case'!G13*$D604-'Business Case'!G14*$E604)-MAX(0,(('Business Case'!G11*$C604*'Business Case'!G12*$B604)-'Business Case'!G11*$C604*'Business Case'!G13*$D604-'Business Case'!G14*$E604))*'Business Case'!$B$7-'Business Case'!$B$8*(('Business Case'!G11*$C604*'Business Case'!G12*$B604)-('Business Case'!F11*$C604*'Business Case'!F12*$B604))-'Business Case'!G15*$F604+'Business Case'!$B$8*('Business Case'!G11*$C604*'Business Case'!G12*$B604)</f>
        <v>1248628817.89813</v>
      </c>
      <c r="N604" s="39" t="n">
        <f aca="false">IF(COUNT('Business Case'!B11:G11)=0,"",H604+NPV(G604,I604:M604))</f>
        <v>566252918.274104</v>
      </c>
      <c r="P604" s="40" t="n">
        <f aca="true">RAND()</f>
        <v>0.959279224855356</v>
      </c>
      <c r="Q604" s="40" t="n">
        <f aca="true">RAND()</f>
        <v>0.959354123865318</v>
      </c>
      <c r="R604" s="40" t="n">
        <f aca="true">RAND()</f>
        <v>0.142703984522669</v>
      </c>
      <c r="S604" s="40" t="n">
        <f aca="true">RAND()</f>
        <v>0.305159841038407</v>
      </c>
      <c r="T604" s="40" t="n">
        <f aca="true">RAND()</f>
        <v>0.281646056272261</v>
      </c>
      <c r="U604" s="40" t="n">
        <f aca="true">RAND()</f>
        <v>0.202494938955343</v>
      </c>
    </row>
    <row r="605" customFormat="false" ht="15" hidden="false" customHeight="false" outlineLevel="0" collapsed="false">
      <c r="A605" s="36" t="n">
        <v>525</v>
      </c>
      <c r="B605" s="37" t="n">
        <f aca="false">1+IF($G$6=$E$6,$F$6,IF(P605&lt;($F$6-$E$6)/($G$6-$E$6),$E$6+SQRT(P605*($G$6-$E$6)*($F$6-$E$6)),$G$6-SQRT((1-P605)*($G$6-$E$6)*($G$6-$F$6))))</f>
        <v>1.00362678507459</v>
      </c>
      <c r="C605" s="37" t="n">
        <f aca="false">1+IF($G$7=$E$7,$F$7,IF(Q605&lt;($F$7-$E$7)/($G$7-$E$7),$E$7+SQRT(Q605*($G$7-$E$7)*($F$7-$E$7)),$G$7-SQRT((1-Q605)*($G$7-$E$7)*($G$7-$F$7))))</f>
        <v>1.05326617599879</v>
      </c>
      <c r="D605" s="37" t="n">
        <f aca="false">1+IF($G$8=$E$8,$F$8,IF(R605&lt;($F$8-$E$8)/($G$8-$E$8),$E$8+SQRT(R605*($G$8-$E$8)*($F$8-$E$8)),$G$8-SQRT((1-R605)*($G$8-$E$8)*($G$8-$F$8))))</f>
        <v>1.01637135352777</v>
      </c>
      <c r="E605" s="37" t="n">
        <f aca="false">1+IF($G$9=$E$9,$F$9,IF(S605&lt;($F$9-$E$9)/($G$9-$E$9),$E$9+SQRT(S605*($G$9-$E$9)*($F$9-$E$9)),$G$9-SQRT((1-S605)*($G$9-$E$9)*($G$9-$F$9))))</f>
        <v>1.08864608334892</v>
      </c>
      <c r="F605" s="37" t="n">
        <f aca="false">1+IF($G$10=$E$10,$F$10,IF(T605&lt;($F$10-$E$10)/($G$10-$E$10),$E$10+SQRT(T605*($G$10-$E$10)*($F$10-$E$10)),$G$10-SQRT((1-T605)*($G$10-$E$10)*($G$10-$F$10))))</f>
        <v>1.04752993208397</v>
      </c>
      <c r="G605" s="38" t="n">
        <f aca="false">IF($G$11=$E$11,$F$11,IF(U605&lt;($F$11-$E$11)/($G$11-$E$11),$E$11+SQRT(U605*($G$11-$E$11)*($F$11-$E$11)),$G$11-SQRT((1-U605)*($G$11-$E$11)*($G$11-$F$11))))</f>
        <v>0.0991861117032414</v>
      </c>
      <c r="H605" s="39" t="n">
        <f aca="false">(('Business Case'!B11*$C605*'Business Case'!B12*$B605)-'Business Case'!B11*$C605*'Business Case'!B13*$D605-'Business Case'!B14*$E605)-MAX(0,(('Business Case'!B11*$C605*'Business Case'!B12*$B605)-'Business Case'!B11*$C605*'Business Case'!B13*$D605-'Business Case'!B14*$E605))*'Business Case'!$B$7-'Business Case'!$B$8*('Business Case'!B11*$C605*'Business Case'!B12*$B605)-'Business Case'!B15*$F605</f>
        <v>-2095059864.16793</v>
      </c>
      <c r="I605" s="39" t="n">
        <f aca="false">(('Business Case'!C11*$C605*'Business Case'!C12*$B605)-'Business Case'!C11*$C605*'Business Case'!C13*$D605-'Business Case'!C14*$E605)-MAX(0,(('Business Case'!C11*$C605*'Business Case'!C12*$B605)-'Business Case'!C11*$C605*'Business Case'!C13*$D605-'Business Case'!C14*$E605))*'Business Case'!$B$7-'Business Case'!$B$8*(('Business Case'!C11*$C605*'Business Case'!C12*$B605)-('Business Case'!B11*$C605*'Business Case'!B12*$B605))-'Business Case'!C15*$F605</f>
        <v>3456593.21811022</v>
      </c>
      <c r="J605" s="39" t="n">
        <f aca="false">(('Business Case'!D11*$C605*'Business Case'!D12*$B605)-'Business Case'!D11*$C605*'Business Case'!D13*$D605-'Business Case'!D14*$E605)-MAX(0,(('Business Case'!D11*$C605*'Business Case'!D12*$B605)-'Business Case'!D11*$C605*'Business Case'!D13*$D605-'Business Case'!D14*$E605))*'Business Case'!$B$7-'Business Case'!$B$8*(('Business Case'!D11*$C605*'Business Case'!D12*$B605)-('Business Case'!C11*$C605*'Business Case'!C12*$B605))-'Business Case'!D15*$F605</f>
        <v>321270998.50783</v>
      </c>
      <c r="K605" s="39" t="n">
        <f aca="false">(('Business Case'!E11*$C605*'Business Case'!E12*$B605)-'Business Case'!E11*$C605*'Business Case'!E13*$D605-'Business Case'!E14*$E605)-MAX(0,(('Business Case'!E11*$C605*'Business Case'!E12*$B605)-'Business Case'!E11*$C605*'Business Case'!E13*$D605-'Business Case'!E14*$E605))*'Business Case'!$B$7-'Business Case'!$B$8*(('Business Case'!E11*$C605*'Business Case'!E12*$B605)-('Business Case'!D11*$C605*'Business Case'!D12*$B605))-'Business Case'!E15*$F605</f>
        <v>691461900.401748</v>
      </c>
      <c r="L605" s="39" t="n">
        <f aca="false">(('Business Case'!F11*$C605*'Business Case'!F12*$B605)-'Business Case'!F11*$C605*'Business Case'!F13*$D605-'Business Case'!F14*$E605)-MAX(0,(('Business Case'!F11*$C605*'Business Case'!F12*$B605)-'Business Case'!F11*$C605*'Business Case'!F13*$D605-'Business Case'!F14*$E605))*'Business Case'!$B$7-'Business Case'!$B$8*(('Business Case'!F11*$C605*'Business Case'!F12*$B605)-('Business Case'!E11*$C605*'Business Case'!E12*$B605))-'Business Case'!F15*$F605</f>
        <v>833932932.705654</v>
      </c>
      <c r="M605" s="39" t="n">
        <f aca="false">(('Business Case'!G11*$C605*'Business Case'!G12*$B605)-'Business Case'!G11*$C605*'Business Case'!G13*$D605-'Business Case'!G14*$E605)-MAX(0,(('Business Case'!G11*$C605*'Business Case'!G12*$B605)-'Business Case'!G11*$C605*'Business Case'!G13*$D605-'Business Case'!G14*$E605))*'Business Case'!$B$7-'Business Case'!$B$8*(('Business Case'!G11*$C605*'Business Case'!G12*$B605)-('Business Case'!F11*$C605*'Business Case'!F12*$B605))-'Business Case'!G15*$F605+'Business Case'!$B$8*('Business Case'!G11*$C605*'Business Case'!G12*$B605)</f>
        <v>1034863867.34598</v>
      </c>
      <c r="N605" s="39" t="n">
        <f aca="false">IF(COUNT('Business Case'!B11:G11)=0,"",H605+NPV(G605,I605:M605))</f>
        <v>-89120412.5198736</v>
      </c>
      <c r="P605" s="40" t="n">
        <f aca="true">RAND()</f>
        <v>0.724372757497907</v>
      </c>
      <c r="Q605" s="40" t="n">
        <f aca="true">RAND()</f>
        <v>0.821763186554341</v>
      </c>
      <c r="R605" s="40" t="n">
        <f aca="true">RAND()</f>
        <v>0.610711091164581</v>
      </c>
      <c r="S605" s="40" t="n">
        <f aca="true">RAND()</f>
        <v>0.991405905112017</v>
      </c>
      <c r="T605" s="40" t="n">
        <f aca="true">RAND()</f>
        <v>0.535057567793598</v>
      </c>
      <c r="U605" s="40" t="n">
        <f aca="true">RAND()</f>
        <v>0.281282160748093</v>
      </c>
    </row>
    <row r="606" customFormat="false" ht="15" hidden="false" customHeight="false" outlineLevel="0" collapsed="false">
      <c r="A606" s="36" t="n">
        <v>526</v>
      </c>
      <c r="B606" s="37" t="n">
        <f aca="false">1+IF($G$6=$E$6,$F$6,IF(P606&lt;($F$6-$E$6)/($G$6-$E$6),$E$6+SQRT(P606*($G$6-$E$6)*($F$6-$E$6)),$G$6-SQRT((1-P606)*($G$6-$E$6)*($G$6-$F$6))))</f>
        <v>1.01285527298902</v>
      </c>
      <c r="C606" s="37" t="n">
        <f aca="false">1+IF($G$7=$E$7,$F$7,IF(Q606&lt;($F$7-$E$7)/($G$7-$E$7),$E$7+SQRT(Q606*($G$7-$E$7)*($F$7-$E$7)),$G$7-SQRT((1-Q606)*($G$7-$E$7)*($G$7-$F$7))))</f>
        <v>0.957764283615827</v>
      </c>
      <c r="D606" s="37" t="n">
        <f aca="false">1+IF($G$8=$E$8,$F$8,IF(R606&lt;($F$8-$E$8)/($G$8-$E$8),$E$8+SQRT(R606*($G$8-$E$8)*($F$8-$E$8)),$G$8-SQRT((1-R606)*($G$8-$E$8)*($G$8-$F$8))))</f>
        <v>0.988353360460639</v>
      </c>
      <c r="E606" s="37" t="n">
        <f aca="false">1+IF($G$9=$E$9,$F$9,IF(S606&lt;($F$9-$E$9)/($G$9-$E$9),$E$9+SQRT(S606*($G$9-$E$9)*($F$9-$E$9)),$G$9-SQRT((1-S606)*($G$9-$E$9)*($G$9-$F$9))))</f>
        <v>1.03293953236341</v>
      </c>
      <c r="F606" s="37" t="n">
        <f aca="false">1+IF($G$10=$E$10,$F$10,IF(T606&lt;($F$10-$E$10)/($G$10-$E$10),$E$10+SQRT(T606*($G$10-$E$10)*($F$10-$E$10)),$G$10-SQRT((1-T606)*($G$10-$E$10)*($G$10-$F$10))))</f>
        <v>0.976424691981737</v>
      </c>
      <c r="G606" s="38" t="n">
        <f aca="false">IF($G$11=$E$11,$F$11,IF(U606&lt;($F$11-$E$11)/($G$11-$E$11),$E$11+SQRT(U606*($G$11-$E$11)*($F$11-$E$11)),$G$11-SQRT((1-U606)*($G$11-$E$11)*($G$11-$F$11))))</f>
        <v>0.109878733625476</v>
      </c>
      <c r="H606" s="39" t="n">
        <f aca="false">(('Business Case'!B11*$C606*'Business Case'!B12*$B606)-'Business Case'!B11*$C606*'Business Case'!B13*$D606-'Business Case'!B14*$E606)-MAX(0,(('Business Case'!B11*$C606*'Business Case'!B12*$B606)-'Business Case'!B11*$C606*'Business Case'!B13*$D606-'Business Case'!B14*$E606))*'Business Case'!$B$7-'Business Case'!$B$8*('Business Case'!B11*$C606*'Business Case'!B12*$B606)-'Business Case'!B15*$F606</f>
        <v>-1952849383.96347</v>
      </c>
      <c r="I606" s="39" t="n">
        <f aca="false">(('Business Case'!C11*$C606*'Business Case'!C12*$B606)-'Business Case'!C11*$C606*'Business Case'!C13*$D606-'Business Case'!C14*$E606)-MAX(0,(('Business Case'!C11*$C606*'Business Case'!C12*$B606)-'Business Case'!C11*$C606*'Business Case'!C13*$D606-'Business Case'!C14*$E606))*'Business Case'!$B$7-'Business Case'!$B$8*(('Business Case'!C11*$C606*'Business Case'!C12*$B606)-('Business Case'!B11*$C606*'Business Case'!B12*$B606))-'Business Case'!C15*$F606</f>
        <v>15158983.1262506</v>
      </c>
      <c r="J606" s="39" t="n">
        <f aca="false">(('Business Case'!D11*$C606*'Business Case'!D12*$B606)-'Business Case'!D11*$C606*'Business Case'!D13*$D606-'Business Case'!D14*$E606)-MAX(0,(('Business Case'!D11*$C606*'Business Case'!D12*$B606)-'Business Case'!D11*$C606*'Business Case'!D13*$D606-'Business Case'!D14*$E606))*'Business Case'!$B$7-'Business Case'!$B$8*(('Business Case'!D11*$C606*'Business Case'!D12*$B606)-('Business Case'!C11*$C606*'Business Case'!C12*$B606))-'Business Case'!D15*$F606</f>
        <v>325133208.152885</v>
      </c>
      <c r="K606" s="39" t="n">
        <f aca="false">(('Business Case'!E11*$C606*'Business Case'!E12*$B606)-'Business Case'!E11*$C606*'Business Case'!E13*$D606-'Business Case'!E14*$E606)-MAX(0,(('Business Case'!E11*$C606*'Business Case'!E12*$B606)-'Business Case'!E11*$C606*'Business Case'!E13*$D606-'Business Case'!E14*$E606))*'Business Case'!$B$7-'Business Case'!$B$8*(('Business Case'!E11*$C606*'Business Case'!E12*$B606)-('Business Case'!D11*$C606*'Business Case'!D12*$B606))-'Business Case'!E15*$F606</f>
        <v>683928667.778606</v>
      </c>
      <c r="L606" s="39" t="n">
        <f aca="false">(('Business Case'!F11*$C606*'Business Case'!F12*$B606)-'Business Case'!F11*$C606*'Business Case'!F13*$D606-'Business Case'!F14*$E606)-MAX(0,(('Business Case'!F11*$C606*'Business Case'!F12*$B606)-'Business Case'!F11*$C606*'Business Case'!F13*$D606-'Business Case'!F14*$E606))*'Business Case'!$B$7-'Business Case'!$B$8*(('Business Case'!F11*$C606*'Business Case'!F12*$B606)-('Business Case'!E11*$C606*'Business Case'!E12*$B606))-'Business Case'!F15*$F606</f>
        <v>820779256.920906</v>
      </c>
      <c r="M606" s="39" t="n">
        <f aca="false">(('Business Case'!G11*$C606*'Business Case'!G12*$B606)-'Business Case'!G11*$C606*'Business Case'!G13*$D606-'Business Case'!G14*$E606)-MAX(0,(('Business Case'!G11*$C606*'Business Case'!G12*$B606)-'Business Case'!G11*$C606*'Business Case'!G13*$D606-'Business Case'!G14*$E606))*'Business Case'!$B$7-'Business Case'!$B$8*(('Business Case'!G11*$C606*'Business Case'!G12*$B606)-('Business Case'!F11*$C606*'Business Case'!F12*$B606))-'Business Case'!G15*$F606+'Business Case'!$B$8*('Business Case'!G11*$C606*'Business Case'!G12*$B606)</f>
        <v>1005171417.98806</v>
      </c>
      <c r="N606" s="39" t="n">
        <f aca="false">IF(COUNT('Business Case'!B11:G11)=0,"",H606+NPV(G606,I606:M606))</f>
        <v>-37246071.3815692</v>
      </c>
      <c r="P606" s="40" t="n">
        <f aca="true">RAND()</f>
        <v>0.846492457395704</v>
      </c>
      <c r="Q606" s="40" t="n">
        <f aca="true">RAND()</f>
        <v>0.355565274068786</v>
      </c>
      <c r="R606" s="40" t="n">
        <f aca="true">RAND()</f>
        <v>0.226304655172883</v>
      </c>
      <c r="S606" s="40" t="n">
        <f aca="true">RAND()</f>
        <v>0.700192912024095</v>
      </c>
      <c r="T606" s="40" t="n">
        <f aca="true">RAND()</f>
        <v>0.0558611477063741</v>
      </c>
      <c r="U606" s="40" t="n">
        <f aca="true">RAND()</f>
        <v>0.829266611626557</v>
      </c>
    </row>
    <row r="607" customFormat="false" ht="15" hidden="false" customHeight="false" outlineLevel="0" collapsed="false">
      <c r="A607" s="36" t="n">
        <v>527</v>
      </c>
      <c r="B607" s="37" t="n">
        <f aca="false">1+IF($G$6=$E$6,$F$6,IF(P607&lt;($F$6-$E$6)/($G$6-$E$6),$E$6+SQRT(P607*($G$6-$E$6)*($F$6-$E$6)),$G$6-SQRT((1-P607)*($G$6-$E$6)*($G$6-$F$6))))</f>
        <v>0.990958684028972</v>
      </c>
      <c r="C607" s="37" t="n">
        <f aca="false">1+IF($G$7=$E$7,$F$7,IF(Q607&lt;($F$7-$E$7)/($G$7-$E$7),$E$7+SQRT(Q607*($G$7-$E$7)*($F$7-$E$7)),$G$7-SQRT((1-Q607)*($G$7-$E$7)*($G$7-$F$7))))</f>
        <v>1.06152260774689</v>
      </c>
      <c r="D607" s="37" t="n">
        <f aca="false">1+IF($G$8=$E$8,$F$8,IF(R607&lt;($F$8-$E$8)/($G$8-$E$8),$E$8+SQRT(R607*($G$8-$E$8)*($F$8-$E$8)),$G$8-SQRT((1-R607)*($G$8-$E$8)*($G$8-$F$8))))</f>
        <v>0.96304436720971</v>
      </c>
      <c r="E607" s="37" t="n">
        <f aca="false">1+IF($G$9=$E$9,$F$9,IF(S607&lt;($F$9-$E$9)/($G$9-$E$9),$E$9+SQRT(S607*($G$9-$E$9)*($F$9-$E$9)),$G$9-SQRT((1-S607)*($G$9-$E$9)*($G$9-$F$9))))</f>
        <v>0.98969553711475</v>
      </c>
      <c r="F607" s="37" t="n">
        <f aca="false">1+IF($G$10=$E$10,$F$10,IF(T607&lt;($F$10-$E$10)/($G$10-$E$10),$E$10+SQRT(T607*($G$10-$E$10)*($F$10-$E$10)),$G$10-SQRT((1-T607)*($G$10-$E$10)*($G$10-$F$10))))</f>
        <v>1.11792078233943</v>
      </c>
      <c r="G607" s="38" t="n">
        <f aca="false">IF($G$11=$E$11,$F$11,IF(U607&lt;($F$11-$E$11)/($G$11-$E$11),$E$11+SQRT(U607*($G$11-$E$11)*($F$11-$E$11)),$G$11-SQRT((1-U607)*($G$11-$E$11)*($G$11-$F$11))))</f>
        <v>0.100986664687587</v>
      </c>
      <c r="H607" s="39" t="n">
        <f aca="false">(('Business Case'!B11*$C607*'Business Case'!B12*$B607)-'Business Case'!B11*$C607*'Business Case'!B13*$D607-'Business Case'!B14*$E607)-MAX(0,(('Business Case'!B11*$C607*'Business Case'!B12*$B607)-'Business Case'!B11*$C607*'Business Case'!B13*$D607-'Business Case'!B14*$E607))*'Business Case'!$B$7-'Business Case'!$B$8*('Business Case'!B11*$C607*'Business Case'!B12*$B607)-'Business Case'!B15*$F607</f>
        <v>-2235841564.67886</v>
      </c>
      <c r="I607" s="39" t="n">
        <f aca="false">(('Business Case'!C11*$C607*'Business Case'!C12*$B607)-'Business Case'!C11*$C607*'Business Case'!C13*$D607-'Business Case'!C14*$E607)-MAX(0,(('Business Case'!C11*$C607*'Business Case'!C12*$B607)-'Business Case'!C11*$C607*'Business Case'!C13*$D607-'Business Case'!C14*$E607))*'Business Case'!$B$7-'Business Case'!$B$8*(('Business Case'!C11*$C607*'Business Case'!C12*$B607)-('Business Case'!B11*$C607*'Business Case'!B12*$B607))-'Business Case'!C15*$F607</f>
        <v>31211352.6430523</v>
      </c>
      <c r="J607" s="39" t="n">
        <f aca="false">(('Business Case'!D11*$C607*'Business Case'!D12*$B607)-'Business Case'!D11*$C607*'Business Case'!D13*$D607-'Business Case'!D14*$E607)-MAX(0,(('Business Case'!D11*$C607*'Business Case'!D12*$B607)-'Business Case'!D11*$C607*'Business Case'!D13*$D607-'Business Case'!D14*$E607))*'Business Case'!$B$7-'Business Case'!$B$8*(('Business Case'!D11*$C607*'Business Case'!D12*$B607)-('Business Case'!C11*$C607*'Business Case'!C12*$B607))-'Business Case'!D15*$F607</f>
        <v>369481283.305208</v>
      </c>
      <c r="K607" s="39" t="n">
        <f aca="false">(('Business Case'!E11*$C607*'Business Case'!E12*$B607)-'Business Case'!E11*$C607*'Business Case'!E13*$D607-'Business Case'!E14*$E607)-MAX(0,(('Business Case'!E11*$C607*'Business Case'!E12*$B607)-'Business Case'!E11*$C607*'Business Case'!E13*$D607-'Business Case'!E14*$E607))*'Business Case'!$B$7-'Business Case'!$B$8*(('Business Case'!E11*$C607*'Business Case'!E12*$B607)-('Business Case'!D11*$C607*'Business Case'!D12*$B607))-'Business Case'!E15*$F607</f>
        <v>763647253.084334</v>
      </c>
      <c r="L607" s="39" t="n">
        <f aca="false">(('Business Case'!F11*$C607*'Business Case'!F12*$B607)-'Business Case'!F11*$C607*'Business Case'!F13*$D607-'Business Case'!F14*$E607)-MAX(0,(('Business Case'!F11*$C607*'Business Case'!F12*$B607)-'Business Case'!F11*$C607*'Business Case'!F13*$D607-'Business Case'!F14*$E607))*'Business Case'!$B$7-'Business Case'!$B$8*(('Business Case'!F11*$C607*'Business Case'!F12*$B607)-('Business Case'!E11*$C607*'Business Case'!E12*$B607))-'Business Case'!F15*$F607</f>
        <v>912758426.243347</v>
      </c>
      <c r="M607" s="39" t="n">
        <f aca="false">(('Business Case'!G11*$C607*'Business Case'!G12*$B607)-'Business Case'!G11*$C607*'Business Case'!G13*$D607-'Business Case'!G14*$E607)-MAX(0,(('Business Case'!G11*$C607*'Business Case'!G12*$B607)-'Business Case'!G11*$C607*'Business Case'!G13*$D607-'Business Case'!G14*$E607))*'Business Case'!$B$7-'Business Case'!$B$8*(('Business Case'!G11*$C607*'Business Case'!G12*$B607)-('Business Case'!F11*$C607*'Business Case'!F12*$B607))-'Business Case'!G15*$F607+'Business Case'!$B$8*('Business Case'!G11*$C607*'Business Case'!G12*$B607)</f>
        <v>1112708339.07064</v>
      </c>
      <c r="N607" s="39" t="n">
        <f aca="false">IF(COUNT('Business Case'!B11:G11)=0,"",H607+NPV(G607,I607:M607))</f>
        <v>-21476705.3660655</v>
      </c>
      <c r="P607" s="40" t="n">
        <f aca="true">RAND()</f>
        <v>0.524493212408689</v>
      </c>
      <c r="Q607" s="40" t="n">
        <f aca="true">RAND()</f>
        <v>0.850890496382662</v>
      </c>
      <c r="R607" s="40" t="n">
        <f aca="true">RAND()</f>
        <v>0.0261777716771951</v>
      </c>
      <c r="S607" s="40" t="n">
        <f aca="true">RAND()</f>
        <v>0.210098088910471</v>
      </c>
      <c r="T607" s="40" t="n">
        <f aca="true">RAND()</f>
        <v>0.865260040564568</v>
      </c>
      <c r="U607" s="40" t="n">
        <f aca="true">RAND()</f>
        <v>0.397488467162905</v>
      </c>
    </row>
    <row r="608" customFormat="false" ht="15" hidden="false" customHeight="false" outlineLevel="0" collapsed="false">
      <c r="A608" s="36" t="n">
        <v>528</v>
      </c>
      <c r="B608" s="37" t="n">
        <f aca="false">1+IF($G$6=$E$6,$F$6,IF(P608&lt;($F$6-$E$6)/($G$6-$E$6),$E$6+SQRT(P608*($G$6-$E$6)*($F$6-$E$6)),$G$6-SQRT((1-P608)*($G$6-$E$6)*($G$6-$F$6))))</f>
        <v>1.00491608612819</v>
      </c>
      <c r="C608" s="37" t="n">
        <f aca="false">1+IF($G$7=$E$7,$F$7,IF(Q608&lt;($F$7-$E$7)/($G$7-$E$7),$E$7+SQRT(Q608*($G$7-$E$7)*($F$7-$E$7)),$G$7-SQRT((1-Q608)*($G$7-$E$7)*($G$7-$F$7))))</f>
        <v>0.934122201895427</v>
      </c>
      <c r="D608" s="37" t="n">
        <f aca="false">1+IF($G$8=$E$8,$F$8,IF(R608&lt;($F$8-$E$8)/($G$8-$E$8),$E$8+SQRT(R608*($G$8-$E$8)*($F$8-$E$8)),$G$8-SQRT((1-R608)*($G$8-$E$8)*($G$8-$F$8))))</f>
        <v>1.04050905734614</v>
      </c>
      <c r="E608" s="37" t="n">
        <f aca="false">1+IF($G$9=$E$9,$F$9,IF(S608&lt;($F$9-$E$9)/($G$9-$E$9),$E$9+SQRT(S608*($G$9-$E$9)*($F$9-$E$9)),$G$9-SQRT((1-S608)*($G$9-$E$9)*($G$9-$F$9))))</f>
        <v>1.02272420157161</v>
      </c>
      <c r="F608" s="37" t="n">
        <f aca="false">1+IF($G$10=$E$10,$F$10,IF(T608&lt;($F$10-$E$10)/($G$10-$E$10),$E$10+SQRT(T608*($G$10-$E$10)*($F$10-$E$10)),$G$10-SQRT((1-T608)*($G$10-$E$10)*($G$10-$F$10))))</f>
        <v>1.026721263375</v>
      </c>
      <c r="G608" s="38" t="n">
        <f aca="false">IF($G$11=$E$11,$F$11,IF(U608&lt;($F$11-$E$11)/($G$11-$E$11),$E$11+SQRT(U608*($G$11-$E$11)*($F$11-$E$11)),$G$11-SQRT((1-U608)*($G$11-$E$11)*($G$11-$F$11))))</f>
        <v>0.094264274393491</v>
      </c>
      <c r="H608" s="39" t="n">
        <f aca="false">(('Business Case'!B11*$C608*'Business Case'!B12*$B608)-'Business Case'!B11*$C608*'Business Case'!B13*$D608-'Business Case'!B14*$E608)-MAX(0,(('Business Case'!B11*$C608*'Business Case'!B12*$B608)-'Business Case'!B11*$C608*'Business Case'!B13*$D608-'Business Case'!B14*$E608))*'Business Case'!$B$7-'Business Case'!$B$8*('Business Case'!B11*$C608*'Business Case'!B12*$B608)-'Business Case'!B15*$F608</f>
        <v>-2053442526.75</v>
      </c>
      <c r="I608" s="39" t="n">
        <f aca="false">(('Business Case'!C11*$C608*'Business Case'!C12*$B608)-'Business Case'!C11*$C608*'Business Case'!C13*$D608-'Business Case'!C14*$E608)-MAX(0,(('Business Case'!C11*$C608*'Business Case'!C12*$B608)-'Business Case'!C11*$C608*'Business Case'!C13*$D608-'Business Case'!C14*$E608))*'Business Case'!$B$7-'Business Case'!$B$8*(('Business Case'!C11*$C608*'Business Case'!C12*$B608)-('Business Case'!B11*$C608*'Business Case'!B12*$B608))-'Business Case'!C15*$F608</f>
        <v>-25458860.6747454</v>
      </c>
      <c r="J608" s="39" t="n">
        <f aca="false">(('Business Case'!D11*$C608*'Business Case'!D12*$B608)-'Business Case'!D11*$C608*'Business Case'!D13*$D608-'Business Case'!D14*$E608)-MAX(0,(('Business Case'!D11*$C608*'Business Case'!D12*$B608)-'Business Case'!D11*$C608*'Business Case'!D13*$D608-'Business Case'!D14*$E608))*'Business Case'!$B$7-'Business Case'!$B$8*(('Business Case'!D11*$C608*'Business Case'!D12*$B608)-('Business Case'!C11*$C608*'Business Case'!C12*$B608))-'Business Case'!D15*$F608</f>
        <v>245848742.352055</v>
      </c>
      <c r="K608" s="39" t="n">
        <f aca="false">(('Business Case'!E11*$C608*'Business Case'!E12*$B608)-'Business Case'!E11*$C608*'Business Case'!E13*$D608-'Business Case'!E14*$E608)-MAX(0,(('Business Case'!E11*$C608*'Business Case'!E12*$B608)-'Business Case'!E11*$C608*'Business Case'!E13*$D608-'Business Case'!E14*$E608))*'Business Case'!$B$7-'Business Case'!$B$8*(('Business Case'!E11*$C608*'Business Case'!E12*$B608)-('Business Case'!D11*$C608*'Business Case'!D12*$B608))-'Business Case'!E15*$F608</f>
        <v>568492408.547605</v>
      </c>
      <c r="L608" s="39" t="n">
        <f aca="false">(('Business Case'!F11*$C608*'Business Case'!F12*$B608)-'Business Case'!F11*$C608*'Business Case'!F13*$D608-'Business Case'!F14*$E608)-MAX(0,(('Business Case'!F11*$C608*'Business Case'!F12*$B608)-'Business Case'!F11*$C608*'Business Case'!F13*$D608-'Business Case'!F14*$E608))*'Business Case'!$B$7-'Business Case'!$B$8*(('Business Case'!F11*$C608*'Business Case'!F12*$B608)-('Business Case'!E11*$C608*'Business Case'!E12*$B608))-'Business Case'!F15*$F608</f>
        <v>691370246.823581</v>
      </c>
      <c r="M608" s="39" t="n">
        <f aca="false">(('Business Case'!G11*$C608*'Business Case'!G12*$B608)-'Business Case'!G11*$C608*'Business Case'!G13*$D608-'Business Case'!G14*$E608)-MAX(0,(('Business Case'!G11*$C608*'Business Case'!G12*$B608)-'Business Case'!G11*$C608*'Business Case'!G13*$D608-'Business Case'!G14*$E608))*'Business Case'!$B$7-'Business Case'!$B$8*(('Business Case'!G11*$C608*'Business Case'!G12*$B608)-('Business Case'!F11*$C608*'Business Case'!F12*$B608))-'Business Case'!G15*$F608+'Business Case'!$B$8*('Business Case'!G11*$C608*'Business Case'!G12*$B608)</f>
        <v>869801085.125646</v>
      </c>
      <c r="N608" s="39" t="n">
        <f aca="false">IF(COUNT('Business Case'!B11:G11)=0,"",H608+NPV(G608,I608:M608))</f>
        <v>-400947869.595104</v>
      </c>
      <c r="P608" s="40" t="n">
        <f aca="true">RAND()</f>
        <v>0.743566455715722</v>
      </c>
      <c r="Q608" s="40" t="n">
        <f aca="true">RAND()</f>
        <v>0.256982357732538</v>
      </c>
      <c r="R608" s="40" t="n">
        <f aca="true">RAND()</f>
        <v>0.85004475464515</v>
      </c>
      <c r="S608" s="40" t="n">
        <f aca="true">RAND()</f>
        <v>0.601896731816952</v>
      </c>
      <c r="T608" s="40" t="n">
        <f aca="true">RAND()</f>
        <v>0.399489588672876</v>
      </c>
      <c r="U608" s="40" t="n">
        <f aca="true">RAND()</f>
        <v>0.0606134536766107</v>
      </c>
    </row>
    <row r="609" customFormat="false" ht="15" hidden="false" customHeight="false" outlineLevel="0" collapsed="false">
      <c r="A609" s="36" t="n">
        <v>529</v>
      </c>
      <c r="B609" s="37" t="n">
        <f aca="false">1+IF($G$6=$E$6,$F$6,IF(P609&lt;($F$6-$E$6)/($G$6-$E$6),$E$6+SQRT(P609*($G$6-$E$6)*($F$6-$E$6)),$G$6-SQRT((1-P609)*($G$6-$E$6)*($G$6-$F$6))))</f>
        <v>1.00939320338342</v>
      </c>
      <c r="C609" s="37" t="n">
        <f aca="false">1+IF($G$7=$E$7,$F$7,IF(Q609&lt;($F$7-$E$7)/($G$7-$E$7),$E$7+SQRT(Q609*($G$7-$E$7)*($F$7-$E$7)),$G$7-SQRT((1-Q609)*($G$7-$E$7)*($G$7-$F$7))))</f>
        <v>1.06190935313589</v>
      </c>
      <c r="D609" s="37" t="n">
        <f aca="false">1+IF($G$8=$E$8,$F$8,IF(R609&lt;($F$8-$E$8)/($G$8-$E$8),$E$8+SQRT(R609*($G$8-$E$8)*($F$8-$E$8)),$G$8-SQRT((1-R609)*($G$8-$E$8)*($G$8-$F$8))))</f>
        <v>1.07590183656002</v>
      </c>
      <c r="E609" s="37" t="n">
        <f aca="false">1+IF($G$9=$E$9,$F$9,IF(S609&lt;($F$9-$E$9)/($G$9-$E$9),$E$9+SQRT(S609*($G$9-$E$9)*($F$9-$E$9)),$G$9-SQRT((1-S609)*($G$9-$E$9)*($G$9-$F$9))))</f>
        <v>1.00858510567503</v>
      </c>
      <c r="F609" s="37" t="n">
        <f aca="false">1+IF($G$10=$E$10,$F$10,IF(T609&lt;($F$10-$E$10)/($G$10-$E$10),$E$10+SQRT(T609*($G$10-$E$10)*($F$10-$E$10)),$G$10-SQRT((1-T609)*($G$10-$E$10)*($G$10-$F$10))))</f>
        <v>1.0736269705565</v>
      </c>
      <c r="G609" s="38" t="n">
        <f aca="false">IF($G$11=$E$11,$F$11,IF(U609&lt;($F$11-$E$11)/($G$11-$E$11),$E$11+SQRT(U609*($G$11-$E$11)*($F$11-$E$11)),$G$11-SQRT((1-U609)*($G$11-$E$11)*($G$11-$F$11))))</f>
        <v>0.104467377370945</v>
      </c>
      <c r="H609" s="39" t="n">
        <f aca="false">(('Business Case'!B11*$C609*'Business Case'!B12*$B609)-'Business Case'!B11*$C609*'Business Case'!B13*$D609-'Business Case'!B14*$E609)-MAX(0,(('Business Case'!B11*$C609*'Business Case'!B12*$B609)-'Business Case'!B11*$C609*'Business Case'!B13*$D609-'Business Case'!B14*$E609))*'Business Case'!$B$7-'Business Case'!$B$8*('Business Case'!B11*$C609*'Business Case'!B12*$B609)-'Business Case'!B15*$F609</f>
        <v>-2147253941.11299</v>
      </c>
      <c r="I609" s="39" t="n">
        <f aca="false">(('Business Case'!C11*$C609*'Business Case'!C12*$B609)-'Business Case'!C11*$C609*'Business Case'!C13*$D609-'Business Case'!C14*$E609)-MAX(0,(('Business Case'!C11*$C609*'Business Case'!C12*$B609)-'Business Case'!C11*$C609*'Business Case'!C13*$D609-'Business Case'!C14*$E609))*'Business Case'!$B$7-'Business Case'!$B$8*(('Business Case'!C11*$C609*'Business Case'!C12*$B609)-('Business Case'!B11*$C609*'Business Case'!B12*$B609))-'Business Case'!C15*$F609</f>
        <v>-13273563.3157535</v>
      </c>
      <c r="J609" s="39" t="n">
        <f aca="false">(('Business Case'!D11*$C609*'Business Case'!D12*$B609)-'Business Case'!D11*$C609*'Business Case'!D13*$D609-'Business Case'!D14*$E609)-MAX(0,(('Business Case'!D11*$C609*'Business Case'!D12*$B609)-'Business Case'!D11*$C609*'Business Case'!D13*$D609-'Business Case'!D14*$E609))*'Business Case'!$B$7-'Business Case'!$B$8*(('Business Case'!D11*$C609*'Business Case'!D12*$B609)-('Business Case'!C11*$C609*'Business Case'!C12*$B609))-'Business Case'!D15*$F609</f>
        <v>279802843.348307</v>
      </c>
      <c r="K609" s="39" t="n">
        <f aca="false">(('Business Case'!E11*$C609*'Business Case'!E12*$B609)-'Business Case'!E11*$C609*'Business Case'!E13*$D609-'Business Case'!E14*$E609)-MAX(0,(('Business Case'!E11*$C609*'Business Case'!E12*$B609)-'Business Case'!E11*$C609*'Business Case'!E13*$D609-'Business Case'!E14*$E609))*'Business Case'!$B$7-'Business Case'!$B$8*(('Business Case'!E11*$C609*'Business Case'!E12*$B609)-('Business Case'!D11*$C609*'Business Case'!D12*$B609))-'Business Case'!E15*$F609</f>
        <v>626560598.540192</v>
      </c>
      <c r="L609" s="39" t="n">
        <f aca="false">(('Business Case'!F11*$C609*'Business Case'!F12*$B609)-'Business Case'!F11*$C609*'Business Case'!F13*$D609-'Business Case'!F14*$E609)-MAX(0,(('Business Case'!F11*$C609*'Business Case'!F12*$B609)-'Business Case'!F11*$C609*'Business Case'!F13*$D609-'Business Case'!F14*$E609))*'Business Case'!$B$7-'Business Case'!$B$8*(('Business Case'!F11*$C609*'Business Case'!F12*$B609)-('Business Case'!E11*$C609*'Business Case'!E12*$B609))-'Business Case'!F15*$F609</f>
        <v>761297048.026329</v>
      </c>
      <c r="M609" s="39" t="n">
        <f aca="false">(('Business Case'!G11*$C609*'Business Case'!G12*$B609)-'Business Case'!G11*$C609*'Business Case'!G13*$D609-'Business Case'!G14*$E609)-MAX(0,(('Business Case'!G11*$C609*'Business Case'!G12*$B609)-'Business Case'!G11*$C609*'Business Case'!G13*$D609-'Business Case'!G14*$E609))*'Business Case'!$B$7-'Business Case'!$B$8*(('Business Case'!G11*$C609*'Business Case'!G12*$B609)-('Business Case'!F11*$C609*'Business Case'!F12*$B609))-'Business Case'!G15*$F609+'Business Case'!$B$8*('Business Case'!G11*$C609*'Business Case'!G12*$B609)</f>
        <v>965040774.649305</v>
      </c>
      <c r="N609" s="39" t="n">
        <f aca="false">IF(COUNT('Business Case'!B11:G11)=0,"",H609+NPV(G609,I609:M609))</f>
        <v>-366034152.749687</v>
      </c>
      <c r="P609" s="40" t="n">
        <f aca="true">RAND()</f>
        <v>0.804838333514831</v>
      </c>
      <c r="Q609" s="40" t="n">
        <f aca="true">RAND()</f>
        <v>0.852191198763094</v>
      </c>
      <c r="R609" s="40" t="n">
        <f aca="true">RAND()</f>
        <v>0.998385101578773</v>
      </c>
      <c r="S609" s="40" t="n">
        <f aca="true">RAND()</f>
        <v>0.442887806370261</v>
      </c>
      <c r="T609" s="40" t="n">
        <f aca="true">RAND()</f>
        <v>0.680597148585432</v>
      </c>
      <c r="U609" s="40" t="n">
        <f aca="true">RAND()</f>
        <v>0.597896057105609</v>
      </c>
    </row>
    <row r="610" customFormat="false" ht="15" hidden="false" customHeight="false" outlineLevel="0" collapsed="false">
      <c r="A610" s="36" t="n">
        <v>530</v>
      </c>
      <c r="B610" s="37" t="n">
        <f aca="false">1+IF($G$6=$E$6,$F$6,IF(P610&lt;($F$6-$E$6)/($G$6-$E$6),$E$6+SQRT(P610*($G$6-$E$6)*($F$6-$E$6)),$G$6-SQRT((1-P610)*($G$6-$E$6)*($G$6-$F$6))))</f>
        <v>0.992504744922944</v>
      </c>
      <c r="C610" s="37" t="n">
        <f aca="false">1+IF($G$7=$E$7,$F$7,IF(Q610&lt;($F$7-$E$7)/($G$7-$E$7),$E$7+SQRT(Q610*($G$7-$E$7)*($F$7-$E$7)),$G$7-SQRT((1-Q610)*($G$7-$E$7)*($G$7-$F$7))))</f>
        <v>1.07130508270456</v>
      </c>
      <c r="D610" s="37" t="n">
        <f aca="false">1+IF($G$8=$E$8,$F$8,IF(R610&lt;($F$8-$E$8)/($G$8-$E$8),$E$8+SQRT(R610*($G$8-$E$8)*($F$8-$E$8)),$G$8-SQRT((1-R610)*($G$8-$E$8)*($G$8-$F$8))))</f>
        <v>1.00799737664908</v>
      </c>
      <c r="E610" s="37" t="n">
        <f aca="false">1+IF($G$9=$E$9,$F$9,IF(S610&lt;($F$9-$E$9)/($G$9-$E$9),$E$9+SQRT(S610*($G$9-$E$9)*($F$9-$E$9)),$G$9-SQRT((1-S610)*($G$9-$E$9)*($G$9-$F$9))))</f>
        <v>0.974039592636047</v>
      </c>
      <c r="F610" s="37" t="n">
        <f aca="false">1+IF($G$10=$E$10,$F$10,IF(T610&lt;($F$10-$E$10)/($G$10-$E$10),$E$10+SQRT(T610*($G$10-$E$10)*($F$10-$E$10)),$G$10-SQRT((1-T610)*($G$10-$E$10)*($G$10-$F$10))))</f>
        <v>1.07407541746677</v>
      </c>
      <c r="G610" s="38" t="n">
        <f aca="false">IF($G$11=$E$11,$F$11,IF(U610&lt;($F$11-$E$11)/($G$11-$E$11),$E$11+SQRT(U610*($G$11-$E$11)*($F$11-$E$11)),$G$11-SQRT((1-U610)*($G$11-$E$11)*($G$11-$F$11))))</f>
        <v>0.102161148603044</v>
      </c>
      <c r="H610" s="39" t="n">
        <f aca="false">(('Business Case'!B11*$C610*'Business Case'!B12*$B610)-'Business Case'!B11*$C610*'Business Case'!B13*$D610-'Business Case'!B14*$E610)-MAX(0,(('Business Case'!B11*$C610*'Business Case'!B12*$B610)-'Business Case'!B11*$C610*'Business Case'!B13*$D610-'Business Case'!B14*$E610))*'Business Case'!$B$7-'Business Case'!$B$8*('Business Case'!B11*$C610*'Business Case'!B12*$B610)-'Business Case'!B15*$F610</f>
        <v>-2148150834.93354</v>
      </c>
      <c r="I610" s="39" t="n">
        <f aca="false">(('Business Case'!C11*$C610*'Business Case'!C12*$B610)-'Business Case'!C11*$C610*'Business Case'!C13*$D610-'Business Case'!C14*$E610)-MAX(0,(('Business Case'!C11*$C610*'Business Case'!C12*$B610)-'Business Case'!C11*$C610*'Business Case'!C13*$D610-'Business Case'!C14*$E610))*'Business Case'!$B$7-'Business Case'!$B$8*(('Business Case'!C11*$C610*'Business Case'!C12*$B610)-('Business Case'!B11*$C610*'Business Case'!B12*$B610))-'Business Case'!C15*$F610</f>
        <v>17054483.6577893</v>
      </c>
      <c r="J610" s="39" t="n">
        <f aca="false">(('Business Case'!D11*$C610*'Business Case'!D12*$B610)-'Business Case'!D11*$C610*'Business Case'!D13*$D610-'Business Case'!D14*$E610)-MAX(0,(('Business Case'!D11*$C610*'Business Case'!D12*$B610)-'Business Case'!D11*$C610*'Business Case'!D13*$D610-'Business Case'!D14*$E610))*'Business Case'!$B$7-'Business Case'!$B$8*(('Business Case'!D11*$C610*'Business Case'!D12*$B610)-('Business Case'!C11*$C610*'Business Case'!C12*$B610))-'Business Case'!D15*$F610</f>
        <v>335145134.722552</v>
      </c>
      <c r="K610" s="39" t="n">
        <f aca="false">(('Business Case'!E11*$C610*'Business Case'!E12*$B610)-'Business Case'!E11*$C610*'Business Case'!E13*$D610-'Business Case'!E14*$E610)-MAX(0,(('Business Case'!E11*$C610*'Business Case'!E12*$B610)-'Business Case'!E11*$C610*'Business Case'!E13*$D610-'Business Case'!E14*$E610))*'Business Case'!$B$7-'Business Case'!$B$8*(('Business Case'!E11*$C610*'Business Case'!E12*$B610)-('Business Case'!D11*$C610*'Business Case'!D12*$B610))-'Business Case'!E15*$F610</f>
        <v>706939556.660653</v>
      </c>
      <c r="L610" s="39" t="n">
        <f aca="false">(('Business Case'!F11*$C610*'Business Case'!F12*$B610)-'Business Case'!F11*$C610*'Business Case'!F13*$D610-'Business Case'!F14*$E610)-MAX(0,(('Business Case'!F11*$C610*'Business Case'!F12*$B610)-'Business Case'!F11*$C610*'Business Case'!F13*$D610-'Business Case'!F14*$E610))*'Business Case'!$B$7-'Business Case'!$B$8*(('Business Case'!F11*$C610*'Business Case'!F12*$B610)-('Business Case'!E11*$C610*'Business Case'!E12*$B610))-'Business Case'!F15*$F610</f>
        <v>849716570.740541</v>
      </c>
      <c r="M610" s="39" t="n">
        <f aca="false">(('Business Case'!G11*$C610*'Business Case'!G12*$B610)-'Business Case'!G11*$C610*'Business Case'!G13*$D610-'Business Case'!G14*$E610)-MAX(0,(('Business Case'!G11*$C610*'Business Case'!G12*$B610)-'Business Case'!G11*$C610*'Business Case'!G13*$D610-'Business Case'!G14*$E610))*'Business Case'!$B$7-'Business Case'!$B$8*(('Business Case'!G11*$C610*'Business Case'!G12*$B610)-('Business Case'!F11*$C610*'Business Case'!F12*$B610))-'Business Case'!G15*$F610+'Business Case'!$B$8*('Business Case'!G11*$C610*'Business Case'!G12*$B610)</f>
        <v>1051823954.56119</v>
      </c>
      <c r="N610" s="39" t="n">
        <f aca="false">IF(COUNT('Business Case'!B11:G11)=0,"",H610+NPV(G610,I610:M610))</f>
        <v>-106215861.42753</v>
      </c>
      <c r="P610" s="40" t="n">
        <f aca="true">RAND()</f>
        <v>0.547597712118871</v>
      </c>
      <c r="Q610" s="40" t="n">
        <f aca="true">RAND()</f>
        <v>0.882040190321203</v>
      </c>
      <c r="R610" s="40" t="n">
        <f aca="true">RAND()</f>
        <v>0.501502137556266</v>
      </c>
      <c r="S610" s="40" t="n">
        <f aca="true">RAND()</f>
        <v>0.0770536018809464</v>
      </c>
      <c r="T610" s="40" t="n">
        <f aca="true">RAND()</f>
        <v>0.682859990276641</v>
      </c>
      <c r="U610" s="40" t="n">
        <f aca="true">RAND()</f>
        <v>0.469625634728856</v>
      </c>
    </row>
    <row r="611" customFormat="false" ht="15" hidden="false" customHeight="false" outlineLevel="0" collapsed="false">
      <c r="A611" s="36" t="n">
        <v>531</v>
      </c>
      <c r="B611" s="37" t="n">
        <f aca="false">1+IF($G$6=$E$6,$F$6,IF(P611&lt;($F$6-$E$6)/($G$6-$E$6),$E$6+SQRT(P611*($G$6-$E$6)*($F$6-$E$6)),$G$6-SQRT((1-P611)*($G$6-$E$6)*($G$6-$F$6))))</f>
        <v>0.995755781563018</v>
      </c>
      <c r="C611" s="37" t="n">
        <f aca="false">1+IF($G$7=$E$7,$F$7,IF(Q611&lt;($F$7-$E$7)/($G$7-$E$7),$E$7+SQRT(Q611*($G$7-$E$7)*($F$7-$E$7)),$G$7-SQRT((1-Q611)*($G$7-$E$7)*($G$7-$F$7))))</f>
        <v>1.00897382386332</v>
      </c>
      <c r="D611" s="37" t="n">
        <f aca="false">1+IF($G$8=$E$8,$F$8,IF(R611&lt;($F$8-$E$8)/($G$8-$E$8),$E$8+SQRT(R611*($G$8-$E$8)*($F$8-$E$8)),$G$8-SQRT((1-R611)*($G$8-$E$8)*($G$8-$F$8))))</f>
        <v>1.0022983406224</v>
      </c>
      <c r="E611" s="37" t="n">
        <f aca="false">1+IF($G$9=$E$9,$F$9,IF(S611&lt;($F$9-$E$9)/($G$9-$E$9),$E$9+SQRT(S611*($G$9-$E$9)*($F$9-$E$9)),$G$9-SQRT((1-S611)*($G$9-$E$9)*($G$9-$F$9))))</f>
        <v>1.00582885884515</v>
      </c>
      <c r="F611" s="37" t="n">
        <f aca="false">1+IF($G$10=$E$10,$F$10,IF(T611&lt;($F$10-$E$10)/($G$10-$E$10),$E$10+SQRT(T611*($G$10-$E$10)*($F$10-$E$10)),$G$10-SQRT((1-T611)*($G$10-$E$10)*($G$10-$F$10))))</f>
        <v>1.10177927935786</v>
      </c>
      <c r="G611" s="38" t="n">
        <f aca="false">IF($G$11=$E$11,$F$11,IF(U611&lt;($F$11-$E$11)/($G$11-$E$11),$E$11+SQRT(U611*($G$11-$E$11)*($F$11-$E$11)),$G$11-SQRT((1-U611)*($G$11-$E$11)*($G$11-$F$11))))</f>
        <v>0.100753611456874</v>
      </c>
      <c r="H611" s="39" t="n">
        <f aca="false">(('Business Case'!B11*$C611*'Business Case'!B12*$B611)-'Business Case'!B11*$C611*'Business Case'!B13*$D611-'Business Case'!B14*$E611)-MAX(0,(('Business Case'!B11*$C611*'Business Case'!B12*$B611)-'Business Case'!B11*$C611*'Business Case'!B13*$D611-'Business Case'!B14*$E611))*'Business Case'!$B$7-'Business Case'!$B$8*('Business Case'!B11*$C611*'Business Case'!B12*$B611)-'Business Case'!B15*$F611</f>
        <v>-2203558558.71573</v>
      </c>
      <c r="I611" s="39" t="n">
        <f aca="false">(('Business Case'!C11*$C611*'Business Case'!C12*$B611)-'Business Case'!C11*$C611*'Business Case'!C13*$D611-'Business Case'!C14*$E611)-MAX(0,(('Business Case'!C11*$C611*'Business Case'!C12*$B611)-'Business Case'!C11*$C611*'Business Case'!C13*$D611-'Business Case'!C14*$E611))*'Business Case'!$B$7-'Business Case'!$B$8*(('Business Case'!C11*$C611*'Business Case'!C12*$B611)-('Business Case'!B11*$C611*'Business Case'!B12*$B611))-'Business Case'!C15*$F611</f>
        <v>-76313.2418938428</v>
      </c>
      <c r="J611" s="39" t="n">
        <f aca="false">(('Business Case'!D11*$C611*'Business Case'!D12*$B611)-'Business Case'!D11*$C611*'Business Case'!D13*$D611-'Business Case'!D14*$E611)-MAX(0,(('Business Case'!D11*$C611*'Business Case'!D12*$B611)-'Business Case'!D11*$C611*'Business Case'!D13*$D611-'Business Case'!D14*$E611))*'Business Case'!$B$7-'Business Case'!$B$8*(('Business Case'!D11*$C611*'Business Case'!D12*$B611)-('Business Case'!C11*$C611*'Business Case'!C12*$B611))-'Business Case'!D15*$F611</f>
        <v>305137373.501808</v>
      </c>
      <c r="K611" s="39" t="n">
        <f aca="false">(('Business Case'!E11*$C611*'Business Case'!E12*$B611)-'Business Case'!E11*$C611*'Business Case'!E13*$D611-'Business Case'!E14*$E611)-MAX(0,(('Business Case'!E11*$C611*'Business Case'!E12*$B611)-'Business Case'!E11*$C611*'Business Case'!E13*$D611-'Business Case'!E14*$E611))*'Business Case'!$B$7-'Business Case'!$B$8*(('Business Case'!E11*$C611*'Business Case'!E12*$B611)-('Business Case'!D11*$C611*'Business Case'!D12*$B611))-'Business Case'!E15*$F611</f>
        <v>665440024.213403</v>
      </c>
      <c r="L611" s="39" t="n">
        <f aca="false">(('Business Case'!F11*$C611*'Business Case'!F12*$B611)-'Business Case'!F11*$C611*'Business Case'!F13*$D611-'Business Case'!F14*$E611)-MAX(0,(('Business Case'!F11*$C611*'Business Case'!F12*$B611)-'Business Case'!F11*$C611*'Business Case'!F13*$D611-'Business Case'!F14*$E611))*'Business Case'!$B$7-'Business Case'!$B$8*(('Business Case'!F11*$C611*'Business Case'!F12*$B611)-('Business Case'!E11*$C611*'Business Case'!E12*$B611))-'Business Case'!F15*$F611</f>
        <v>801900058.675989</v>
      </c>
      <c r="M611" s="39" t="n">
        <f aca="false">(('Business Case'!G11*$C611*'Business Case'!G12*$B611)-'Business Case'!G11*$C611*'Business Case'!G13*$D611-'Business Case'!G14*$E611)-MAX(0,(('Business Case'!G11*$C611*'Business Case'!G12*$B611)-'Business Case'!G11*$C611*'Business Case'!G13*$D611-'Business Case'!G14*$E611))*'Business Case'!$B$7-'Business Case'!$B$8*(('Business Case'!G11*$C611*'Business Case'!G12*$B611)-('Business Case'!F11*$C611*'Business Case'!F12*$B611))-'Business Case'!G15*$F611+'Business Case'!$B$8*('Business Case'!G11*$C611*'Business Case'!G12*$B611)</f>
        <v>992871822.523427</v>
      </c>
      <c r="N611" s="39" t="n">
        <f aca="false">IF(COUNT('Business Case'!B11:G11)=0,"",H611+NPV(G611,I611:M611))</f>
        <v>-292266671.265299</v>
      </c>
      <c r="P611" s="40" t="n">
        <f aca="true">RAND()</f>
        <v>0.597806087523299</v>
      </c>
      <c r="Q611" s="40" t="n">
        <f aca="true">RAND()</f>
        <v>0.621173669414604</v>
      </c>
      <c r="R611" s="40" t="n">
        <f aca="true">RAND()</f>
        <v>0.419466550958454</v>
      </c>
      <c r="S611" s="40" t="n">
        <f aca="true">RAND()</f>
        <v>0.408786411572915</v>
      </c>
      <c r="T611" s="40" t="n">
        <f aca="true">RAND()</f>
        <v>0.807053800730792</v>
      </c>
      <c r="U611" s="40" t="n">
        <f aca="true">RAND()</f>
        <v>0.382627546745073</v>
      </c>
    </row>
    <row r="612" customFormat="false" ht="15" hidden="false" customHeight="false" outlineLevel="0" collapsed="false">
      <c r="A612" s="36" t="n">
        <v>532</v>
      </c>
      <c r="B612" s="37" t="n">
        <f aca="false">1+IF($G$6=$E$6,$F$6,IF(P612&lt;($F$6-$E$6)/($G$6-$E$6),$E$6+SQRT(P612*($G$6-$E$6)*($F$6-$E$6)),$G$6-SQRT((1-P612)*($G$6-$E$6)*($G$6-$F$6))))</f>
        <v>1.03812704197762</v>
      </c>
      <c r="C612" s="37" t="n">
        <f aca="false">1+IF($G$7=$E$7,$F$7,IF(Q612&lt;($F$7-$E$7)/($G$7-$E$7),$E$7+SQRT(Q612*($G$7-$E$7)*($F$7-$E$7)),$G$7-SQRT((1-Q612)*($G$7-$E$7)*($G$7-$F$7))))</f>
        <v>0.925773603508812</v>
      </c>
      <c r="D612" s="37" t="n">
        <f aca="false">1+IF($G$8=$E$8,$F$8,IF(R612&lt;($F$8-$E$8)/($G$8-$E$8),$E$8+SQRT(R612*($G$8-$E$8)*($F$8-$E$8)),$G$8-SQRT((1-R612)*($G$8-$E$8)*($G$8-$F$8))))</f>
        <v>1.00377339384399</v>
      </c>
      <c r="E612" s="37" t="n">
        <f aca="false">1+IF($G$9=$E$9,$F$9,IF(S612&lt;($F$9-$E$9)/($G$9-$E$9),$E$9+SQRT(S612*($G$9-$E$9)*($F$9-$E$9)),$G$9-SQRT((1-S612)*($G$9-$E$9)*($G$9-$F$9))))</f>
        <v>0.978779662097158</v>
      </c>
      <c r="F612" s="37" t="n">
        <f aca="false">1+IF($G$10=$E$10,$F$10,IF(T612&lt;($F$10-$E$10)/($G$10-$E$10),$E$10+SQRT(T612*($G$10-$E$10)*($F$10-$E$10)),$G$10-SQRT((1-T612)*($G$10-$E$10)*($G$10-$F$10))))</f>
        <v>1.01871200365574</v>
      </c>
      <c r="G612" s="38" t="n">
        <f aca="false">IF($G$11=$E$11,$F$11,IF(U612&lt;($F$11-$E$11)/($G$11-$E$11),$E$11+SQRT(U612*($G$11-$E$11)*($F$11-$E$11)),$G$11-SQRT((1-U612)*($G$11-$E$11)*($G$11-$F$11))))</f>
        <v>0.0966656404656782</v>
      </c>
      <c r="H612" s="39" t="n">
        <f aca="false">(('Business Case'!B11*$C612*'Business Case'!B12*$B612)-'Business Case'!B11*$C612*'Business Case'!B13*$D612-'Business Case'!B14*$E612)-MAX(0,(('Business Case'!B11*$C612*'Business Case'!B12*$B612)-'Business Case'!B11*$C612*'Business Case'!B13*$D612-'Business Case'!B14*$E612))*'Business Case'!$B$7-'Business Case'!$B$8*('Business Case'!B11*$C612*'Business Case'!B12*$B612)-'Business Case'!B15*$F612</f>
        <v>-2037424007.31149</v>
      </c>
      <c r="I612" s="39" t="n">
        <f aca="false">(('Business Case'!C11*$C612*'Business Case'!C12*$B612)-'Business Case'!C11*$C612*'Business Case'!C13*$D612-'Business Case'!C14*$E612)-MAX(0,(('Business Case'!C11*$C612*'Business Case'!C12*$B612)-'Business Case'!C11*$C612*'Business Case'!C13*$D612-'Business Case'!C14*$E612))*'Business Case'!$B$7-'Business Case'!$B$8*(('Business Case'!C11*$C612*'Business Case'!C12*$B612)-('Business Case'!B11*$C612*'Business Case'!B12*$B612))-'Business Case'!C15*$F612</f>
        <v>20600142.3406144</v>
      </c>
      <c r="J612" s="39" t="n">
        <f aca="false">(('Business Case'!D11*$C612*'Business Case'!D12*$B612)-'Business Case'!D11*$C612*'Business Case'!D13*$D612-'Business Case'!D14*$E612)-MAX(0,(('Business Case'!D11*$C612*'Business Case'!D12*$B612)-'Business Case'!D11*$C612*'Business Case'!D13*$D612-'Business Case'!D14*$E612))*'Business Case'!$B$7-'Business Case'!$B$8*(('Business Case'!D11*$C612*'Business Case'!D12*$B612)-('Business Case'!C11*$C612*'Business Case'!C12*$B612))-'Business Case'!D15*$F612</f>
        <v>332075853.551692</v>
      </c>
      <c r="K612" s="39" t="n">
        <f aca="false">(('Business Case'!E11*$C612*'Business Case'!E12*$B612)-'Business Case'!E11*$C612*'Business Case'!E13*$D612-'Business Case'!E14*$E612)-MAX(0,(('Business Case'!E11*$C612*'Business Case'!E12*$B612)-'Business Case'!E11*$C612*'Business Case'!E13*$D612-'Business Case'!E14*$E612))*'Business Case'!$B$7-'Business Case'!$B$8*(('Business Case'!E11*$C612*'Business Case'!E12*$B612)-('Business Case'!D11*$C612*'Business Case'!D12*$B612))-'Business Case'!E15*$F612</f>
        <v>694487164.945557</v>
      </c>
      <c r="L612" s="39" t="n">
        <f aca="false">(('Business Case'!F11*$C612*'Business Case'!F12*$B612)-'Business Case'!F11*$C612*'Business Case'!F13*$D612-'Business Case'!F14*$E612)-MAX(0,(('Business Case'!F11*$C612*'Business Case'!F12*$B612)-'Business Case'!F11*$C612*'Business Case'!F13*$D612-'Business Case'!F14*$E612))*'Business Case'!$B$7-'Business Case'!$B$8*(('Business Case'!F11*$C612*'Business Case'!F12*$B612)-('Business Case'!E11*$C612*'Business Case'!E12*$B612))-'Business Case'!F15*$F612</f>
        <v>831527002.385699</v>
      </c>
      <c r="M612" s="39" t="n">
        <f aca="false">(('Business Case'!G11*$C612*'Business Case'!G12*$B612)-'Business Case'!G11*$C612*'Business Case'!G13*$D612-'Business Case'!G14*$E612)-MAX(0,(('Business Case'!G11*$C612*'Business Case'!G12*$B612)-'Business Case'!G11*$C612*'Business Case'!G13*$D612-'Business Case'!G14*$E612))*'Business Case'!$B$7-'Business Case'!$B$8*(('Business Case'!G11*$C612*'Business Case'!G12*$B612)-('Business Case'!F11*$C612*'Business Case'!F12*$B612))-'Business Case'!G15*$F612+'Business Case'!$B$8*('Business Case'!G11*$C612*'Business Case'!G12*$B612)</f>
        <v>1014207304.4195</v>
      </c>
      <c r="N612" s="39" t="n">
        <f aca="false">IF(COUNT('Business Case'!B11:G11)=0,"",H612+NPV(G612,I612:M612))</f>
        <v>-1715338.64938545</v>
      </c>
      <c r="P612" s="40" t="n">
        <f aca="true">RAND()</f>
        <v>0.999269172551335</v>
      </c>
      <c r="Q612" s="40" t="n">
        <f aca="true">RAND()</f>
        <v>0.225985704851313</v>
      </c>
      <c r="R612" s="40" t="n">
        <f aca="true">RAND()</f>
        <v>0.441298510955445</v>
      </c>
      <c r="S612" s="40" t="n">
        <f aca="true">RAND()</f>
        <v>0.110435860056882</v>
      </c>
      <c r="T612" s="40" t="n">
        <f aca="true">RAND()</f>
        <v>0.342693247629702</v>
      </c>
      <c r="U612" s="40" t="n">
        <f aca="true">RAND()</f>
        <v>0.148102542725621</v>
      </c>
    </row>
    <row r="613" customFormat="false" ht="15" hidden="false" customHeight="false" outlineLevel="0" collapsed="false">
      <c r="A613" s="36" t="n">
        <v>533</v>
      </c>
      <c r="B613" s="37" t="n">
        <f aca="false">1+IF($G$6=$E$6,$F$6,IF(P613&lt;($F$6-$E$6)/($G$6-$E$6),$E$6+SQRT(P613*($G$6-$E$6)*($F$6-$E$6)),$G$6-SQRT((1-P613)*($G$6-$E$6)*($G$6-$F$6))))</f>
        <v>1.00207885474208</v>
      </c>
      <c r="C613" s="37" t="n">
        <f aca="false">1+IF($G$7=$E$7,$F$7,IF(Q613&lt;($F$7-$E$7)/($G$7-$E$7),$E$7+SQRT(Q613*($G$7-$E$7)*($F$7-$E$7)),$G$7-SQRT((1-Q613)*($G$7-$E$7)*($G$7-$F$7))))</f>
        <v>0.883888411236764</v>
      </c>
      <c r="D613" s="37" t="n">
        <f aca="false">1+IF($G$8=$E$8,$F$8,IF(R613&lt;($F$8-$E$8)/($G$8-$E$8),$E$8+SQRT(R613*($G$8-$E$8)*($F$8-$E$8)),$G$8-SQRT((1-R613)*($G$8-$E$8)*($G$8-$F$8))))</f>
        <v>0.970627455111462</v>
      </c>
      <c r="E613" s="37" t="n">
        <f aca="false">1+IF($G$9=$E$9,$F$9,IF(S613&lt;($F$9-$E$9)/($G$9-$E$9),$E$9+SQRT(S613*($G$9-$E$9)*($F$9-$E$9)),$G$9-SQRT((1-S613)*($G$9-$E$9)*($G$9-$F$9))))</f>
        <v>1.01848917714666</v>
      </c>
      <c r="F613" s="37" t="n">
        <f aca="false">1+IF($G$10=$E$10,$F$10,IF(T613&lt;($F$10-$E$10)/($G$10-$E$10),$E$10+SQRT(T613*($G$10-$E$10)*($F$10-$E$10)),$G$10-SQRT((1-T613)*($G$10-$E$10)*($G$10-$F$10))))</f>
        <v>0.964665766370256</v>
      </c>
      <c r="G613" s="38" t="n">
        <f aca="false">IF($G$11=$E$11,$F$11,IF(U613&lt;($F$11-$E$11)/($G$11-$E$11),$E$11+SQRT(U613*($G$11-$E$11)*($F$11-$E$11)),$G$11-SQRT((1-U613)*($G$11-$E$11)*($G$11-$F$11))))</f>
        <v>0.0944527013359209</v>
      </c>
      <c r="H613" s="39" t="n">
        <f aca="false">(('Business Case'!B11*$C613*'Business Case'!B12*$B613)-'Business Case'!B11*$C613*'Business Case'!B13*$D613-'Business Case'!B14*$E613)-MAX(0,(('Business Case'!B11*$C613*'Business Case'!B12*$B613)-'Business Case'!B11*$C613*'Business Case'!B13*$D613-'Business Case'!B14*$E613))*'Business Case'!$B$7-'Business Case'!$B$8*('Business Case'!B11*$C613*'Business Case'!B12*$B613)-'Business Case'!B15*$F613</f>
        <v>-1929331532.74051</v>
      </c>
      <c r="I613" s="39" t="n">
        <f aca="false">(('Business Case'!C11*$C613*'Business Case'!C12*$B613)-'Business Case'!C11*$C613*'Business Case'!C13*$D613-'Business Case'!C14*$E613)-MAX(0,(('Business Case'!C11*$C613*'Business Case'!C12*$B613)-'Business Case'!C11*$C613*'Business Case'!C13*$D613-'Business Case'!C14*$E613))*'Business Case'!$B$7-'Business Case'!$B$8*(('Business Case'!C11*$C613*'Business Case'!C12*$B613)-('Business Case'!B11*$C613*'Business Case'!B12*$B613))-'Business Case'!C15*$F613</f>
        <v>-928155.808402881</v>
      </c>
      <c r="J613" s="39" t="n">
        <f aca="false">(('Business Case'!D11*$C613*'Business Case'!D12*$B613)-'Business Case'!D11*$C613*'Business Case'!D13*$D613-'Business Case'!D14*$E613)-MAX(0,(('Business Case'!D11*$C613*'Business Case'!D12*$B613)-'Business Case'!D11*$C613*'Business Case'!D13*$D613-'Business Case'!D14*$E613))*'Business Case'!$B$7-'Business Case'!$B$8*(('Business Case'!D11*$C613*'Business Case'!D12*$B613)-('Business Case'!C11*$C613*'Business Case'!C12*$B613))-'Business Case'!D15*$F613</f>
        <v>285355455.984879</v>
      </c>
      <c r="K613" s="39" t="n">
        <f aca="false">(('Business Case'!E11*$C613*'Business Case'!E12*$B613)-'Business Case'!E11*$C613*'Business Case'!E13*$D613-'Business Case'!E14*$E613)-MAX(0,(('Business Case'!E11*$C613*'Business Case'!E12*$B613)-'Business Case'!E11*$C613*'Business Case'!E13*$D613-'Business Case'!E14*$E613))*'Business Case'!$B$7-'Business Case'!$B$8*(('Business Case'!E11*$C613*'Business Case'!E12*$B613)-('Business Case'!D11*$C613*'Business Case'!D12*$B613))-'Business Case'!E15*$F613</f>
        <v>619872356.096674</v>
      </c>
      <c r="L613" s="39" t="n">
        <f aca="false">(('Business Case'!F11*$C613*'Business Case'!F12*$B613)-'Business Case'!F11*$C613*'Business Case'!F13*$D613-'Business Case'!F14*$E613)-MAX(0,(('Business Case'!F11*$C613*'Business Case'!F12*$B613)-'Business Case'!F11*$C613*'Business Case'!F13*$D613-'Business Case'!F14*$E613))*'Business Case'!$B$7-'Business Case'!$B$8*(('Business Case'!F11*$C613*'Business Case'!F12*$B613)-('Business Case'!E11*$C613*'Business Case'!E12*$B613))-'Business Case'!F15*$F613</f>
        <v>745910913.344038</v>
      </c>
      <c r="M613" s="39" t="n">
        <f aca="false">(('Business Case'!G11*$C613*'Business Case'!G12*$B613)-'Business Case'!G11*$C613*'Business Case'!G13*$D613-'Business Case'!G14*$E613)-MAX(0,(('Business Case'!G11*$C613*'Business Case'!G12*$B613)-'Business Case'!G11*$C613*'Business Case'!G13*$D613-'Business Case'!G14*$E613))*'Business Case'!$B$7-'Business Case'!$B$8*(('Business Case'!G11*$C613*'Business Case'!G12*$B613)-('Business Case'!F11*$C613*'Business Case'!F12*$B613))-'Business Case'!G15*$F613+'Business Case'!$B$8*('Business Case'!G11*$C613*'Business Case'!G12*$B613)</f>
        <v>914269689.916854</v>
      </c>
      <c r="N613" s="39" t="n">
        <f aca="false">IF(COUNT('Business Case'!B11:G11)=0,"",H613+NPV(G613,I613:M613))</f>
        <v>-117017105.359495</v>
      </c>
      <c r="P613" s="40" t="n">
        <f aca="true">RAND()</f>
        <v>0.700413904651644</v>
      </c>
      <c r="Q613" s="40" t="n">
        <f aca="true">RAND()</f>
        <v>0.100532364854692</v>
      </c>
      <c r="R613" s="40" t="n">
        <f aca="true">RAND()</f>
        <v>0.0654602929808288</v>
      </c>
      <c r="S613" s="40" t="n">
        <f aca="true">RAND()</f>
        <v>0.557065717184773</v>
      </c>
      <c r="T613" s="40" t="n">
        <f aca="true">RAND()</f>
        <v>0.0172067762581542</v>
      </c>
      <c r="U613" s="40" t="n">
        <f aca="true">RAND()</f>
        <v>0.0660884972897062</v>
      </c>
    </row>
    <row r="614" customFormat="false" ht="15" hidden="false" customHeight="false" outlineLevel="0" collapsed="false">
      <c r="A614" s="36" t="n">
        <v>534</v>
      </c>
      <c r="B614" s="37" t="n">
        <f aca="false">1+IF($G$6=$E$6,$F$6,IF(P614&lt;($F$6-$E$6)/($G$6-$E$6),$E$6+SQRT(P614*($G$6-$E$6)*($F$6-$E$6)),$G$6-SQRT((1-P614)*($G$6-$E$6)*($G$6-$F$6))))</f>
        <v>0.999252615056467</v>
      </c>
      <c r="C614" s="37" t="n">
        <f aca="false">1+IF($G$7=$E$7,$F$7,IF(Q614&lt;($F$7-$E$7)/($G$7-$E$7),$E$7+SQRT(Q614*($G$7-$E$7)*($F$7-$E$7)),$G$7-SQRT((1-Q614)*($G$7-$E$7)*($G$7-$F$7))))</f>
        <v>0.909657981698536</v>
      </c>
      <c r="D614" s="37" t="n">
        <f aca="false">1+IF($G$8=$E$8,$F$8,IF(R614&lt;($F$8-$E$8)/($G$8-$E$8),$E$8+SQRT(R614*($G$8-$E$8)*($F$8-$E$8)),$G$8-SQRT((1-R614)*($G$8-$E$8)*($G$8-$F$8))))</f>
        <v>1.02112508387666</v>
      </c>
      <c r="E614" s="37" t="n">
        <f aca="false">1+IF($G$9=$E$9,$F$9,IF(S614&lt;($F$9-$E$9)/($G$9-$E$9),$E$9+SQRT(S614*($G$9-$E$9)*($F$9-$E$9)),$G$9-SQRT((1-S614)*($G$9-$E$9)*($G$9-$F$9))))</f>
        <v>1.0239103588059</v>
      </c>
      <c r="F614" s="37" t="n">
        <f aca="false">1+IF($G$10=$E$10,$F$10,IF(T614&lt;($F$10-$E$10)/($G$10-$E$10),$E$10+SQRT(T614*($G$10-$E$10)*($F$10-$E$10)),$G$10-SQRT((1-T614)*($G$10-$E$10)*($G$10-$F$10))))</f>
        <v>1.17471568953772</v>
      </c>
      <c r="G614" s="38" t="n">
        <f aca="false">IF($G$11=$E$11,$F$11,IF(U614&lt;($F$11-$E$11)/($G$11-$E$11),$E$11+SQRT(U614*($G$11-$E$11)*($F$11-$E$11)),$G$11-SQRT((1-U614)*($G$11-$E$11)*($G$11-$F$11))))</f>
        <v>0.0999714089970836</v>
      </c>
      <c r="H614" s="39" t="n">
        <f aca="false">(('Business Case'!B11*$C614*'Business Case'!B12*$B614)-'Business Case'!B11*$C614*'Business Case'!B13*$D614-'Business Case'!B14*$E614)-MAX(0,(('Business Case'!B11*$C614*'Business Case'!B12*$B614)-'Business Case'!B11*$C614*'Business Case'!B13*$D614-'Business Case'!B14*$E614))*'Business Case'!$B$7-'Business Case'!$B$8*('Business Case'!B11*$C614*'Business Case'!B12*$B614)-'Business Case'!B15*$F614</f>
        <v>-2349431379.07543</v>
      </c>
      <c r="I614" s="39" t="n">
        <f aca="false">(('Business Case'!C11*$C614*'Business Case'!C12*$B614)-'Business Case'!C11*$C614*'Business Case'!C13*$D614-'Business Case'!C14*$E614)-MAX(0,(('Business Case'!C11*$C614*'Business Case'!C12*$B614)-'Business Case'!C11*$C614*'Business Case'!C13*$D614-'Business Case'!C14*$E614))*'Business Case'!$B$7-'Business Case'!$B$8*(('Business Case'!C11*$C614*'Business Case'!C12*$B614)-('Business Case'!B11*$C614*'Business Case'!B12*$B614))-'Business Case'!C15*$F614</f>
        <v>-41183999.7572557</v>
      </c>
      <c r="J614" s="39" t="n">
        <f aca="false">(('Business Case'!D11*$C614*'Business Case'!D12*$B614)-'Business Case'!D11*$C614*'Business Case'!D13*$D614-'Business Case'!D14*$E614)-MAX(0,(('Business Case'!D11*$C614*'Business Case'!D12*$B614)-'Business Case'!D11*$C614*'Business Case'!D13*$D614-'Business Case'!D14*$E614))*'Business Case'!$B$7-'Business Case'!$B$8*(('Business Case'!D11*$C614*'Business Case'!D12*$B614)-('Business Case'!C11*$C614*'Business Case'!C12*$B614))-'Business Case'!D15*$F614</f>
        <v>227825048.047737</v>
      </c>
      <c r="K614" s="39" t="n">
        <f aca="false">(('Business Case'!E11*$C614*'Business Case'!E12*$B614)-'Business Case'!E11*$C614*'Business Case'!E13*$D614-'Business Case'!E14*$E614)-MAX(0,(('Business Case'!E11*$C614*'Business Case'!E12*$B614)-'Business Case'!E11*$C614*'Business Case'!E13*$D614-'Business Case'!E14*$E614))*'Business Case'!$B$7-'Business Case'!$B$8*(('Business Case'!E11*$C614*'Business Case'!E12*$B614)-('Business Case'!D11*$C614*'Business Case'!D12*$B614))-'Business Case'!E15*$F614</f>
        <v>555569880.329616</v>
      </c>
      <c r="L614" s="39" t="n">
        <f aca="false">(('Business Case'!F11*$C614*'Business Case'!F12*$B614)-'Business Case'!F11*$C614*'Business Case'!F13*$D614-'Business Case'!F14*$E614)-MAX(0,(('Business Case'!F11*$C614*'Business Case'!F12*$B614)-'Business Case'!F11*$C614*'Business Case'!F13*$D614-'Business Case'!F14*$E614))*'Business Case'!$B$7-'Business Case'!$B$8*(('Business Case'!F11*$C614*'Business Case'!F12*$B614)-('Business Case'!E11*$C614*'Business Case'!E12*$B614))-'Business Case'!F15*$F614</f>
        <v>676653846.655466</v>
      </c>
      <c r="M614" s="39" t="n">
        <f aca="false">(('Business Case'!G11*$C614*'Business Case'!G12*$B614)-'Business Case'!G11*$C614*'Business Case'!G13*$D614-'Business Case'!G14*$E614)-MAX(0,(('Business Case'!G11*$C614*'Business Case'!G12*$B614)-'Business Case'!G11*$C614*'Business Case'!G13*$D614-'Business Case'!G14*$E614))*'Business Case'!$B$7-'Business Case'!$B$8*(('Business Case'!G11*$C614*'Business Case'!G12*$B614)-('Business Case'!F11*$C614*'Business Case'!F12*$B614))-'Business Case'!G15*$F614+'Business Case'!$B$8*('Business Case'!G11*$C614*'Business Case'!G12*$B614)</f>
        <v>849432407.138485</v>
      </c>
      <c r="N614" s="39" t="n">
        <f aca="false">IF(COUNT('Business Case'!B11:G11)=0,"",H614+NPV(G614,I614:M614))</f>
        <v>-791425998.14663</v>
      </c>
      <c r="P614" s="40" t="n">
        <f aca="true">RAND()</f>
        <v>0.654268436800896</v>
      </c>
      <c r="Q614" s="40" t="n">
        <f aca="true">RAND()</f>
        <v>0.171783899288521</v>
      </c>
      <c r="R614" s="40" t="n">
        <f aca="true">RAND()</f>
        <v>0.666706178025926</v>
      </c>
      <c r="S614" s="40" t="n">
        <f aca="true">RAND()</f>
        <v>0.614024433530221</v>
      </c>
      <c r="T614" s="40" t="n">
        <f aca="true">RAND()</f>
        <v>0.987214072888937</v>
      </c>
      <c r="U614" s="40" t="n">
        <f aca="true">RAND()</f>
        <v>0.331429991290402</v>
      </c>
    </row>
    <row r="615" customFormat="false" ht="15" hidden="false" customHeight="false" outlineLevel="0" collapsed="false">
      <c r="A615" s="36" t="n">
        <v>535</v>
      </c>
      <c r="B615" s="37" t="n">
        <f aca="false">1+IF($G$6=$E$6,$F$6,IF(P615&lt;($F$6-$E$6)/($G$6-$E$6),$E$6+SQRT(P615*($G$6-$E$6)*($F$6-$E$6)),$G$6-SQRT((1-P615)*($G$6-$E$6)*($G$6-$F$6))))</f>
        <v>0.995221908643259</v>
      </c>
      <c r="C615" s="37" t="n">
        <f aca="false">1+IF($G$7=$E$7,$F$7,IF(Q615&lt;($F$7-$E$7)/($G$7-$E$7),$E$7+SQRT(Q615*($G$7-$E$7)*($F$7-$E$7)),$G$7-SQRT((1-Q615)*($G$7-$E$7)*($G$7-$F$7))))</f>
        <v>0.857785621087239</v>
      </c>
      <c r="D615" s="37" t="n">
        <f aca="false">1+IF($G$8=$E$8,$F$8,IF(R615&lt;($F$8-$E$8)/($G$8-$E$8),$E$8+SQRT(R615*($G$8-$E$8)*($F$8-$E$8)),$G$8-SQRT((1-R615)*($G$8-$E$8)*($G$8-$F$8))))</f>
        <v>0.96554627017977</v>
      </c>
      <c r="E615" s="37" t="n">
        <f aca="false">1+IF($G$9=$E$9,$F$9,IF(S615&lt;($F$9-$E$9)/($G$9-$E$9),$E$9+SQRT(S615*($G$9-$E$9)*($F$9-$E$9)),$G$9-SQRT((1-S615)*($G$9-$E$9)*($G$9-$F$9))))</f>
        <v>1.00595027268962</v>
      </c>
      <c r="F615" s="37" t="n">
        <f aca="false">1+IF($G$10=$E$10,$F$10,IF(T615&lt;($F$10-$E$10)/($G$10-$E$10),$E$10+SQRT(T615*($G$10-$E$10)*($F$10-$E$10)),$G$10-SQRT((1-T615)*($G$10-$E$10)*($G$10-$F$10))))</f>
        <v>1.00574532251574</v>
      </c>
      <c r="G615" s="38" t="n">
        <f aca="false">IF($G$11=$E$11,$F$11,IF(U615&lt;($F$11-$E$11)/($G$11-$E$11),$E$11+SQRT(U615*($G$11-$E$11)*($F$11-$E$11)),$G$11-SQRT((1-U615)*($G$11-$E$11)*($G$11-$F$11))))</f>
        <v>0.101607896839484</v>
      </c>
      <c r="H615" s="39" t="n">
        <f aca="false">(('Business Case'!B11*$C615*'Business Case'!B12*$B615)-'Business Case'!B11*$C615*'Business Case'!B13*$D615-'Business Case'!B14*$E615)-MAX(0,(('Business Case'!B11*$C615*'Business Case'!B12*$B615)-'Business Case'!B11*$C615*'Business Case'!B13*$D615-'Business Case'!B14*$E615))*'Business Case'!$B$7-'Business Case'!$B$8*('Business Case'!B11*$C615*'Business Case'!B12*$B615)-'Business Case'!B15*$F615</f>
        <v>-2011490645.03147</v>
      </c>
      <c r="I615" s="39" t="n">
        <f aca="false">(('Business Case'!C11*$C615*'Business Case'!C12*$B615)-'Business Case'!C11*$C615*'Business Case'!C13*$D615-'Business Case'!C14*$E615)-MAX(0,(('Business Case'!C11*$C615*'Business Case'!C12*$B615)-'Business Case'!C11*$C615*'Business Case'!C13*$D615-'Business Case'!C14*$E615))*'Business Case'!$B$7-'Business Case'!$B$8*(('Business Case'!C11*$C615*'Business Case'!C12*$B615)-('Business Case'!B11*$C615*'Business Case'!B12*$B615))-'Business Case'!C15*$F615</f>
        <v>-12633019.1091397</v>
      </c>
      <c r="J615" s="39" t="n">
        <f aca="false">(('Business Case'!D11*$C615*'Business Case'!D12*$B615)-'Business Case'!D11*$C615*'Business Case'!D13*$D615-'Business Case'!D14*$E615)-MAX(0,(('Business Case'!D11*$C615*'Business Case'!D12*$B615)-'Business Case'!D11*$C615*'Business Case'!D13*$D615-'Business Case'!D14*$E615))*'Business Case'!$B$7-'Business Case'!$B$8*(('Business Case'!D11*$C615*'Business Case'!D12*$B615)-('Business Case'!C11*$C615*'Business Case'!C12*$B615))-'Business Case'!D15*$F615</f>
        <v>262609759.120183</v>
      </c>
      <c r="K615" s="39" t="n">
        <f aca="false">(('Business Case'!E11*$C615*'Business Case'!E12*$B615)-'Business Case'!E11*$C615*'Business Case'!E13*$D615-'Business Case'!E14*$E615)-MAX(0,(('Business Case'!E11*$C615*'Business Case'!E12*$B615)-'Business Case'!E11*$C615*'Business Case'!E13*$D615-'Business Case'!E14*$E615))*'Business Case'!$B$7-'Business Case'!$B$8*(('Business Case'!E11*$C615*'Business Case'!E12*$B615)-('Business Case'!D11*$C615*'Business Case'!D12*$B615))-'Business Case'!E15*$F615</f>
        <v>588139803.475293</v>
      </c>
      <c r="L615" s="39" t="n">
        <f aca="false">(('Business Case'!F11*$C615*'Business Case'!F12*$B615)-'Business Case'!F11*$C615*'Business Case'!F13*$D615-'Business Case'!F14*$E615)-MAX(0,(('Business Case'!F11*$C615*'Business Case'!F12*$B615)-'Business Case'!F11*$C615*'Business Case'!F13*$D615-'Business Case'!F14*$E615))*'Business Case'!$B$7-'Business Case'!$B$8*(('Business Case'!F11*$C615*'Business Case'!F12*$B615)-('Business Case'!E11*$C615*'Business Case'!E12*$B615))-'Business Case'!F15*$F615</f>
        <v>709390820.425351</v>
      </c>
      <c r="M615" s="39" t="n">
        <f aca="false">(('Business Case'!G11*$C615*'Business Case'!G12*$B615)-'Business Case'!G11*$C615*'Business Case'!G13*$D615-'Business Case'!G14*$E615)-MAX(0,(('Business Case'!G11*$C615*'Business Case'!G12*$B615)-'Business Case'!G11*$C615*'Business Case'!G13*$D615-'Business Case'!G14*$E615))*'Business Case'!$B$7-'Business Case'!$B$8*(('Business Case'!G11*$C615*'Business Case'!G12*$B615)-('Business Case'!F11*$C615*'Business Case'!F12*$B615))-'Business Case'!G15*$F615+'Business Case'!$B$8*('Business Case'!G11*$C615*'Business Case'!G12*$B615)</f>
        <v>871659653.563578</v>
      </c>
      <c r="N615" s="39" t="n">
        <f aca="false">IF(COUNT('Business Case'!B11:G11)=0,"",H615+NPV(G615,I615:M615))</f>
        <v>-347618073.424007</v>
      </c>
      <c r="P615" s="40" t="n">
        <f aca="true">RAND()</f>
        <v>0.589409952076535</v>
      </c>
      <c r="Q615" s="40" t="n">
        <f aca="true">RAND()</f>
        <v>0.0477025429205427</v>
      </c>
      <c r="R615" s="40" t="n">
        <f aca="true">RAND()</f>
        <v>0.037182541000368</v>
      </c>
      <c r="S615" s="40" t="n">
        <f aca="true">RAND()</f>
        <v>0.410309919522814</v>
      </c>
      <c r="T615" s="40" t="n">
        <f aca="true">RAND()</f>
        <v>0.245302405509697</v>
      </c>
      <c r="U615" s="40" t="n">
        <f aca="true">RAND()</f>
        <v>0.436217568888223</v>
      </c>
    </row>
    <row r="616" customFormat="false" ht="15" hidden="false" customHeight="false" outlineLevel="0" collapsed="false">
      <c r="A616" s="36" t="n">
        <v>536</v>
      </c>
      <c r="B616" s="37" t="n">
        <f aca="false">1+IF($G$6=$E$6,$F$6,IF(P616&lt;($F$6-$E$6)/($G$6-$E$6),$E$6+SQRT(P616*($G$6-$E$6)*($F$6-$E$6)),$G$6-SQRT((1-P616)*($G$6-$E$6)*($G$6-$F$6))))</f>
        <v>1.01668529583597</v>
      </c>
      <c r="C616" s="37" t="n">
        <f aca="false">1+IF($G$7=$E$7,$F$7,IF(Q616&lt;($F$7-$E$7)/($G$7-$E$7),$E$7+SQRT(Q616*($G$7-$E$7)*($F$7-$E$7)),$G$7-SQRT((1-Q616)*($G$7-$E$7)*($G$7-$F$7))))</f>
        <v>1.07241033530531</v>
      </c>
      <c r="D616" s="37" t="n">
        <f aca="false">1+IF($G$8=$E$8,$F$8,IF(R616&lt;($F$8-$E$8)/($G$8-$E$8),$E$8+SQRT(R616*($G$8-$E$8)*($F$8-$E$8)),$G$8-SQRT((1-R616)*($G$8-$E$8)*($G$8-$F$8))))</f>
        <v>0.989461454758365</v>
      </c>
      <c r="E616" s="37" t="n">
        <f aca="false">1+IF($G$9=$E$9,$F$9,IF(S616&lt;($F$9-$E$9)/($G$9-$E$9),$E$9+SQRT(S616*($G$9-$E$9)*($F$9-$E$9)),$G$9-SQRT((1-S616)*($G$9-$E$9)*($G$9-$F$9))))</f>
        <v>0.980684614390678</v>
      </c>
      <c r="F616" s="37" t="n">
        <f aca="false">1+IF($G$10=$E$10,$F$10,IF(T616&lt;($F$10-$E$10)/($G$10-$E$10),$E$10+SQRT(T616*($G$10-$E$10)*($F$10-$E$10)),$G$10-SQRT((1-T616)*($G$10-$E$10)*($G$10-$F$10))))</f>
        <v>1.02619494340164</v>
      </c>
      <c r="G616" s="38" t="n">
        <f aca="false">IF($G$11=$E$11,$F$11,IF(U616&lt;($F$11-$E$11)/($G$11-$E$11),$E$11+SQRT(U616*($G$11-$E$11)*($F$11-$E$11)),$G$11-SQRT((1-U616)*($G$11-$E$11)*($G$11-$F$11))))</f>
        <v>0.10422960572408</v>
      </c>
      <c r="H616" s="39" t="n">
        <f aca="false">(('Business Case'!B11*$C616*'Business Case'!B12*$B616)-'Business Case'!B11*$C616*'Business Case'!B13*$D616-'Business Case'!B14*$E616)-MAX(0,(('Business Case'!B11*$C616*'Business Case'!B12*$B616)-'Business Case'!B11*$C616*'Business Case'!B13*$D616-'Business Case'!B14*$E616))*'Business Case'!$B$7-'Business Case'!$B$8*('Business Case'!B11*$C616*'Business Case'!B12*$B616)-'Business Case'!B15*$F616</f>
        <v>-2052389886.80329</v>
      </c>
      <c r="I616" s="39" t="n">
        <f aca="false">(('Business Case'!C11*$C616*'Business Case'!C12*$B616)-'Business Case'!C11*$C616*'Business Case'!C13*$D616-'Business Case'!C14*$E616)-MAX(0,(('Business Case'!C11*$C616*'Business Case'!C12*$B616)-'Business Case'!C11*$C616*'Business Case'!C13*$D616-'Business Case'!C14*$E616))*'Business Case'!$B$7-'Business Case'!$B$8*(('Business Case'!C11*$C616*'Business Case'!C12*$B616)-('Business Case'!B11*$C616*'Business Case'!B12*$B616))-'Business Case'!C15*$F616</f>
        <v>51240372.3332487</v>
      </c>
      <c r="J616" s="39" t="n">
        <f aca="false">(('Business Case'!D11*$C616*'Business Case'!D12*$B616)-'Business Case'!D11*$C616*'Business Case'!D13*$D616-'Business Case'!D14*$E616)-MAX(0,(('Business Case'!D11*$C616*'Business Case'!D12*$B616)-'Business Case'!D11*$C616*'Business Case'!D13*$D616-'Business Case'!D14*$E616))*'Business Case'!$B$7-'Business Case'!$B$8*(('Business Case'!D11*$C616*'Business Case'!D12*$B616)-('Business Case'!C11*$C616*'Business Case'!C12*$B616))-'Business Case'!D15*$F616</f>
        <v>401074941.150361</v>
      </c>
      <c r="K616" s="39" t="n">
        <f aca="false">(('Business Case'!E11*$C616*'Business Case'!E12*$B616)-'Business Case'!E11*$C616*'Business Case'!E13*$D616-'Business Case'!E14*$E616)-MAX(0,(('Business Case'!E11*$C616*'Business Case'!E12*$B616)-'Business Case'!E11*$C616*'Business Case'!E13*$D616-'Business Case'!E14*$E616))*'Business Case'!$B$7-'Business Case'!$B$8*(('Business Case'!E11*$C616*'Business Case'!E12*$B616)-('Business Case'!D11*$C616*'Business Case'!D12*$B616))-'Business Case'!E15*$F616</f>
        <v>802219257.137556</v>
      </c>
      <c r="L616" s="39" t="n">
        <f aca="false">(('Business Case'!F11*$C616*'Business Case'!F12*$B616)-'Business Case'!F11*$C616*'Business Case'!F13*$D616-'Business Case'!F14*$E616)-MAX(0,(('Business Case'!F11*$C616*'Business Case'!F12*$B616)-'Business Case'!F11*$C616*'Business Case'!F13*$D616-'Business Case'!F14*$E616))*'Business Case'!$B$7-'Business Case'!$B$8*(('Business Case'!F11*$C616*'Business Case'!F12*$B616)-('Business Case'!E11*$C616*'Business Case'!E12*$B616))-'Business Case'!F15*$F616</f>
        <v>956511680.06149</v>
      </c>
      <c r="M616" s="39" t="n">
        <f aca="false">(('Business Case'!G11*$C616*'Business Case'!G12*$B616)-'Business Case'!G11*$C616*'Business Case'!G13*$D616-'Business Case'!G14*$E616)-MAX(0,(('Business Case'!G11*$C616*'Business Case'!G12*$B616)-'Business Case'!G11*$C616*'Business Case'!G13*$D616-'Business Case'!G14*$E616))*'Business Case'!$B$7-'Business Case'!$B$8*(('Business Case'!G11*$C616*'Business Case'!G12*$B616)-('Business Case'!F11*$C616*'Business Case'!F12*$B616))-'Business Case'!G15*$F616+'Business Case'!$B$8*('Business Case'!G11*$C616*'Business Case'!G12*$B616)</f>
        <v>1163756629.97842</v>
      </c>
      <c r="N616" s="39" t="n">
        <f aca="false">IF(COUNT('Business Case'!B11:G11)=0,"",H616+NPV(G616,I616:M616))</f>
        <v>270991917.327623</v>
      </c>
      <c r="P616" s="40" t="n">
        <f aca="true">RAND()</f>
        <v>0.886755118696603</v>
      </c>
      <c r="Q616" s="40" t="n">
        <f aca="true">RAND()</f>
        <v>0.885330360620297</v>
      </c>
      <c r="R616" s="40" t="n">
        <f aca="true">RAND()</f>
        <v>0.239570217176383</v>
      </c>
      <c r="S616" s="40" t="n">
        <f aca="true">RAND()</f>
        <v>0.12553940804061</v>
      </c>
      <c r="T616" s="40" t="n">
        <f aca="true">RAND()</f>
        <v>0.395836046016847</v>
      </c>
      <c r="U616" s="40" t="n">
        <f aca="true">RAND()</f>
        <v>0.585491107303361</v>
      </c>
    </row>
    <row r="617" customFormat="false" ht="15" hidden="false" customHeight="false" outlineLevel="0" collapsed="false">
      <c r="A617" s="36" t="n">
        <v>537</v>
      </c>
      <c r="B617" s="37" t="n">
        <f aca="false">1+IF($G$6=$E$6,$F$6,IF(P617&lt;($F$6-$E$6)/($G$6-$E$6),$E$6+SQRT(P617*($G$6-$E$6)*($F$6-$E$6)),$G$6-SQRT((1-P617)*($G$6-$E$6)*($G$6-$F$6))))</f>
        <v>0.950101706100204</v>
      </c>
      <c r="C617" s="37" t="n">
        <f aca="false">1+IF($G$7=$E$7,$F$7,IF(Q617&lt;($F$7-$E$7)/($G$7-$E$7),$E$7+SQRT(Q617*($G$7-$E$7)*($F$7-$E$7)),$G$7-SQRT((1-Q617)*($G$7-$E$7)*($G$7-$F$7))))</f>
        <v>1.03374593399479</v>
      </c>
      <c r="D617" s="37" t="n">
        <f aca="false">1+IF($G$8=$E$8,$F$8,IF(R617&lt;($F$8-$E$8)/($G$8-$E$8),$E$8+SQRT(R617*($G$8-$E$8)*($F$8-$E$8)),$G$8-SQRT((1-R617)*($G$8-$E$8)*($G$8-$F$8))))</f>
        <v>1.07375062620929</v>
      </c>
      <c r="E617" s="37" t="n">
        <f aca="false">1+IF($G$9=$E$9,$F$9,IF(S617&lt;($F$9-$E$9)/($G$9-$E$9),$E$9+SQRT(S617*($G$9-$E$9)*($F$9-$E$9)),$G$9-SQRT((1-S617)*($G$9-$E$9)*($G$9-$F$9))))</f>
        <v>1.03143799558219</v>
      </c>
      <c r="F617" s="37" t="n">
        <f aca="false">1+IF($G$10=$E$10,$F$10,IF(T617&lt;($F$10-$E$10)/($G$10-$E$10),$E$10+SQRT(T617*($G$10-$E$10)*($F$10-$E$10)),$G$10-SQRT((1-T617)*($G$10-$E$10)*($G$10-$F$10))))</f>
        <v>1.0132834436922</v>
      </c>
      <c r="G617" s="38" t="n">
        <f aca="false">IF($G$11=$E$11,$F$11,IF(U617&lt;($F$11-$E$11)/($G$11-$E$11),$E$11+SQRT(U617*($G$11-$E$11)*($F$11-$E$11)),$G$11-SQRT((1-U617)*($G$11-$E$11)*($G$11-$F$11))))</f>
        <v>0.11300397805631</v>
      </c>
      <c r="H617" s="39" t="n">
        <f aca="false">(('Business Case'!B11*$C617*'Business Case'!B12*$B617)-'Business Case'!B11*$C617*'Business Case'!B13*$D617-'Business Case'!B14*$E617)-MAX(0,(('Business Case'!B11*$C617*'Business Case'!B12*$B617)-'Business Case'!B11*$C617*'Business Case'!B13*$D617-'Business Case'!B14*$E617))*'Business Case'!$B$7-'Business Case'!$B$8*('Business Case'!B11*$C617*'Business Case'!B12*$B617)-'Business Case'!B15*$F617</f>
        <v>-2026566887.3844</v>
      </c>
      <c r="I617" s="39" t="n">
        <f aca="false">(('Business Case'!C11*$C617*'Business Case'!C12*$B617)-'Business Case'!C11*$C617*'Business Case'!C13*$D617-'Business Case'!C14*$E617)-MAX(0,(('Business Case'!C11*$C617*'Business Case'!C12*$B617)-'Business Case'!C11*$C617*'Business Case'!C13*$D617-'Business Case'!C14*$E617))*'Business Case'!$B$7-'Business Case'!$B$8*(('Business Case'!C11*$C617*'Business Case'!C12*$B617)-('Business Case'!B11*$C617*'Business Case'!B12*$B617))-'Business Case'!C15*$F617</f>
        <v>-62675046.7727692</v>
      </c>
      <c r="J617" s="39" t="n">
        <f aca="false">(('Business Case'!D11*$C617*'Business Case'!D12*$B617)-'Business Case'!D11*$C617*'Business Case'!D13*$D617-'Business Case'!D14*$E617)-MAX(0,(('Business Case'!D11*$C617*'Business Case'!D12*$B617)-'Business Case'!D11*$C617*'Business Case'!D13*$D617-'Business Case'!D14*$E617))*'Business Case'!$B$7-'Business Case'!$B$8*(('Business Case'!D11*$C617*'Business Case'!D12*$B617)-('Business Case'!C11*$C617*'Business Case'!C12*$B617))-'Business Case'!D15*$F617</f>
        <v>173564103.920635</v>
      </c>
      <c r="K617" s="39" t="n">
        <f aca="false">(('Business Case'!E11*$C617*'Business Case'!E12*$B617)-'Business Case'!E11*$C617*'Business Case'!E13*$D617-'Business Case'!E14*$E617)-MAX(0,(('Business Case'!E11*$C617*'Business Case'!E12*$B617)-'Business Case'!E11*$C617*'Business Case'!E13*$D617-'Business Case'!E14*$E617))*'Business Case'!$B$7-'Business Case'!$B$8*(('Business Case'!E11*$C617*'Business Case'!E12*$B617)-('Business Case'!D11*$C617*'Business Case'!D12*$B617))-'Business Case'!E15*$F617</f>
        <v>460467426.798648</v>
      </c>
      <c r="L617" s="39" t="n">
        <f aca="false">(('Business Case'!F11*$C617*'Business Case'!F12*$B617)-'Business Case'!F11*$C617*'Business Case'!F13*$D617-'Business Case'!F14*$E617)-MAX(0,(('Business Case'!F11*$C617*'Business Case'!F12*$B617)-'Business Case'!F11*$C617*'Business Case'!F13*$D617-'Business Case'!F14*$E617))*'Business Case'!$B$7-'Business Case'!$B$8*(('Business Case'!F11*$C617*'Business Case'!F12*$B617)-('Business Case'!E11*$C617*'Business Case'!E12*$B617))-'Business Case'!F15*$F617</f>
        <v>573157390.44656</v>
      </c>
      <c r="M617" s="39" t="n">
        <f aca="false">(('Business Case'!G11*$C617*'Business Case'!G12*$B617)-'Business Case'!G11*$C617*'Business Case'!G13*$D617-'Business Case'!G14*$E617)-MAX(0,(('Business Case'!G11*$C617*'Business Case'!G12*$B617)-'Business Case'!G11*$C617*'Business Case'!G13*$D617-'Business Case'!G14*$E617))*'Business Case'!$B$7-'Business Case'!$B$8*(('Business Case'!G11*$C617*'Business Case'!G12*$B617)-('Business Case'!F11*$C617*'Business Case'!F12*$B617))-'Business Case'!G15*$F617+'Business Case'!$B$8*('Business Case'!G11*$C617*'Business Case'!G12*$B617)</f>
        <v>759847080.9055</v>
      </c>
      <c r="N617" s="39" t="n">
        <f aca="false">IF(COUNT('Business Case'!B11:G11)=0,"",H617+NPV(G617,I617:M617))</f>
        <v>-790421696.637639</v>
      </c>
      <c r="P617" s="40" t="n">
        <f aca="true">RAND()</f>
        <v>0.0943867406398991</v>
      </c>
      <c r="Q617" s="40" t="n">
        <f aca="true">RAND()</f>
        <v>0.742571278804903</v>
      </c>
      <c r="R617" s="40" t="n">
        <f aca="true">RAND()</f>
        <v>0.996244743002302</v>
      </c>
      <c r="S617" s="40" t="n">
        <f aca="true">RAND()</f>
        <v>0.686616770014178</v>
      </c>
      <c r="T617" s="40" t="n">
        <f aca="true">RAND()</f>
        <v>0.302738552011119</v>
      </c>
      <c r="U617" s="40" t="n">
        <f aca="true">RAND()</f>
        <v>0.918426128272357</v>
      </c>
    </row>
    <row r="618" customFormat="false" ht="15" hidden="false" customHeight="false" outlineLevel="0" collapsed="false">
      <c r="A618" s="36" t="n">
        <v>538</v>
      </c>
      <c r="B618" s="37" t="n">
        <f aca="false">1+IF($G$6=$E$6,$F$6,IF(P618&lt;($F$6-$E$6)/($G$6-$E$6),$E$6+SQRT(P618*($G$6-$E$6)*($F$6-$E$6)),$G$6-SQRT((1-P618)*($G$6-$E$6)*($G$6-$F$6))))</f>
        <v>1.00011046817288</v>
      </c>
      <c r="C618" s="37" t="n">
        <f aca="false">1+IF($G$7=$E$7,$F$7,IF(Q618&lt;($F$7-$E$7)/($G$7-$E$7),$E$7+SQRT(Q618*($G$7-$E$7)*($F$7-$E$7)),$G$7-SQRT((1-Q618)*($G$7-$E$7)*($G$7-$F$7))))</f>
        <v>1.05537509710742</v>
      </c>
      <c r="D618" s="37" t="n">
        <f aca="false">1+IF($G$8=$E$8,$F$8,IF(R618&lt;($F$8-$E$8)/($G$8-$E$8),$E$8+SQRT(R618*($G$8-$E$8)*($F$8-$E$8)),$G$8-SQRT((1-R618)*($G$8-$E$8)*($G$8-$F$8))))</f>
        <v>1.00542514728528</v>
      </c>
      <c r="E618" s="37" t="n">
        <f aca="false">1+IF($G$9=$E$9,$F$9,IF(S618&lt;($F$9-$E$9)/($G$9-$E$9),$E$9+SQRT(S618*($G$9-$E$9)*($F$9-$E$9)),$G$9-SQRT((1-S618)*($G$9-$E$9)*($G$9-$F$9))))</f>
        <v>0.994925966514542</v>
      </c>
      <c r="F618" s="37" t="n">
        <f aca="false">1+IF($G$10=$E$10,$F$10,IF(T618&lt;($F$10-$E$10)/($G$10-$E$10),$E$10+SQRT(T618*($G$10-$E$10)*($F$10-$E$10)),$G$10-SQRT((1-T618)*($G$10-$E$10)*($G$10-$F$10))))</f>
        <v>1.0130264223468</v>
      </c>
      <c r="G618" s="38" t="n">
        <f aca="false">IF($G$11=$E$11,$F$11,IF(U618&lt;($F$11-$E$11)/($G$11-$E$11),$E$11+SQRT(U618*($G$11-$E$11)*($F$11-$E$11)),$G$11-SQRT((1-U618)*($G$11-$E$11)*($G$11-$F$11))))</f>
        <v>0.105157713734099</v>
      </c>
      <c r="H618" s="39" t="n">
        <f aca="false">(('Business Case'!B11*$C618*'Business Case'!B12*$B618)-'Business Case'!B11*$C618*'Business Case'!B13*$D618-'Business Case'!B14*$E618)-MAX(0,(('Business Case'!B11*$C618*'Business Case'!B12*$B618)-'Business Case'!B11*$C618*'Business Case'!B13*$D618-'Business Case'!B14*$E618))*'Business Case'!$B$7-'Business Case'!$B$8*('Business Case'!B11*$C618*'Business Case'!B12*$B618)-'Business Case'!B15*$F618</f>
        <v>-2026052844.6936</v>
      </c>
      <c r="I618" s="39" t="n">
        <f aca="false">(('Business Case'!C11*$C618*'Business Case'!C12*$B618)-'Business Case'!C11*$C618*'Business Case'!C13*$D618-'Business Case'!C14*$E618)-MAX(0,(('Business Case'!C11*$C618*'Business Case'!C12*$B618)-'Business Case'!C11*$C618*'Business Case'!C13*$D618-'Business Case'!C14*$E618))*'Business Case'!$B$7-'Business Case'!$B$8*(('Business Case'!C11*$C618*'Business Case'!C12*$B618)-('Business Case'!B11*$C618*'Business Case'!B12*$B618))-'Business Case'!C15*$F618</f>
        <v>23827228.7271511</v>
      </c>
      <c r="J618" s="39" t="n">
        <f aca="false">(('Business Case'!D11*$C618*'Business Case'!D12*$B618)-'Business Case'!D11*$C618*'Business Case'!D13*$D618-'Business Case'!D14*$E618)-MAX(0,(('Business Case'!D11*$C618*'Business Case'!D12*$B618)-'Business Case'!D11*$C618*'Business Case'!D13*$D618-'Business Case'!D14*$E618))*'Business Case'!$B$7-'Business Case'!$B$8*(('Business Case'!D11*$C618*'Business Case'!D12*$B618)-('Business Case'!C11*$C618*'Business Case'!C12*$B618))-'Business Case'!D15*$F618</f>
        <v>345152260.946393</v>
      </c>
      <c r="K618" s="39" t="n">
        <f aca="false">(('Business Case'!E11*$C618*'Business Case'!E12*$B618)-'Business Case'!E11*$C618*'Business Case'!E13*$D618-'Business Case'!E14*$E618)-MAX(0,(('Business Case'!E11*$C618*'Business Case'!E12*$B618)-'Business Case'!E11*$C618*'Business Case'!E13*$D618-'Business Case'!E14*$E618))*'Business Case'!$B$7-'Business Case'!$B$8*(('Business Case'!E11*$C618*'Business Case'!E12*$B618)-('Business Case'!D11*$C618*'Business Case'!D12*$B618))-'Business Case'!E15*$F618</f>
        <v>717128614.282974</v>
      </c>
      <c r="L618" s="39" t="n">
        <f aca="false">(('Business Case'!F11*$C618*'Business Case'!F12*$B618)-'Business Case'!F11*$C618*'Business Case'!F13*$D618-'Business Case'!F14*$E618)-MAX(0,(('Business Case'!F11*$C618*'Business Case'!F12*$B618)-'Business Case'!F11*$C618*'Business Case'!F13*$D618-'Business Case'!F14*$E618))*'Business Case'!$B$7-'Business Case'!$B$8*(('Business Case'!F11*$C618*'Business Case'!F12*$B618)-('Business Case'!E11*$C618*'Business Case'!E12*$B618))-'Business Case'!F15*$F618</f>
        <v>860714750.902083</v>
      </c>
      <c r="M618" s="39" t="n">
        <f aca="false">(('Business Case'!G11*$C618*'Business Case'!G12*$B618)-'Business Case'!G11*$C618*'Business Case'!G13*$D618-'Business Case'!G14*$E618)-MAX(0,(('Business Case'!G11*$C618*'Business Case'!G12*$B618)-'Business Case'!G11*$C618*'Business Case'!G13*$D618-'Business Case'!G14*$E618))*'Business Case'!$B$7-'Business Case'!$B$8*(('Business Case'!G11*$C618*'Business Case'!G12*$B618)-('Business Case'!F11*$C618*'Business Case'!F12*$B618))-'Business Case'!G15*$F618+'Business Case'!$B$8*('Business Case'!G11*$C618*'Business Case'!G12*$B618)</f>
        <v>1061342609.90524</v>
      </c>
      <c r="N618" s="39" t="n">
        <f aca="false">IF(COUNT('Business Case'!B11:G11)=0,"",H618+NPV(G618,I618:M618))</f>
        <v>30138907.3932467</v>
      </c>
      <c r="P618" s="40" t="n">
        <f aca="true">RAND()</f>
        <v>0.66850526054447</v>
      </c>
      <c r="Q618" s="40" t="n">
        <f aca="true">RAND()</f>
        <v>0.829450052429887</v>
      </c>
      <c r="R618" s="40" t="n">
        <f aca="true">RAND()</f>
        <v>0.465249167555625</v>
      </c>
      <c r="S618" s="40" t="n">
        <f aca="true">RAND()</f>
        <v>0.26911232896876</v>
      </c>
      <c r="T618" s="40" t="n">
        <f aca="true">RAND()</f>
        <v>0.300817625191256</v>
      </c>
      <c r="U618" s="40" t="n">
        <f aca="true">RAND()</f>
        <v>0.632844230668416</v>
      </c>
    </row>
    <row r="619" customFormat="false" ht="15" hidden="false" customHeight="false" outlineLevel="0" collapsed="false">
      <c r="A619" s="36" t="n">
        <v>539</v>
      </c>
      <c r="B619" s="37" t="n">
        <f aca="false">1+IF($G$6=$E$6,$F$6,IF(P619&lt;($F$6-$E$6)/($G$6-$E$6),$E$6+SQRT(P619*($G$6-$E$6)*($F$6-$E$6)),$G$6-SQRT((1-P619)*($G$6-$E$6)*($G$6-$F$6))))</f>
        <v>0.998527559641115</v>
      </c>
      <c r="C619" s="37" t="n">
        <f aca="false">1+IF($G$7=$E$7,$F$7,IF(Q619&lt;($F$7-$E$7)/($G$7-$E$7),$E$7+SQRT(Q619*($G$7-$E$7)*($F$7-$E$7)),$G$7-SQRT((1-Q619)*($G$7-$E$7)*($G$7-$F$7))))</f>
        <v>0.989286361215629</v>
      </c>
      <c r="D619" s="37" t="n">
        <f aca="false">1+IF($G$8=$E$8,$F$8,IF(R619&lt;($F$8-$E$8)/($G$8-$E$8),$E$8+SQRT(R619*($G$8-$E$8)*($F$8-$E$8)),$G$8-SQRT((1-R619)*($G$8-$E$8)*($G$8-$F$8))))</f>
        <v>0.997555648120275</v>
      </c>
      <c r="E619" s="37" t="n">
        <f aca="false">1+IF($G$9=$E$9,$F$9,IF(S619&lt;($F$9-$E$9)/($G$9-$E$9),$E$9+SQRT(S619*($G$9-$E$9)*($F$9-$E$9)),$G$9-SQRT((1-S619)*($G$9-$E$9)*($G$9-$F$9))))</f>
        <v>1.07926618389011</v>
      </c>
      <c r="F619" s="37" t="n">
        <f aca="false">1+IF($G$10=$E$10,$F$10,IF(T619&lt;($F$10-$E$10)/($G$10-$E$10),$E$10+SQRT(T619*($G$10-$E$10)*($F$10-$E$10)),$G$10-SQRT((1-T619)*($G$10-$E$10)*($G$10-$F$10))))</f>
        <v>1.1072316438002</v>
      </c>
      <c r="G619" s="38" t="n">
        <f aca="false">IF($G$11=$E$11,$F$11,IF(U619&lt;($F$11-$E$11)/($G$11-$E$11),$E$11+SQRT(U619*($G$11-$E$11)*($F$11-$E$11)),$G$11-SQRT((1-U619)*($G$11-$E$11)*($G$11-$F$11))))</f>
        <v>0.0989012134059655</v>
      </c>
      <c r="H619" s="39" t="n">
        <f aca="false">(('Business Case'!B11*$C619*'Business Case'!B12*$B619)-'Business Case'!B11*$C619*'Business Case'!B13*$D619-'Business Case'!B14*$E619)-MAX(0,(('Business Case'!B11*$C619*'Business Case'!B12*$B619)-'Business Case'!B11*$C619*'Business Case'!B13*$D619-'Business Case'!B14*$E619))*'Business Case'!$B$7-'Business Case'!$B$8*('Business Case'!B11*$C619*'Business Case'!B12*$B619)-'Business Case'!B15*$F619</f>
        <v>-2214463287.60039</v>
      </c>
      <c r="I619" s="39" t="n">
        <f aca="false">(('Business Case'!C11*$C619*'Business Case'!C12*$B619)-'Business Case'!C11*$C619*'Business Case'!C13*$D619-'Business Case'!C14*$E619)-MAX(0,(('Business Case'!C11*$C619*'Business Case'!C12*$B619)-'Business Case'!C11*$C619*'Business Case'!C13*$D619-'Business Case'!C14*$E619))*'Business Case'!$B$7-'Business Case'!$B$8*(('Business Case'!C11*$C619*'Business Case'!C12*$B619)-('Business Case'!B11*$C619*'Business Case'!B12*$B619))-'Business Case'!C15*$F619</f>
        <v>-11497829.8992748</v>
      </c>
      <c r="J619" s="39" t="n">
        <f aca="false">(('Business Case'!D11*$C619*'Business Case'!D12*$B619)-'Business Case'!D11*$C619*'Business Case'!D13*$D619-'Business Case'!D14*$E619)-MAX(0,(('Business Case'!D11*$C619*'Business Case'!D12*$B619)-'Business Case'!D11*$C619*'Business Case'!D13*$D619-'Business Case'!D14*$E619))*'Business Case'!$B$7-'Business Case'!$B$8*(('Business Case'!D11*$C619*'Business Case'!D12*$B619)-('Business Case'!C11*$C619*'Business Case'!C12*$B619))-'Business Case'!D15*$F619</f>
        <v>292408247.373921</v>
      </c>
      <c r="K619" s="39" t="n">
        <f aca="false">(('Business Case'!E11*$C619*'Business Case'!E12*$B619)-'Business Case'!E11*$C619*'Business Case'!E13*$D619-'Business Case'!E14*$E619)-MAX(0,(('Business Case'!E11*$C619*'Business Case'!E12*$B619)-'Business Case'!E11*$C619*'Business Case'!E13*$D619-'Business Case'!E14*$E619))*'Business Case'!$B$7-'Business Case'!$B$8*(('Business Case'!E11*$C619*'Business Case'!E12*$B619)-('Business Case'!D11*$C619*'Business Case'!D12*$B619))-'Business Case'!E15*$F619</f>
        <v>651675906.837127</v>
      </c>
      <c r="L619" s="39" t="n">
        <f aca="false">(('Business Case'!F11*$C619*'Business Case'!F12*$B619)-'Business Case'!F11*$C619*'Business Case'!F13*$D619-'Business Case'!F14*$E619)-MAX(0,(('Business Case'!F11*$C619*'Business Case'!F12*$B619)-'Business Case'!F11*$C619*'Business Case'!F13*$D619-'Business Case'!F14*$E619))*'Business Case'!$B$7-'Business Case'!$B$8*(('Business Case'!F11*$C619*'Business Case'!F12*$B619)-('Business Case'!E11*$C619*'Business Case'!E12*$B619))-'Business Case'!F15*$F619</f>
        <v>787117326.890377</v>
      </c>
      <c r="M619" s="39" t="n">
        <f aca="false">(('Business Case'!G11*$C619*'Business Case'!G12*$B619)-'Business Case'!G11*$C619*'Business Case'!G13*$D619-'Business Case'!G14*$E619)-MAX(0,(('Business Case'!G11*$C619*'Business Case'!G12*$B619)-'Business Case'!G11*$C619*'Business Case'!G13*$D619-'Business Case'!G14*$E619))*'Business Case'!$B$7-'Business Case'!$B$8*(('Business Case'!G11*$C619*'Business Case'!G12*$B619)-('Business Case'!F11*$C619*'Business Case'!F12*$B619))-'Business Case'!G15*$F619+'Business Case'!$B$8*('Business Case'!G11*$C619*'Business Case'!G12*$B619)</f>
        <v>974883995.515729</v>
      </c>
      <c r="N619" s="39" t="n">
        <f aca="false">IF(COUNT('Business Case'!B11:G11)=0,"",H619+NPV(G619,I619:M619))</f>
        <v>-343575372.292809</v>
      </c>
      <c r="P619" s="40" t="n">
        <f aca="true">RAND()</f>
        <v>0.642351835748847</v>
      </c>
      <c r="Q619" s="40" t="n">
        <f aca="true">RAND()</f>
        <v>0.511847522032195</v>
      </c>
      <c r="R619" s="40" t="n">
        <f aca="true">RAND()</f>
        <v>0.347929179713749</v>
      </c>
      <c r="S619" s="40" t="n">
        <f aca="true">RAND()</f>
        <v>0.971340591301414</v>
      </c>
      <c r="T619" s="40" t="n">
        <f aca="true">RAND()</f>
        <v>0.827880641759725</v>
      </c>
      <c r="U619" s="40" t="n">
        <f aca="true">RAND()</f>
        <v>0.264105333661802</v>
      </c>
    </row>
    <row r="620" customFormat="false" ht="15" hidden="false" customHeight="false" outlineLevel="0" collapsed="false">
      <c r="A620" s="36" t="n">
        <v>540</v>
      </c>
      <c r="B620" s="37" t="n">
        <f aca="false">1+IF($G$6=$E$6,$F$6,IF(P620&lt;($F$6-$E$6)/($G$6-$E$6),$E$6+SQRT(P620*($G$6-$E$6)*($F$6-$E$6)),$G$6-SQRT((1-P620)*($G$6-$E$6)*($G$6-$F$6))))</f>
        <v>1.00158308580743</v>
      </c>
      <c r="C620" s="37" t="n">
        <f aca="false">1+IF($G$7=$E$7,$F$7,IF(Q620&lt;($F$7-$E$7)/($G$7-$E$7),$E$7+SQRT(Q620*($G$7-$E$7)*($F$7-$E$7)),$G$7-SQRT((1-Q620)*($G$7-$E$7)*($G$7-$F$7))))</f>
        <v>1.06633496965013</v>
      </c>
      <c r="D620" s="37" t="n">
        <f aca="false">1+IF($G$8=$E$8,$F$8,IF(R620&lt;($F$8-$E$8)/($G$8-$E$8),$E$8+SQRT(R620*($G$8-$E$8)*($F$8-$E$8)),$G$8-SQRT((1-R620)*($G$8-$E$8)*($G$8-$F$8))))</f>
        <v>0.998275962140365</v>
      </c>
      <c r="E620" s="37" t="n">
        <f aca="false">1+IF($G$9=$E$9,$F$9,IF(S620&lt;($F$9-$E$9)/($G$9-$E$9),$E$9+SQRT(S620*($G$9-$E$9)*($F$9-$E$9)),$G$9-SQRT((1-S620)*($G$9-$E$9)*($G$9-$F$9))))</f>
        <v>1.04558836493486</v>
      </c>
      <c r="F620" s="37" t="n">
        <f aca="false">1+IF($G$10=$E$10,$F$10,IF(T620&lt;($F$10-$E$10)/($G$10-$E$10),$E$10+SQRT(T620*($G$10-$E$10)*($F$10-$E$10)),$G$10-SQRT((1-T620)*($G$10-$E$10)*($G$10-$F$10))))</f>
        <v>1.02528248090998</v>
      </c>
      <c r="G620" s="38" t="n">
        <f aca="false">IF($G$11=$E$11,$F$11,IF(U620&lt;($F$11-$E$11)/($G$11-$E$11),$E$11+SQRT(U620*($G$11-$E$11)*($F$11-$E$11)),$G$11-SQRT((1-U620)*($G$11-$E$11)*($G$11-$F$11))))</f>
        <v>0.0980440823259683</v>
      </c>
      <c r="H620" s="39" t="n">
        <f aca="false">(('Business Case'!B11*$C620*'Business Case'!B12*$B620)-'Business Case'!B11*$C620*'Business Case'!B13*$D620-'Business Case'!B14*$E620)-MAX(0,(('Business Case'!B11*$C620*'Business Case'!B12*$B620)-'Business Case'!B11*$C620*'Business Case'!B13*$D620-'Business Case'!B14*$E620))*'Business Case'!$B$7-'Business Case'!$B$8*('Business Case'!B11*$C620*'Business Case'!B12*$B620)-'Business Case'!B15*$F620</f>
        <v>-2050564961.81996</v>
      </c>
      <c r="I620" s="39" t="n">
        <f aca="false">(('Business Case'!C11*$C620*'Business Case'!C12*$B620)-'Business Case'!C11*$C620*'Business Case'!C13*$D620-'Business Case'!C14*$E620)-MAX(0,(('Business Case'!C11*$C620*'Business Case'!C12*$B620)-'Business Case'!C11*$C620*'Business Case'!C13*$D620-'Business Case'!C14*$E620))*'Business Case'!$B$7-'Business Case'!$B$8*(('Business Case'!C11*$C620*'Business Case'!C12*$B620)-('Business Case'!B11*$C620*'Business Case'!B12*$B620))-'Business Case'!C15*$F620</f>
        <v>23273479.0184217</v>
      </c>
      <c r="J620" s="39" t="n">
        <f aca="false">(('Business Case'!D11*$C620*'Business Case'!D12*$B620)-'Business Case'!D11*$C620*'Business Case'!D13*$D620-'Business Case'!D14*$E620)-MAX(0,(('Business Case'!D11*$C620*'Business Case'!D12*$B620)-'Business Case'!D11*$C620*'Business Case'!D13*$D620-'Business Case'!D14*$E620))*'Business Case'!$B$7-'Business Case'!$B$8*(('Business Case'!D11*$C620*'Business Case'!D12*$B620)-('Business Case'!C11*$C620*'Business Case'!C12*$B620))-'Business Case'!D15*$F620</f>
        <v>353124187.539614</v>
      </c>
      <c r="K620" s="39" t="n">
        <f aca="false">(('Business Case'!E11*$C620*'Business Case'!E12*$B620)-'Business Case'!E11*$C620*'Business Case'!E13*$D620-'Business Case'!E14*$E620)-MAX(0,(('Business Case'!E11*$C620*'Business Case'!E12*$B620)-'Business Case'!E11*$C620*'Business Case'!E13*$D620-'Business Case'!E14*$E620))*'Business Case'!$B$7-'Business Case'!$B$8*(('Business Case'!E11*$C620*'Business Case'!E12*$B620)-('Business Case'!D11*$C620*'Business Case'!D12*$B620))-'Business Case'!E15*$F620</f>
        <v>734239020.106305</v>
      </c>
      <c r="L620" s="39" t="n">
        <f aca="false">(('Business Case'!F11*$C620*'Business Case'!F12*$B620)-'Business Case'!F11*$C620*'Business Case'!F13*$D620-'Business Case'!F14*$E620)-MAX(0,(('Business Case'!F11*$C620*'Business Case'!F12*$B620)-'Business Case'!F11*$C620*'Business Case'!F13*$D620-'Business Case'!F14*$E620))*'Business Case'!$B$7-'Business Case'!$B$8*(('Business Case'!F11*$C620*'Business Case'!F12*$B620)-('Business Case'!E11*$C620*'Business Case'!E12*$B620))-'Business Case'!F15*$F620</f>
        <v>881100133.558727</v>
      </c>
      <c r="M620" s="39" t="n">
        <f aca="false">(('Business Case'!G11*$C620*'Business Case'!G12*$B620)-'Business Case'!G11*$C620*'Business Case'!G13*$D620-'Business Case'!G14*$E620)-MAX(0,(('Business Case'!G11*$C620*'Business Case'!G12*$B620)-'Business Case'!G11*$C620*'Business Case'!G13*$D620-'Business Case'!G14*$E620))*'Business Case'!$B$7-'Business Case'!$B$8*(('Business Case'!G11*$C620*'Business Case'!G12*$B620)-('Business Case'!F11*$C620*'Business Case'!F12*$B620))-'Business Case'!G15*$F620+'Business Case'!$B$8*('Business Case'!G11*$C620*'Business Case'!G12*$B620)</f>
        <v>1084109958.59153</v>
      </c>
      <c r="N620" s="39" t="n">
        <f aca="false">IF(COUNT('Business Case'!B11:G11)=0,"",H620+NPV(G620,I620:M620))</f>
        <v>103373315.1202</v>
      </c>
      <c r="P620" s="40" t="n">
        <f aca="true">RAND()</f>
        <v>0.692529313316891</v>
      </c>
      <c r="Q620" s="40" t="n">
        <f aca="true">RAND()</f>
        <v>0.866669765648683</v>
      </c>
      <c r="R620" s="40" t="n">
        <f aca="true">RAND()</f>
        <v>0.358549003165842</v>
      </c>
      <c r="S620" s="40" t="n">
        <f aca="true">RAND()</f>
        <v>0.802624931302519</v>
      </c>
      <c r="T620" s="40" t="n">
        <f aca="true">RAND()</f>
        <v>0.389475770460568</v>
      </c>
      <c r="U620" s="40" t="n">
        <f aca="true">RAND()</f>
        <v>0.215690868223183</v>
      </c>
    </row>
    <row r="621" customFormat="false" ht="15" hidden="false" customHeight="false" outlineLevel="0" collapsed="false">
      <c r="A621" s="36" t="n">
        <v>541</v>
      </c>
      <c r="B621" s="37" t="n">
        <f aca="false">1+IF($G$6=$E$6,$F$6,IF(P621&lt;($F$6-$E$6)/($G$6-$E$6),$E$6+SQRT(P621*($G$6-$E$6)*($F$6-$E$6)),$G$6-SQRT((1-P621)*($G$6-$E$6)*($G$6-$F$6))))</f>
        <v>1.01852492062783</v>
      </c>
      <c r="C621" s="37" t="n">
        <f aca="false">1+IF($G$7=$E$7,$F$7,IF(Q621&lt;($F$7-$E$7)/($G$7-$E$7),$E$7+SQRT(Q621*($G$7-$E$7)*($F$7-$E$7)),$G$7-SQRT((1-Q621)*($G$7-$E$7)*($G$7-$F$7))))</f>
        <v>1.02032777798294</v>
      </c>
      <c r="D621" s="37" t="n">
        <f aca="false">1+IF($G$8=$E$8,$F$8,IF(R621&lt;($F$8-$E$8)/($G$8-$E$8),$E$8+SQRT(R621*($G$8-$E$8)*($F$8-$E$8)),$G$8-SQRT((1-R621)*($G$8-$E$8)*($G$8-$F$8))))</f>
        <v>1.04351614968115</v>
      </c>
      <c r="E621" s="37" t="n">
        <f aca="false">1+IF($G$9=$E$9,$F$9,IF(S621&lt;($F$9-$E$9)/($G$9-$E$9),$E$9+SQRT(S621*($G$9-$E$9)*($F$9-$E$9)),$G$9-SQRT((1-S621)*($G$9-$E$9)*($G$9-$F$9))))</f>
        <v>1.07005562783865</v>
      </c>
      <c r="F621" s="37" t="n">
        <f aca="false">1+IF($G$10=$E$10,$F$10,IF(T621&lt;($F$10-$E$10)/($G$10-$E$10),$E$10+SQRT(T621*($G$10-$E$10)*($F$10-$E$10)),$G$10-SQRT((1-T621)*($G$10-$E$10)*($G$10-$F$10))))</f>
        <v>1.02787161713425</v>
      </c>
      <c r="G621" s="38" t="n">
        <f aca="false">IF($G$11=$E$11,$F$11,IF(U621&lt;($F$11-$E$11)/($G$11-$E$11),$E$11+SQRT(U621*($G$11-$E$11)*($F$11-$E$11)),$G$11-SQRT((1-U621)*($G$11-$E$11)*($G$11-$F$11))))</f>
        <v>0.0953285034463071</v>
      </c>
      <c r="H621" s="39" t="n">
        <f aca="false">(('Business Case'!B11*$C621*'Business Case'!B12*$B621)-'Business Case'!B11*$C621*'Business Case'!B13*$D621-'Business Case'!B14*$E621)-MAX(0,(('Business Case'!B11*$C621*'Business Case'!B12*$B621)-'Business Case'!B11*$C621*'Business Case'!B13*$D621-'Business Case'!B14*$E621))*'Business Case'!$B$7-'Business Case'!$B$8*('Business Case'!B11*$C621*'Business Case'!B12*$B621)-'Business Case'!B15*$F621</f>
        <v>-2055743234.26849</v>
      </c>
      <c r="I621" s="39" t="n">
        <f aca="false">(('Business Case'!C11*$C621*'Business Case'!C12*$B621)-'Business Case'!C11*$C621*'Business Case'!C13*$D621-'Business Case'!C14*$E621)-MAX(0,(('Business Case'!C11*$C621*'Business Case'!C12*$B621)-'Business Case'!C11*$C621*'Business Case'!C13*$D621-'Business Case'!C14*$E621))*'Business Case'!$B$7-'Business Case'!$B$8*(('Business Case'!C11*$C621*'Business Case'!C12*$B621)-('Business Case'!B11*$C621*'Business Case'!B12*$B621))-'Business Case'!C15*$F621</f>
        <v>-2674942.45100158</v>
      </c>
      <c r="J621" s="39" t="n">
        <f aca="false">(('Business Case'!D11*$C621*'Business Case'!D12*$B621)-'Business Case'!D11*$C621*'Business Case'!D13*$D621-'Business Case'!D14*$E621)-MAX(0,(('Business Case'!D11*$C621*'Business Case'!D12*$B621)-'Business Case'!D11*$C621*'Business Case'!D13*$D621-'Business Case'!D14*$E621))*'Business Case'!$B$7-'Business Case'!$B$8*(('Business Case'!D11*$C621*'Business Case'!D12*$B621)-('Business Case'!C11*$C621*'Business Case'!C12*$B621))-'Business Case'!D15*$F621</f>
        <v>303472832.399416</v>
      </c>
      <c r="K621" s="39" t="n">
        <f aca="false">(('Business Case'!E11*$C621*'Business Case'!E12*$B621)-'Business Case'!E11*$C621*'Business Case'!E13*$D621-'Business Case'!E14*$E621)-MAX(0,(('Business Case'!E11*$C621*'Business Case'!E12*$B621)-'Business Case'!E11*$C621*'Business Case'!E13*$D621-'Business Case'!E14*$E621))*'Business Case'!$B$7-'Business Case'!$B$8*(('Business Case'!E11*$C621*'Business Case'!E12*$B621)-('Business Case'!D11*$C621*'Business Case'!D12*$B621))-'Business Case'!E15*$F621</f>
        <v>661014188.106545</v>
      </c>
      <c r="L621" s="39" t="n">
        <f aca="false">(('Business Case'!F11*$C621*'Business Case'!F12*$B621)-'Business Case'!F11*$C621*'Business Case'!F13*$D621-'Business Case'!F14*$E621)-MAX(0,(('Business Case'!F11*$C621*'Business Case'!F12*$B621)-'Business Case'!F11*$C621*'Business Case'!F13*$D621-'Business Case'!F14*$E621))*'Business Case'!$B$7-'Business Case'!$B$8*(('Business Case'!F11*$C621*'Business Case'!F12*$B621)-('Business Case'!E11*$C621*'Business Case'!E12*$B621))-'Business Case'!F15*$F621</f>
        <v>798979209.929576</v>
      </c>
      <c r="M621" s="39" t="n">
        <f aca="false">(('Business Case'!G11*$C621*'Business Case'!G12*$B621)-'Business Case'!G11*$C621*'Business Case'!G13*$D621-'Business Case'!G14*$E621)-MAX(0,(('Business Case'!G11*$C621*'Business Case'!G12*$B621)-'Business Case'!G11*$C621*'Business Case'!G13*$D621-'Business Case'!G14*$E621))*'Business Case'!$B$7-'Business Case'!$B$8*(('Business Case'!G11*$C621*'Business Case'!G12*$B621)-('Business Case'!F11*$C621*'Business Case'!F12*$B621))-'Business Case'!G15*$F621+'Business Case'!$B$8*('Business Case'!G11*$C621*'Business Case'!G12*$B621)</f>
        <v>996515909.397148</v>
      </c>
      <c r="N621" s="39" t="n">
        <f aca="false">IF(COUNT('Business Case'!B11:G11)=0,"",H621+NPV(G621,I621:M621))</f>
        <v>-115077552.554874</v>
      </c>
      <c r="P621" s="40" t="n">
        <f aca="true">RAND()</f>
        <v>0.903921034574814</v>
      </c>
      <c r="Q621" s="40" t="n">
        <f aca="true">RAND()</f>
        <v>0.679716473088742</v>
      </c>
      <c r="R621" s="40" t="n">
        <f aca="true">RAND()</f>
        <v>0.872012371722295</v>
      </c>
      <c r="S621" s="40" t="n">
        <f aca="true">RAND()</f>
        <v>0.94022230505751</v>
      </c>
      <c r="T621" s="40" t="n">
        <f aca="true">RAND()</f>
        <v>0.407436396240418</v>
      </c>
      <c r="U621" s="40" t="n">
        <f aca="true">RAND()</f>
        <v>0.0946431632576883</v>
      </c>
    </row>
    <row r="622" customFormat="false" ht="15" hidden="false" customHeight="false" outlineLevel="0" collapsed="false">
      <c r="A622" s="36" t="n">
        <v>542</v>
      </c>
      <c r="B622" s="37" t="n">
        <f aca="false">1+IF($G$6=$E$6,$F$6,IF(P622&lt;($F$6-$E$6)/($G$6-$E$6),$E$6+SQRT(P622*($G$6-$E$6)*($F$6-$E$6)),$G$6-SQRT((1-P622)*($G$6-$E$6)*($G$6-$F$6))))</f>
        <v>0.992844654076702</v>
      </c>
      <c r="C622" s="37" t="n">
        <f aca="false">1+IF($G$7=$E$7,$F$7,IF(Q622&lt;($F$7-$E$7)/($G$7-$E$7),$E$7+SQRT(Q622*($G$7-$E$7)*($F$7-$E$7)),$G$7-SQRT((1-Q622)*($G$7-$E$7)*($G$7-$F$7))))</f>
        <v>1.05816818846897</v>
      </c>
      <c r="D622" s="37" t="n">
        <f aca="false">1+IF($G$8=$E$8,$F$8,IF(R622&lt;($F$8-$E$8)/($G$8-$E$8),$E$8+SQRT(R622*($G$8-$E$8)*($F$8-$E$8)),$G$8-SQRT((1-R622)*($G$8-$E$8)*($G$8-$F$8))))</f>
        <v>1.01055904531258</v>
      </c>
      <c r="E622" s="37" t="n">
        <f aca="false">1+IF($G$9=$E$9,$F$9,IF(S622&lt;($F$9-$E$9)/($G$9-$E$9),$E$9+SQRT(S622*($G$9-$E$9)*($F$9-$E$9)),$G$9-SQRT((1-S622)*($G$9-$E$9)*($G$9-$F$9))))</f>
        <v>1.07385274557106</v>
      </c>
      <c r="F622" s="37" t="n">
        <f aca="false">1+IF($G$10=$E$10,$F$10,IF(T622&lt;($F$10-$E$10)/($G$10-$E$10),$E$10+SQRT(T622*($G$10-$E$10)*($F$10-$E$10)),$G$10-SQRT((1-T622)*($G$10-$E$10)*($G$10-$F$10))))</f>
        <v>1.03754973897905</v>
      </c>
      <c r="G622" s="38" t="n">
        <f aca="false">IF($G$11=$E$11,$F$11,IF(U622&lt;($F$11-$E$11)/($G$11-$E$11),$E$11+SQRT(U622*($G$11-$E$11)*($F$11-$E$11)),$G$11-SQRT((1-U622)*($G$11-$E$11)*($G$11-$F$11))))</f>
        <v>0.0998631693145113</v>
      </c>
      <c r="H622" s="39" t="n">
        <f aca="false">(('Business Case'!B11*$C622*'Business Case'!B12*$B622)-'Business Case'!B11*$C622*'Business Case'!B13*$D622-'Business Case'!B14*$E622)-MAX(0,(('Business Case'!B11*$C622*'Business Case'!B12*$B622)-'Business Case'!B11*$C622*'Business Case'!B13*$D622-'Business Case'!B14*$E622))*'Business Case'!$B$7-'Business Case'!$B$8*('Business Case'!B11*$C622*'Business Case'!B12*$B622)-'Business Case'!B15*$F622</f>
        <v>-2075099477.9581</v>
      </c>
      <c r="I622" s="39" t="n">
        <f aca="false">(('Business Case'!C11*$C622*'Business Case'!C12*$B622)-'Business Case'!C11*$C622*'Business Case'!C13*$D622-'Business Case'!C14*$E622)-MAX(0,(('Business Case'!C11*$C622*'Business Case'!C12*$B622)-'Business Case'!C11*$C622*'Business Case'!C13*$D622-'Business Case'!C14*$E622))*'Business Case'!$B$7-'Business Case'!$B$8*(('Business Case'!C11*$C622*'Business Case'!C12*$B622)-('Business Case'!B11*$C622*'Business Case'!B12*$B622))-'Business Case'!C15*$F622</f>
        <v>2177251.51325282</v>
      </c>
      <c r="J622" s="39" t="n">
        <f aca="false">(('Business Case'!D11*$C622*'Business Case'!D12*$B622)-'Business Case'!D11*$C622*'Business Case'!D13*$D622-'Business Case'!D14*$E622)-MAX(0,(('Business Case'!D11*$C622*'Business Case'!D12*$B622)-'Business Case'!D11*$C622*'Business Case'!D13*$D622-'Business Case'!D14*$E622))*'Business Case'!$B$7-'Business Case'!$B$8*(('Business Case'!D11*$C622*'Business Case'!D12*$B622)-('Business Case'!C11*$C622*'Business Case'!C12*$B622))-'Business Case'!D15*$F622</f>
        <v>315274266.593813</v>
      </c>
      <c r="K622" s="39" t="n">
        <f aca="false">(('Business Case'!E11*$C622*'Business Case'!E12*$B622)-'Business Case'!E11*$C622*'Business Case'!E13*$D622-'Business Case'!E14*$E622)-MAX(0,(('Business Case'!E11*$C622*'Business Case'!E12*$B622)-'Business Case'!E11*$C622*'Business Case'!E13*$D622-'Business Case'!E14*$E622))*'Business Case'!$B$7-'Business Case'!$B$8*(('Business Case'!E11*$C622*'Business Case'!E12*$B622)-('Business Case'!D11*$C622*'Business Case'!D12*$B622))-'Business Case'!E15*$F622</f>
        <v>680248768.623326</v>
      </c>
      <c r="L622" s="39" t="n">
        <f aca="false">(('Business Case'!F11*$C622*'Business Case'!F12*$B622)-'Business Case'!F11*$C622*'Business Case'!F13*$D622-'Business Case'!F14*$E622)-MAX(0,(('Business Case'!F11*$C622*'Business Case'!F12*$B622)-'Business Case'!F11*$C622*'Business Case'!F13*$D622-'Business Case'!F14*$E622))*'Business Case'!$B$7-'Business Case'!$B$8*(('Business Case'!F11*$C622*'Business Case'!F12*$B622)-('Business Case'!E11*$C622*'Business Case'!E12*$B622))-'Business Case'!F15*$F622</f>
        <v>820923059.816312</v>
      </c>
      <c r="M622" s="39" t="n">
        <f aca="false">(('Business Case'!G11*$C622*'Business Case'!G12*$B622)-'Business Case'!G11*$C622*'Business Case'!G13*$D622-'Business Case'!G14*$E622)-MAX(0,(('Business Case'!G11*$C622*'Business Case'!G12*$B622)-'Business Case'!G11*$C622*'Business Case'!G13*$D622-'Business Case'!G14*$E622))*'Business Case'!$B$7-'Business Case'!$B$8*(('Business Case'!G11*$C622*'Business Case'!G12*$B622)-('Business Case'!F11*$C622*'Business Case'!F12*$B622))-'Business Case'!G15*$F622+'Business Case'!$B$8*('Business Case'!G11*$C622*'Business Case'!G12*$B622)</f>
        <v>1020620467.06337</v>
      </c>
      <c r="N622" s="39" t="n">
        <f aca="false">IF(COUNT('Business Case'!B11:G11)=0,"",H622+NPV(G622,I622:M622))</f>
        <v>-106126218.126768</v>
      </c>
      <c r="P622" s="40" t="n">
        <f aca="true">RAND()</f>
        <v>0.552744127870255</v>
      </c>
      <c r="Q622" s="40" t="n">
        <f aca="true">RAND()</f>
        <v>0.839369874112958</v>
      </c>
      <c r="R622" s="40" t="n">
        <f aca="true">RAND()</f>
        <v>0.536341712701953</v>
      </c>
      <c r="S622" s="40" t="n">
        <f aca="true">RAND()</f>
        <v>0.954421405721885</v>
      </c>
      <c r="T622" s="40" t="n">
        <f aca="true">RAND()</f>
        <v>0.472198253884508</v>
      </c>
      <c r="U622" s="40" t="n">
        <f aca="true">RAND()</f>
        <v>0.324273696422391</v>
      </c>
    </row>
    <row r="623" customFormat="false" ht="15" hidden="false" customHeight="false" outlineLevel="0" collapsed="false">
      <c r="A623" s="36" t="n">
        <v>543</v>
      </c>
      <c r="B623" s="37" t="n">
        <f aca="false">1+IF($G$6=$E$6,$F$6,IF(P623&lt;($F$6-$E$6)/($G$6-$E$6),$E$6+SQRT(P623*($G$6-$E$6)*($F$6-$E$6)),$G$6-SQRT((1-P623)*($G$6-$E$6)*($G$6-$F$6))))</f>
        <v>0.97219555563791</v>
      </c>
      <c r="C623" s="37" t="n">
        <f aca="false">1+IF($G$7=$E$7,$F$7,IF(Q623&lt;($F$7-$E$7)/($G$7-$E$7),$E$7+SQRT(Q623*($G$7-$E$7)*($F$7-$E$7)),$G$7-SQRT((1-Q623)*($G$7-$E$7)*($G$7-$F$7))))</f>
        <v>0.963254422486305</v>
      </c>
      <c r="D623" s="37" t="n">
        <f aca="false">1+IF($G$8=$E$8,$F$8,IF(R623&lt;($F$8-$E$8)/($G$8-$E$8),$E$8+SQRT(R623*($G$8-$E$8)*($F$8-$E$8)),$G$8-SQRT((1-R623)*($G$8-$E$8)*($G$8-$F$8))))</f>
        <v>1.04126247034313</v>
      </c>
      <c r="E623" s="37" t="n">
        <f aca="false">1+IF($G$9=$E$9,$F$9,IF(S623&lt;($F$9-$E$9)/($G$9-$E$9),$E$9+SQRT(S623*($G$9-$E$9)*($F$9-$E$9)),$G$9-SQRT((1-S623)*($G$9-$E$9)*($G$9-$F$9))))</f>
        <v>1.01300812611633</v>
      </c>
      <c r="F623" s="37" t="n">
        <f aca="false">1+IF($G$10=$E$10,$F$10,IF(T623&lt;($F$10-$E$10)/($G$10-$E$10),$E$10+SQRT(T623*($G$10-$E$10)*($F$10-$E$10)),$G$10-SQRT((1-T623)*($G$10-$E$10)*($G$10-$F$10))))</f>
        <v>1.10967742157634</v>
      </c>
      <c r="G623" s="38" t="n">
        <f aca="false">IF($G$11=$E$11,$F$11,IF(U623&lt;($F$11-$E$11)/($G$11-$E$11),$E$11+SQRT(U623*($G$11-$E$11)*($F$11-$E$11)),$G$11-SQRT((1-U623)*($G$11-$E$11)*($G$11-$F$11))))</f>
        <v>0.110702260764435</v>
      </c>
      <c r="H623" s="39" t="n">
        <f aca="false">(('Business Case'!B11*$C623*'Business Case'!B12*$B623)-'Business Case'!B11*$C623*'Business Case'!B13*$D623-'Business Case'!B14*$E623)-MAX(0,(('Business Case'!B11*$C623*'Business Case'!B12*$B623)-'Business Case'!B11*$C623*'Business Case'!B13*$D623-'Business Case'!B14*$E623))*'Business Case'!$B$7-'Business Case'!$B$8*('Business Case'!B11*$C623*'Business Case'!B12*$B623)-'Business Case'!B15*$F623</f>
        <v>-2219354843.15268</v>
      </c>
      <c r="I623" s="39" t="n">
        <f aca="false">(('Business Case'!C11*$C623*'Business Case'!C12*$B623)-'Business Case'!C11*$C623*'Business Case'!C13*$D623-'Business Case'!C14*$E623)-MAX(0,(('Business Case'!C11*$C623*'Business Case'!C12*$B623)-'Business Case'!C11*$C623*'Business Case'!C13*$D623-'Business Case'!C14*$E623))*'Business Case'!$B$7-'Business Case'!$B$8*(('Business Case'!C11*$C623*'Business Case'!C12*$B623)-('Business Case'!B11*$C623*'Business Case'!B12*$B623))-'Business Case'!C15*$F623</f>
        <v>-49982574.3961305</v>
      </c>
      <c r="J623" s="39" t="n">
        <f aca="false">(('Business Case'!D11*$C623*'Business Case'!D12*$B623)-'Business Case'!D11*$C623*'Business Case'!D13*$D623-'Business Case'!D14*$E623)-MAX(0,(('Business Case'!D11*$C623*'Business Case'!D12*$B623)-'Business Case'!D11*$C623*'Business Case'!D13*$D623-'Business Case'!D14*$E623))*'Business Case'!$B$7-'Business Case'!$B$8*(('Business Case'!D11*$C623*'Business Case'!D12*$B623)-('Business Case'!C11*$C623*'Business Case'!C12*$B623))-'Business Case'!D15*$F623</f>
        <v>203599040.193624</v>
      </c>
      <c r="K623" s="39" t="n">
        <f aca="false">(('Business Case'!E11*$C623*'Business Case'!E12*$B623)-'Business Case'!E11*$C623*'Business Case'!E13*$D623-'Business Case'!E14*$E623)-MAX(0,(('Business Case'!E11*$C623*'Business Case'!E12*$B623)-'Business Case'!E11*$C623*'Business Case'!E13*$D623-'Business Case'!E14*$E623))*'Business Case'!$B$7-'Business Case'!$B$8*(('Business Case'!E11*$C623*'Business Case'!E12*$B623)-('Business Case'!D11*$C623*'Business Case'!D12*$B623))-'Business Case'!E15*$F623</f>
        <v>512664525.862196</v>
      </c>
      <c r="L623" s="39" t="n">
        <f aca="false">(('Business Case'!F11*$C623*'Business Case'!F12*$B623)-'Business Case'!F11*$C623*'Business Case'!F13*$D623-'Business Case'!F14*$E623)-MAX(0,(('Business Case'!F11*$C623*'Business Case'!F12*$B623)-'Business Case'!F11*$C623*'Business Case'!F13*$D623-'Business Case'!F14*$E623))*'Business Case'!$B$7-'Business Case'!$B$8*(('Business Case'!F11*$C623*'Business Case'!F12*$B623)-('Business Case'!E11*$C623*'Business Case'!E12*$B623))-'Business Case'!F15*$F623</f>
        <v>629556191.588453</v>
      </c>
      <c r="M623" s="39" t="n">
        <f aca="false">(('Business Case'!G11*$C623*'Business Case'!G12*$B623)-'Business Case'!G11*$C623*'Business Case'!G13*$D623-'Business Case'!G14*$E623)-MAX(0,(('Business Case'!G11*$C623*'Business Case'!G12*$B623)-'Business Case'!G11*$C623*'Business Case'!G13*$D623-'Business Case'!G14*$E623))*'Business Case'!$B$7-'Business Case'!$B$8*(('Business Case'!G11*$C623*'Business Case'!G12*$B623)-('Business Case'!F11*$C623*'Business Case'!F12*$B623))-'Business Case'!G15*$F623+'Business Case'!$B$8*('Business Case'!G11*$C623*'Business Case'!G12*$B623)</f>
        <v>807560726.334984</v>
      </c>
      <c r="N623" s="39" t="n">
        <f aca="false">IF(COUNT('Business Case'!B11:G11)=0,"",H623+NPV(G623,I623:M623))</f>
        <v>-833778590.384847</v>
      </c>
      <c r="P623" s="40" t="n">
        <f aca="true">RAND()</f>
        <v>0.283789169619805</v>
      </c>
      <c r="Q623" s="40" t="n">
        <f aca="true">RAND()</f>
        <v>0.380742949447672</v>
      </c>
      <c r="R623" s="40" t="n">
        <f aca="true">RAND()</f>
        <v>0.855711903469528</v>
      </c>
      <c r="S623" s="40" t="n">
        <f aca="true">RAND()</f>
        <v>0.495494258547221</v>
      </c>
      <c r="T623" s="40" t="n">
        <f aca="true">RAND()</f>
        <v>0.836836636538032</v>
      </c>
      <c r="U623" s="40" t="n">
        <f aca="true">RAND()</f>
        <v>0.855920075179048</v>
      </c>
    </row>
    <row r="624" customFormat="false" ht="15" hidden="false" customHeight="false" outlineLevel="0" collapsed="false">
      <c r="A624" s="36" t="n">
        <v>544</v>
      </c>
      <c r="B624" s="37" t="n">
        <f aca="false">1+IF($G$6=$E$6,$F$6,IF(P624&lt;($F$6-$E$6)/($G$6-$E$6),$E$6+SQRT(P624*($G$6-$E$6)*($F$6-$E$6)),$G$6-SQRT((1-P624)*($G$6-$E$6)*($G$6-$F$6))))</f>
        <v>0.974922753839035</v>
      </c>
      <c r="C624" s="37" t="n">
        <f aca="false">1+IF($G$7=$E$7,$F$7,IF(Q624&lt;($F$7-$E$7)/($G$7-$E$7),$E$7+SQRT(Q624*($G$7-$E$7)*($F$7-$E$7)),$G$7-SQRT((1-Q624)*($G$7-$E$7)*($G$7-$F$7))))</f>
        <v>0.952761927929833</v>
      </c>
      <c r="D624" s="37" t="n">
        <f aca="false">1+IF($G$8=$E$8,$F$8,IF(R624&lt;($F$8-$E$8)/($G$8-$E$8),$E$8+SQRT(R624*($G$8-$E$8)*($F$8-$E$8)),$G$8-SQRT((1-R624)*($G$8-$E$8)*($G$8-$F$8))))</f>
        <v>1.05171086931147</v>
      </c>
      <c r="E624" s="37" t="n">
        <f aca="false">1+IF($G$9=$E$9,$F$9,IF(S624&lt;($F$9-$E$9)/($G$9-$E$9),$E$9+SQRT(S624*($G$9-$E$9)*($F$9-$E$9)),$G$9-SQRT((1-S624)*($G$9-$E$9)*($G$9-$F$9))))</f>
        <v>1.0236283623002</v>
      </c>
      <c r="F624" s="37" t="n">
        <f aca="false">1+IF($G$10=$E$10,$F$10,IF(T624&lt;($F$10-$E$10)/($G$10-$E$10),$E$10+SQRT(T624*($G$10-$E$10)*($F$10-$E$10)),$G$10-SQRT((1-T624)*($G$10-$E$10)*($G$10-$F$10))))</f>
        <v>1.04613286091515</v>
      </c>
      <c r="G624" s="38" t="n">
        <f aca="false">IF($G$11=$E$11,$F$11,IF(U624&lt;($F$11-$E$11)/($G$11-$E$11),$E$11+SQRT(U624*($G$11-$E$11)*($F$11-$E$11)),$G$11-SQRT((1-U624)*($G$11-$E$11)*($G$11-$F$11))))</f>
        <v>0.104732953142589</v>
      </c>
      <c r="H624" s="39" t="n">
        <f aca="false">(('Business Case'!B11*$C624*'Business Case'!B12*$B624)-'Business Case'!B11*$C624*'Business Case'!B13*$D624-'Business Case'!B14*$E624)-MAX(0,(('Business Case'!B11*$C624*'Business Case'!B12*$B624)-'Business Case'!B11*$C624*'Business Case'!B13*$D624-'Business Case'!B14*$E624))*'Business Case'!$B$7-'Business Case'!$B$8*('Business Case'!B11*$C624*'Business Case'!B12*$B624)-'Business Case'!B15*$F624</f>
        <v>-2092265721.83029</v>
      </c>
      <c r="I624" s="39" t="n">
        <f aca="false">(('Business Case'!C11*$C624*'Business Case'!C12*$B624)-'Business Case'!C11*$C624*'Business Case'!C13*$D624-'Business Case'!C14*$E624)-MAX(0,(('Business Case'!C11*$C624*'Business Case'!C12*$B624)-'Business Case'!C11*$C624*'Business Case'!C13*$D624-'Business Case'!C14*$E624))*'Business Case'!$B$7-'Business Case'!$B$8*(('Business Case'!C11*$C624*'Business Case'!C12*$B624)-('Business Case'!B11*$C624*'Business Case'!B12*$B624))-'Business Case'!C15*$F624</f>
        <v>-50474238.0708672</v>
      </c>
      <c r="J624" s="39" t="n">
        <f aca="false">(('Business Case'!D11*$C624*'Business Case'!D12*$B624)-'Business Case'!D11*$C624*'Business Case'!D13*$D624-'Business Case'!D14*$E624)-MAX(0,(('Business Case'!D11*$C624*'Business Case'!D12*$B624)-'Business Case'!D11*$C624*'Business Case'!D13*$D624-'Business Case'!D14*$E624))*'Business Case'!$B$7-'Business Case'!$B$8*(('Business Case'!D11*$C624*'Business Case'!D12*$B624)-('Business Case'!C11*$C624*'Business Case'!C12*$B624))-'Business Case'!D15*$F624</f>
        <v>197377346.675242</v>
      </c>
      <c r="K624" s="39" t="n">
        <f aca="false">(('Business Case'!E11*$C624*'Business Case'!E12*$B624)-'Business Case'!E11*$C624*'Business Case'!E13*$D624-'Business Case'!E14*$E624)-MAX(0,(('Business Case'!E11*$C624*'Business Case'!E12*$B624)-'Business Case'!E11*$C624*'Business Case'!E13*$D624-'Business Case'!E14*$E624))*'Business Case'!$B$7-'Business Case'!$B$8*(('Business Case'!E11*$C624*'Business Case'!E12*$B624)-('Business Case'!D11*$C624*'Business Case'!D12*$B624))-'Business Case'!E15*$F624</f>
        <v>497535574.467109</v>
      </c>
      <c r="L624" s="39" t="n">
        <f aca="false">(('Business Case'!F11*$C624*'Business Case'!F12*$B624)-'Business Case'!F11*$C624*'Business Case'!F13*$D624-'Business Case'!F14*$E624)-MAX(0,(('Business Case'!F11*$C624*'Business Case'!F12*$B624)-'Business Case'!F11*$C624*'Business Case'!F13*$D624-'Business Case'!F14*$E624))*'Business Case'!$B$7-'Business Case'!$B$8*(('Business Case'!F11*$C624*'Business Case'!F12*$B624)-('Business Case'!E11*$C624*'Business Case'!E12*$B624))-'Business Case'!F15*$F624</f>
        <v>612254491.786727</v>
      </c>
      <c r="M624" s="39" t="n">
        <f aca="false">(('Business Case'!G11*$C624*'Business Case'!G12*$B624)-'Business Case'!G11*$C624*'Business Case'!G13*$D624-'Business Case'!G14*$E624)-MAX(0,(('Business Case'!G11*$C624*'Business Case'!G12*$B624)-'Business Case'!G11*$C624*'Business Case'!G13*$D624-'Business Case'!G14*$E624))*'Business Case'!$B$7-'Business Case'!$B$8*(('Business Case'!G11*$C624*'Business Case'!G12*$B624)-('Business Case'!F11*$C624*'Business Case'!F12*$B624))-'Business Case'!G15*$F624+'Business Case'!$B$8*('Business Case'!G11*$C624*'Business Case'!G12*$B624)</f>
        <v>788813965.010094</v>
      </c>
      <c r="N624" s="39" t="n">
        <f aca="false">IF(COUNT('Business Case'!B11:G11)=0,"",H624+NPV(G624,I624:M624))</f>
        <v>-716759147.55238</v>
      </c>
      <c r="P624" s="40" t="n">
        <f aca="true">RAND()</f>
        <v>0.314219675964922</v>
      </c>
      <c r="Q624" s="40" t="n">
        <f aca="true">RAND()</f>
        <v>0.333374380354851</v>
      </c>
      <c r="R624" s="40" t="n">
        <f aca="true">RAND()</f>
        <v>0.923050488931493</v>
      </c>
      <c r="S624" s="40" t="n">
        <f aca="true">RAND()</f>
        <v>0.611158197003376</v>
      </c>
      <c r="T624" s="40" t="n">
        <f aca="true">RAND()</f>
        <v>0.52649807019685</v>
      </c>
      <c r="U624" s="40" t="n">
        <f aca="true">RAND()</f>
        <v>0.611528800422679</v>
      </c>
    </row>
    <row r="625" customFormat="false" ht="15" hidden="false" customHeight="false" outlineLevel="0" collapsed="false">
      <c r="A625" s="36" t="n">
        <v>545</v>
      </c>
      <c r="B625" s="37" t="n">
        <f aca="false">1+IF($G$6=$E$6,$F$6,IF(P625&lt;($F$6-$E$6)/($G$6-$E$6),$E$6+SQRT(P625*($G$6-$E$6)*($F$6-$E$6)),$G$6-SQRT((1-P625)*($G$6-$E$6)*($G$6-$F$6))))</f>
        <v>1.0091213003306</v>
      </c>
      <c r="C625" s="37" t="n">
        <f aca="false">1+IF($G$7=$E$7,$F$7,IF(Q625&lt;($F$7-$E$7)/($G$7-$E$7),$E$7+SQRT(Q625*($G$7-$E$7)*($F$7-$E$7)),$G$7-SQRT((1-Q625)*($G$7-$E$7)*($G$7-$F$7))))</f>
        <v>0.886191882536649</v>
      </c>
      <c r="D625" s="37" t="n">
        <f aca="false">1+IF($G$8=$E$8,$F$8,IF(R625&lt;($F$8-$E$8)/($G$8-$E$8),$E$8+SQRT(R625*($G$8-$E$8)*($F$8-$E$8)),$G$8-SQRT((1-R625)*($G$8-$E$8)*($G$8-$F$8))))</f>
        <v>1.0508123303298</v>
      </c>
      <c r="E625" s="37" t="n">
        <f aca="false">1+IF($G$9=$E$9,$F$9,IF(S625&lt;($F$9-$E$9)/($G$9-$E$9),$E$9+SQRT(S625*($G$9-$E$9)*($F$9-$E$9)),$G$9-SQRT((1-S625)*($G$9-$E$9)*($G$9-$F$9))))</f>
        <v>1.00424077526116</v>
      </c>
      <c r="F625" s="37" t="n">
        <f aca="false">1+IF($G$10=$E$10,$F$10,IF(T625&lt;($F$10-$E$10)/($G$10-$E$10),$E$10+SQRT(T625*($G$10-$E$10)*($F$10-$E$10)),$G$10-SQRT((1-T625)*($G$10-$E$10)*($G$10-$F$10))))</f>
        <v>0.998600672163411</v>
      </c>
      <c r="G625" s="38" t="n">
        <f aca="false">IF($G$11=$E$11,$F$11,IF(U625&lt;($F$11-$E$11)/($G$11-$E$11),$E$11+SQRT(U625*($G$11-$E$11)*($F$11-$E$11)),$G$11-SQRT((1-U625)*($G$11-$E$11)*($G$11-$F$11))))</f>
        <v>0.0947426530783443</v>
      </c>
      <c r="H625" s="39" t="n">
        <f aca="false">(('Business Case'!B11*$C625*'Business Case'!B12*$B625)-'Business Case'!B11*$C625*'Business Case'!B13*$D625-'Business Case'!B14*$E625)-MAX(0,(('Business Case'!B11*$C625*'Business Case'!B12*$B625)-'Business Case'!B11*$C625*'Business Case'!B13*$D625-'Business Case'!B14*$E625))*'Business Case'!$B$7-'Business Case'!$B$8*('Business Case'!B11*$C625*'Business Case'!B12*$B625)-'Business Case'!B15*$F625</f>
        <v>-1997201344.32682</v>
      </c>
      <c r="I625" s="39" t="n">
        <f aca="false">(('Business Case'!C11*$C625*'Business Case'!C12*$B625)-'Business Case'!C11*$C625*'Business Case'!C13*$D625-'Business Case'!C14*$E625)-MAX(0,(('Business Case'!C11*$C625*'Business Case'!C12*$B625)-'Business Case'!C11*$C625*'Business Case'!C13*$D625-'Business Case'!C14*$E625))*'Business Case'!$B$7-'Business Case'!$B$8*(('Business Case'!C11*$C625*'Business Case'!C12*$B625)-('Business Case'!B11*$C625*'Business Case'!B12*$B625))-'Business Case'!C15*$F625</f>
        <v>-33257465.3976483</v>
      </c>
      <c r="J625" s="39" t="n">
        <f aca="false">(('Business Case'!D11*$C625*'Business Case'!D12*$B625)-'Business Case'!D11*$C625*'Business Case'!D13*$D625-'Business Case'!D14*$E625)-MAX(0,(('Business Case'!D11*$C625*'Business Case'!D12*$B625)-'Business Case'!D11*$C625*'Business Case'!D13*$D625-'Business Case'!D14*$E625))*'Business Case'!$B$7-'Business Case'!$B$8*(('Business Case'!D11*$C625*'Business Case'!D12*$B625)-('Business Case'!C11*$C625*'Business Case'!C12*$B625))-'Business Case'!D15*$F625</f>
        <v>222507396.098491</v>
      </c>
      <c r="K625" s="39" t="n">
        <f aca="false">(('Business Case'!E11*$C625*'Business Case'!E12*$B625)-'Business Case'!E11*$C625*'Business Case'!E13*$D625-'Business Case'!E14*$E625)-MAX(0,(('Business Case'!E11*$C625*'Business Case'!E12*$B625)-'Business Case'!E11*$C625*'Business Case'!E13*$D625-'Business Case'!E14*$E625))*'Business Case'!$B$7-'Business Case'!$B$8*(('Business Case'!E11*$C625*'Business Case'!E12*$B625)-('Business Case'!D11*$C625*'Business Case'!D12*$B625))-'Business Case'!E15*$F625</f>
        <v>528202291.202801</v>
      </c>
      <c r="L625" s="39" t="n">
        <f aca="false">(('Business Case'!F11*$C625*'Business Case'!F12*$B625)-'Business Case'!F11*$C625*'Business Case'!F13*$D625-'Business Case'!F14*$E625)-MAX(0,(('Business Case'!F11*$C625*'Business Case'!F12*$B625)-'Business Case'!F11*$C625*'Business Case'!F13*$D625-'Business Case'!F14*$E625))*'Business Case'!$B$7-'Business Case'!$B$8*(('Business Case'!F11*$C625*'Business Case'!F12*$B625)-('Business Case'!E11*$C625*'Business Case'!E12*$B625))-'Business Case'!F15*$F625</f>
        <v>644363392.658388</v>
      </c>
      <c r="M625" s="39" t="n">
        <f aca="false">(('Business Case'!G11*$C625*'Business Case'!G12*$B625)-'Business Case'!G11*$C625*'Business Case'!G13*$D625-'Business Case'!G14*$E625)-MAX(0,(('Business Case'!G11*$C625*'Business Case'!G12*$B625)-'Business Case'!G11*$C625*'Business Case'!G13*$D625-'Business Case'!G14*$E625))*'Business Case'!$B$7-'Business Case'!$B$8*(('Business Case'!G11*$C625*'Business Case'!G12*$B625)-('Business Case'!F11*$C625*'Business Case'!F12*$B625))-'Business Case'!G15*$F625+'Business Case'!$B$8*('Business Case'!G11*$C625*'Business Case'!G12*$B625)</f>
        <v>814347204.587858</v>
      </c>
      <c r="N625" s="39" t="n">
        <f aca="false">IF(COUNT('Business Case'!B11:G11)=0,"",H625+NPV(G625,I625:M625))</f>
        <v>-472800256.189306</v>
      </c>
      <c r="P625" s="40" t="n">
        <f aca="true">RAND()</f>
        <v>0.801355397234749</v>
      </c>
      <c r="Q625" s="40" t="n">
        <f aca="true">RAND()</f>
        <v>0.106129151645879</v>
      </c>
      <c r="R625" s="40" t="n">
        <f aca="true">RAND()</f>
        <v>0.918084609540702</v>
      </c>
      <c r="S625" s="40" t="n">
        <f aca="true">RAND()</f>
        <v>0.38867805849439</v>
      </c>
      <c r="T625" s="40" t="n">
        <f aca="true">RAND()</f>
        <v>0.18896202677883</v>
      </c>
      <c r="U625" s="40" t="n">
        <f aca="true">RAND()</f>
        <v>0.0749758607384276</v>
      </c>
    </row>
    <row r="626" customFormat="false" ht="15" hidden="false" customHeight="false" outlineLevel="0" collapsed="false">
      <c r="A626" s="36" t="n">
        <v>546</v>
      </c>
      <c r="B626" s="37" t="n">
        <f aca="false">1+IF($G$6=$E$6,$F$6,IF(P626&lt;($F$6-$E$6)/($G$6-$E$6),$E$6+SQRT(P626*($G$6-$E$6)*($F$6-$E$6)),$G$6-SQRT((1-P626)*($G$6-$E$6)*($G$6-$F$6))))</f>
        <v>0.995926908548392</v>
      </c>
      <c r="C626" s="37" t="n">
        <f aca="false">1+IF($G$7=$E$7,$F$7,IF(Q626&lt;($F$7-$E$7)/($G$7-$E$7),$E$7+SQRT(Q626*($G$7-$E$7)*($F$7-$E$7)),$G$7-SQRT((1-Q626)*($G$7-$E$7)*($G$7-$F$7))))</f>
        <v>0.985328568432931</v>
      </c>
      <c r="D626" s="37" t="n">
        <f aca="false">1+IF($G$8=$E$8,$F$8,IF(R626&lt;($F$8-$E$8)/($G$8-$E$8),$E$8+SQRT(R626*($G$8-$E$8)*($F$8-$E$8)),$G$8-SQRT((1-R626)*($G$8-$E$8)*($G$8-$F$8))))</f>
        <v>1.02351346403327</v>
      </c>
      <c r="E626" s="37" t="n">
        <f aca="false">1+IF($G$9=$E$9,$F$9,IF(S626&lt;($F$9-$E$9)/($G$9-$E$9),$E$9+SQRT(S626*($G$9-$E$9)*($F$9-$E$9)),$G$9-SQRT((1-S626)*($G$9-$E$9)*($G$9-$F$9))))</f>
        <v>1.00189513439061</v>
      </c>
      <c r="F626" s="37" t="n">
        <f aca="false">1+IF($G$10=$E$10,$F$10,IF(T626&lt;($F$10-$E$10)/($G$10-$E$10),$E$10+SQRT(T626*($G$10-$E$10)*($F$10-$E$10)),$G$10-SQRT((1-T626)*($G$10-$E$10)*($G$10-$F$10))))</f>
        <v>1.05984977333081</v>
      </c>
      <c r="G626" s="38" t="n">
        <f aca="false">IF($G$11=$E$11,$F$11,IF(U626&lt;($F$11-$E$11)/($G$11-$E$11),$E$11+SQRT(U626*($G$11-$E$11)*($F$11-$E$11)),$G$11-SQRT((1-U626)*($G$11-$E$11)*($G$11-$F$11))))</f>
        <v>0.0933059966724102</v>
      </c>
      <c r="H626" s="39" t="n">
        <f aca="false">(('Business Case'!B11*$C626*'Business Case'!B12*$B626)-'Business Case'!B11*$C626*'Business Case'!B13*$D626-'Business Case'!B14*$E626)-MAX(0,(('Business Case'!B11*$C626*'Business Case'!B12*$B626)-'Business Case'!B11*$C626*'Business Case'!B13*$D626-'Business Case'!B14*$E626))*'Business Case'!$B$7-'Business Case'!$B$8*('Business Case'!B11*$C626*'Business Case'!B12*$B626)-'Business Case'!B15*$F626</f>
        <v>-2119699546.66162</v>
      </c>
      <c r="I626" s="39" t="n">
        <f aca="false">(('Business Case'!C11*$C626*'Business Case'!C12*$B626)-'Business Case'!C11*$C626*'Business Case'!C13*$D626-'Business Case'!C14*$E626)-MAX(0,(('Business Case'!C11*$C626*'Business Case'!C12*$B626)-'Business Case'!C11*$C626*'Business Case'!C13*$D626-'Business Case'!C14*$E626))*'Business Case'!$B$7-'Business Case'!$B$8*(('Business Case'!C11*$C626*'Business Case'!C12*$B626)-('Business Case'!B11*$C626*'Business Case'!B12*$B626))-'Business Case'!C15*$F626</f>
        <v>-11827828.069756</v>
      </c>
      <c r="J626" s="39" t="n">
        <f aca="false">(('Business Case'!D11*$C626*'Business Case'!D12*$B626)-'Business Case'!D11*$C626*'Business Case'!D13*$D626-'Business Case'!D14*$E626)-MAX(0,(('Business Case'!D11*$C626*'Business Case'!D12*$B626)-'Business Case'!D11*$C626*'Business Case'!D13*$D626-'Business Case'!D14*$E626))*'Business Case'!$B$7-'Business Case'!$B$8*(('Business Case'!D11*$C626*'Business Case'!D12*$B626)-('Business Case'!C11*$C626*'Business Case'!C12*$B626))-'Business Case'!D15*$F626</f>
        <v>275670191.089622</v>
      </c>
      <c r="K626" s="39" t="n">
        <f aca="false">(('Business Case'!E11*$C626*'Business Case'!E12*$B626)-'Business Case'!E11*$C626*'Business Case'!E13*$D626-'Business Case'!E14*$E626)-MAX(0,(('Business Case'!E11*$C626*'Business Case'!E12*$B626)-'Business Case'!E11*$C626*'Business Case'!E13*$D626-'Business Case'!E14*$E626))*'Business Case'!$B$7-'Business Case'!$B$8*(('Business Case'!E11*$C626*'Business Case'!E12*$B626)-('Business Case'!D11*$C626*'Business Case'!D12*$B626))-'Business Case'!E15*$F626</f>
        <v>616160698.915541</v>
      </c>
      <c r="L626" s="39" t="n">
        <f aca="false">(('Business Case'!F11*$C626*'Business Case'!F12*$B626)-'Business Case'!F11*$C626*'Business Case'!F13*$D626-'Business Case'!F14*$E626)-MAX(0,(('Business Case'!F11*$C626*'Business Case'!F12*$B626)-'Business Case'!F11*$C626*'Business Case'!F13*$D626-'Business Case'!F14*$E626))*'Business Case'!$B$7-'Business Case'!$B$8*(('Business Case'!F11*$C626*'Business Case'!F12*$B626)-('Business Case'!E11*$C626*'Business Case'!E12*$B626))-'Business Case'!F15*$F626</f>
        <v>745907626.492472</v>
      </c>
      <c r="M626" s="39" t="n">
        <f aca="false">(('Business Case'!G11*$C626*'Business Case'!G12*$B626)-'Business Case'!G11*$C626*'Business Case'!G13*$D626-'Business Case'!G14*$E626)-MAX(0,(('Business Case'!G11*$C626*'Business Case'!G12*$B626)-'Business Case'!G11*$C626*'Business Case'!G13*$D626-'Business Case'!G14*$E626))*'Business Case'!$B$7-'Business Case'!$B$8*(('Business Case'!G11*$C626*'Business Case'!G12*$B626)-('Business Case'!F11*$C626*'Business Case'!F12*$B626))-'Business Case'!G15*$F626+'Business Case'!$B$8*('Business Case'!G11*$C626*'Business Case'!G12*$B626)</f>
        <v>932436026.373404</v>
      </c>
      <c r="N626" s="39" t="n">
        <f aca="false">IF(COUNT('Business Case'!B11:G11)=0,"",H626+NPV(G626,I626:M626))</f>
        <v>-309437609.580714</v>
      </c>
      <c r="P626" s="40" t="n">
        <f aca="true">RAND()</f>
        <v>0.600509941845404</v>
      </c>
      <c r="Q626" s="40" t="n">
        <f aca="true">RAND()</f>
        <v>0.49066683253428</v>
      </c>
      <c r="R626" s="40" t="n">
        <f aca="true">RAND()</f>
        <v>0.693199159084564</v>
      </c>
      <c r="S626" s="40" t="n">
        <f aca="true">RAND()</f>
        <v>0.358362356250897</v>
      </c>
      <c r="T626" s="40" t="n">
        <f aca="true">RAND()</f>
        <v>0.607158279291488</v>
      </c>
      <c r="U626" s="40" t="n">
        <f aca="true">RAND()</f>
        <v>0.0364320466599567</v>
      </c>
    </row>
    <row r="627" customFormat="false" ht="15" hidden="false" customHeight="false" outlineLevel="0" collapsed="false">
      <c r="A627" s="36" t="n">
        <v>547</v>
      </c>
      <c r="B627" s="37" t="n">
        <f aca="false">1+IF($G$6=$E$6,$F$6,IF(P627&lt;($F$6-$E$6)/($G$6-$E$6),$E$6+SQRT(P627*($G$6-$E$6)*($F$6-$E$6)),$G$6-SQRT((1-P627)*($G$6-$E$6)*($G$6-$F$6))))</f>
        <v>1.01311961683637</v>
      </c>
      <c r="C627" s="37" t="n">
        <f aca="false">1+IF($G$7=$E$7,$F$7,IF(Q627&lt;($F$7-$E$7)/($G$7-$E$7),$E$7+SQRT(Q627*($G$7-$E$7)*($F$7-$E$7)),$G$7-SQRT((1-Q627)*($G$7-$E$7)*($G$7-$F$7))))</f>
        <v>1.04634537937874</v>
      </c>
      <c r="D627" s="37" t="n">
        <f aca="false">1+IF($G$8=$E$8,$F$8,IF(R627&lt;($F$8-$E$8)/($G$8-$E$8),$E$8+SQRT(R627*($G$8-$E$8)*($F$8-$E$8)),$G$8-SQRT((1-R627)*($G$8-$E$8)*($G$8-$F$8))))</f>
        <v>0.987430849721029</v>
      </c>
      <c r="E627" s="37" t="n">
        <f aca="false">1+IF($G$9=$E$9,$F$9,IF(S627&lt;($F$9-$E$9)/($G$9-$E$9),$E$9+SQRT(S627*($G$9-$E$9)*($F$9-$E$9)),$G$9-SQRT((1-S627)*($G$9-$E$9)*($G$9-$F$9))))</f>
        <v>1.09062973163478</v>
      </c>
      <c r="F627" s="37" t="n">
        <f aca="false">1+IF($G$10=$E$10,$F$10,IF(T627&lt;($F$10-$E$10)/($G$10-$E$10),$E$10+SQRT(T627*($G$10-$E$10)*($F$10-$E$10)),$G$10-SQRT((1-T627)*($G$10-$E$10)*($G$10-$F$10))))</f>
        <v>1.12896605814611</v>
      </c>
      <c r="G627" s="38" t="n">
        <f aca="false">IF($G$11=$E$11,$F$11,IF(U627&lt;($F$11-$E$11)/($G$11-$E$11),$E$11+SQRT(U627*($G$11-$E$11)*($F$11-$E$11)),$G$11-SQRT((1-U627)*($G$11-$E$11)*($G$11-$F$11))))</f>
        <v>0.100470480509405</v>
      </c>
      <c r="H627" s="39" t="n">
        <f aca="false">(('Business Case'!B11*$C627*'Business Case'!B12*$B627)-'Business Case'!B11*$C627*'Business Case'!B13*$D627-'Business Case'!B14*$E627)-MAX(0,(('Business Case'!B11*$C627*'Business Case'!B12*$B627)-'Business Case'!B11*$C627*'Business Case'!B13*$D627-'Business Case'!B14*$E627))*'Business Case'!$B$7-'Business Case'!$B$8*('Business Case'!B11*$C627*'Business Case'!B12*$B627)-'Business Case'!B15*$F627</f>
        <v>-2257932116.29221</v>
      </c>
      <c r="I627" s="39" t="n">
        <f aca="false">(('Business Case'!C11*$C627*'Business Case'!C12*$B627)-'Business Case'!C11*$C627*'Business Case'!C13*$D627-'Business Case'!C14*$E627)-MAX(0,(('Business Case'!C11*$C627*'Business Case'!C12*$B627)-'Business Case'!C11*$C627*'Business Case'!C13*$D627-'Business Case'!C14*$E627))*'Business Case'!$B$7-'Business Case'!$B$8*(('Business Case'!C11*$C627*'Business Case'!C12*$B627)-('Business Case'!B11*$C627*'Business Case'!B12*$B627))-'Business Case'!C15*$F627</f>
        <v>16425274.6540748</v>
      </c>
      <c r="J627" s="39" t="n">
        <f aca="false">(('Business Case'!D11*$C627*'Business Case'!D12*$B627)-'Business Case'!D11*$C627*'Business Case'!D13*$D627-'Business Case'!D14*$E627)-MAX(0,(('Business Case'!D11*$C627*'Business Case'!D12*$B627)-'Business Case'!D11*$C627*'Business Case'!D13*$D627-'Business Case'!D14*$E627))*'Business Case'!$B$7-'Business Case'!$B$8*(('Business Case'!D11*$C627*'Business Case'!D12*$B627)-('Business Case'!C11*$C627*'Business Case'!C12*$B627))-'Business Case'!D15*$F627</f>
        <v>355788888.827856</v>
      </c>
      <c r="K627" s="39" t="n">
        <f aca="false">(('Business Case'!E11*$C627*'Business Case'!E12*$B627)-'Business Case'!E11*$C627*'Business Case'!E13*$D627-'Business Case'!E14*$E627)-MAX(0,(('Business Case'!E11*$C627*'Business Case'!E12*$B627)-'Business Case'!E11*$C627*'Business Case'!E13*$D627-'Business Case'!E14*$E627))*'Business Case'!$B$7-'Business Case'!$B$8*(('Business Case'!E11*$C627*'Business Case'!E12*$B627)-('Business Case'!D11*$C627*'Business Case'!D12*$B627))-'Business Case'!E15*$F627</f>
        <v>751600805.908943</v>
      </c>
      <c r="L627" s="39" t="n">
        <f aca="false">(('Business Case'!F11*$C627*'Business Case'!F12*$B627)-'Business Case'!F11*$C627*'Business Case'!F13*$D627-'Business Case'!F14*$E627)-MAX(0,(('Business Case'!F11*$C627*'Business Case'!F12*$B627)-'Business Case'!F11*$C627*'Business Case'!F13*$D627-'Business Case'!F14*$E627))*'Business Case'!$B$7-'Business Case'!$B$8*(('Business Case'!F11*$C627*'Business Case'!F12*$B627)-('Business Case'!E11*$C627*'Business Case'!E12*$B627))-'Business Case'!F15*$F627</f>
        <v>901358134.544625</v>
      </c>
      <c r="M627" s="39" t="n">
        <f aca="false">(('Business Case'!G11*$C627*'Business Case'!G12*$B627)-'Business Case'!G11*$C627*'Business Case'!G13*$D627-'Business Case'!G14*$E627)-MAX(0,(('Business Case'!G11*$C627*'Business Case'!G12*$B627)-'Business Case'!G11*$C627*'Business Case'!G13*$D627-'Business Case'!G14*$E627))*'Business Case'!$B$7-'Business Case'!$B$8*(('Business Case'!G11*$C627*'Business Case'!G12*$B627)-('Business Case'!F11*$C627*'Business Case'!F12*$B627))-'Business Case'!G15*$F627+'Business Case'!$B$8*('Business Case'!G11*$C627*'Business Case'!G12*$B627)</f>
        <v>1102856816.0556</v>
      </c>
      <c r="N627" s="39" t="n">
        <f aca="false">IF(COUNT('Business Case'!B11:G11)=0,"",H627+NPV(G627,I627:M627))</f>
        <v>-87340194.5074611</v>
      </c>
      <c r="P627" s="40" t="n">
        <f aca="true">RAND()</f>
        <v>0.849467708536789</v>
      </c>
      <c r="Q627" s="40" t="n">
        <f aca="true">RAND()</f>
        <v>0.795347040454541</v>
      </c>
      <c r="R627" s="40" t="n">
        <f aca="true">RAND()</f>
        <v>0.215549001667424</v>
      </c>
      <c r="S627" s="40" t="n">
        <f aca="true">RAND()</f>
        <v>0.994146538050915</v>
      </c>
      <c r="T627" s="40" t="n">
        <f aca="true">RAND()</f>
        <v>0.899083582093951</v>
      </c>
      <c r="U627" s="40" t="n">
        <f aca="true">RAND()</f>
        <v>0.364329780777448</v>
      </c>
    </row>
    <row r="628" customFormat="false" ht="15" hidden="false" customHeight="false" outlineLevel="0" collapsed="false">
      <c r="A628" s="36" t="n">
        <v>548</v>
      </c>
      <c r="B628" s="37" t="n">
        <f aca="false">1+IF($G$6=$E$6,$F$6,IF(P628&lt;($F$6-$E$6)/($G$6-$E$6),$E$6+SQRT(P628*($G$6-$E$6)*($F$6-$E$6)),$G$6-SQRT((1-P628)*($G$6-$E$6)*($G$6-$F$6))))</f>
        <v>1.00265161647871</v>
      </c>
      <c r="C628" s="37" t="n">
        <f aca="false">1+IF($G$7=$E$7,$F$7,IF(Q628&lt;($F$7-$E$7)/($G$7-$E$7),$E$7+SQRT(Q628*($G$7-$E$7)*($F$7-$E$7)),$G$7-SQRT((1-Q628)*($G$7-$E$7)*($G$7-$F$7))))</f>
        <v>1.08428651511068</v>
      </c>
      <c r="D628" s="37" t="n">
        <f aca="false">1+IF($G$8=$E$8,$F$8,IF(R628&lt;($F$8-$E$8)/($G$8-$E$8),$E$8+SQRT(R628*($G$8-$E$8)*($F$8-$E$8)),$G$8-SQRT((1-R628)*($G$8-$E$8)*($G$8-$F$8))))</f>
        <v>1.00747208236726</v>
      </c>
      <c r="E628" s="37" t="n">
        <f aca="false">1+IF($G$9=$E$9,$F$9,IF(S628&lt;($F$9-$E$9)/($G$9-$E$9),$E$9+SQRT(S628*($G$9-$E$9)*($F$9-$E$9)),$G$9-SQRT((1-S628)*($G$9-$E$9)*($G$9-$F$9))))</f>
        <v>1.01230837037275</v>
      </c>
      <c r="F628" s="37" t="n">
        <f aca="false">1+IF($G$10=$E$10,$F$10,IF(T628&lt;($F$10-$E$10)/($G$10-$E$10),$E$10+SQRT(T628*($G$10-$E$10)*($F$10-$E$10)),$G$10-SQRT((1-T628)*($G$10-$E$10)*($G$10-$F$10))))</f>
        <v>1.1784353027432</v>
      </c>
      <c r="G628" s="38" t="n">
        <f aca="false">IF($G$11=$E$11,$F$11,IF(U628&lt;($F$11-$E$11)/($G$11-$E$11),$E$11+SQRT(U628*($G$11-$E$11)*($F$11-$E$11)),$G$11-SQRT((1-U628)*($G$11-$E$11)*($G$11-$F$11))))</f>
        <v>0.105549255212391</v>
      </c>
      <c r="H628" s="39" t="n">
        <f aca="false">(('Business Case'!B11*$C628*'Business Case'!B12*$B628)-'Business Case'!B11*$C628*'Business Case'!B13*$D628-'Business Case'!B14*$E628)-MAX(0,(('Business Case'!B11*$C628*'Business Case'!B12*$B628)-'Business Case'!B11*$C628*'Business Case'!B13*$D628-'Business Case'!B14*$E628))*'Business Case'!$B$7-'Business Case'!$B$8*('Business Case'!B11*$C628*'Business Case'!B12*$B628)-'Business Case'!B15*$F628</f>
        <v>-2356870605.48639</v>
      </c>
      <c r="I628" s="39" t="n">
        <f aca="false">(('Business Case'!C11*$C628*'Business Case'!C12*$B628)-'Business Case'!C11*$C628*'Business Case'!C13*$D628-'Business Case'!C14*$E628)-MAX(0,(('Business Case'!C11*$C628*'Business Case'!C12*$B628)-'Business Case'!C11*$C628*'Business Case'!C13*$D628-'Business Case'!C14*$E628))*'Business Case'!$B$7-'Business Case'!$B$8*(('Business Case'!C11*$C628*'Business Case'!C12*$B628)-('Business Case'!B11*$C628*'Business Case'!B12*$B628))-'Business Case'!C15*$F628</f>
        <v>13095942.6649126</v>
      </c>
      <c r="J628" s="39" t="n">
        <f aca="false">(('Business Case'!D11*$C628*'Business Case'!D12*$B628)-'Business Case'!D11*$C628*'Business Case'!D13*$D628-'Business Case'!D14*$E628)-MAX(0,(('Business Case'!D11*$C628*'Business Case'!D12*$B628)-'Business Case'!D11*$C628*'Business Case'!D13*$D628-'Business Case'!D14*$E628))*'Business Case'!$B$7-'Business Case'!$B$8*(('Business Case'!D11*$C628*'Business Case'!D12*$B628)-('Business Case'!C11*$C628*'Business Case'!C12*$B628))-'Business Case'!D15*$F628</f>
        <v>344344124.620106</v>
      </c>
      <c r="K628" s="39" t="n">
        <f aca="false">(('Business Case'!E11*$C628*'Business Case'!E12*$B628)-'Business Case'!E11*$C628*'Business Case'!E13*$D628-'Business Case'!E14*$E628)-MAX(0,(('Business Case'!E11*$C628*'Business Case'!E12*$B628)-'Business Case'!E11*$C628*'Business Case'!E13*$D628-'Business Case'!E14*$E628))*'Business Case'!$B$7-'Business Case'!$B$8*(('Business Case'!E11*$C628*'Business Case'!E12*$B628)-('Business Case'!D11*$C628*'Business Case'!D12*$B628))-'Business Case'!E15*$F628</f>
        <v>734514071.712459</v>
      </c>
      <c r="L628" s="39" t="n">
        <f aca="false">(('Business Case'!F11*$C628*'Business Case'!F12*$B628)-'Business Case'!F11*$C628*'Business Case'!F13*$D628-'Business Case'!F14*$E628)-MAX(0,(('Business Case'!F11*$C628*'Business Case'!F12*$B628)-'Business Case'!F11*$C628*'Business Case'!F13*$D628-'Business Case'!F14*$E628))*'Business Case'!$B$7-'Business Case'!$B$8*(('Business Case'!F11*$C628*'Business Case'!F12*$B628)-('Business Case'!E11*$C628*'Business Case'!E12*$B628))-'Business Case'!F15*$F628</f>
        <v>882502438.196829</v>
      </c>
      <c r="M628" s="39" t="n">
        <f aca="false">(('Business Case'!G11*$C628*'Business Case'!G12*$B628)-'Business Case'!G11*$C628*'Business Case'!G13*$D628-'Business Case'!G14*$E628)-MAX(0,(('Business Case'!G11*$C628*'Business Case'!G12*$B628)-'Business Case'!G11*$C628*'Business Case'!G13*$D628-'Business Case'!G14*$E628))*'Business Case'!$B$7-'Business Case'!$B$8*(('Business Case'!G11*$C628*'Business Case'!G12*$B628)-('Business Case'!F11*$C628*'Business Case'!F12*$B628))-'Business Case'!G15*$F628+'Business Case'!$B$8*('Business Case'!G11*$C628*'Business Case'!G12*$B628)</f>
        <v>1089150120.27634</v>
      </c>
      <c r="N628" s="39" t="n">
        <f aca="false">IF(COUNT('Business Case'!B11:G11)=0,"",H628+NPV(G628,I628:M628))</f>
        <v>-269486712.62711</v>
      </c>
      <c r="P628" s="40" t="n">
        <f aca="true">RAND()</f>
        <v>0.709395468405553</v>
      </c>
      <c r="Q628" s="40" t="n">
        <f aca="true">RAND()</f>
        <v>0.917747388641922</v>
      </c>
      <c r="R628" s="40" t="n">
        <f aca="true">RAND()</f>
        <v>0.494202034986421</v>
      </c>
      <c r="S628" s="40" t="n">
        <f aca="true">RAND()</f>
        <v>0.487345206221108</v>
      </c>
      <c r="T628" s="40" t="n">
        <f aca="true">RAND()</f>
        <v>0.990699276644449</v>
      </c>
      <c r="U628" s="40" t="n">
        <f aca="true">RAND()</f>
        <v>0.651959958472323</v>
      </c>
    </row>
    <row r="629" customFormat="false" ht="15" hidden="false" customHeight="false" outlineLevel="0" collapsed="false">
      <c r="A629" s="36" t="n">
        <v>549</v>
      </c>
      <c r="B629" s="37" t="n">
        <f aca="false">1+IF($G$6=$E$6,$F$6,IF(P629&lt;($F$6-$E$6)/($G$6-$E$6),$E$6+SQRT(P629*($G$6-$E$6)*($F$6-$E$6)),$G$6-SQRT((1-P629)*($G$6-$E$6)*($G$6-$F$6))))</f>
        <v>1.00061810288422</v>
      </c>
      <c r="C629" s="37" t="n">
        <f aca="false">1+IF($G$7=$E$7,$F$7,IF(Q629&lt;($F$7-$E$7)/($G$7-$E$7),$E$7+SQRT(Q629*($G$7-$E$7)*($F$7-$E$7)),$G$7-SQRT((1-Q629)*($G$7-$E$7)*($G$7-$F$7))))</f>
        <v>1.01079800158459</v>
      </c>
      <c r="D629" s="37" t="n">
        <f aca="false">1+IF($G$8=$E$8,$F$8,IF(R629&lt;($F$8-$E$8)/($G$8-$E$8),$E$8+SQRT(R629*($G$8-$E$8)*($F$8-$E$8)),$G$8-SQRT((1-R629)*($G$8-$E$8)*($G$8-$F$8))))</f>
        <v>1.05455065576041</v>
      </c>
      <c r="E629" s="37" t="n">
        <f aca="false">1+IF($G$9=$E$9,$F$9,IF(S629&lt;($F$9-$E$9)/($G$9-$E$9),$E$9+SQRT(S629*($G$9-$E$9)*($F$9-$E$9)),$G$9-SQRT((1-S629)*($G$9-$E$9)*($G$9-$F$9))))</f>
        <v>0.987542084822526</v>
      </c>
      <c r="F629" s="37" t="n">
        <f aca="false">1+IF($G$10=$E$10,$F$10,IF(T629&lt;($F$10-$E$10)/($G$10-$E$10),$E$10+SQRT(T629*($G$10-$E$10)*($F$10-$E$10)),$G$10-SQRT((1-T629)*($G$10-$E$10)*($G$10-$F$10))))</f>
        <v>1.13688774627104</v>
      </c>
      <c r="G629" s="38" t="n">
        <f aca="false">IF($G$11=$E$11,$F$11,IF(U629&lt;($F$11-$E$11)/($G$11-$E$11),$E$11+SQRT(U629*($G$11-$E$11)*($F$11-$E$11)),$G$11-SQRT((1-U629)*($G$11-$E$11)*($G$11-$F$11))))</f>
        <v>0.103867500673474</v>
      </c>
      <c r="H629" s="39" t="n">
        <f aca="false">(('Business Case'!B11*$C629*'Business Case'!B12*$B629)-'Business Case'!B11*$C629*'Business Case'!B13*$D629-'Business Case'!B14*$E629)-MAX(0,(('Business Case'!B11*$C629*'Business Case'!B12*$B629)-'Business Case'!B11*$C629*'Business Case'!B13*$D629-'Business Case'!B14*$E629))*'Business Case'!$B$7-'Business Case'!$B$8*('Business Case'!B11*$C629*'Business Case'!B12*$B629)-'Business Case'!B15*$F629</f>
        <v>-2273775492.54207</v>
      </c>
      <c r="I629" s="39" t="n">
        <f aca="false">(('Business Case'!C11*$C629*'Business Case'!C12*$B629)-'Business Case'!C11*$C629*'Business Case'!C13*$D629-'Business Case'!C14*$E629)-MAX(0,(('Business Case'!C11*$C629*'Business Case'!C12*$B629)-'Business Case'!C11*$C629*'Business Case'!C13*$D629-'Business Case'!C14*$E629))*'Business Case'!$B$7-'Business Case'!$B$8*(('Business Case'!C11*$C629*'Business Case'!C12*$B629)-('Business Case'!B11*$C629*'Business Case'!B12*$B629))-'Business Case'!C15*$F629</f>
        <v>-23796162.7424723</v>
      </c>
      <c r="J629" s="39" t="n">
        <f aca="false">(('Business Case'!D11*$C629*'Business Case'!D12*$B629)-'Business Case'!D11*$C629*'Business Case'!D13*$D629-'Business Case'!D14*$E629)-MAX(0,(('Business Case'!D11*$C629*'Business Case'!D12*$B629)-'Business Case'!D11*$C629*'Business Case'!D13*$D629-'Business Case'!D14*$E629))*'Business Case'!$B$7-'Business Case'!$B$8*(('Business Case'!D11*$C629*'Business Case'!D12*$B629)-('Business Case'!C11*$C629*'Business Case'!C12*$B629))-'Business Case'!D15*$F629</f>
        <v>258957090.454049</v>
      </c>
      <c r="K629" s="39" t="n">
        <f aca="false">(('Business Case'!E11*$C629*'Business Case'!E12*$B629)-'Business Case'!E11*$C629*'Business Case'!E13*$D629-'Business Case'!E14*$E629)-MAX(0,(('Business Case'!E11*$C629*'Business Case'!E12*$B629)-'Business Case'!E11*$C629*'Business Case'!E13*$D629-'Business Case'!E14*$E629))*'Business Case'!$B$7-'Business Case'!$B$8*(('Business Case'!E11*$C629*'Business Case'!E12*$B629)-('Business Case'!D11*$C629*'Business Case'!D12*$B629))-'Business Case'!E15*$F629</f>
        <v>598554730.964123</v>
      </c>
      <c r="L629" s="39" t="n">
        <f aca="false">(('Business Case'!F11*$C629*'Business Case'!F12*$B629)-'Business Case'!F11*$C629*'Business Case'!F13*$D629-'Business Case'!F14*$E629)-MAX(0,(('Business Case'!F11*$C629*'Business Case'!F12*$B629)-'Business Case'!F11*$C629*'Business Case'!F13*$D629-'Business Case'!F14*$E629))*'Business Case'!$B$7-'Business Case'!$B$8*(('Business Case'!F11*$C629*'Business Case'!F12*$B629)-('Business Case'!E11*$C629*'Business Case'!E12*$B629))-'Business Case'!F15*$F629</f>
        <v>727760586.596381</v>
      </c>
      <c r="M629" s="39" t="n">
        <f aca="false">(('Business Case'!G11*$C629*'Business Case'!G12*$B629)-'Business Case'!G11*$C629*'Business Case'!G13*$D629-'Business Case'!G14*$E629)-MAX(0,(('Business Case'!G11*$C629*'Business Case'!G12*$B629)-'Business Case'!G11*$C629*'Business Case'!G13*$D629-'Business Case'!G14*$E629))*'Business Case'!$B$7-'Business Case'!$B$8*(('Business Case'!G11*$C629*'Business Case'!G12*$B629)-('Business Case'!F11*$C629*'Business Case'!F12*$B629))-'Business Case'!G15*$F629+'Business Case'!$B$8*('Business Case'!G11*$C629*'Business Case'!G12*$B629)</f>
        <v>920011828.380181</v>
      </c>
      <c r="N629" s="39" t="n">
        <f aca="false">IF(COUNT('Business Case'!B11:G11)=0,"",H629+NPV(G629,I629:M629))</f>
        <v>-586364325.273041</v>
      </c>
      <c r="P629" s="40" t="n">
        <f aca="true">RAND()</f>
        <v>0.676888787408813</v>
      </c>
      <c r="Q629" s="40" t="n">
        <f aca="true">RAND()</f>
        <v>0.630910545469667</v>
      </c>
      <c r="R629" s="40" t="n">
        <f aca="true">RAND()</f>
        <v>0.937724122862986</v>
      </c>
      <c r="S629" s="40" t="n">
        <f aca="true">RAND()</f>
        <v>0.187921084376226</v>
      </c>
      <c r="T629" s="40" t="n">
        <f aca="true">RAND()</f>
        <v>0.920336868585015</v>
      </c>
      <c r="U629" s="40" t="n">
        <f aca="true">RAND()</f>
        <v>0.566237442466065</v>
      </c>
    </row>
    <row r="630" customFormat="false" ht="15" hidden="false" customHeight="false" outlineLevel="0" collapsed="false">
      <c r="A630" s="36" t="n">
        <v>550</v>
      </c>
      <c r="B630" s="37" t="n">
        <f aca="false">1+IF($G$6=$E$6,$F$6,IF(P630&lt;($F$6-$E$6)/($G$6-$E$6),$E$6+SQRT(P630*($G$6-$E$6)*($F$6-$E$6)),$G$6-SQRT((1-P630)*($G$6-$E$6)*($G$6-$F$6))))</f>
        <v>1.01755535608515</v>
      </c>
      <c r="C630" s="37" t="n">
        <f aca="false">1+IF($G$7=$E$7,$F$7,IF(Q630&lt;($F$7-$E$7)/($G$7-$E$7),$E$7+SQRT(Q630*($G$7-$E$7)*($F$7-$E$7)),$G$7-SQRT((1-Q630)*($G$7-$E$7)*($G$7-$F$7))))</f>
        <v>0.961292506886447</v>
      </c>
      <c r="D630" s="37" t="n">
        <f aca="false">1+IF($G$8=$E$8,$F$8,IF(R630&lt;($F$8-$E$8)/($G$8-$E$8),$E$8+SQRT(R630*($G$8-$E$8)*($F$8-$E$8)),$G$8-SQRT((1-R630)*($G$8-$E$8)*($G$8-$F$8))))</f>
        <v>1.03925023904907</v>
      </c>
      <c r="E630" s="37" t="n">
        <f aca="false">1+IF($G$9=$E$9,$F$9,IF(S630&lt;($F$9-$E$9)/($G$9-$E$9),$E$9+SQRT(S630*($G$9-$E$9)*($F$9-$E$9)),$G$9-SQRT((1-S630)*($G$9-$E$9)*($G$9-$F$9))))</f>
        <v>0.997356235863694</v>
      </c>
      <c r="F630" s="37" t="n">
        <f aca="false">1+IF($G$10=$E$10,$F$10,IF(T630&lt;($F$10-$E$10)/($G$10-$E$10),$E$10+SQRT(T630*($G$10-$E$10)*($F$10-$E$10)),$G$10-SQRT((1-T630)*($G$10-$E$10)*($G$10-$F$10))))</f>
        <v>1.12520935806291</v>
      </c>
      <c r="G630" s="38" t="n">
        <f aca="false">IF($G$11=$E$11,$F$11,IF(U630&lt;($F$11-$E$11)/($G$11-$E$11),$E$11+SQRT(U630*($G$11-$E$11)*($F$11-$E$11)),$G$11-SQRT((1-U630)*($G$11-$E$11)*($G$11-$F$11))))</f>
        <v>0.104992716406049</v>
      </c>
      <c r="H630" s="39" t="n">
        <f aca="false">(('Business Case'!B11*$C630*'Business Case'!B12*$B630)-'Business Case'!B11*$C630*'Business Case'!B13*$D630-'Business Case'!B14*$E630)-MAX(0,(('Business Case'!B11*$C630*'Business Case'!B12*$B630)-'Business Case'!B11*$C630*'Business Case'!B13*$D630-'Business Case'!B14*$E630))*'Business Case'!$B$7-'Business Case'!$B$8*('Business Case'!B11*$C630*'Business Case'!B12*$B630)-'Business Case'!B15*$F630</f>
        <v>-2250418716.12583</v>
      </c>
      <c r="I630" s="39" t="n">
        <f aca="false">(('Business Case'!C11*$C630*'Business Case'!C12*$B630)-'Business Case'!C11*$C630*'Business Case'!C13*$D630-'Business Case'!C14*$E630)-MAX(0,(('Business Case'!C11*$C630*'Business Case'!C12*$B630)-'Business Case'!C11*$C630*'Business Case'!C13*$D630-'Business Case'!C14*$E630))*'Business Case'!$B$7-'Business Case'!$B$8*(('Business Case'!C11*$C630*'Business Case'!C12*$B630)-('Business Case'!B11*$C630*'Business Case'!B12*$B630))-'Business Case'!C15*$F630</f>
        <v>-15283034.8882451</v>
      </c>
      <c r="J630" s="39" t="n">
        <f aca="false">(('Business Case'!D11*$C630*'Business Case'!D12*$B630)-'Business Case'!D11*$C630*'Business Case'!D13*$D630-'Business Case'!D14*$E630)-MAX(0,(('Business Case'!D11*$C630*'Business Case'!D12*$B630)-'Business Case'!D11*$C630*'Business Case'!D13*$D630-'Business Case'!D14*$E630))*'Business Case'!$B$7-'Business Case'!$B$8*(('Business Case'!D11*$C630*'Business Case'!D12*$B630)-('Business Case'!C11*$C630*'Business Case'!C12*$B630))-'Business Case'!D15*$F630</f>
        <v>274487169.47099</v>
      </c>
      <c r="K630" s="39" t="n">
        <f aca="false">(('Business Case'!E11*$C630*'Business Case'!E12*$B630)-'Business Case'!E11*$C630*'Business Case'!E13*$D630-'Business Case'!E14*$E630)-MAX(0,(('Business Case'!E11*$C630*'Business Case'!E12*$B630)-'Business Case'!E11*$C630*'Business Case'!E13*$D630-'Business Case'!E14*$E630))*'Business Case'!$B$7-'Business Case'!$B$8*(('Business Case'!E11*$C630*'Business Case'!E12*$B630)-('Business Case'!D11*$C630*'Business Case'!D12*$B630))-'Business Case'!E15*$F630</f>
        <v>620517841.733371</v>
      </c>
      <c r="L630" s="39" t="n">
        <f aca="false">(('Business Case'!F11*$C630*'Business Case'!F12*$B630)-'Business Case'!F11*$C630*'Business Case'!F13*$D630-'Business Case'!F14*$E630)-MAX(0,(('Business Case'!F11*$C630*'Business Case'!F12*$B630)-'Business Case'!F11*$C630*'Business Case'!F13*$D630-'Business Case'!F14*$E630))*'Business Case'!$B$7-'Business Case'!$B$8*(('Business Case'!F11*$C630*'Business Case'!F12*$B630)-('Business Case'!E11*$C630*'Business Case'!E12*$B630))-'Business Case'!F15*$F630</f>
        <v>750913407.654031</v>
      </c>
      <c r="M630" s="39" t="n">
        <f aca="false">(('Business Case'!G11*$C630*'Business Case'!G12*$B630)-'Business Case'!G11*$C630*'Business Case'!G13*$D630-'Business Case'!G14*$E630)-MAX(0,(('Business Case'!G11*$C630*'Business Case'!G12*$B630)-'Business Case'!G11*$C630*'Business Case'!G13*$D630-'Business Case'!G14*$E630))*'Business Case'!$B$7-'Business Case'!$B$8*(('Business Case'!G11*$C630*'Business Case'!G12*$B630)-('Business Case'!F11*$C630*'Business Case'!F12*$B630))-'Business Case'!G15*$F630+'Business Case'!$B$8*('Business Case'!G11*$C630*'Business Case'!G12*$B630)</f>
        <v>936843645.55906</v>
      </c>
      <c r="N630" s="39" t="n">
        <f aca="false">IF(COUNT('Business Case'!B11:G11)=0,"",H630+NPV(G630,I630:M630))</f>
        <v>-507172850.238972</v>
      </c>
      <c r="P630" s="40" t="n">
        <f aca="true">RAND()</f>
        <v>0.895049574903275</v>
      </c>
      <c r="Q630" s="40" t="n">
        <f aca="true">RAND()</f>
        <v>0.371646753967353</v>
      </c>
      <c r="R630" s="40" t="n">
        <f aca="true">RAND()</f>
        <v>0.840332402157858</v>
      </c>
      <c r="S630" s="40" t="n">
        <f aca="true">RAND()</f>
        <v>0.299015076690378</v>
      </c>
      <c r="T630" s="40" t="n">
        <f aca="true">RAND()</f>
        <v>0.888127197572772</v>
      </c>
      <c r="U630" s="40" t="n">
        <f aca="true">RAND()</f>
        <v>0.624635731884554</v>
      </c>
    </row>
    <row r="631" customFormat="false" ht="15" hidden="false" customHeight="false" outlineLevel="0" collapsed="false">
      <c r="A631" s="36" t="n">
        <v>551</v>
      </c>
      <c r="B631" s="37" t="n">
        <f aca="false">1+IF($G$6=$E$6,$F$6,IF(P631&lt;($F$6-$E$6)/($G$6-$E$6),$E$6+SQRT(P631*($G$6-$E$6)*($F$6-$E$6)),$G$6-SQRT((1-P631)*($G$6-$E$6)*($G$6-$F$6))))</f>
        <v>1.0310333855027</v>
      </c>
      <c r="C631" s="37" t="n">
        <f aca="false">1+IF($G$7=$E$7,$F$7,IF(Q631&lt;($F$7-$E$7)/($G$7-$E$7),$E$7+SQRT(Q631*($G$7-$E$7)*($F$7-$E$7)),$G$7-SQRT((1-Q631)*($G$7-$E$7)*($G$7-$F$7))))</f>
        <v>0.990428863555024</v>
      </c>
      <c r="D631" s="37" t="n">
        <f aca="false">1+IF($G$8=$E$8,$F$8,IF(R631&lt;($F$8-$E$8)/($G$8-$E$8),$E$8+SQRT(R631*($G$8-$E$8)*($F$8-$E$8)),$G$8-SQRT((1-R631)*($G$8-$E$8)*($G$8-$F$8))))</f>
        <v>0.97007103735033</v>
      </c>
      <c r="E631" s="37" t="n">
        <f aca="false">1+IF($G$9=$E$9,$F$9,IF(S631&lt;($F$9-$E$9)/($G$9-$E$9),$E$9+SQRT(S631*($G$9-$E$9)*($F$9-$E$9)),$G$9-SQRT((1-S631)*($G$9-$E$9)*($G$9-$F$9))))</f>
        <v>1.07511453308737</v>
      </c>
      <c r="F631" s="37" t="n">
        <f aca="false">1+IF($G$10=$E$10,$F$10,IF(T631&lt;($F$10-$E$10)/($G$10-$E$10),$E$10+SQRT(T631*($G$10-$E$10)*($F$10-$E$10)),$G$10-SQRT((1-T631)*($G$10-$E$10)*($G$10-$F$10))))</f>
        <v>1.00206761223909</v>
      </c>
      <c r="G631" s="38" t="n">
        <f aca="false">IF($G$11=$E$11,$F$11,IF(U631&lt;($F$11-$E$11)/($G$11-$E$11),$E$11+SQRT(U631*($G$11-$E$11)*($F$11-$E$11)),$G$11-SQRT((1-U631)*($G$11-$E$11)*($G$11-$F$11))))</f>
        <v>0.104202218432821</v>
      </c>
      <c r="H631" s="39" t="n">
        <f aca="false">(('Business Case'!B11*$C631*'Business Case'!B12*$B631)-'Business Case'!B11*$C631*'Business Case'!B13*$D631-'Business Case'!B14*$E631)-MAX(0,(('Business Case'!B11*$C631*'Business Case'!B12*$B631)-'Business Case'!B11*$C631*'Business Case'!B13*$D631-'Business Case'!B14*$E631))*'Business Case'!$B$7-'Business Case'!$B$8*('Business Case'!B11*$C631*'Business Case'!B12*$B631)-'Business Case'!B15*$F631</f>
        <v>-2004135224.47819</v>
      </c>
      <c r="I631" s="39" t="n">
        <f aca="false">(('Business Case'!C11*$C631*'Business Case'!C12*$B631)-'Business Case'!C11*$C631*'Business Case'!C13*$D631-'Business Case'!C14*$E631)-MAX(0,(('Business Case'!C11*$C631*'Business Case'!C12*$B631)-'Business Case'!C11*$C631*'Business Case'!C13*$D631-'Business Case'!C14*$E631))*'Business Case'!$B$7-'Business Case'!$B$8*(('Business Case'!C11*$C631*'Business Case'!C12*$B631)-('Business Case'!B11*$C631*'Business Case'!B12*$B631))-'Business Case'!C15*$F631</f>
        <v>38536838.636147</v>
      </c>
      <c r="J631" s="39" t="n">
        <f aca="false">(('Business Case'!D11*$C631*'Business Case'!D12*$B631)-'Business Case'!D11*$C631*'Business Case'!D13*$D631-'Business Case'!D14*$E631)-MAX(0,(('Business Case'!D11*$C631*'Business Case'!D12*$B631)-'Business Case'!D11*$C631*'Business Case'!D13*$D631-'Business Case'!D14*$E631))*'Business Case'!$B$7-'Business Case'!$B$8*(('Business Case'!D11*$C631*'Business Case'!D12*$B631)-('Business Case'!C11*$C631*'Business Case'!C12*$B631))-'Business Case'!D15*$F631</f>
        <v>383098930.328458</v>
      </c>
      <c r="K631" s="39" t="n">
        <f aca="false">(('Business Case'!E11*$C631*'Business Case'!E12*$B631)-'Business Case'!E11*$C631*'Business Case'!E13*$D631-'Business Case'!E14*$E631)-MAX(0,(('Business Case'!E11*$C631*'Business Case'!E12*$B631)-'Business Case'!E11*$C631*'Business Case'!E13*$D631-'Business Case'!E14*$E631))*'Business Case'!$B$7-'Business Case'!$B$8*(('Business Case'!E11*$C631*'Business Case'!E12*$B631)-('Business Case'!D11*$C631*'Business Case'!D12*$B631))-'Business Case'!E15*$F631</f>
        <v>777764402.632724</v>
      </c>
      <c r="L631" s="39" t="n">
        <f aca="false">(('Business Case'!F11*$C631*'Business Case'!F12*$B631)-'Business Case'!F11*$C631*'Business Case'!F13*$D631-'Business Case'!F14*$E631)-MAX(0,(('Business Case'!F11*$C631*'Business Case'!F12*$B631)-'Business Case'!F11*$C631*'Business Case'!F13*$D631-'Business Case'!F14*$E631))*'Business Case'!$B$7-'Business Case'!$B$8*(('Business Case'!F11*$C631*'Business Case'!F12*$B631)-('Business Case'!E11*$C631*'Business Case'!E12*$B631))-'Business Case'!F15*$F631</f>
        <v>927909903.348315</v>
      </c>
      <c r="M631" s="39" t="n">
        <f aca="false">(('Business Case'!G11*$C631*'Business Case'!G12*$B631)-'Business Case'!G11*$C631*'Business Case'!G13*$D631-'Business Case'!G14*$E631)-MAX(0,(('Business Case'!G11*$C631*'Business Case'!G12*$B631)-'Business Case'!G11*$C631*'Business Case'!G13*$D631-'Business Case'!G14*$E631))*'Business Case'!$B$7-'Business Case'!$B$8*(('Business Case'!G11*$C631*'Business Case'!G12*$B631)-('Business Case'!F11*$C631*'Business Case'!F12*$B631))-'Business Case'!G15*$F631+'Business Case'!$B$8*('Business Case'!G11*$C631*'Business Case'!G12*$B631)</f>
        <v>1122012989.1815</v>
      </c>
      <c r="N631" s="39" t="n">
        <f aca="false">IF(COUNT('Business Case'!B11:G11)=0,"",H631+NPV(G631,I631:M631))</f>
        <v>230377976.298712</v>
      </c>
      <c r="P631" s="40" t="n">
        <f aca="true">RAND()</f>
        <v>0.983249963428504</v>
      </c>
      <c r="Q631" s="40" t="n">
        <f aca="true">RAND()</f>
        <v>0.518045029640828</v>
      </c>
      <c r="R631" s="40" t="n">
        <f aca="true">RAND()</f>
        <v>0.0619763908182059</v>
      </c>
      <c r="S631" s="40" t="n">
        <f aca="true">RAND()</f>
        <v>0.95871423576935</v>
      </c>
      <c r="T631" s="40" t="n">
        <f aca="true">RAND()</f>
        <v>0.216455397505324</v>
      </c>
      <c r="U631" s="40" t="n">
        <f aca="true">RAND()</f>
        <v>0.584050162592836</v>
      </c>
    </row>
    <row r="632" customFormat="false" ht="15" hidden="false" customHeight="false" outlineLevel="0" collapsed="false">
      <c r="A632" s="36" t="n">
        <v>552</v>
      </c>
      <c r="B632" s="37" t="n">
        <f aca="false">1+IF($G$6=$E$6,$F$6,IF(P632&lt;($F$6-$E$6)/($G$6-$E$6),$E$6+SQRT(P632*($G$6-$E$6)*($F$6-$E$6)),$G$6-SQRT((1-P632)*($G$6-$E$6)*($G$6-$F$6))))</f>
        <v>0.962660028488539</v>
      </c>
      <c r="C632" s="37" t="n">
        <f aca="false">1+IF($G$7=$E$7,$F$7,IF(Q632&lt;($F$7-$E$7)/($G$7-$E$7),$E$7+SQRT(Q632*($G$7-$E$7)*($F$7-$E$7)),$G$7-SQRT((1-Q632)*($G$7-$E$7)*($G$7-$F$7))))</f>
        <v>1.00170333792279</v>
      </c>
      <c r="D632" s="37" t="n">
        <f aca="false">1+IF($G$8=$E$8,$F$8,IF(R632&lt;($F$8-$E$8)/($G$8-$E$8),$E$8+SQRT(R632*($G$8-$E$8)*($F$8-$E$8)),$G$8-SQRT((1-R632)*($G$8-$E$8)*($G$8-$F$8))))</f>
        <v>1.03812272763258</v>
      </c>
      <c r="E632" s="37" t="n">
        <f aca="false">1+IF($G$9=$E$9,$F$9,IF(S632&lt;($F$9-$E$9)/($G$9-$E$9),$E$9+SQRT(S632*($G$9-$E$9)*($F$9-$E$9)),$G$9-SQRT((1-S632)*($G$9-$E$9)*($G$9-$F$9))))</f>
        <v>1.03994438326593</v>
      </c>
      <c r="F632" s="37" t="n">
        <f aca="false">1+IF($G$10=$E$10,$F$10,IF(T632&lt;($F$10-$E$10)/($G$10-$E$10),$E$10+SQRT(T632*($G$10-$E$10)*($F$10-$E$10)),$G$10-SQRT((1-T632)*($G$10-$E$10)*($G$10-$F$10))))</f>
        <v>1.07747959302631</v>
      </c>
      <c r="G632" s="38" t="n">
        <f aca="false">IF($G$11=$E$11,$F$11,IF(U632&lt;($F$11-$E$11)/($G$11-$E$11),$E$11+SQRT(U632*($G$11-$E$11)*($F$11-$E$11)),$G$11-SQRT((1-U632)*($G$11-$E$11)*($G$11-$F$11))))</f>
        <v>0.0979250310978634</v>
      </c>
      <c r="H632" s="39" t="n">
        <f aca="false">(('Business Case'!B11*$C632*'Business Case'!B12*$B632)-'Business Case'!B11*$C632*'Business Case'!B13*$D632-'Business Case'!B14*$E632)-MAX(0,(('Business Case'!B11*$C632*'Business Case'!B12*$B632)-'Business Case'!B11*$C632*'Business Case'!B13*$D632-'Business Case'!B14*$E632))*'Business Case'!$B$7-'Business Case'!$B$8*('Business Case'!B11*$C632*'Business Case'!B12*$B632)-'Business Case'!B15*$F632</f>
        <v>-2154959186.05261</v>
      </c>
      <c r="I632" s="39" t="n">
        <f aca="false">(('Business Case'!C11*$C632*'Business Case'!C12*$B632)-'Business Case'!C11*$C632*'Business Case'!C13*$D632-'Business Case'!C14*$E632)-MAX(0,(('Business Case'!C11*$C632*'Business Case'!C12*$B632)-'Business Case'!C11*$C632*'Business Case'!C13*$D632-'Business Case'!C14*$E632))*'Business Case'!$B$7-'Business Case'!$B$8*(('Business Case'!C11*$C632*'Business Case'!C12*$B632)-('Business Case'!B11*$C632*'Business Case'!B12*$B632))-'Business Case'!C15*$F632</f>
        <v>-48127415.6652425</v>
      </c>
      <c r="J632" s="39" t="n">
        <f aca="false">(('Business Case'!D11*$C632*'Business Case'!D12*$B632)-'Business Case'!D11*$C632*'Business Case'!D13*$D632-'Business Case'!D14*$E632)-MAX(0,(('Business Case'!D11*$C632*'Business Case'!D12*$B632)-'Business Case'!D11*$C632*'Business Case'!D13*$D632-'Business Case'!D14*$E632))*'Business Case'!$B$7-'Business Case'!$B$8*(('Business Case'!D11*$C632*'Business Case'!D12*$B632)-('Business Case'!C11*$C632*'Business Case'!C12*$B632))-'Business Case'!D15*$F632</f>
        <v>209362519.029084</v>
      </c>
      <c r="K632" s="39" t="n">
        <f aca="false">(('Business Case'!E11*$C632*'Business Case'!E12*$B632)-'Business Case'!E11*$C632*'Business Case'!E13*$D632-'Business Case'!E14*$E632)-MAX(0,(('Business Case'!E11*$C632*'Business Case'!E12*$B632)-'Business Case'!E11*$C632*'Business Case'!E13*$D632-'Business Case'!E14*$E632))*'Business Case'!$B$7-'Business Case'!$B$8*(('Business Case'!E11*$C632*'Business Case'!E12*$B632)-('Business Case'!D11*$C632*'Business Case'!D12*$B632))-'Business Case'!E15*$F632</f>
        <v>520726433.374725</v>
      </c>
      <c r="L632" s="39" t="n">
        <f aca="false">(('Business Case'!F11*$C632*'Business Case'!F12*$B632)-'Business Case'!F11*$C632*'Business Case'!F13*$D632-'Business Case'!F14*$E632)-MAX(0,(('Business Case'!F11*$C632*'Business Case'!F12*$B632)-'Business Case'!F11*$C632*'Business Case'!F13*$D632-'Business Case'!F14*$E632))*'Business Case'!$B$7-'Business Case'!$B$8*(('Business Case'!F11*$C632*'Business Case'!F12*$B632)-('Business Case'!E11*$C632*'Business Case'!E12*$B632))-'Business Case'!F15*$F632</f>
        <v>639882611.443849</v>
      </c>
      <c r="M632" s="39" t="n">
        <f aca="false">(('Business Case'!G11*$C632*'Business Case'!G12*$B632)-'Business Case'!G11*$C632*'Business Case'!G13*$D632-'Business Case'!G14*$E632)-MAX(0,(('Business Case'!G11*$C632*'Business Case'!G12*$B632)-'Business Case'!G11*$C632*'Business Case'!G13*$D632-'Business Case'!G14*$E632))*'Business Case'!$B$7-'Business Case'!$B$8*(('Business Case'!G11*$C632*'Business Case'!G12*$B632)-('Business Case'!F11*$C632*'Business Case'!F12*$B632))-'Business Case'!G15*$F632+'Business Case'!$B$8*('Business Case'!G11*$C632*'Business Case'!G12*$B632)</f>
        <v>823176710.5511</v>
      </c>
      <c r="N632" s="39" t="n">
        <f aca="false">IF(COUNT('Business Case'!B11:G11)=0,"",H632+NPV(G632,I632:M632))</f>
        <v>-675322852.705239</v>
      </c>
      <c r="P632" s="40" t="n">
        <f aca="true">RAND()</f>
        <v>0.189570628191972</v>
      </c>
      <c r="Q632" s="40" t="n">
        <f aca="true">RAND()</f>
        <v>0.581106666985842</v>
      </c>
      <c r="R632" s="40" t="n">
        <f aca="true">RAND()</f>
        <v>0.831374428756271</v>
      </c>
      <c r="S632" s="40" t="n">
        <f aca="true">RAND()</f>
        <v>0.75955485991269</v>
      </c>
      <c r="T632" s="40" t="n">
        <f aca="true">RAND()</f>
        <v>0.699774997500004</v>
      </c>
      <c r="U632" s="40" t="n">
        <f aca="true">RAND()</f>
        <v>0.209353726340342</v>
      </c>
    </row>
    <row r="633" customFormat="false" ht="15" hidden="false" customHeight="false" outlineLevel="0" collapsed="false">
      <c r="A633" s="36" t="n">
        <v>553</v>
      </c>
      <c r="B633" s="37" t="n">
        <f aca="false">1+IF($G$6=$E$6,$F$6,IF(P633&lt;($F$6-$E$6)/($G$6-$E$6),$E$6+SQRT(P633*($G$6-$E$6)*($F$6-$E$6)),$G$6-SQRT((1-P633)*($G$6-$E$6)*($G$6-$F$6))))</f>
        <v>0.969832243174945</v>
      </c>
      <c r="C633" s="37" t="n">
        <f aca="false">1+IF($G$7=$E$7,$F$7,IF(Q633&lt;($F$7-$E$7)/($G$7-$E$7),$E$7+SQRT(Q633*($G$7-$E$7)*($F$7-$E$7)),$G$7-SQRT((1-Q633)*($G$7-$E$7)*($G$7-$F$7))))</f>
        <v>1.004701717289</v>
      </c>
      <c r="D633" s="37" t="n">
        <f aca="false">1+IF($G$8=$E$8,$F$8,IF(R633&lt;($F$8-$E$8)/($G$8-$E$8),$E$8+SQRT(R633*($G$8-$E$8)*($F$8-$E$8)),$G$8-SQRT((1-R633)*($G$8-$E$8)*($G$8-$F$8))))</f>
        <v>1.02942796965772</v>
      </c>
      <c r="E633" s="37" t="n">
        <f aca="false">1+IF($G$9=$E$9,$F$9,IF(S633&lt;($F$9-$E$9)/($G$9-$E$9),$E$9+SQRT(S633*($G$9-$E$9)*($F$9-$E$9)),$G$9-SQRT((1-S633)*($G$9-$E$9)*($G$9-$F$9))))</f>
        <v>1.01293749274255</v>
      </c>
      <c r="F633" s="37" t="n">
        <f aca="false">1+IF($G$10=$E$10,$F$10,IF(T633&lt;($F$10-$E$10)/($G$10-$E$10),$E$10+SQRT(T633*($G$10-$E$10)*($F$10-$E$10)),$G$10-SQRT((1-T633)*($G$10-$E$10)*($G$10-$F$10))))</f>
        <v>1.06946254883975</v>
      </c>
      <c r="G633" s="38" t="n">
        <f aca="false">IF($G$11=$E$11,$F$11,IF(U633&lt;($F$11-$E$11)/($G$11-$E$11),$E$11+SQRT(U633*($G$11-$E$11)*($F$11-$E$11)),$G$11-SQRT((1-U633)*($G$11-$E$11)*($G$11-$F$11))))</f>
        <v>0.0994615984223656</v>
      </c>
      <c r="H633" s="39" t="n">
        <f aca="false">(('Business Case'!B11*$C633*'Business Case'!B12*$B633)-'Business Case'!B11*$C633*'Business Case'!B13*$D633-'Business Case'!B14*$E633)-MAX(0,(('Business Case'!B11*$C633*'Business Case'!B12*$B633)-'Business Case'!B11*$C633*'Business Case'!B13*$D633-'Business Case'!B14*$E633))*'Business Case'!$B$7-'Business Case'!$B$8*('Business Case'!B11*$C633*'Business Case'!B12*$B633)-'Business Case'!B15*$F633</f>
        <v>-2138925097.6795</v>
      </c>
      <c r="I633" s="39" t="n">
        <f aca="false">(('Business Case'!C11*$C633*'Business Case'!C12*$B633)-'Business Case'!C11*$C633*'Business Case'!C13*$D633-'Business Case'!C14*$E633)-MAX(0,(('Business Case'!C11*$C633*'Business Case'!C12*$B633)-'Business Case'!C11*$C633*'Business Case'!C13*$D633-'Business Case'!C14*$E633))*'Business Case'!$B$7-'Business Case'!$B$8*(('Business Case'!C11*$C633*'Business Case'!C12*$B633)-('Business Case'!B11*$C633*'Business Case'!B12*$B633))-'Business Case'!C15*$F633</f>
        <v>-32863650.8001843</v>
      </c>
      <c r="J633" s="39" t="n">
        <f aca="false">(('Business Case'!D11*$C633*'Business Case'!D12*$B633)-'Business Case'!D11*$C633*'Business Case'!D13*$D633-'Business Case'!D14*$E633)-MAX(0,(('Business Case'!D11*$C633*'Business Case'!D12*$B633)-'Business Case'!D11*$C633*'Business Case'!D13*$D633-'Business Case'!D14*$E633))*'Business Case'!$B$7-'Business Case'!$B$8*(('Business Case'!D11*$C633*'Business Case'!D12*$B633)-('Business Case'!C11*$C633*'Business Case'!C12*$B633))-'Business Case'!D15*$F633</f>
        <v>235771152.262771</v>
      </c>
      <c r="K633" s="39" t="n">
        <f aca="false">(('Business Case'!E11*$C633*'Business Case'!E12*$B633)-'Business Case'!E11*$C633*'Business Case'!E13*$D633-'Business Case'!E14*$E633)-MAX(0,(('Business Case'!E11*$C633*'Business Case'!E12*$B633)-'Business Case'!E11*$C633*'Business Case'!E13*$D633-'Business Case'!E14*$E633))*'Business Case'!$B$7-'Business Case'!$B$8*(('Business Case'!E11*$C633*'Business Case'!E12*$B633)-('Business Case'!D11*$C633*'Business Case'!D12*$B633))-'Business Case'!E15*$F633</f>
        <v>557879082.767714</v>
      </c>
      <c r="L633" s="39" t="n">
        <f aca="false">(('Business Case'!F11*$C633*'Business Case'!F12*$B633)-'Business Case'!F11*$C633*'Business Case'!F13*$D633-'Business Case'!F14*$E633)-MAX(0,(('Business Case'!F11*$C633*'Business Case'!F12*$B633)-'Business Case'!F11*$C633*'Business Case'!F13*$D633-'Business Case'!F14*$E633))*'Business Case'!$B$7-'Business Case'!$B$8*(('Business Case'!F11*$C633*'Business Case'!F12*$B633)-('Business Case'!E11*$C633*'Business Case'!E12*$B633))-'Business Case'!F15*$F633</f>
        <v>681099008.796148</v>
      </c>
      <c r="M633" s="39" t="n">
        <f aca="false">(('Business Case'!G11*$C633*'Business Case'!G12*$B633)-'Business Case'!G11*$C633*'Business Case'!G13*$D633-'Business Case'!G14*$E633)-MAX(0,(('Business Case'!G11*$C633*'Business Case'!G12*$B633)-'Business Case'!G11*$C633*'Business Case'!G13*$D633-'Business Case'!G14*$E633))*'Business Case'!$B$7-'Business Case'!$B$8*(('Business Case'!G11*$C633*'Business Case'!G12*$B633)-('Business Case'!F11*$C633*'Business Case'!F12*$B633))-'Business Case'!G15*$F633+'Business Case'!$B$8*('Business Case'!G11*$C633*'Business Case'!G12*$B633)</f>
        <v>866311463.003785</v>
      </c>
      <c r="N633" s="39" t="n">
        <f aca="false">IF(COUNT('Business Case'!B11:G11)=0,"",H633+NPV(G633,I633:M633))</f>
        <v>-548672531.30051</v>
      </c>
      <c r="P633" s="40" t="n">
        <f aca="true">RAND()</f>
        <v>0.258672131234048</v>
      </c>
      <c r="Q633" s="40" t="n">
        <f aca="true">RAND()</f>
        <v>0.597874457928253</v>
      </c>
      <c r="R633" s="40" t="n">
        <f aca="true">RAND()</f>
        <v>0.754083629524924</v>
      </c>
      <c r="S633" s="40" t="n">
        <f aca="true">RAND()</f>
        <v>0.494674655336487</v>
      </c>
      <c r="T633" s="40" t="n">
        <f aca="true">RAND()</f>
        <v>0.659199476891705</v>
      </c>
      <c r="U633" s="40" t="n">
        <f aca="true">RAND()</f>
        <v>0.298406149020373</v>
      </c>
    </row>
    <row r="634" customFormat="false" ht="15" hidden="false" customHeight="false" outlineLevel="0" collapsed="false">
      <c r="A634" s="36" t="n">
        <v>554</v>
      </c>
      <c r="B634" s="37" t="n">
        <f aca="false">1+IF($G$6=$E$6,$F$6,IF(P634&lt;($F$6-$E$6)/($G$6-$E$6),$E$6+SQRT(P634*($G$6-$E$6)*($F$6-$E$6)),$G$6-SQRT((1-P634)*($G$6-$E$6)*($G$6-$F$6))))</f>
        <v>1.01405037484215</v>
      </c>
      <c r="C634" s="37" t="n">
        <f aca="false">1+IF($G$7=$E$7,$F$7,IF(Q634&lt;($F$7-$E$7)/($G$7-$E$7),$E$7+SQRT(Q634*($G$7-$E$7)*($F$7-$E$7)),$G$7-SQRT((1-Q634)*($G$7-$E$7)*($G$7-$F$7))))</f>
        <v>0.956385111636687</v>
      </c>
      <c r="D634" s="37" t="n">
        <f aca="false">1+IF($G$8=$E$8,$F$8,IF(R634&lt;($F$8-$E$8)/($G$8-$E$8),$E$8+SQRT(R634*($G$8-$E$8)*($F$8-$E$8)),$G$8-SQRT((1-R634)*($G$8-$E$8)*($G$8-$F$8))))</f>
        <v>1.06323025784221</v>
      </c>
      <c r="E634" s="37" t="n">
        <f aca="false">1+IF($G$9=$E$9,$F$9,IF(S634&lt;($F$9-$E$9)/($G$9-$E$9),$E$9+SQRT(S634*($G$9-$E$9)*($F$9-$E$9)),$G$9-SQRT((1-S634)*($G$9-$E$9)*($G$9-$F$9))))</f>
        <v>1.0043402598745</v>
      </c>
      <c r="F634" s="37" t="n">
        <f aca="false">1+IF($G$10=$E$10,$F$10,IF(T634&lt;($F$10-$E$10)/($G$10-$E$10),$E$10+SQRT(T634*($G$10-$E$10)*($F$10-$E$10)),$G$10-SQRT((1-T634)*($G$10-$E$10)*($G$10-$F$10))))</f>
        <v>1.05498605038344</v>
      </c>
      <c r="G634" s="38" t="n">
        <f aca="false">IF($G$11=$E$11,$F$11,IF(U634&lt;($F$11-$E$11)/($G$11-$E$11),$E$11+SQRT(U634*($G$11-$E$11)*($F$11-$E$11)),$G$11-SQRT((1-U634)*($G$11-$E$11)*($G$11-$F$11))))</f>
        <v>0.0984810905402753</v>
      </c>
      <c r="H634" s="39" t="n">
        <f aca="false">(('Business Case'!B11*$C634*'Business Case'!B12*$B634)-'Business Case'!B11*$C634*'Business Case'!B13*$D634-'Business Case'!B14*$E634)-MAX(0,(('Business Case'!B11*$C634*'Business Case'!B12*$B634)-'Business Case'!B11*$C634*'Business Case'!B13*$D634-'Business Case'!B14*$E634))*'Business Case'!$B$7-'Business Case'!$B$8*('Business Case'!B11*$C634*'Business Case'!B12*$B634)-'Business Case'!B15*$F634</f>
        <v>-2109972100.76689</v>
      </c>
      <c r="I634" s="39" t="n">
        <f aca="false">(('Business Case'!C11*$C634*'Business Case'!C12*$B634)-'Business Case'!C11*$C634*'Business Case'!C13*$D634-'Business Case'!C14*$E634)-MAX(0,(('Business Case'!C11*$C634*'Business Case'!C12*$B634)-'Business Case'!C11*$C634*'Business Case'!C13*$D634-'Business Case'!C14*$E634))*'Business Case'!$B$7-'Business Case'!$B$8*(('Business Case'!C11*$C634*'Business Case'!C12*$B634)-('Business Case'!B11*$C634*'Business Case'!B12*$B634))-'Business Case'!C15*$F634</f>
        <v>-24786531.722871</v>
      </c>
      <c r="J634" s="39" t="n">
        <f aca="false">(('Business Case'!D11*$C634*'Business Case'!D12*$B634)-'Business Case'!D11*$C634*'Business Case'!D13*$D634-'Business Case'!D14*$E634)-MAX(0,(('Business Case'!D11*$C634*'Business Case'!D12*$B634)-'Business Case'!D11*$C634*'Business Case'!D13*$D634-'Business Case'!D14*$E634))*'Business Case'!$B$7-'Business Case'!$B$8*(('Business Case'!D11*$C634*'Business Case'!D12*$B634)-('Business Case'!C11*$C634*'Business Case'!C12*$B634))-'Business Case'!D15*$F634</f>
        <v>249018334.327134</v>
      </c>
      <c r="K634" s="39" t="n">
        <f aca="false">(('Business Case'!E11*$C634*'Business Case'!E12*$B634)-'Business Case'!E11*$C634*'Business Case'!E13*$D634-'Business Case'!E14*$E634)-MAX(0,(('Business Case'!E11*$C634*'Business Case'!E12*$B634)-'Business Case'!E11*$C634*'Business Case'!E13*$D634-'Business Case'!E14*$E634))*'Business Case'!$B$7-'Business Case'!$B$8*(('Business Case'!E11*$C634*'Business Case'!E12*$B634)-('Business Case'!D11*$C634*'Business Case'!D12*$B634))-'Business Case'!E15*$F634</f>
        <v>575572502.896311</v>
      </c>
      <c r="L634" s="39" t="n">
        <f aca="false">(('Business Case'!F11*$C634*'Business Case'!F12*$B634)-'Business Case'!F11*$C634*'Business Case'!F13*$D634-'Business Case'!F14*$E634)-MAX(0,(('Business Case'!F11*$C634*'Business Case'!F12*$B634)-'Business Case'!F11*$C634*'Business Case'!F13*$D634-'Business Case'!F14*$E634))*'Business Case'!$B$7-'Business Case'!$B$8*(('Business Case'!F11*$C634*'Business Case'!F12*$B634)-('Business Case'!E11*$C634*'Business Case'!E12*$B634))-'Business Case'!F15*$F634</f>
        <v>700357863.433231</v>
      </c>
      <c r="M634" s="39" t="n">
        <f aca="false">(('Business Case'!G11*$C634*'Business Case'!G12*$B634)-'Business Case'!G11*$C634*'Business Case'!G13*$D634-'Business Case'!G14*$E634)-MAX(0,(('Business Case'!G11*$C634*'Business Case'!G12*$B634)-'Business Case'!G11*$C634*'Business Case'!G13*$D634-'Business Case'!G14*$E634))*'Business Case'!$B$7-'Business Case'!$B$8*(('Business Case'!G11*$C634*'Business Case'!G12*$B634)-('Business Case'!F11*$C634*'Business Case'!F12*$B634))-'Business Case'!G15*$F634+'Business Case'!$B$8*('Business Case'!G11*$C634*'Business Case'!G12*$B634)</f>
        <v>884701758.627948</v>
      </c>
      <c r="N634" s="39" t="n">
        <f aca="false">IF(COUNT('Business Case'!B11:G11)=0,"",H634+NPV(G634,I634:M634))</f>
        <v>-457790524.217125</v>
      </c>
      <c r="P634" s="40" t="n">
        <f aca="true">RAND()</f>
        <v>0.859711865451516</v>
      </c>
      <c r="Q634" s="40" t="n">
        <f aca="true">RAND()</f>
        <v>0.349375759165985</v>
      </c>
      <c r="R634" s="40" t="n">
        <f aca="true">RAND()</f>
        <v>0.972959206534728</v>
      </c>
      <c r="S634" s="40" t="n">
        <f aca="true">RAND()</f>
        <v>0.389947607941465</v>
      </c>
      <c r="T634" s="40" t="n">
        <f aca="true">RAND()</f>
        <v>0.579419088332143</v>
      </c>
      <c r="U634" s="40" t="n">
        <f aca="true">RAND()</f>
        <v>0.239762989174493</v>
      </c>
    </row>
    <row r="635" customFormat="false" ht="15" hidden="false" customHeight="false" outlineLevel="0" collapsed="false">
      <c r="A635" s="36" t="n">
        <v>555</v>
      </c>
      <c r="B635" s="37" t="n">
        <f aca="false">1+IF($G$6=$E$6,$F$6,IF(P635&lt;($F$6-$E$6)/($G$6-$E$6),$E$6+SQRT(P635*($G$6-$E$6)*($F$6-$E$6)),$G$6-SQRT((1-P635)*($G$6-$E$6)*($G$6-$F$6))))</f>
        <v>0.936080263152642</v>
      </c>
      <c r="C635" s="37" t="n">
        <f aca="false">1+IF($G$7=$E$7,$F$7,IF(Q635&lt;($F$7-$E$7)/($G$7-$E$7),$E$7+SQRT(Q635*($G$7-$E$7)*($F$7-$E$7)),$G$7-SQRT((1-Q635)*($G$7-$E$7)*($G$7-$F$7))))</f>
        <v>1.03886319505825</v>
      </c>
      <c r="D635" s="37" t="n">
        <f aca="false">1+IF($G$8=$E$8,$F$8,IF(R635&lt;($F$8-$E$8)/($G$8-$E$8),$E$8+SQRT(R635*($G$8-$E$8)*($F$8-$E$8)),$G$8-SQRT((1-R635)*($G$8-$E$8)*($G$8-$F$8))))</f>
        <v>1.04019454118036</v>
      </c>
      <c r="E635" s="37" t="n">
        <f aca="false">1+IF($G$9=$E$9,$F$9,IF(S635&lt;($F$9-$E$9)/($G$9-$E$9),$E$9+SQRT(S635*($G$9-$E$9)*($F$9-$E$9)),$G$9-SQRT((1-S635)*($G$9-$E$9)*($G$9-$F$9))))</f>
        <v>1.01905414844219</v>
      </c>
      <c r="F635" s="37" t="n">
        <f aca="false">1+IF($G$10=$E$10,$F$10,IF(T635&lt;($F$10-$E$10)/($G$10-$E$10),$E$10+SQRT(T635*($G$10-$E$10)*($F$10-$E$10)),$G$10-SQRT((1-T635)*($G$10-$E$10)*($G$10-$F$10))))</f>
        <v>1.01813054627148</v>
      </c>
      <c r="G635" s="38" t="n">
        <f aca="false">IF($G$11=$E$11,$F$11,IF(U635&lt;($F$11-$E$11)/($G$11-$E$11),$E$11+SQRT(U635*($G$11-$E$11)*($F$11-$E$11)),$G$11-SQRT((1-U635)*($G$11-$E$11)*($G$11-$F$11))))</f>
        <v>0.106797897537666</v>
      </c>
      <c r="H635" s="39" t="n">
        <f aca="false">(('Business Case'!B11*$C635*'Business Case'!B12*$B635)-'Business Case'!B11*$C635*'Business Case'!B13*$D635-'Business Case'!B14*$E635)-MAX(0,(('Business Case'!B11*$C635*'Business Case'!B12*$B635)-'Business Case'!B11*$C635*'Business Case'!B13*$D635-'Business Case'!B14*$E635))*'Business Case'!$B$7-'Business Case'!$B$8*('Business Case'!B11*$C635*'Business Case'!B12*$B635)-'Business Case'!B15*$F635</f>
        <v>-2036261092.54296</v>
      </c>
      <c r="I635" s="39" t="n">
        <f aca="false">(('Business Case'!C11*$C635*'Business Case'!C12*$B635)-'Business Case'!C11*$C635*'Business Case'!C13*$D635-'Business Case'!C14*$E635)-MAX(0,(('Business Case'!C11*$C635*'Business Case'!C12*$B635)-'Business Case'!C11*$C635*'Business Case'!C13*$D635-'Business Case'!C14*$E635))*'Business Case'!$B$7-'Business Case'!$B$8*(('Business Case'!C11*$C635*'Business Case'!C12*$B635)-('Business Case'!B11*$C635*'Business Case'!B12*$B635))-'Business Case'!C15*$F635</f>
        <v>-53811536.1267295</v>
      </c>
      <c r="J635" s="39" t="n">
        <f aca="false">(('Business Case'!D11*$C635*'Business Case'!D12*$B635)-'Business Case'!D11*$C635*'Business Case'!D13*$D635-'Business Case'!D14*$E635)-MAX(0,(('Business Case'!D11*$C635*'Business Case'!D12*$B635)-'Business Case'!D11*$C635*'Business Case'!D13*$D635-'Business Case'!D14*$E635))*'Business Case'!$B$7-'Business Case'!$B$8*(('Business Case'!D11*$C635*'Business Case'!D12*$B635)-('Business Case'!C11*$C635*'Business Case'!C12*$B635))-'Business Case'!D15*$F635</f>
        <v>189511774.105392</v>
      </c>
      <c r="K635" s="39" t="n">
        <f aca="false">(('Business Case'!E11*$C635*'Business Case'!E12*$B635)-'Business Case'!E11*$C635*'Business Case'!E13*$D635-'Business Case'!E14*$E635)-MAX(0,(('Business Case'!E11*$C635*'Business Case'!E12*$B635)-'Business Case'!E11*$C635*'Business Case'!E13*$D635-'Business Case'!E14*$E635))*'Business Case'!$B$7-'Business Case'!$B$8*(('Business Case'!E11*$C635*'Business Case'!E12*$B635)-('Business Case'!D11*$C635*'Business Case'!D12*$B635))-'Business Case'!E15*$F635</f>
        <v>483741611.651087</v>
      </c>
      <c r="L635" s="39" t="n">
        <f aca="false">(('Business Case'!F11*$C635*'Business Case'!F12*$B635)-'Business Case'!F11*$C635*'Business Case'!F13*$D635-'Business Case'!F14*$E635)-MAX(0,(('Business Case'!F11*$C635*'Business Case'!F12*$B635)-'Business Case'!F11*$C635*'Business Case'!F13*$D635-'Business Case'!F14*$E635))*'Business Case'!$B$7-'Business Case'!$B$8*(('Business Case'!F11*$C635*'Business Case'!F12*$B635)-('Business Case'!E11*$C635*'Business Case'!E12*$B635))-'Business Case'!F15*$F635</f>
        <v>598457576.277276</v>
      </c>
      <c r="M635" s="39" t="n">
        <f aca="false">(('Business Case'!G11*$C635*'Business Case'!G12*$B635)-'Business Case'!G11*$C635*'Business Case'!G13*$D635-'Business Case'!G14*$E635)-MAX(0,(('Business Case'!G11*$C635*'Business Case'!G12*$B635)-'Business Case'!G11*$C635*'Business Case'!G13*$D635-'Business Case'!G14*$E635))*'Business Case'!$B$7-'Business Case'!$B$8*(('Business Case'!G11*$C635*'Business Case'!G12*$B635)-('Business Case'!F11*$C635*'Business Case'!F12*$B635))-'Business Case'!G15*$F635+'Business Case'!$B$8*('Business Case'!G11*$C635*'Business Case'!G12*$B635)</f>
        <v>783302646.295765</v>
      </c>
      <c r="N635" s="39" t="n">
        <f aca="false">IF(COUNT('Business Case'!B11:G11)=0,"",H635+NPV(G635,I635:M635))</f>
        <v>-702970470.062125</v>
      </c>
      <c r="P635" s="40" t="n">
        <f aca="true">RAND()</f>
        <v>0.026934881568565</v>
      </c>
      <c r="Q635" s="40" t="n">
        <f aca="true">RAND()</f>
        <v>0.764735439758856</v>
      </c>
      <c r="R635" s="40" t="n">
        <f aca="true">RAND()</f>
        <v>0.847646677707458</v>
      </c>
      <c r="S635" s="40" t="n">
        <f aca="true">RAND()</f>
        <v>0.563184607705362</v>
      </c>
      <c r="T635" s="40" t="n">
        <f aca="true">RAND()</f>
        <v>0.338470036009785</v>
      </c>
      <c r="U635" s="40" t="n">
        <f aca="true">RAND()</f>
        <v>0.709507484290056</v>
      </c>
    </row>
    <row r="636" customFormat="false" ht="15" hidden="false" customHeight="false" outlineLevel="0" collapsed="false">
      <c r="A636" s="36" t="n">
        <v>556</v>
      </c>
      <c r="B636" s="37" t="n">
        <f aca="false">1+IF($G$6=$E$6,$F$6,IF(P636&lt;($F$6-$E$6)/($G$6-$E$6),$E$6+SQRT(P636*($G$6-$E$6)*($F$6-$E$6)),$G$6-SQRT((1-P636)*($G$6-$E$6)*($G$6-$F$6))))</f>
        <v>1.02728082888289</v>
      </c>
      <c r="C636" s="37" t="n">
        <f aca="false">1+IF($G$7=$E$7,$F$7,IF(Q636&lt;($F$7-$E$7)/($G$7-$E$7),$E$7+SQRT(Q636*($G$7-$E$7)*($F$7-$E$7)),$G$7-SQRT((1-Q636)*($G$7-$E$7)*($G$7-$F$7))))</f>
        <v>1.00961255913314</v>
      </c>
      <c r="D636" s="37" t="n">
        <f aca="false">1+IF($G$8=$E$8,$F$8,IF(R636&lt;($F$8-$E$8)/($G$8-$E$8),$E$8+SQRT(R636*($G$8-$E$8)*($F$8-$E$8)),$G$8-SQRT((1-R636)*($G$8-$E$8)*($G$8-$F$8))))</f>
        <v>1.03576642227318</v>
      </c>
      <c r="E636" s="37" t="n">
        <f aca="false">1+IF($G$9=$E$9,$F$9,IF(S636&lt;($F$9-$E$9)/($G$9-$E$9),$E$9+SQRT(S636*($G$9-$E$9)*($F$9-$E$9)),$G$9-SQRT((1-S636)*($G$9-$E$9)*($G$9-$F$9))))</f>
        <v>0.968148623367811</v>
      </c>
      <c r="F636" s="37" t="n">
        <f aca="false">1+IF($G$10=$E$10,$F$10,IF(T636&lt;($F$10-$E$10)/($G$10-$E$10),$E$10+SQRT(T636*($G$10-$E$10)*($F$10-$E$10)),$G$10-SQRT((1-T636)*($G$10-$E$10)*($G$10-$F$10))))</f>
        <v>1.11681334290571</v>
      </c>
      <c r="G636" s="38" t="n">
        <f aca="false">IF($G$11=$E$11,$F$11,IF(U636&lt;($F$11-$E$11)/($G$11-$E$11),$E$11+SQRT(U636*($G$11-$E$11)*($F$11-$E$11)),$G$11-SQRT((1-U636)*($G$11-$E$11)*($G$11-$F$11))))</f>
        <v>0.095332028921604</v>
      </c>
      <c r="H636" s="39" t="n">
        <f aca="false">(('Business Case'!B11*$C636*'Business Case'!B12*$B636)-'Business Case'!B11*$C636*'Business Case'!B13*$D636-'Business Case'!B14*$E636)-MAX(0,(('Business Case'!B11*$C636*'Business Case'!B12*$B636)-'Business Case'!B11*$C636*'Business Case'!B13*$D636-'Business Case'!B14*$E636))*'Business Case'!$B$7-'Business Case'!$B$8*('Business Case'!B11*$C636*'Business Case'!B12*$B636)-'Business Case'!B15*$F636</f>
        <v>-2233626685.81142</v>
      </c>
      <c r="I636" s="39" t="n">
        <f aca="false">(('Business Case'!C11*$C636*'Business Case'!C12*$B636)-'Business Case'!C11*$C636*'Business Case'!C13*$D636-'Business Case'!C14*$E636)-MAX(0,(('Business Case'!C11*$C636*'Business Case'!C12*$B636)-'Business Case'!C11*$C636*'Business Case'!C13*$D636-'Business Case'!C14*$E636))*'Business Case'!$B$7-'Business Case'!$B$8*(('Business Case'!C11*$C636*'Business Case'!C12*$B636)-('Business Case'!B11*$C636*'Business Case'!B12*$B636))-'Business Case'!C15*$F636</f>
        <v>11060507.4079952</v>
      </c>
      <c r="J636" s="39" t="n">
        <f aca="false">(('Business Case'!D11*$C636*'Business Case'!D12*$B636)-'Business Case'!D11*$C636*'Business Case'!D13*$D636-'Business Case'!D14*$E636)-MAX(0,(('Business Case'!D11*$C636*'Business Case'!D12*$B636)-'Business Case'!D11*$C636*'Business Case'!D13*$D636-'Business Case'!D14*$E636))*'Business Case'!$B$7-'Business Case'!$B$8*(('Business Case'!D11*$C636*'Business Case'!D12*$B636)-('Business Case'!C11*$C636*'Business Case'!C12*$B636))-'Business Case'!D15*$F636</f>
        <v>325239231.032246</v>
      </c>
      <c r="K636" s="39" t="n">
        <f aca="false">(('Business Case'!E11*$C636*'Business Case'!E12*$B636)-'Business Case'!E11*$C636*'Business Case'!E13*$D636-'Business Case'!E14*$E636)-MAX(0,(('Business Case'!E11*$C636*'Business Case'!E12*$B636)-'Business Case'!E11*$C636*'Business Case'!E13*$D636-'Business Case'!E14*$E636))*'Business Case'!$B$7-'Business Case'!$B$8*(('Business Case'!E11*$C636*'Business Case'!E12*$B636)-('Business Case'!D11*$C636*'Business Case'!D12*$B636))-'Business Case'!E15*$F636</f>
        <v>695258621.801783</v>
      </c>
      <c r="L636" s="39" t="n">
        <f aca="false">(('Business Case'!F11*$C636*'Business Case'!F12*$B636)-'Business Case'!F11*$C636*'Business Case'!F13*$D636-'Business Case'!F14*$E636)-MAX(0,(('Business Case'!F11*$C636*'Business Case'!F12*$B636)-'Business Case'!F11*$C636*'Business Case'!F13*$D636-'Business Case'!F14*$E636))*'Business Case'!$B$7-'Business Case'!$B$8*(('Business Case'!F11*$C636*'Business Case'!F12*$B636)-('Business Case'!E11*$C636*'Business Case'!E12*$B636))-'Business Case'!F15*$F636</f>
        <v>835828961.465054</v>
      </c>
      <c r="M636" s="39" t="n">
        <f aca="false">(('Business Case'!G11*$C636*'Business Case'!G12*$B636)-'Business Case'!G11*$C636*'Business Case'!G13*$D636-'Business Case'!G14*$E636)-MAX(0,(('Business Case'!G11*$C636*'Business Case'!G12*$B636)-'Business Case'!G11*$C636*'Business Case'!G13*$D636-'Business Case'!G14*$E636))*'Business Case'!$B$7-'Business Case'!$B$8*(('Business Case'!G11*$C636*'Business Case'!G12*$B636)-('Business Case'!F11*$C636*'Business Case'!F12*$B636))-'Business Case'!G15*$F636+'Business Case'!$B$8*('Business Case'!G11*$C636*'Business Case'!G12*$B636)</f>
        <v>1032971502.96859</v>
      </c>
      <c r="N636" s="39" t="n">
        <f aca="false">IF(COUNT('Business Case'!B11:G11)=0,"",H636+NPV(G636,I636:M636))</f>
        <v>-187520509.553827</v>
      </c>
      <c r="P636" s="40" t="n">
        <f aca="true">RAND()</f>
        <v>0.966296392936203</v>
      </c>
      <c r="Q636" s="40" t="n">
        <f aca="true">RAND()</f>
        <v>0.624597456130571</v>
      </c>
      <c r="R636" s="40" t="n">
        <f aca="true">RAND()</f>
        <v>0.811864480912021</v>
      </c>
      <c r="S636" s="40" t="n">
        <f aca="true">RAND()</f>
        <v>0.0439163373528884</v>
      </c>
      <c r="T636" s="40" t="n">
        <f aca="true">RAND()</f>
        <v>0.86159960162954</v>
      </c>
      <c r="U636" s="40" t="n">
        <f aca="true">RAND()</f>
        <v>0.0947684414027388</v>
      </c>
    </row>
    <row r="637" customFormat="false" ht="15" hidden="false" customHeight="false" outlineLevel="0" collapsed="false">
      <c r="A637" s="36" t="n">
        <v>557</v>
      </c>
      <c r="B637" s="37" t="n">
        <f aca="false">1+IF($G$6=$E$6,$F$6,IF(P637&lt;($F$6-$E$6)/($G$6-$E$6),$E$6+SQRT(P637*($G$6-$E$6)*($F$6-$E$6)),$G$6-SQRT((1-P637)*($G$6-$E$6)*($G$6-$F$6))))</f>
        <v>1.01948907357749</v>
      </c>
      <c r="C637" s="37" t="n">
        <f aca="false">1+IF($G$7=$E$7,$F$7,IF(Q637&lt;($F$7-$E$7)/($G$7-$E$7),$E$7+SQRT(Q637*($G$7-$E$7)*($F$7-$E$7)),$G$7-SQRT((1-Q637)*($G$7-$E$7)*($G$7-$F$7))))</f>
        <v>0.924601252531866</v>
      </c>
      <c r="D637" s="37" t="n">
        <f aca="false">1+IF($G$8=$E$8,$F$8,IF(R637&lt;($F$8-$E$8)/($G$8-$E$8),$E$8+SQRT(R637*($G$8-$E$8)*($F$8-$E$8)),$G$8-SQRT((1-R637)*($G$8-$E$8)*($G$8-$F$8))))</f>
        <v>0.963567700926956</v>
      </c>
      <c r="E637" s="37" t="n">
        <f aca="false">1+IF($G$9=$E$9,$F$9,IF(S637&lt;($F$9-$E$9)/($G$9-$E$9),$E$9+SQRT(S637*($G$9-$E$9)*($F$9-$E$9)),$G$9-SQRT((1-S637)*($G$9-$E$9)*($G$9-$F$9))))</f>
        <v>1.03519732957802</v>
      </c>
      <c r="F637" s="37" t="n">
        <f aca="false">1+IF($G$10=$E$10,$F$10,IF(T637&lt;($F$10-$E$10)/($G$10-$E$10),$E$10+SQRT(T637*($G$10-$E$10)*($F$10-$E$10)),$G$10-SQRT((1-T637)*($G$10-$E$10)*($G$10-$F$10))))</f>
        <v>1.09376415765444</v>
      </c>
      <c r="G637" s="38" t="n">
        <f aca="false">IF($G$11=$E$11,$F$11,IF(U637&lt;($F$11-$E$11)/($G$11-$E$11),$E$11+SQRT(U637*($G$11-$E$11)*($F$11-$E$11)),$G$11-SQRT((1-U637)*($G$11-$E$11)*($G$11-$F$11))))</f>
        <v>0.110495483288015</v>
      </c>
      <c r="H637" s="39" t="n">
        <f aca="false">(('Business Case'!B11*$C637*'Business Case'!B12*$B637)-'Business Case'!B11*$C637*'Business Case'!B13*$D637-'Business Case'!B14*$E637)-MAX(0,(('Business Case'!B11*$C637*'Business Case'!B12*$B637)-'Business Case'!B11*$C637*'Business Case'!B13*$D637-'Business Case'!B14*$E637))*'Business Case'!$B$7-'Business Case'!$B$8*('Business Case'!B11*$C637*'Business Case'!B12*$B637)-'Business Case'!B15*$F637</f>
        <v>-2187528315.30888</v>
      </c>
      <c r="I637" s="39" t="n">
        <f aca="false">(('Business Case'!C11*$C637*'Business Case'!C12*$B637)-'Business Case'!C11*$C637*'Business Case'!C13*$D637-'Business Case'!C14*$E637)-MAX(0,(('Business Case'!C11*$C637*'Business Case'!C12*$B637)-'Business Case'!C11*$C637*'Business Case'!C13*$D637-'Business Case'!C14*$E637))*'Business Case'!$B$7-'Business Case'!$B$8*(('Business Case'!C11*$C637*'Business Case'!C12*$B637)-('Business Case'!B11*$C637*'Business Case'!B12*$B637))-'Business Case'!C15*$F637</f>
        <v>10549753.5009517</v>
      </c>
      <c r="J637" s="39" t="n">
        <f aca="false">(('Business Case'!D11*$C637*'Business Case'!D12*$B637)-'Business Case'!D11*$C637*'Business Case'!D13*$D637-'Business Case'!D14*$E637)-MAX(0,(('Business Case'!D11*$C637*'Business Case'!D12*$B637)-'Business Case'!D11*$C637*'Business Case'!D13*$D637-'Business Case'!D14*$E637))*'Business Case'!$B$7-'Business Case'!$B$8*(('Business Case'!D11*$C637*'Business Case'!D12*$B637)-('Business Case'!C11*$C637*'Business Case'!C12*$B637))-'Business Case'!D15*$F637</f>
        <v>326546449.160802</v>
      </c>
      <c r="K637" s="39" t="n">
        <f aca="false">(('Business Case'!E11*$C637*'Business Case'!E12*$B637)-'Business Case'!E11*$C637*'Business Case'!E13*$D637-'Business Case'!E14*$E637)-MAX(0,(('Business Case'!E11*$C637*'Business Case'!E12*$B637)-'Business Case'!E11*$C637*'Business Case'!E13*$D637-'Business Case'!E14*$E637))*'Business Case'!$B$7-'Business Case'!$B$8*(('Business Case'!E11*$C637*'Business Case'!E12*$B637)-('Business Case'!D11*$C637*'Business Case'!D12*$B637))-'Business Case'!E15*$F637</f>
        <v>697231352.703374</v>
      </c>
      <c r="L637" s="39" t="n">
        <f aca="false">(('Business Case'!F11*$C637*'Business Case'!F12*$B637)-'Business Case'!F11*$C637*'Business Case'!F13*$D637-'Business Case'!F14*$E637)-MAX(0,(('Business Case'!F11*$C637*'Business Case'!F12*$B637)-'Business Case'!F11*$C637*'Business Case'!F13*$D637-'Business Case'!F14*$E637))*'Business Case'!$B$7-'Business Case'!$B$8*(('Business Case'!F11*$C637*'Business Case'!F12*$B637)-('Business Case'!E11*$C637*'Business Case'!E12*$B637))-'Business Case'!F15*$F637</f>
        <v>835140562.008298</v>
      </c>
      <c r="M637" s="39" t="n">
        <f aca="false">(('Business Case'!G11*$C637*'Business Case'!G12*$B637)-'Business Case'!G11*$C637*'Business Case'!G13*$D637-'Business Case'!G14*$E637)-MAX(0,(('Business Case'!G11*$C637*'Business Case'!G12*$B637)-'Business Case'!G11*$C637*'Business Case'!G13*$D637-'Business Case'!G14*$E637))*'Business Case'!$B$7-'Business Case'!$B$8*(('Business Case'!G11*$C637*'Business Case'!G12*$B637)-('Business Case'!F11*$C637*'Business Case'!F12*$B637))-'Business Case'!G15*$F637+'Business Case'!$B$8*('Business Case'!G11*$C637*'Business Case'!G12*$B637)</f>
        <v>1014313937.80898</v>
      </c>
      <c r="N637" s="39" t="n">
        <f aca="false">IF(COUNT('Business Case'!B11:G11)=0,"",H637+NPV(G637,I637:M637))</f>
        <v>-254348807.796601</v>
      </c>
      <c r="P637" s="40" t="n">
        <f aca="true">RAND()</f>
        <v>0.912354561935514</v>
      </c>
      <c r="Q637" s="40" t="n">
        <f aca="true">RAND()</f>
        <v>0.221792459035854</v>
      </c>
      <c r="R637" s="40" t="n">
        <f aca="true">RAND()</f>
        <v>0.0283203859143589</v>
      </c>
      <c r="S637" s="40" t="n">
        <f aca="true">RAND()</f>
        <v>0.72004092707869</v>
      </c>
      <c r="T637" s="40" t="n">
        <f aca="true">RAND()</f>
        <v>0.774278916022585</v>
      </c>
      <c r="U637" s="40" t="n">
        <f aca="true">RAND()</f>
        <v>0.849440270119338</v>
      </c>
    </row>
    <row r="638" customFormat="false" ht="15" hidden="false" customHeight="false" outlineLevel="0" collapsed="false">
      <c r="A638" s="36" t="n">
        <v>558</v>
      </c>
      <c r="B638" s="37" t="n">
        <f aca="false">1+IF($G$6=$E$6,$F$6,IF(P638&lt;($F$6-$E$6)/($G$6-$E$6),$E$6+SQRT(P638*($G$6-$E$6)*($F$6-$E$6)),$G$6-SQRT((1-P638)*($G$6-$E$6)*($G$6-$F$6))))</f>
        <v>0.990231698709867</v>
      </c>
      <c r="C638" s="37" t="n">
        <f aca="false">1+IF($G$7=$E$7,$F$7,IF(Q638&lt;($F$7-$E$7)/($G$7-$E$7),$E$7+SQRT(Q638*($G$7-$E$7)*($F$7-$E$7)),$G$7-SQRT((1-Q638)*($G$7-$E$7)*($G$7-$F$7))))</f>
        <v>1.00971112655458</v>
      </c>
      <c r="D638" s="37" t="n">
        <f aca="false">1+IF($G$8=$E$8,$F$8,IF(R638&lt;($F$8-$E$8)/($G$8-$E$8),$E$8+SQRT(R638*($G$8-$E$8)*($F$8-$E$8)),$G$8-SQRT((1-R638)*($G$8-$E$8)*($G$8-$F$8))))</f>
        <v>1.01194713343994</v>
      </c>
      <c r="E638" s="37" t="n">
        <f aca="false">1+IF($G$9=$E$9,$F$9,IF(S638&lt;($F$9-$E$9)/($G$9-$E$9),$E$9+SQRT(S638*($G$9-$E$9)*($F$9-$E$9)),$G$9-SQRT((1-S638)*($G$9-$E$9)*($G$9-$F$9))))</f>
        <v>0.96675873890968</v>
      </c>
      <c r="F638" s="37" t="n">
        <f aca="false">1+IF($G$10=$E$10,$F$10,IF(T638&lt;($F$10-$E$10)/($G$10-$E$10),$E$10+SQRT(T638*($G$10-$E$10)*($F$10-$E$10)),$G$10-SQRT((1-T638)*($G$10-$E$10)*($G$10-$F$10))))</f>
        <v>1.00639636111803</v>
      </c>
      <c r="G638" s="38" t="n">
        <f aca="false">IF($G$11=$E$11,$F$11,IF(U638&lt;($F$11-$E$11)/($G$11-$E$11),$E$11+SQRT(U638*($G$11-$E$11)*($F$11-$E$11)),$G$11-SQRT((1-U638)*($G$11-$E$11)*($G$11-$F$11))))</f>
        <v>0.104451486811525</v>
      </c>
      <c r="H638" s="39" t="n">
        <f aca="false">(('Business Case'!B11*$C638*'Business Case'!B12*$B638)-'Business Case'!B11*$C638*'Business Case'!B13*$D638-'Business Case'!B14*$E638)-MAX(0,(('Business Case'!B11*$C638*'Business Case'!B12*$B638)-'Business Case'!B11*$C638*'Business Case'!B13*$D638-'Business Case'!B14*$E638))*'Business Case'!$B$7-'Business Case'!$B$8*('Business Case'!B11*$C638*'Business Case'!B12*$B638)-'Business Case'!B15*$F638</f>
        <v>-2012792722.23607</v>
      </c>
      <c r="I638" s="39" t="n">
        <f aca="false">(('Business Case'!C11*$C638*'Business Case'!C12*$B638)-'Business Case'!C11*$C638*'Business Case'!C13*$D638-'Business Case'!C14*$E638)-MAX(0,(('Business Case'!C11*$C638*'Business Case'!C12*$B638)-'Business Case'!C11*$C638*'Business Case'!C13*$D638-'Business Case'!C14*$E638))*'Business Case'!$B$7-'Business Case'!$B$8*(('Business Case'!C11*$C638*'Business Case'!C12*$B638)-('Business Case'!B11*$C638*'Business Case'!B12*$B638))-'Business Case'!C15*$F638</f>
        <v>5935934.89394194</v>
      </c>
      <c r="J638" s="39" t="n">
        <f aca="false">(('Business Case'!D11*$C638*'Business Case'!D12*$B638)-'Business Case'!D11*$C638*'Business Case'!D13*$D638-'Business Case'!D14*$E638)-MAX(0,(('Business Case'!D11*$C638*'Business Case'!D12*$B638)-'Business Case'!D11*$C638*'Business Case'!D13*$D638-'Business Case'!D14*$E638))*'Business Case'!$B$7-'Business Case'!$B$8*(('Business Case'!D11*$C638*'Business Case'!D12*$B638)-('Business Case'!C11*$C638*'Business Case'!C12*$B638))-'Business Case'!D15*$F638</f>
        <v>301816717.029224</v>
      </c>
      <c r="K638" s="39" t="n">
        <f aca="false">(('Business Case'!E11*$C638*'Business Case'!E12*$B638)-'Business Case'!E11*$C638*'Business Case'!E13*$D638-'Business Case'!E14*$E638)-MAX(0,(('Business Case'!E11*$C638*'Business Case'!E12*$B638)-'Business Case'!E11*$C638*'Business Case'!E13*$D638-'Business Case'!E14*$E638))*'Business Case'!$B$7-'Business Case'!$B$8*(('Business Case'!E11*$C638*'Business Case'!E12*$B638)-('Business Case'!D11*$C638*'Business Case'!D12*$B638))-'Business Case'!E15*$F638</f>
        <v>648017317.220408</v>
      </c>
      <c r="L638" s="39" t="n">
        <f aca="false">(('Business Case'!F11*$C638*'Business Case'!F12*$B638)-'Business Case'!F11*$C638*'Business Case'!F13*$D638-'Business Case'!F14*$E638)-MAX(0,(('Business Case'!F11*$C638*'Business Case'!F12*$B638)-'Business Case'!F11*$C638*'Business Case'!F13*$D638-'Business Case'!F14*$E638))*'Business Case'!$B$7-'Business Case'!$B$8*(('Business Case'!F11*$C638*'Business Case'!F12*$B638)-('Business Case'!E11*$C638*'Business Case'!E12*$B638))-'Business Case'!F15*$F638</f>
        <v>781198990.236555</v>
      </c>
      <c r="M638" s="39" t="n">
        <f aca="false">(('Business Case'!G11*$C638*'Business Case'!G12*$B638)-'Business Case'!G11*$C638*'Business Case'!G13*$D638-'Business Case'!G14*$E638)-MAX(0,(('Business Case'!G11*$C638*'Business Case'!G12*$B638)-'Business Case'!G11*$C638*'Business Case'!G13*$D638-'Business Case'!G14*$E638))*'Business Case'!$B$7-'Business Case'!$B$8*(('Business Case'!G11*$C638*'Business Case'!G12*$B638)-('Business Case'!F11*$C638*'Business Case'!F12*$B638))-'Business Case'!G15*$F638+'Business Case'!$B$8*('Business Case'!G11*$C638*'Business Case'!G12*$B638)</f>
        <v>971250091.244015</v>
      </c>
      <c r="N638" s="39" t="n">
        <f aca="false">IF(COUNT('Business Case'!B11:G11)=0,"",H638+NPV(G638,I638:M638))</f>
        <v>-162954527.561138</v>
      </c>
      <c r="P638" s="40" t="n">
        <f aca="true">RAND()</f>
        <v>0.513801198299327</v>
      </c>
      <c r="Q638" s="40" t="n">
        <f aca="true">RAND()</f>
        <v>0.625124418807927</v>
      </c>
      <c r="R638" s="40" t="n">
        <f aca="true">RAND()</f>
        <v>0.554693014707537</v>
      </c>
      <c r="S638" s="40" t="n">
        <f aca="true">RAND()</f>
        <v>0.0374473773123753</v>
      </c>
      <c r="T638" s="40" t="n">
        <f aca="true">RAND()</f>
        <v>0.250352620233225</v>
      </c>
      <c r="U638" s="40" t="n">
        <f aca="true">RAND()</f>
        <v>0.597072896046356</v>
      </c>
    </row>
    <row r="639" customFormat="false" ht="15" hidden="false" customHeight="false" outlineLevel="0" collapsed="false">
      <c r="A639" s="36" t="n">
        <v>559</v>
      </c>
      <c r="B639" s="37" t="n">
        <f aca="false">1+IF($G$6=$E$6,$F$6,IF(P639&lt;($F$6-$E$6)/($G$6-$E$6),$E$6+SQRT(P639*($G$6-$E$6)*($F$6-$E$6)),$G$6-SQRT((1-P639)*($G$6-$E$6)*($G$6-$F$6))))</f>
        <v>0.983702759932719</v>
      </c>
      <c r="C639" s="37" t="n">
        <f aca="false">1+IF($G$7=$E$7,$F$7,IF(Q639&lt;($F$7-$E$7)/($G$7-$E$7),$E$7+SQRT(Q639*($G$7-$E$7)*($F$7-$E$7)),$G$7-SQRT((1-Q639)*($G$7-$E$7)*($G$7-$F$7))))</f>
        <v>0.974415237847052</v>
      </c>
      <c r="D639" s="37" t="n">
        <f aca="false">1+IF($G$8=$E$8,$F$8,IF(R639&lt;($F$8-$E$8)/($G$8-$E$8),$E$8+SQRT(R639*($G$8-$E$8)*($F$8-$E$8)),$G$8-SQRT((1-R639)*($G$8-$E$8)*($G$8-$F$8))))</f>
        <v>1.0214466851344</v>
      </c>
      <c r="E639" s="37" t="n">
        <f aca="false">1+IF($G$9=$E$9,$F$9,IF(S639&lt;($F$9-$E$9)/($G$9-$E$9),$E$9+SQRT(S639*($G$9-$E$9)*($F$9-$E$9)),$G$9-SQRT((1-S639)*($G$9-$E$9)*($G$9-$F$9))))</f>
        <v>1.06683270431514</v>
      </c>
      <c r="F639" s="37" t="n">
        <f aca="false">1+IF($G$10=$E$10,$F$10,IF(T639&lt;($F$10-$E$10)/($G$10-$E$10),$E$10+SQRT(T639*($G$10-$E$10)*($F$10-$E$10)),$G$10-SQRT((1-T639)*($G$10-$E$10)*($G$10-$F$10))))</f>
        <v>1.13071089816761</v>
      </c>
      <c r="G639" s="38" t="n">
        <f aca="false">IF($G$11=$E$11,$F$11,IF(U639&lt;($F$11-$E$11)/($G$11-$E$11),$E$11+SQRT(U639*($G$11-$E$11)*($F$11-$E$11)),$G$11-SQRT((1-U639)*($G$11-$E$11)*($G$11-$F$11))))</f>
        <v>0.100239959784111</v>
      </c>
      <c r="H639" s="39" t="n">
        <f aca="false">(('Business Case'!B11*$C639*'Business Case'!B12*$B639)-'Business Case'!B11*$C639*'Business Case'!B13*$D639-'Business Case'!B14*$E639)-MAX(0,(('Business Case'!B11*$C639*'Business Case'!B12*$B639)-'Business Case'!B11*$C639*'Business Case'!B13*$D639-'Business Case'!B14*$E639))*'Business Case'!$B$7-'Business Case'!$B$8*('Business Case'!B11*$C639*'Business Case'!B12*$B639)-'Business Case'!B15*$F639</f>
        <v>-2261421796.33523</v>
      </c>
      <c r="I639" s="39" t="n">
        <f aca="false">(('Business Case'!C11*$C639*'Business Case'!C12*$B639)-'Business Case'!C11*$C639*'Business Case'!C13*$D639-'Business Case'!C14*$E639)-MAX(0,(('Business Case'!C11*$C639*'Business Case'!C12*$B639)-'Business Case'!C11*$C639*'Business Case'!C13*$D639-'Business Case'!C14*$E639))*'Business Case'!$B$7-'Business Case'!$B$8*(('Business Case'!C11*$C639*'Business Case'!C12*$B639)-('Business Case'!B11*$C639*'Business Case'!B12*$B639))-'Business Case'!C15*$F639</f>
        <v>-38876747.7077184</v>
      </c>
      <c r="J639" s="39" t="n">
        <f aca="false">(('Business Case'!D11*$C639*'Business Case'!D12*$B639)-'Business Case'!D11*$C639*'Business Case'!D13*$D639-'Business Case'!D14*$E639)-MAX(0,(('Business Case'!D11*$C639*'Business Case'!D12*$B639)-'Business Case'!D11*$C639*'Business Case'!D13*$D639-'Business Case'!D14*$E639))*'Business Case'!$B$7-'Business Case'!$B$8*(('Business Case'!D11*$C639*'Business Case'!D12*$B639)-('Business Case'!C11*$C639*'Business Case'!C12*$B639))-'Business Case'!D15*$F639</f>
        <v>236711657.218644</v>
      </c>
      <c r="K639" s="39" t="n">
        <f aca="false">(('Business Case'!E11*$C639*'Business Case'!E12*$B639)-'Business Case'!E11*$C639*'Business Case'!E13*$D639-'Business Case'!E14*$E639)-MAX(0,(('Business Case'!E11*$C639*'Business Case'!E12*$B639)-'Business Case'!E11*$C639*'Business Case'!E13*$D639-'Business Case'!E14*$E639))*'Business Case'!$B$7-'Business Case'!$B$8*(('Business Case'!E11*$C639*'Business Case'!E12*$B639)-('Business Case'!D11*$C639*'Business Case'!D12*$B639))-'Business Case'!E15*$F639</f>
        <v>568835607.053387</v>
      </c>
      <c r="L639" s="39" t="n">
        <f aca="false">(('Business Case'!F11*$C639*'Business Case'!F12*$B639)-'Business Case'!F11*$C639*'Business Case'!F13*$D639-'Business Case'!F14*$E639)-MAX(0,(('Business Case'!F11*$C639*'Business Case'!F12*$B639)-'Business Case'!F11*$C639*'Business Case'!F13*$D639-'Business Case'!F14*$E639))*'Business Case'!$B$7-'Business Case'!$B$8*(('Business Case'!F11*$C639*'Business Case'!F12*$B639)-('Business Case'!E11*$C639*'Business Case'!E12*$B639))-'Business Case'!F15*$F639</f>
        <v>693825376.871312</v>
      </c>
      <c r="M639" s="39" t="n">
        <f aca="false">(('Business Case'!G11*$C639*'Business Case'!G12*$B639)-'Business Case'!G11*$C639*'Business Case'!G13*$D639-'Business Case'!G14*$E639)-MAX(0,(('Business Case'!G11*$C639*'Business Case'!G12*$B639)-'Business Case'!G11*$C639*'Business Case'!G13*$D639-'Business Case'!G14*$E639))*'Business Case'!$B$7-'Business Case'!$B$8*(('Business Case'!G11*$C639*'Business Case'!G12*$B639)-('Business Case'!F11*$C639*'Business Case'!F12*$B639))-'Business Case'!G15*$F639+'Business Case'!$B$8*('Business Case'!G11*$C639*'Business Case'!G12*$B639)</f>
        <v>876023701.838238</v>
      </c>
      <c r="N639" s="39" t="n">
        <f aca="false">IF(COUNT('Business Case'!B11:G11)=0,"",H639+NPV(G639,I639:M639))</f>
        <v>-657289720.421287</v>
      </c>
      <c r="P639" s="40" t="n">
        <f aca="true">RAND()</f>
        <v>0.422712669067259</v>
      </c>
      <c r="Q639" s="40" t="n">
        <f aca="true">RAND()</f>
        <v>0.434581074189195</v>
      </c>
      <c r="R639" s="40" t="n">
        <f aca="true">RAND()</f>
        <v>0.67033743444707</v>
      </c>
      <c r="S639" s="40" t="n">
        <f aca="true">RAND()</f>
        <v>0.926662033130202</v>
      </c>
      <c r="T639" s="40" t="n">
        <f aca="true">RAND()</f>
        <v>0.903980407345221</v>
      </c>
      <c r="U639" s="40" t="n">
        <f aca="true">RAND()</f>
        <v>0.349234684444072</v>
      </c>
    </row>
    <row r="640" customFormat="false" ht="15" hidden="false" customHeight="false" outlineLevel="0" collapsed="false">
      <c r="A640" s="36" t="n">
        <v>560</v>
      </c>
      <c r="B640" s="37" t="n">
        <f aca="false">1+IF($G$6=$E$6,$F$6,IF(P640&lt;($F$6-$E$6)/($G$6-$E$6),$E$6+SQRT(P640*($G$6-$E$6)*($F$6-$E$6)),$G$6-SQRT((1-P640)*($G$6-$E$6)*($G$6-$F$6))))</f>
        <v>0.972720980781926</v>
      </c>
      <c r="C640" s="37" t="n">
        <f aca="false">1+IF($G$7=$E$7,$F$7,IF(Q640&lt;($F$7-$E$7)/($G$7-$E$7),$E$7+SQRT(Q640*($G$7-$E$7)*($F$7-$E$7)),$G$7-SQRT((1-Q640)*($G$7-$E$7)*($G$7-$F$7))))</f>
        <v>1.08777322025996</v>
      </c>
      <c r="D640" s="37" t="n">
        <f aca="false">1+IF($G$8=$E$8,$F$8,IF(R640&lt;($F$8-$E$8)/($G$8-$E$8),$E$8+SQRT(R640*($G$8-$E$8)*($F$8-$E$8)),$G$8-SQRT((1-R640)*($G$8-$E$8)*($G$8-$F$8))))</f>
        <v>1.00364271535948</v>
      </c>
      <c r="E640" s="37" t="n">
        <f aca="false">1+IF($G$9=$E$9,$F$9,IF(S640&lt;($F$9-$E$9)/($G$9-$E$9),$E$9+SQRT(S640*($G$9-$E$9)*($F$9-$E$9)),$G$9-SQRT((1-S640)*($G$9-$E$9)*($G$9-$F$9))))</f>
        <v>1.02124951631087</v>
      </c>
      <c r="F640" s="37" t="n">
        <f aca="false">1+IF($G$10=$E$10,$F$10,IF(T640&lt;($F$10-$E$10)/($G$10-$E$10),$E$10+SQRT(T640*($G$10-$E$10)*($F$10-$E$10)),$G$10-SQRT((1-T640)*($G$10-$E$10)*($G$10-$F$10))))</f>
        <v>1.05549821997432</v>
      </c>
      <c r="G640" s="38" t="n">
        <f aca="false">IF($G$11=$E$11,$F$11,IF(U640&lt;($F$11-$E$11)/($G$11-$E$11),$E$11+SQRT(U640*($G$11-$E$11)*($F$11-$E$11)),$G$11-SQRT((1-U640)*($G$11-$E$11)*($G$11-$F$11))))</f>
        <v>0.108369158045394</v>
      </c>
      <c r="H640" s="39" t="n">
        <f aca="false">(('Business Case'!B11*$C640*'Business Case'!B12*$B640)-'Business Case'!B11*$C640*'Business Case'!B13*$D640-'Business Case'!B14*$E640)-MAX(0,(('Business Case'!B11*$C640*'Business Case'!B12*$B640)-'Business Case'!B11*$C640*'Business Case'!B13*$D640-'Business Case'!B14*$E640))*'Business Case'!$B$7-'Business Case'!$B$8*('Business Case'!B11*$C640*'Business Case'!B12*$B640)-'Business Case'!B15*$F640</f>
        <v>-2110996439.94863</v>
      </c>
      <c r="I640" s="39" t="n">
        <f aca="false">(('Business Case'!C11*$C640*'Business Case'!C12*$B640)-'Business Case'!C11*$C640*'Business Case'!C13*$D640-'Business Case'!C14*$E640)-MAX(0,(('Business Case'!C11*$C640*'Business Case'!C12*$B640)-'Business Case'!C11*$C640*'Business Case'!C13*$D640-'Business Case'!C14*$E640))*'Business Case'!$B$7-'Business Case'!$B$8*(('Business Case'!C11*$C640*'Business Case'!C12*$B640)-('Business Case'!B11*$C640*'Business Case'!B12*$B640))-'Business Case'!C15*$F640</f>
        <v>2155224.97005324</v>
      </c>
      <c r="J640" s="39" t="n">
        <f aca="false">(('Business Case'!D11*$C640*'Business Case'!D12*$B640)-'Business Case'!D11*$C640*'Business Case'!D13*$D640-'Business Case'!D14*$E640)-MAX(0,(('Business Case'!D11*$C640*'Business Case'!D12*$B640)-'Business Case'!D11*$C640*'Business Case'!D13*$D640-'Business Case'!D14*$E640))*'Business Case'!$B$7-'Business Case'!$B$8*(('Business Case'!D11*$C640*'Business Case'!D12*$B640)-('Business Case'!C11*$C640*'Business Case'!C12*$B640))-'Business Case'!D15*$F640</f>
        <v>309933848.534894</v>
      </c>
      <c r="K640" s="39" t="n">
        <f aca="false">(('Business Case'!E11*$C640*'Business Case'!E12*$B640)-'Business Case'!E11*$C640*'Business Case'!E13*$D640-'Business Case'!E14*$E640)-MAX(0,(('Business Case'!E11*$C640*'Business Case'!E12*$B640)-'Business Case'!E11*$C640*'Business Case'!E13*$D640-'Business Case'!E14*$E640))*'Business Case'!$B$7-'Business Case'!$B$8*(('Business Case'!E11*$C640*'Business Case'!E12*$B640)-('Business Case'!D11*$C640*'Business Case'!D12*$B640))-'Business Case'!E15*$F640</f>
        <v>670487383.098451</v>
      </c>
      <c r="L640" s="39" t="n">
        <f aca="false">(('Business Case'!F11*$C640*'Business Case'!F12*$B640)-'Business Case'!F11*$C640*'Business Case'!F13*$D640-'Business Case'!F14*$E640)-MAX(0,(('Business Case'!F11*$C640*'Business Case'!F12*$B640)-'Business Case'!F11*$C640*'Business Case'!F13*$D640-'Business Case'!F14*$E640))*'Business Case'!$B$7-'Business Case'!$B$8*(('Business Case'!F11*$C640*'Business Case'!F12*$B640)-('Business Case'!E11*$C640*'Business Case'!E12*$B640))-'Business Case'!F15*$F640</f>
        <v>809648187.872031</v>
      </c>
      <c r="M640" s="39" t="n">
        <f aca="false">(('Business Case'!G11*$C640*'Business Case'!G12*$B640)-'Business Case'!G11*$C640*'Business Case'!G13*$D640-'Business Case'!G14*$E640)-MAX(0,(('Business Case'!G11*$C640*'Business Case'!G12*$B640)-'Business Case'!G11*$C640*'Business Case'!G13*$D640-'Business Case'!G14*$E640))*'Business Case'!$B$7-'Business Case'!$B$8*(('Business Case'!G11*$C640*'Business Case'!G12*$B640)-('Business Case'!F11*$C640*'Business Case'!F12*$B640))-'Business Case'!G15*$F640+'Business Case'!$B$8*('Business Case'!G11*$C640*'Business Case'!G12*$B640)</f>
        <v>1010771804.25785</v>
      </c>
      <c r="N640" s="39" t="n">
        <f aca="false">IF(COUNT('Business Case'!B11:G11)=0,"",H640+NPV(G640,I640:M640))</f>
        <v>-223583858.282255</v>
      </c>
      <c r="P640" s="40" t="n">
        <f aca="true">RAND()</f>
        <v>0.289531439021692</v>
      </c>
      <c r="Q640" s="40" t="n">
        <f aca="true">RAND()</f>
        <v>0.926244340632092</v>
      </c>
      <c r="R640" s="40" t="n">
        <f aca="true">RAND()</f>
        <v>0.439381257916034</v>
      </c>
      <c r="S640" s="40" t="n">
        <f aca="true">RAND()</f>
        <v>0.586557421248583</v>
      </c>
      <c r="T640" s="40" t="n">
        <f aca="true">RAND()</f>
        <v>0.582384711388183</v>
      </c>
      <c r="U640" s="40" t="n">
        <f aca="true">RAND()</f>
        <v>0.774539192378278</v>
      </c>
    </row>
    <row r="641" customFormat="false" ht="15" hidden="false" customHeight="false" outlineLevel="0" collapsed="false">
      <c r="A641" s="36" t="n">
        <v>561</v>
      </c>
      <c r="B641" s="37" t="n">
        <f aca="false">1+IF($G$6=$E$6,$F$6,IF(P641&lt;($F$6-$E$6)/($G$6-$E$6),$E$6+SQRT(P641*($G$6-$E$6)*($F$6-$E$6)),$G$6-SQRT((1-P641)*($G$6-$E$6)*($G$6-$F$6))))</f>
        <v>0.977261750884586</v>
      </c>
      <c r="C641" s="37" t="n">
        <f aca="false">1+IF($G$7=$E$7,$F$7,IF(Q641&lt;($F$7-$E$7)/($G$7-$E$7),$E$7+SQRT(Q641*($G$7-$E$7)*($F$7-$E$7)),$G$7-SQRT((1-Q641)*($G$7-$E$7)*($G$7-$F$7))))</f>
        <v>1.02228195943444</v>
      </c>
      <c r="D641" s="37" t="n">
        <f aca="false">1+IF($G$8=$E$8,$F$8,IF(R641&lt;($F$8-$E$8)/($G$8-$E$8),$E$8+SQRT(R641*($G$8-$E$8)*($F$8-$E$8)),$G$8-SQRT((1-R641)*($G$8-$E$8)*($G$8-$F$8))))</f>
        <v>1.00088089418794</v>
      </c>
      <c r="E641" s="37" t="n">
        <f aca="false">1+IF($G$9=$E$9,$F$9,IF(S641&lt;($F$9-$E$9)/($G$9-$E$9),$E$9+SQRT(S641*($G$9-$E$9)*($F$9-$E$9)),$G$9-SQRT((1-S641)*($G$9-$E$9)*($G$9-$F$9))))</f>
        <v>0.975444373868914</v>
      </c>
      <c r="F641" s="37" t="n">
        <f aca="false">1+IF($G$10=$E$10,$F$10,IF(T641&lt;($F$10-$E$10)/($G$10-$E$10),$E$10+SQRT(T641*($G$10-$E$10)*($F$10-$E$10)),$G$10-SQRT((1-T641)*($G$10-$E$10)*($G$10-$F$10))))</f>
        <v>0.954084588706457</v>
      </c>
      <c r="G641" s="38" t="n">
        <f aca="false">IF($G$11=$E$11,$F$11,IF(U641&lt;($F$11-$E$11)/($G$11-$E$11),$E$11+SQRT(U641*($G$11-$E$11)*($F$11-$E$11)),$G$11-SQRT((1-U641)*($G$11-$E$11)*($G$11-$F$11))))</f>
        <v>0.100829370096791</v>
      </c>
      <c r="H641" s="39" t="n">
        <f aca="false">(('Business Case'!B11*$C641*'Business Case'!B12*$B641)-'Business Case'!B11*$C641*'Business Case'!B13*$D641-'Business Case'!B14*$E641)-MAX(0,(('Business Case'!B11*$C641*'Business Case'!B12*$B641)-'Business Case'!B11*$C641*'Business Case'!B13*$D641-'Business Case'!B14*$E641))*'Business Case'!$B$7-'Business Case'!$B$8*('Business Case'!B11*$C641*'Business Case'!B12*$B641)-'Business Case'!B15*$F641</f>
        <v>-1908169177.41291</v>
      </c>
      <c r="I641" s="39" t="n">
        <f aca="false">(('Business Case'!C11*$C641*'Business Case'!C12*$B641)-'Business Case'!C11*$C641*'Business Case'!C13*$D641-'Business Case'!C14*$E641)-MAX(0,(('Business Case'!C11*$C641*'Business Case'!C12*$B641)-'Business Case'!C11*$C641*'Business Case'!C13*$D641-'Business Case'!C14*$E641))*'Business Case'!$B$7-'Business Case'!$B$8*(('Business Case'!C11*$C641*'Business Case'!C12*$B641)-('Business Case'!B11*$C641*'Business Case'!B12*$B641))-'Business Case'!C15*$F641</f>
        <v>8588974.90530291</v>
      </c>
      <c r="J641" s="39" t="n">
        <f aca="false">(('Business Case'!D11*$C641*'Business Case'!D12*$B641)-'Business Case'!D11*$C641*'Business Case'!D13*$D641-'Business Case'!D14*$E641)-MAX(0,(('Business Case'!D11*$C641*'Business Case'!D12*$B641)-'Business Case'!D11*$C641*'Business Case'!D13*$D641-'Business Case'!D14*$E641))*'Business Case'!$B$7-'Business Case'!$B$8*(('Business Case'!D11*$C641*'Business Case'!D12*$B641)-('Business Case'!C11*$C641*'Business Case'!C12*$B641))-'Business Case'!D15*$F641</f>
        <v>303084679.71008</v>
      </c>
      <c r="K641" s="39" t="n">
        <f aca="false">(('Business Case'!E11*$C641*'Business Case'!E12*$B641)-'Business Case'!E11*$C641*'Business Case'!E13*$D641-'Business Case'!E14*$E641)-MAX(0,(('Business Case'!E11*$C641*'Business Case'!E12*$B641)-'Business Case'!E11*$C641*'Business Case'!E13*$D641-'Business Case'!E14*$E641))*'Business Case'!$B$7-'Business Case'!$B$8*(('Business Case'!E11*$C641*'Business Case'!E12*$B641)-('Business Case'!D11*$C641*'Business Case'!D12*$B641))-'Business Case'!E15*$F641</f>
        <v>645284613.950179</v>
      </c>
      <c r="L641" s="39" t="n">
        <f aca="false">(('Business Case'!F11*$C641*'Business Case'!F12*$B641)-'Business Case'!F11*$C641*'Business Case'!F13*$D641-'Business Case'!F14*$E641)-MAX(0,(('Business Case'!F11*$C641*'Business Case'!F12*$B641)-'Business Case'!F11*$C641*'Business Case'!F13*$D641-'Business Case'!F14*$E641))*'Business Case'!$B$7-'Business Case'!$B$8*(('Business Case'!F11*$C641*'Business Case'!F12*$B641)-('Business Case'!E11*$C641*'Business Case'!E12*$B641))-'Business Case'!F15*$F641</f>
        <v>777976569.594884</v>
      </c>
      <c r="M641" s="39" t="n">
        <f aca="false">(('Business Case'!G11*$C641*'Business Case'!G12*$B641)-'Business Case'!G11*$C641*'Business Case'!G13*$D641-'Business Case'!G14*$E641)-MAX(0,(('Business Case'!G11*$C641*'Business Case'!G12*$B641)-'Business Case'!G11*$C641*'Business Case'!G13*$D641-'Business Case'!G14*$E641))*'Business Case'!$B$7-'Business Case'!$B$8*(('Business Case'!G11*$C641*'Business Case'!G12*$B641)-('Business Case'!F11*$C641*'Business Case'!F12*$B641))-'Business Case'!G15*$F641+'Business Case'!$B$8*('Business Case'!G11*$C641*'Business Case'!G12*$B641)</f>
        <v>967873533.49867</v>
      </c>
      <c r="N641" s="39" t="n">
        <f aca="false">IF(COUNT('Business Case'!B11:G11)=0,"",H641+NPV(G641,I641:M641))</f>
        <v>-38062280.7171073</v>
      </c>
      <c r="P641" s="40" t="n">
        <f aca="true">RAND()</f>
        <v>0.341552928580035</v>
      </c>
      <c r="Q641" s="40" t="n">
        <f aca="true">RAND()</f>
        <v>0.689297183125612</v>
      </c>
      <c r="R641" s="40" t="n">
        <f aca="true">RAND()</f>
        <v>0.398092989951906</v>
      </c>
      <c r="S641" s="40" t="n">
        <f aca="true">RAND()</f>
        <v>0.086322154877476</v>
      </c>
      <c r="T641" s="40" t="n">
        <f aca="true">RAND()</f>
        <v>0.00133470919207307</v>
      </c>
      <c r="U641" s="40" t="n">
        <f aca="true">RAND()</f>
        <v>0.387478248523633</v>
      </c>
    </row>
    <row r="642" customFormat="false" ht="15" hidden="false" customHeight="false" outlineLevel="0" collapsed="false">
      <c r="A642" s="36" t="n">
        <v>562</v>
      </c>
      <c r="B642" s="37" t="n">
        <f aca="false">1+IF($G$6=$E$6,$F$6,IF(P642&lt;($F$6-$E$6)/($G$6-$E$6),$E$6+SQRT(P642*($G$6-$E$6)*($F$6-$E$6)),$G$6-SQRT((1-P642)*($G$6-$E$6)*($G$6-$F$6))))</f>
        <v>0.976566956654668</v>
      </c>
      <c r="C642" s="37" t="n">
        <f aca="false">1+IF($G$7=$E$7,$F$7,IF(Q642&lt;($F$7-$E$7)/($G$7-$E$7),$E$7+SQRT(Q642*($G$7-$E$7)*($F$7-$E$7)),$G$7-SQRT((1-Q642)*($G$7-$E$7)*($G$7-$F$7))))</f>
        <v>0.992823242405321</v>
      </c>
      <c r="D642" s="37" t="n">
        <f aca="false">1+IF($G$8=$E$8,$F$8,IF(R642&lt;($F$8-$E$8)/($G$8-$E$8),$E$8+SQRT(R642*($G$8-$E$8)*($F$8-$E$8)),$G$8-SQRT((1-R642)*($G$8-$E$8)*($G$8-$F$8))))</f>
        <v>0.992304969430241</v>
      </c>
      <c r="E642" s="37" t="n">
        <f aca="false">1+IF($G$9=$E$9,$F$9,IF(S642&lt;($F$9-$E$9)/($G$9-$E$9),$E$9+SQRT(S642*($G$9-$E$9)*($F$9-$E$9)),$G$9-SQRT((1-S642)*($G$9-$E$9)*($G$9-$F$9))))</f>
        <v>1.03275251490066</v>
      </c>
      <c r="F642" s="37" t="n">
        <f aca="false">1+IF($G$10=$E$10,$F$10,IF(T642&lt;($F$10-$E$10)/($G$10-$E$10),$E$10+SQRT(T642*($G$10-$E$10)*($F$10-$E$10)),$G$10-SQRT((1-T642)*($G$10-$E$10)*($G$10-$F$10))))</f>
        <v>1.15546659896086</v>
      </c>
      <c r="G642" s="38" t="n">
        <f aca="false">IF($G$11=$E$11,$F$11,IF(U642&lt;($F$11-$E$11)/($G$11-$E$11),$E$11+SQRT(U642*($G$11-$E$11)*($F$11-$E$11)),$G$11-SQRT((1-U642)*($G$11-$E$11)*($G$11-$F$11))))</f>
        <v>0.113060948074032</v>
      </c>
      <c r="H642" s="39" t="n">
        <f aca="false">(('Business Case'!B11*$C642*'Business Case'!B12*$B642)-'Business Case'!B11*$C642*'Business Case'!B13*$D642-'Business Case'!B14*$E642)-MAX(0,(('Business Case'!B11*$C642*'Business Case'!B12*$B642)-'Business Case'!B11*$C642*'Business Case'!B13*$D642-'Business Case'!B14*$E642))*'Business Case'!$B$7-'Business Case'!$B$8*('Business Case'!B11*$C642*'Business Case'!B12*$B642)-'Business Case'!B15*$F642</f>
        <v>-2310933197.92172</v>
      </c>
      <c r="I642" s="39" t="n">
        <f aca="false">(('Business Case'!C11*$C642*'Business Case'!C12*$B642)-'Business Case'!C11*$C642*'Business Case'!C13*$D642-'Business Case'!C14*$E642)-MAX(0,(('Business Case'!C11*$C642*'Business Case'!C12*$B642)-'Business Case'!C11*$C642*'Business Case'!C13*$D642-'Business Case'!C14*$E642))*'Business Case'!$B$7-'Business Case'!$B$8*(('Business Case'!C11*$C642*'Business Case'!C12*$B642)-('Business Case'!B11*$C642*'Business Case'!B12*$B642))-'Business Case'!C15*$F642</f>
        <v>-22862963.5679024</v>
      </c>
      <c r="J642" s="39" t="n">
        <f aca="false">(('Business Case'!D11*$C642*'Business Case'!D12*$B642)-'Business Case'!D11*$C642*'Business Case'!D13*$D642-'Business Case'!D14*$E642)-MAX(0,(('Business Case'!D11*$C642*'Business Case'!D12*$B642)-'Business Case'!D11*$C642*'Business Case'!D13*$D642-'Business Case'!D14*$E642))*'Business Case'!$B$7-'Business Case'!$B$8*(('Business Case'!D11*$C642*'Business Case'!D12*$B642)-('Business Case'!C11*$C642*'Business Case'!C12*$B642))-'Business Case'!D15*$F642</f>
        <v>266940046.400835</v>
      </c>
      <c r="K642" s="39" t="n">
        <f aca="false">(('Business Case'!E11*$C642*'Business Case'!E12*$B642)-'Business Case'!E11*$C642*'Business Case'!E13*$D642-'Business Case'!E14*$E642)-MAX(0,(('Business Case'!E11*$C642*'Business Case'!E12*$B642)-'Business Case'!E11*$C642*'Business Case'!E13*$D642-'Business Case'!E14*$E642))*'Business Case'!$B$7-'Business Case'!$B$8*(('Business Case'!E11*$C642*'Business Case'!E12*$B642)-('Business Case'!D11*$C642*'Business Case'!D12*$B642))-'Business Case'!E15*$F642</f>
        <v>614516386.317615</v>
      </c>
      <c r="L642" s="39" t="n">
        <f aca="false">(('Business Case'!F11*$C642*'Business Case'!F12*$B642)-'Business Case'!F11*$C642*'Business Case'!F13*$D642-'Business Case'!F14*$E642)-MAX(0,(('Business Case'!F11*$C642*'Business Case'!F12*$B642)-'Business Case'!F11*$C642*'Business Case'!F13*$D642-'Business Case'!F14*$E642))*'Business Case'!$B$7-'Business Case'!$B$8*(('Business Case'!F11*$C642*'Business Case'!F12*$B642)-('Business Case'!E11*$C642*'Business Case'!E12*$B642))-'Business Case'!F15*$F642</f>
        <v>744625326.988314</v>
      </c>
      <c r="M642" s="39" t="n">
        <f aca="false">(('Business Case'!G11*$C642*'Business Case'!G12*$B642)-'Business Case'!G11*$C642*'Business Case'!G13*$D642-'Business Case'!G14*$E642)-MAX(0,(('Business Case'!G11*$C642*'Business Case'!G12*$B642)-'Business Case'!G11*$C642*'Business Case'!G13*$D642-'Business Case'!G14*$E642))*'Business Case'!$B$7-'Business Case'!$B$8*(('Business Case'!G11*$C642*'Business Case'!G12*$B642)-('Business Case'!F11*$C642*'Business Case'!F12*$B642))-'Business Case'!G15*$F642+'Business Case'!$B$8*('Business Case'!G11*$C642*'Business Case'!G12*$B642)</f>
        <v>928918982.40114</v>
      </c>
      <c r="N642" s="39" t="n">
        <f aca="false">IF(COUNT('Business Case'!B11:G11)=0,"",H642+NPV(G642,I642:M642))</f>
        <v>-641512883.310025</v>
      </c>
      <c r="P642" s="40" t="n">
        <f aca="true">RAND()</f>
        <v>0.333314644288655</v>
      </c>
      <c r="Q642" s="40" t="n">
        <f aca="true">RAND()</f>
        <v>0.531154325881446</v>
      </c>
      <c r="R642" s="40" t="n">
        <f aca="true">RAND()</f>
        <v>0.275340067460554</v>
      </c>
      <c r="S642" s="40" t="n">
        <f aca="true">RAND()</f>
        <v>0.698518383187626</v>
      </c>
      <c r="T642" s="40" t="n">
        <f aca="true">RAND()</f>
        <v>0.960335523837742</v>
      </c>
      <c r="U642" s="40" t="n">
        <f aca="true">RAND()</f>
        <v>0.919749263947859</v>
      </c>
    </row>
    <row r="643" customFormat="false" ht="15" hidden="false" customHeight="false" outlineLevel="0" collapsed="false">
      <c r="A643" s="36" t="n">
        <v>563</v>
      </c>
      <c r="B643" s="37" t="n">
        <f aca="false">1+IF($G$6=$E$6,$F$6,IF(P643&lt;($F$6-$E$6)/($G$6-$E$6),$E$6+SQRT(P643*($G$6-$E$6)*($F$6-$E$6)),$G$6-SQRT((1-P643)*($G$6-$E$6)*($G$6-$F$6))))</f>
        <v>0.993231164005633</v>
      </c>
      <c r="C643" s="37" t="n">
        <f aca="false">1+IF($G$7=$E$7,$F$7,IF(Q643&lt;($F$7-$E$7)/($G$7-$E$7),$E$7+SQRT(Q643*($G$7-$E$7)*($F$7-$E$7)),$G$7-SQRT((1-Q643)*($G$7-$E$7)*($G$7-$F$7))))</f>
        <v>0.917419757211443</v>
      </c>
      <c r="D643" s="37" t="n">
        <f aca="false">1+IF($G$8=$E$8,$F$8,IF(R643&lt;($F$8-$E$8)/($G$8-$E$8),$E$8+SQRT(R643*($G$8-$E$8)*($F$8-$E$8)),$G$8-SQRT((1-R643)*($G$8-$E$8)*($G$8-$F$8))))</f>
        <v>1.04464330793118</v>
      </c>
      <c r="E643" s="37" t="n">
        <f aca="false">1+IF($G$9=$E$9,$F$9,IF(S643&lt;($F$9-$E$9)/($G$9-$E$9),$E$9+SQRT(S643*($G$9-$E$9)*($F$9-$E$9)),$G$9-SQRT((1-S643)*($G$9-$E$9)*($G$9-$F$9))))</f>
        <v>1.04474433599617</v>
      </c>
      <c r="F643" s="37" t="n">
        <f aca="false">1+IF($G$10=$E$10,$F$10,IF(T643&lt;($F$10-$E$10)/($G$10-$E$10),$E$10+SQRT(T643*($G$10-$E$10)*($F$10-$E$10)),$G$10-SQRT((1-T643)*($G$10-$E$10)*($G$10-$F$10))))</f>
        <v>1.08497774682302</v>
      </c>
      <c r="G643" s="38" t="n">
        <f aca="false">IF($G$11=$E$11,$F$11,IF(U643&lt;($F$11-$E$11)/($G$11-$E$11),$E$11+SQRT(U643*($G$11-$E$11)*($F$11-$E$11)),$G$11-SQRT((1-U643)*($G$11-$E$11)*($G$11-$F$11))))</f>
        <v>0.0964647650093828</v>
      </c>
      <c r="H643" s="39" t="n">
        <f aca="false">(('Business Case'!B11*$C643*'Business Case'!B12*$B643)-'Business Case'!B11*$C643*'Business Case'!B13*$D643-'Business Case'!B14*$E643)-MAX(0,(('Business Case'!B11*$C643*'Business Case'!B12*$B643)-'Business Case'!B11*$C643*'Business Case'!B13*$D643-'Business Case'!B14*$E643))*'Business Case'!$B$7-'Business Case'!$B$8*('Business Case'!B11*$C643*'Business Case'!B12*$B643)-'Business Case'!B15*$F643</f>
        <v>-2169955493.64605</v>
      </c>
      <c r="I643" s="39" t="n">
        <f aca="false">(('Business Case'!C11*$C643*'Business Case'!C12*$B643)-'Business Case'!C11*$C643*'Business Case'!C13*$D643-'Business Case'!C14*$E643)-MAX(0,(('Business Case'!C11*$C643*'Business Case'!C12*$B643)-'Business Case'!C11*$C643*'Business Case'!C13*$D643-'Business Case'!C14*$E643))*'Business Case'!$B$7-'Business Case'!$B$8*(('Business Case'!C11*$C643*'Business Case'!C12*$B643)-('Business Case'!B11*$C643*'Business Case'!B12*$B643))-'Business Case'!C15*$F643</f>
        <v>-48563082.1501262</v>
      </c>
      <c r="J643" s="39" t="n">
        <f aca="false">(('Business Case'!D11*$C643*'Business Case'!D12*$B643)-'Business Case'!D11*$C643*'Business Case'!D13*$D643-'Business Case'!D14*$E643)-MAX(0,(('Business Case'!D11*$C643*'Business Case'!D12*$B643)-'Business Case'!D11*$C643*'Business Case'!D13*$D643-'Business Case'!D14*$E643))*'Business Case'!$B$7-'Business Case'!$B$8*(('Business Case'!D11*$C643*'Business Case'!D12*$B643)-('Business Case'!C11*$C643*'Business Case'!C12*$B643))-'Business Case'!D15*$F643</f>
        <v>207171375.83129</v>
      </c>
      <c r="K643" s="39" t="n">
        <f aca="false">(('Business Case'!E11*$C643*'Business Case'!E12*$B643)-'Business Case'!E11*$C643*'Business Case'!E13*$D643-'Business Case'!E14*$E643)-MAX(0,(('Business Case'!E11*$C643*'Business Case'!E12*$B643)-'Business Case'!E11*$C643*'Business Case'!E13*$D643-'Business Case'!E14*$E643))*'Business Case'!$B$7-'Business Case'!$B$8*(('Business Case'!E11*$C643*'Business Case'!E12*$B643)-('Business Case'!D11*$C643*'Business Case'!D12*$B643))-'Business Case'!E15*$F643</f>
        <v>517154721.153858</v>
      </c>
      <c r="L643" s="39" t="n">
        <f aca="false">(('Business Case'!F11*$C643*'Business Case'!F12*$B643)-'Business Case'!F11*$C643*'Business Case'!F13*$D643-'Business Case'!F14*$E643)-MAX(0,(('Business Case'!F11*$C643*'Business Case'!F12*$B643)-'Business Case'!F11*$C643*'Business Case'!F13*$D643-'Business Case'!F14*$E643))*'Business Case'!$B$7-'Business Case'!$B$8*(('Business Case'!F11*$C643*'Business Case'!F12*$B643)-('Business Case'!E11*$C643*'Business Case'!E12*$B643))-'Business Case'!F15*$F643</f>
        <v>633890954.39472</v>
      </c>
      <c r="M643" s="39" t="n">
        <f aca="false">(('Business Case'!G11*$C643*'Business Case'!G12*$B643)-'Business Case'!G11*$C643*'Business Case'!G13*$D643-'Business Case'!G14*$E643)-MAX(0,(('Business Case'!G11*$C643*'Business Case'!G12*$B643)-'Business Case'!G11*$C643*'Business Case'!G13*$D643-'Business Case'!G14*$E643))*'Business Case'!$B$7-'Business Case'!$B$8*(('Business Case'!G11*$C643*'Business Case'!G12*$B643)-('Business Case'!F11*$C643*'Business Case'!F12*$B643))-'Business Case'!G15*$F643+'Business Case'!$B$8*('Business Case'!G11*$C643*'Business Case'!G12*$B643)</f>
        <v>807093730.920195</v>
      </c>
      <c r="N643" s="39" t="n">
        <f aca="false">IF(COUNT('Business Case'!B11:G11)=0,"",H643+NPV(G643,I643:M643))</f>
        <v>-701768045.683094</v>
      </c>
      <c r="P643" s="40" t="n">
        <f aca="true">RAND()</f>
        <v>0.558625352252077</v>
      </c>
      <c r="Q643" s="40" t="n">
        <f aca="true">RAND()</f>
        <v>0.196962848337061</v>
      </c>
      <c r="R643" s="40" t="n">
        <f aca="true">RAND()</f>
        <v>0.879798492879878</v>
      </c>
      <c r="S643" s="40" t="n">
        <f aca="true">RAND()</f>
        <v>0.796454106366425</v>
      </c>
      <c r="T643" s="40" t="n">
        <f aca="true">RAND()</f>
        <v>0.735397625481837</v>
      </c>
      <c r="U643" s="40" t="n">
        <f aca="true">RAND()</f>
        <v>0.139310622088467</v>
      </c>
    </row>
    <row r="644" customFormat="false" ht="15" hidden="false" customHeight="false" outlineLevel="0" collapsed="false">
      <c r="A644" s="36" t="n">
        <v>564</v>
      </c>
      <c r="B644" s="37" t="n">
        <f aca="false">1+IF($G$6=$E$6,$F$6,IF(P644&lt;($F$6-$E$6)/($G$6-$E$6),$E$6+SQRT(P644*($G$6-$E$6)*($F$6-$E$6)),$G$6-SQRT((1-P644)*($G$6-$E$6)*($G$6-$F$6))))</f>
        <v>1.00158586247402</v>
      </c>
      <c r="C644" s="37" t="n">
        <f aca="false">1+IF($G$7=$E$7,$F$7,IF(Q644&lt;($F$7-$E$7)/($G$7-$E$7),$E$7+SQRT(Q644*($G$7-$E$7)*($F$7-$E$7)),$G$7-SQRT((1-Q644)*($G$7-$E$7)*($G$7-$F$7))))</f>
        <v>0.943097049532598</v>
      </c>
      <c r="D644" s="37" t="n">
        <f aca="false">1+IF($G$8=$E$8,$F$8,IF(R644&lt;($F$8-$E$8)/($G$8-$E$8),$E$8+SQRT(R644*($G$8-$E$8)*($F$8-$E$8)),$G$8-SQRT((1-R644)*($G$8-$E$8)*($G$8-$F$8))))</f>
        <v>0.992884518080303</v>
      </c>
      <c r="E644" s="37" t="n">
        <f aca="false">1+IF($G$9=$E$9,$F$9,IF(S644&lt;($F$9-$E$9)/($G$9-$E$9),$E$9+SQRT(S644*($G$9-$E$9)*($F$9-$E$9)),$G$9-SQRT((1-S644)*($G$9-$E$9)*($G$9-$F$9))))</f>
        <v>1.03378771911214</v>
      </c>
      <c r="F644" s="37" t="n">
        <f aca="false">1+IF($G$10=$E$10,$F$10,IF(T644&lt;($F$10-$E$10)/($G$10-$E$10),$E$10+SQRT(T644*($G$10-$E$10)*($F$10-$E$10)),$G$10-SQRT((1-T644)*($G$10-$E$10)*($G$10-$F$10))))</f>
        <v>1.04234977216684</v>
      </c>
      <c r="G644" s="38" t="n">
        <f aca="false">IF($G$11=$E$11,$F$11,IF(U644&lt;($F$11-$E$11)/($G$11-$E$11),$E$11+SQRT(U644*($G$11-$E$11)*($F$11-$E$11)),$G$11-SQRT((1-U644)*($G$11-$E$11)*($G$11-$F$11))))</f>
        <v>0.104189048934755</v>
      </c>
      <c r="H644" s="39" t="n">
        <f aca="false">(('Business Case'!B11*$C644*'Business Case'!B12*$B644)-'Business Case'!B11*$C644*'Business Case'!B13*$D644-'Business Case'!B14*$E644)-MAX(0,(('Business Case'!B11*$C644*'Business Case'!B12*$B644)-'Business Case'!B11*$C644*'Business Case'!B13*$D644-'Business Case'!B14*$E644))*'Business Case'!$B$7-'Business Case'!$B$8*('Business Case'!B11*$C644*'Business Case'!B12*$B644)-'Business Case'!B15*$F644</f>
        <v>-2084699544.33367</v>
      </c>
      <c r="I644" s="39" t="n">
        <f aca="false">(('Business Case'!C11*$C644*'Business Case'!C12*$B644)-'Business Case'!C11*$C644*'Business Case'!C13*$D644-'Business Case'!C14*$E644)-MAX(0,(('Business Case'!C11*$C644*'Business Case'!C12*$B644)-'Business Case'!C11*$C644*'Business Case'!C13*$D644-'Business Case'!C14*$E644))*'Business Case'!$B$7-'Business Case'!$B$8*(('Business Case'!C11*$C644*'Business Case'!C12*$B644)-('Business Case'!B11*$C644*'Business Case'!B12*$B644))-'Business Case'!C15*$F644</f>
        <v>-5872822.50181961</v>
      </c>
      <c r="J644" s="39" t="n">
        <f aca="false">(('Business Case'!D11*$C644*'Business Case'!D12*$B644)-'Business Case'!D11*$C644*'Business Case'!D13*$D644-'Business Case'!D14*$E644)-MAX(0,(('Business Case'!D11*$C644*'Business Case'!D12*$B644)-'Business Case'!D11*$C644*'Business Case'!D13*$D644-'Business Case'!D14*$E644))*'Business Case'!$B$7-'Business Case'!$B$8*(('Business Case'!D11*$C644*'Business Case'!D12*$B644)-('Business Case'!C11*$C644*'Business Case'!C12*$B644))-'Business Case'!D15*$F644</f>
        <v>288461629.974456</v>
      </c>
      <c r="K644" s="39" t="n">
        <f aca="false">(('Business Case'!E11*$C644*'Business Case'!E12*$B644)-'Business Case'!E11*$C644*'Business Case'!E13*$D644-'Business Case'!E14*$E644)-MAX(0,(('Business Case'!E11*$C644*'Business Case'!E12*$B644)-'Business Case'!E11*$C644*'Business Case'!E13*$D644-'Business Case'!E14*$E644))*'Business Case'!$B$7-'Business Case'!$B$8*(('Business Case'!E11*$C644*'Business Case'!E12*$B644)-('Business Case'!D11*$C644*'Business Case'!D12*$B644))-'Business Case'!E15*$F644</f>
        <v>634913571.059074</v>
      </c>
      <c r="L644" s="39" t="n">
        <f aca="false">(('Business Case'!F11*$C644*'Business Case'!F12*$B644)-'Business Case'!F11*$C644*'Business Case'!F13*$D644-'Business Case'!F14*$E644)-MAX(0,(('Business Case'!F11*$C644*'Business Case'!F12*$B644)-'Business Case'!F11*$C644*'Business Case'!F13*$D644-'Business Case'!F14*$E644))*'Business Case'!$B$7-'Business Case'!$B$8*(('Business Case'!F11*$C644*'Business Case'!F12*$B644)-('Business Case'!E11*$C644*'Business Case'!E12*$B644))-'Business Case'!F15*$F644</f>
        <v>765670177.95361</v>
      </c>
      <c r="M644" s="39" t="n">
        <f aca="false">(('Business Case'!G11*$C644*'Business Case'!G12*$B644)-'Business Case'!G11*$C644*'Business Case'!G13*$D644-'Business Case'!G14*$E644)-MAX(0,(('Business Case'!G11*$C644*'Business Case'!G12*$B644)-'Business Case'!G11*$C644*'Business Case'!G13*$D644-'Business Case'!G14*$E644))*'Business Case'!$B$7-'Business Case'!$B$8*(('Business Case'!G11*$C644*'Business Case'!G12*$B644)-('Business Case'!F11*$C644*'Business Case'!F12*$B644))-'Business Case'!G15*$F644+'Business Case'!$B$8*('Business Case'!G11*$C644*'Business Case'!G12*$B644)</f>
        <v>945218353.000384</v>
      </c>
      <c r="N644" s="39" t="n">
        <f aca="false">IF(COUNT('Business Case'!B11:G11)=0,"",H644+NPV(G644,I644:M644))</f>
        <v>-290884718.499136</v>
      </c>
      <c r="P644" s="40" t="n">
        <f aca="true">RAND()</f>
        <v>0.692573757944769</v>
      </c>
      <c r="Q644" s="40" t="n">
        <f aca="true">RAND()</f>
        <v>0.292525222641927</v>
      </c>
      <c r="R644" s="40" t="n">
        <f aca="true">RAND()</f>
        <v>0.282935675535365</v>
      </c>
      <c r="S644" s="40" t="n">
        <f aca="true">RAND()</f>
        <v>0.707728923975153</v>
      </c>
      <c r="T644" s="40" t="n">
        <f aca="true">RAND()</f>
        <v>0.502928113283029</v>
      </c>
      <c r="U644" s="40" t="n">
        <f aca="true">RAND()</f>
        <v>0.58335637735405</v>
      </c>
    </row>
    <row r="645" customFormat="false" ht="15" hidden="false" customHeight="false" outlineLevel="0" collapsed="false">
      <c r="A645" s="36" t="n">
        <v>565</v>
      </c>
      <c r="B645" s="37" t="n">
        <f aca="false">1+IF($G$6=$E$6,$F$6,IF(P645&lt;($F$6-$E$6)/($G$6-$E$6),$E$6+SQRT(P645*($G$6-$E$6)*($F$6-$E$6)),$G$6-SQRT((1-P645)*($G$6-$E$6)*($G$6-$F$6))))</f>
        <v>0.942698677904431</v>
      </c>
      <c r="C645" s="37" t="n">
        <f aca="false">1+IF($G$7=$E$7,$F$7,IF(Q645&lt;($F$7-$E$7)/($G$7-$E$7),$E$7+SQRT(Q645*($G$7-$E$7)*($F$7-$E$7)),$G$7-SQRT((1-Q645)*($G$7-$E$7)*($G$7-$F$7))))</f>
        <v>1.00603861276945</v>
      </c>
      <c r="D645" s="37" t="n">
        <f aca="false">1+IF($G$8=$E$8,$F$8,IF(R645&lt;($F$8-$E$8)/($G$8-$E$8),$E$8+SQRT(R645*($G$8-$E$8)*($F$8-$E$8)),$G$8-SQRT((1-R645)*($G$8-$E$8)*($G$8-$F$8))))</f>
        <v>1.01443371158026</v>
      </c>
      <c r="E645" s="37" t="n">
        <f aca="false">1+IF($G$9=$E$9,$F$9,IF(S645&lt;($F$9-$E$9)/($G$9-$E$9),$E$9+SQRT(S645*($G$9-$E$9)*($F$9-$E$9)),$G$9-SQRT((1-S645)*($G$9-$E$9)*($G$9-$F$9))))</f>
        <v>1.02083796620061</v>
      </c>
      <c r="F645" s="37" t="n">
        <f aca="false">1+IF($G$10=$E$10,$F$10,IF(T645&lt;($F$10-$E$10)/($G$10-$E$10),$E$10+SQRT(T645*($G$10-$E$10)*($F$10-$E$10)),$G$10-SQRT((1-T645)*($G$10-$E$10)*($G$10-$F$10))))</f>
        <v>1.16723868386155</v>
      </c>
      <c r="G645" s="38" t="n">
        <f aca="false">IF($G$11=$E$11,$F$11,IF(U645&lt;($F$11-$E$11)/($G$11-$E$11),$E$11+SQRT(U645*($G$11-$E$11)*($F$11-$E$11)),$G$11-SQRT((1-U645)*($G$11-$E$11)*($G$11-$F$11))))</f>
        <v>0.0969151163884164</v>
      </c>
      <c r="H645" s="39" t="n">
        <f aca="false">(('Business Case'!B11*$C645*'Business Case'!B12*$B645)-'Business Case'!B11*$C645*'Business Case'!B13*$D645-'Business Case'!B14*$E645)-MAX(0,(('Business Case'!B11*$C645*'Business Case'!B12*$B645)-'Business Case'!B11*$C645*'Business Case'!B13*$D645-'Business Case'!B14*$E645))*'Business Case'!$B$7-'Business Case'!$B$8*('Business Case'!B11*$C645*'Business Case'!B12*$B645)-'Business Case'!B15*$F645</f>
        <v>-2334477367.72311</v>
      </c>
      <c r="I645" s="39" t="n">
        <f aca="false">(('Business Case'!C11*$C645*'Business Case'!C12*$B645)-'Business Case'!C11*$C645*'Business Case'!C13*$D645-'Business Case'!C14*$E645)-MAX(0,(('Business Case'!C11*$C645*'Business Case'!C12*$B645)-'Business Case'!C11*$C645*'Business Case'!C13*$D645-'Business Case'!C14*$E645))*'Business Case'!$B$7-'Business Case'!$B$8*(('Business Case'!C11*$C645*'Business Case'!C12*$B645)-('Business Case'!B11*$C645*'Business Case'!B12*$B645))-'Business Case'!C15*$F645</f>
        <v>-56695707.199245</v>
      </c>
      <c r="J645" s="39" t="n">
        <f aca="false">(('Business Case'!D11*$C645*'Business Case'!D12*$B645)-'Business Case'!D11*$C645*'Business Case'!D13*$D645-'Business Case'!D14*$E645)-MAX(0,(('Business Case'!D11*$C645*'Business Case'!D12*$B645)-'Business Case'!D11*$C645*'Business Case'!D13*$D645-'Business Case'!D14*$E645))*'Business Case'!$B$7-'Business Case'!$B$8*(('Business Case'!D11*$C645*'Business Case'!D12*$B645)-('Business Case'!C11*$C645*'Business Case'!C12*$B645))-'Business Case'!D15*$F645</f>
        <v>197660216.22745</v>
      </c>
      <c r="K645" s="39" t="n">
        <f aca="false">(('Business Case'!E11*$C645*'Business Case'!E12*$B645)-'Business Case'!E11*$C645*'Business Case'!E13*$D645-'Business Case'!E14*$E645)-MAX(0,(('Business Case'!E11*$C645*'Business Case'!E12*$B645)-'Business Case'!E11*$C645*'Business Case'!E13*$D645-'Business Case'!E14*$E645))*'Business Case'!$B$7-'Business Case'!$B$8*(('Business Case'!E11*$C645*'Business Case'!E12*$B645)-('Business Case'!D11*$C645*'Business Case'!D12*$B645))-'Business Case'!E15*$F645</f>
        <v>510378073.847223</v>
      </c>
      <c r="L645" s="39" t="n">
        <f aca="false">(('Business Case'!F11*$C645*'Business Case'!F12*$B645)-'Business Case'!F11*$C645*'Business Case'!F13*$D645-'Business Case'!F14*$E645)-MAX(0,(('Business Case'!F11*$C645*'Business Case'!F12*$B645)-'Business Case'!F11*$C645*'Business Case'!F13*$D645-'Business Case'!F14*$E645))*'Business Case'!$B$7-'Business Case'!$B$8*(('Business Case'!F11*$C645*'Business Case'!F12*$B645)-('Business Case'!E11*$C645*'Business Case'!E12*$B645))-'Business Case'!F15*$F645</f>
        <v>627939783.953493</v>
      </c>
      <c r="M645" s="39" t="n">
        <f aca="false">(('Business Case'!G11*$C645*'Business Case'!G12*$B645)-'Business Case'!G11*$C645*'Business Case'!G13*$D645-'Business Case'!G14*$E645)-MAX(0,(('Business Case'!G11*$C645*'Business Case'!G12*$B645)-'Business Case'!G11*$C645*'Business Case'!G13*$D645-'Business Case'!G14*$E645))*'Business Case'!$B$7-'Business Case'!$B$8*(('Business Case'!G11*$C645*'Business Case'!G12*$B645)-('Business Case'!F11*$C645*'Business Case'!F12*$B645))-'Business Case'!G15*$F645+'Business Case'!$B$8*('Business Case'!G11*$C645*'Business Case'!G12*$B645)</f>
        <v>808209996.589036</v>
      </c>
      <c r="N645" s="39" t="n">
        <f aca="false">IF(COUNT('Business Case'!B11:G11)=0,"",H645+NPV(G645,I645:M645))</f>
        <v>-892521620.559845</v>
      </c>
      <c r="P645" s="40" t="n">
        <f aca="true">RAND()</f>
        <v>0.0536697894384495</v>
      </c>
      <c r="Q645" s="40" t="n">
        <f aca="true">RAND()</f>
        <v>0.605240361650602</v>
      </c>
      <c r="R645" s="40" t="n">
        <f aca="true">RAND()</f>
        <v>0.586640559890341</v>
      </c>
      <c r="S645" s="40" t="n">
        <f aca="true">RAND()</f>
        <v>0.582224826982981</v>
      </c>
      <c r="T645" s="40" t="n">
        <f aca="true">RAND()</f>
        <v>0.978533923297537</v>
      </c>
      <c r="U645" s="40" t="n">
        <f aca="true">RAND()</f>
        <v>0.159396115551152</v>
      </c>
    </row>
    <row r="646" customFormat="false" ht="15" hidden="false" customHeight="false" outlineLevel="0" collapsed="false">
      <c r="A646" s="36" t="n">
        <v>566</v>
      </c>
      <c r="B646" s="37" t="n">
        <f aca="false">1+IF($G$6=$E$6,$F$6,IF(P646&lt;($F$6-$E$6)/($G$6-$E$6),$E$6+SQRT(P646*($G$6-$E$6)*($F$6-$E$6)),$G$6-SQRT((1-P646)*($G$6-$E$6)*($G$6-$F$6))))</f>
        <v>0.98369406165024</v>
      </c>
      <c r="C646" s="37" t="n">
        <f aca="false">1+IF($G$7=$E$7,$F$7,IF(Q646&lt;($F$7-$E$7)/($G$7-$E$7),$E$7+SQRT(Q646*($G$7-$E$7)*($F$7-$E$7)),$G$7-SQRT((1-Q646)*($G$7-$E$7)*($G$7-$F$7))))</f>
        <v>0.970503925834678</v>
      </c>
      <c r="D646" s="37" t="n">
        <f aca="false">1+IF($G$8=$E$8,$F$8,IF(R646&lt;($F$8-$E$8)/($G$8-$E$8),$E$8+SQRT(R646*($G$8-$E$8)*($F$8-$E$8)),$G$8-SQRT((1-R646)*($G$8-$E$8)*($G$8-$F$8))))</f>
        <v>1.00669748713874</v>
      </c>
      <c r="E646" s="37" t="n">
        <f aca="false">1+IF($G$9=$E$9,$F$9,IF(S646&lt;($F$9-$E$9)/($G$9-$E$9),$E$9+SQRT(S646*($G$9-$E$9)*($F$9-$E$9)),$G$9-SQRT((1-S646)*($G$9-$E$9)*($G$9-$F$9))))</f>
        <v>0.960065962583348</v>
      </c>
      <c r="F646" s="37" t="n">
        <f aca="false">1+IF($G$10=$E$10,$F$10,IF(T646&lt;($F$10-$E$10)/($G$10-$E$10),$E$10+SQRT(T646*($G$10-$E$10)*($F$10-$E$10)),$G$10-SQRT((1-T646)*($G$10-$E$10)*($G$10-$F$10))))</f>
        <v>0.978796463134494</v>
      </c>
      <c r="G646" s="38" t="n">
        <f aca="false">IF($G$11=$E$11,$F$11,IF(U646&lt;($F$11-$E$11)/($G$11-$E$11),$E$11+SQRT(U646*($G$11-$E$11)*($F$11-$E$11)),$G$11-SQRT((1-U646)*($G$11-$E$11)*($G$11-$F$11))))</f>
        <v>0.109524454521636</v>
      </c>
      <c r="H646" s="39" t="n">
        <f aca="false">(('Business Case'!B11*$C646*'Business Case'!B12*$B646)-'Business Case'!B11*$C646*'Business Case'!B13*$D646-'Business Case'!B14*$E646)-MAX(0,(('Business Case'!B11*$C646*'Business Case'!B12*$B646)-'Business Case'!B11*$C646*'Business Case'!B13*$D646-'Business Case'!B14*$E646))*'Business Case'!$B$7-'Business Case'!$B$8*('Business Case'!B11*$C646*'Business Case'!B12*$B646)-'Business Case'!B15*$F646</f>
        <v>-1957592926.26899</v>
      </c>
      <c r="I646" s="39" t="n">
        <f aca="false">(('Business Case'!C11*$C646*'Business Case'!C12*$B646)-'Business Case'!C11*$C646*'Business Case'!C13*$D646-'Business Case'!C14*$E646)-MAX(0,(('Business Case'!C11*$C646*'Business Case'!C12*$B646)-'Business Case'!C11*$C646*'Business Case'!C13*$D646-'Business Case'!C14*$E646))*'Business Case'!$B$7-'Business Case'!$B$8*(('Business Case'!C11*$C646*'Business Case'!C12*$B646)-('Business Case'!B11*$C646*'Business Case'!B12*$B646))-'Business Case'!C15*$F646</f>
        <v>-2088604.8104784</v>
      </c>
      <c r="J646" s="39" t="n">
        <f aca="false">(('Business Case'!D11*$C646*'Business Case'!D12*$B646)-'Business Case'!D11*$C646*'Business Case'!D13*$D646-'Business Case'!D14*$E646)-MAX(0,(('Business Case'!D11*$C646*'Business Case'!D12*$B646)-'Business Case'!D11*$C646*'Business Case'!D13*$D646-'Business Case'!D14*$E646))*'Business Case'!$B$7-'Business Case'!$B$8*(('Business Case'!D11*$C646*'Business Case'!D12*$B646)-('Business Case'!C11*$C646*'Business Case'!C12*$B646))-'Business Case'!D15*$F646</f>
        <v>279714373.269955</v>
      </c>
      <c r="K646" s="39" t="n">
        <f aca="false">(('Business Case'!E11*$C646*'Business Case'!E12*$B646)-'Business Case'!E11*$C646*'Business Case'!E13*$D646-'Business Case'!E14*$E646)-MAX(0,(('Business Case'!E11*$C646*'Business Case'!E12*$B646)-'Business Case'!E11*$C646*'Business Case'!E13*$D646-'Business Case'!E14*$E646))*'Business Case'!$B$7-'Business Case'!$B$8*(('Business Case'!E11*$C646*'Business Case'!E12*$B646)-('Business Case'!D11*$C646*'Business Case'!D12*$B646))-'Business Case'!E15*$F646</f>
        <v>610457174.507113</v>
      </c>
      <c r="L646" s="39" t="n">
        <f aca="false">(('Business Case'!F11*$C646*'Business Case'!F12*$B646)-'Business Case'!F11*$C646*'Business Case'!F13*$D646-'Business Case'!F14*$E646)-MAX(0,(('Business Case'!F11*$C646*'Business Case'!F12*$B646)-'Business Case'!F11*$C646*'Business Case'!F13*$D646-'Business Case'!F14*$E646))*'Business Case'!$B$7-'Business Case'!$B$8*(('Business Case'!F11*$C646*'Business Case'!F12*$B646)-('Business Case'!E11*$C646*'Business Case'!E12*$B646))-'Business Case'!F15*$F646</f>
        <v>737385204.999331</v>
      </c>
      <c r="M646" s="39" t="n">
        <f aca="false">(('Business Case'!G11*$C646*'Business Case'!G12*$B646)-'Business Case'!G11*$C646*'Business Case'!G13*$D646-'Business Case'!G14*$E646)-MAX(0,(('Business Case'!G11*$C646*'Business Case'!G12*$B646)-'Business Case'!G11*$C646*'Business Case'!G13*$D646-'Business Case'!G14*$E646))*'Business Case'!$B$7-'Business Case'!$B$8*(('Business Case'!G11*$C646*'Business Case'!G12*$B646)-('Business Case'!F11*$C646*'Business Case'!F12*$B646))-'Business Case'!G15*$F646+'Business Case'!$B$8*('Business Case'!G11*$C646*'Business Case'!G12*$B646)</f>
        <v>918850579.559068</v>
      </c>
      <c r="N646" s="39" t="n">
        <f aca="false">IF(COUNT('Business Case'!B11:G11)=0,"",H646+NPV(G646,I646:M646))</f>
        <v>-252288610.248758</v>
      </c>
      <c r="P646" s="40" t="n">
        <f aca="true">RAND()</f>
        <v>0.422597238490062</v>
      </c>
      <c r="Q646" s="40" t="n">
        <f aca="true">RAND()</f>
        <v>0.415308410357676</v>
      </c>
      <c r="R646" s="40" t="n">
        <f aca="true">RAND()</f>
        <v>0.483340539252422</v>
      </c>
      <c r="S646" s="40" t="n">
        <f aca="true">RAND()</f>
        <v>0.0135098136972478</v>
      </c>
      <c r="T646" s="40" t="n">
        <f aca="true">RAND()</f>
        <v>0.0663389031245002</v>
      </c>
      <c r="U646" s="40" t="n">
        <f aca="true">RAND()</f>
        <v>0.817104911551213</v>
      </c>
    </row>
    <row r="647" customFormat="false" ht="15" hidden="false" customHeight="false" outlineLevel="0" collapsed="false">
      <c r="A647" s="36" t="n">
        <v>567</v>
      </c>
      <c r="B647" s="37" t="n">
        <f aca="false">1+IF($G$6=$E$6,$F$6,IF(P647&lt;($F$6-$E$6)/($G$6-$E$6),$E$6+SQRT(P647*($G$6-$E$6)*($F$6-$E$6)),$G$6-SQRT((1-P647)*($G$6-$E$6)*($G$6-$F$6))))</f>
        <v>1.01240133537478</v>
      </c>
      <c r="C647" s="37" t="n">
        <f aca="false">1+IF($G$7=$E$7,$F$7,IF(Q647&lt;($F$7-$E$7)/($G$7-$E$7),$E$7+SQRT(Q647*($G$7-$E$7)*($F$7-$E$7)),$G$7-SQRT((1-Q647)*($G$7-$E$7)*($G$7-$F$7))))</f>
        <v>0.980589924698548</v>
      </c>
      <c r="D647" s="37" t="n">
        <f aca="false">1+IF($G$8=$E$8,$F$8,IF(R647&lt;($F$8-$E$8)/($G$8-$E$8),$E$8+SQRT(R647*($G$8-$E$8)*($F$8-$E$8)),$G$8-SQRT((1-R647)*($G$8-$E$8)*($G$8-$F$8))))</f>
        <v>1.00839072546253</v>
      </c>
      <c r="E647" s="37" t="n">
        <f aca="false">1+IF($G$9=$E$9,$F$9,IF(S647&lt;($F$9-$E$9)/($G$9-$E$9),$E$9+SQRT(S647*($G$9-$E$9)*($F$9-$E$9)),$G$9-SQRT((1-S647)*($G$9-$E$9)*($G$9-$F$9))))</f>
        <v>0.9729619653542</v>
      </c>
      <c r="F647" s="37" t="n">
        <f aca="false">1+IF($G$10=$E$10,$F$10,IF(T647&lt;($F$10-$E$10)/($G$10-$E$10),$E$10+SQRT(T647*($G$10-$E$10)*($F$10-$E$10)),$G$10-SQRT((1-T647)*($G$10-$E$10)*($G$10-$F$10))))</f>
        <v>1.00242117626402</v>
      </c>
      <c r="G647" s="38" t="n">
        <f aca="false">IF($G$11=$E$11,$F$11,IF(U647&lt;($F$11-$E$11)/($G$11-$E$11),$E$11+SQRT(U647*($G$11-$E$11)*($F$11-$E$11)),$G$11-SQRT((1-U647)*($G$11-$E$11)*($G$11-$F$11))))</f>
        <v>0.0971480934601789</v>
      </c>
      <c r="H647" s="39" t="n">
        <f aca="false">(('Business Case'!B11*$C647*'Business Case'!B12*$B647)-'Business Case'!B11*$C647*'Business Case'!B13*$D647-'Business Case'!B14*$E647)-MAX(0,(('Business Case'!B11*$C647*'Business Case'!B12*$B647)-'Business Case'!B11*$C647*'Business Case'!B13*$D647-'Business Case'!B14*$E647))*'Business Case'!$B$7-'Business Case'!$B$8*('Business Case'!B11*$C647*'Business Case'!B12*$B647)-'Business Case'!B15*$F647</f>
        <v>-2004842352.52804</v>
      </c>
      <c r="I647" s="39" t="n">
        <f aca="false">(('Business Case'!C11*$C647*'Business Case'!C12*$B647)-'Business Case'!C11*$C647*'Business Case'!C13*$D647-'Business Case'!C14*$E647)-MAX(0,(('Business Case'!C11*$C647*'Business Case'!C12*$B647)-'Business Case'!C11*$C647*'Business Case'!C13*$D647-'Business Case'!C14*$E647))*'Business Case'!$B$7-'Business Case'!$B$8*(('Business Case'!C11*$C647*'Business Case'!C12*$B647)-('Business Case'!B11*$C647*'Business Case'!B12*$B647))-'Business Case'!C15*$F647</f>
        <v>16877079.5015412</v>
      </c>
      <c r="J647" s="39" t="n">
        <f aca="false">(('Business Case'!D11*$C647*'Business Case'!D12*$B647)-'Business Case'!D11*$C647*'Business Case'!D13*$D647-'Business Case'!D14*$E647)-MAX(0,(('Business Case'!D11*$C647*'Business Case'!D12*$B647)-'Business Case'!D11*$C647*'Business Case'!D13*$D647-'Business Case'!D14*$E647))*'Business Case'!$B$7-'Business Case'!$B$8*(('Business Case'!D11*$C647*'Business Case'!D12*$B647)-('Business Case'!C11*$C647*'Business Case'!C12*$B647))-'Business Case'!D15*$F647</f>
        <v>323815656.574409</v>
      </c>
      <c r="K647" s="39" t="n">
        <f aca="false">(('Business Case'!E11*$C647*'Business Case'!E12*$B647)-'Business Case'!E11*$C647*'Business Case'!E13*$D647-'Business Case'!E14*$E647)-MAX(0,(('Business Case'!E11*$C647*'Business Case'!E12*$B647)-'Business Case'!E11*$C647*'Business Case'!E13*$D647-'Business Case'!E14*$E647))*'Business Case'!$B$7-'Business Case'!$B$8*(('Business Case'!E11*$C647*'Business Case'!E12*$B647)-('Business Case'!D11*$C647*'Business Case'!D12*$B647))-'Business Case'!E15*$F647</f>
        <v>680875292.460478</v>
      </c>
      <c r="L647" s="39" t="n">
        <f aca="false">(('Business Case'!F11*$C647*'Business Case'!F12*$B647)-'Business Case'!F11*$C647*'Business Case'!F13*$D647-'Business Case'!F14*$E647)-MAX(0,(('Business Case'!F11*$C647*'Business Case'!F12*$B647)-'Business Case'!F11*$C647*'Business Case'!F13*$D647-'Business Case'!F14*$E647))*'Business Case'!$B$7-'Business Case'!$B$8*(('Business Case'!F11*$C647*'Business Case'!F12*$B647)-('Business Case'!E11*$C647*'Business Case'!E12*$B647))-'Business Case'!F15*$F647</f>
        <v>817497610.465806</v>
      </c>
      <c r="M647" s="39" t="n">
        <f aca="false">(('Business Case'!G11*$C647*'Business Case'!G12*$B647)-'Business Case'!G11*$C647*'Business Case'!G13*$D647-'Business Case'!G14*$E647)-MAX(0,(('Business Case'!G11*$C647*'Business Case'!G12*$B647)-'Business Case'!G11*$C647*'Business Case'!G13*$D647-'Business Case'!G14*$E647))*'Business Case'!$B$7-'Business Case'!$B$8*(('Business Case'!G11*$C647*'Business Case'!G12*$B647)-('Business Case'!F11*$C647*'Business Case'!F12*$B647))-'Business Case'!G15*$F647+'Business Case'!$B$8*('Business Case'!G11*$C647*'Business Case'!G12*$B647)</f>
        <v>1006199634.86152</v>
      </c>
      <c r="N647" s="39" t="n">
        <f aca="false">IF(COUNT('Business Case'!B11:G11)=0,"",H647+NPV(G647,I647:M647))</f>
        <v>-7775780.20876312</v>
      </c>
      <c r="P647" s="40" t="n">
        <f aca="true">RAND()</f>
        <v>0.841315356438424</v>
      </c>
      <c r="Q647" s="40" t="n">
        <f aca="true">RAND()</f>
        <v>0.465896012894676</v>
      </c>
      <c r="R647" s="40" t="n">
        <f aca="true">RAND()</f>
        <v>0.506933826944019</v>
      </c>
      <c r="S647" s="40" t="n">
        <f aca="true">RAND()</f>
        <v>0.0703002470569965</v>
      </c>
      <c r="T647" s="40" t="n">
        <f aca="true">RAND()</f>
        <v>0.219252168222126</v>
      </c>
      <c r="U647" s="40" t="n">
        <f aca="true">RAND()</f>
        <v>0.170317467051507</v>
      </c>
    </row>
    <row r="648" customFormat="false" ht="15" hidden="false" customHeight="false" outlineLevel="0" collapsed="false">
      <c r="A648" s="36" t="n">
        <v>568</v>
      </c>
      <c r="B648" s="37" t="n">
        <f aca="false">1+IF($G$6=$E$6,$F$6,IF(P648&lt;($F$6-$E$6)/($G$6-$E$6),$E$6+SQRT(P648*($G$6-$E$6)*($F$6-$E$6)),$G$6-SQRT((1-P648)*($G$6-$E$6)*($G$6-$F$6))))</f>
        <v>0.958407142293777</v>
      </c>
      <c r="C648" s="37" t="n">
        <f aca="false">1+IF($G$7=$E$7,$F$7,IF(Q648&lt;($F$7-$E$7)/($G$7-$E$7),$E$7+SQRT(Q648*($G$7-$E$7)*($F$7-$E$7)),$G$7-SQRT((1-Q648)*($G$7-$E$7)*($G$7-$F$7))))</f>
        <v>0.999379744536796</v>
      </c>
      <c r="D648" s="37" t="n">
        <f aca="false">1+IF($G$8=$E$8,$F$8,IF(R648&lt;($F$8-$E$8)/($G$8-$E$8),$E$8+SQRT(R648*($G$8-$E$8)*($F$8-$E$8)),$G$8-SQRT((1-R648)*($G$8-$E$8)*($G$8-$F$8))))</f>
        <v>0.995006199371103</v>
      </c>
      <c r="E648" s="37" t="n">
        <f aca="false">1+IF($G$9=$E$9,$F$9,IF(S648&lt;($F$9-$E$9)/($G$9-$E$9),$E$9+SQRT(S648*($G$9-$E$9)*($F$9-$E$9)),$G$9-SQRT((1-S648)*($G$9-$E$9)*($G$9-$F$9))))</f>
        <v>1.03001364585544</v>
      </c>
      <c r="F648" s="37" t="n">
        <f aca="false">1+IF($G$10=$E$10,$F$10,IF(T648&lt;($F$10-$E$10)/($G$10-$E$10),$E$10+SQRT(T648*($G$10-$E$10)*($F$10-$E$10)),$G$10-SQRT((1-T648)*($G$10-$E$10)*($G$10-$F$10))))</f>
        <v>1.0919111049162</v>
      </c>
      <c r="G648" s="38" t="n">
        <f aca="false">IF($G$11=$E$11,$F$11,IF(U648&lt;($F$11-$E$11)/($G$11-$E$11),$E$11+SQRT(U648*($G$11-$E$11)*($F$11-$E$11)),$G$11-SQRT((1-U648)*($G$11-$E$11)*($G$11-$F$11))))</f>
        <v>0.102282946815824</v>
      </c>
      <c r="H648" s="39" t="n">
        <f aca="false">(('Business Case'!B11*$C648*'Business Case'!B12*$B648)-'Business Case'!B11*$C648*'Business Case'!B13*$D648-'Business Case'!B14*$E648)-MAX(0,(('Business Case'!B11*$C648*'Business Case'!B12*$B648)-'Business Case'!B11*$C648*'Business Case'!B13*$D648-'Business Case'!B14*$E648))*'Business Case'!$B$7-'Business Case'!$B$8*('Business Case'!B11*$C648*'Business Case'!B12*$B648)-'Business Case'!B15*$F648</f>
        <v>-2183822209.83241</v>
      </c>
      <c r="I648" s="39" t="n">
        <f aca="false">(('Business Case'!C11*$C648*'Business Case'!C12*$B648)-'Business Case'!C11*$C648*'Business Case'!C13*$D648-'Business Case'!C14*$E648)-MAX(0,(('Business Case'!C11*$C648*'Business Case'!C12*$B648)-'Business Case'!C11*$C648*'Business Case'!C13*$D648-'Business Case'!C14*$E648))*'Business Case'!$B$7-'Business Case'!$B$8*(('Business Case'!C11*$C648*'Business Case'!C12*$B648)-('Business Case'!B11*$C648*'Business Case'!B12*$B648))-'Business Case'!C15*$F648</f>
        <v>-29842147.0158016</v>
      </c>
      <c r="J648" s="39" t="n">
        <f aca="false">(('Business Case'!D11*$C648*'Business Case'!D12*$B648)-'Business Case'!D11*$C648*'Business Case'!D13*$D648-'Business Case'!D14*$E648)-MAX(0,(('Business Case'!D11*$C648*'Business Case'!D12*$B648)-'Business Case'!D11*$C648*'Business Case'!D13*$D648-'Business Case'!D14*$E648))*'Business Case'!$B$7-'Business Case'!$B$8*(('Business Case'!D11*$C648*'Business Case'!D12*$B648)-('Business Case'!C11*$C648*'Business Case'!C12*$B648))-'Business Case'!D15*$F648</f>
        <v>245627766.492502</v>
      </c>
      <c r="K648" s="39" t="n">
        <f aca="false">(('Business Case'!E11*$C648*'Business Case'!E12*$B648)-'Business Case'!E11*$C648*'Business Case'!E13*$D648-'Business Case'!E14*$E648)-MAX(0,(('Business Case'!E11*$C648*'Business Case'!E12*$B648)-'Business Case'!E11*$C648*'Business Case'!E13*$D648-'Business Case'!E14*$E648))*'Business Case'!$B$7-'Business Case'!$B$8*(('Business Case'!E11*$C648*'Business Case'!E12*$B648)-('Business Case'!D11*$C648*'Business Case'!D12*$B648))-'Business Case'!E15*$F648</f>
        <v>575693235.246615</v>
      </c>
      <c r="L648" s="39" t="n">
        <f aca="false">(('Business Case'!F11*$C648*'Business Case'!F12*$B648)-'Business Case'!F11*$C648*'Business Case'!F13*$D648-'Business Case'!F14*$E648)-MAX(0,(('Business Case'!F11*$C648*'Business Case'!F12*$B648)-'Business Case'!F11*$C648*'Business Case'!F13*$D648-'Business Case'!F14*$E648))*'Business Case'!$B$7-'Business Case'!$B$8*(('Business Case'!F11*$C648*'Business Case'!F12*$B648)-('Business Case'!E11*$C648*'Business Case'!E12*$B648))-'Business Case'!F15*$F648</f>
        <v>700618546.143943</v>
      </c>
      <c r="M648" s="39" t="n">
        <f aca="false">(('Business Case'!G11*$C648*'Business Case'!G12*$B648)-'Business Case'!G11*$C648*'Business Case'!G13*$D648-'Business Case'!G14*$E648)-MAX(0,(('Business Case'!G11*$C648*'Business Case'!G12*$B648)-'Business Case'!G11*$C648*'Business Case'!G13*$D648-'Business Case'!G14*$E648))*'Business Case'!$B$7-'Business Case'!$B$8*(('Business Case'!G11*$C648*'Business Case'!G12*$B648)-('Business Case'!F11*$C648*'Business Case'!F12*$B648))-'Business Case'!G15*$F648+'Business Case'!$B$8*('Business Case'!G11*$C648*'Business Case'!G12*$B648)</f>
        <v>882679581.314027</v>
      </c>
      <c r="N648" s="39" t="n">
        <f aca="false">IF(COUNT('Business Case'!B11:G11)=0,"",H648+NPV(G648,I648:M648))</f>
        <v>-561889847.494734</v>
      </c>
      <c r="P648" s="40" t="n">
        <f aca="true">RAND()</f>
        <v>0.153657143664006</v>
      </c>
      <c r="Q648" s="40" t="n">
        <f aca="true">RAND()</f>
        <v>0.567889750450829</v>
      </c>
      <c r="R648" s="40" t="n">
        <f aca="true">RAND()</f>
        <v>0.311624304897148</v>
      </c>
      <c r="S648" s="40" t="n">
        <f aca="true">RAND()</f>
        <v>0.673460682236809</v>
      </c>
      <c r="T648" s="40" t="n">
        <f aca="true">RAND()</f>
        <v>0.76633581519128</v>
      </c>
      <c r="U648" s="40" t="n">
        <f aca="true">RAND()</f>
        <v>0.476843377448473</v>
      </c>
    </row>
    <row r="649" customFormat="false" ht="15" hidden="false" customHeight="false" outlineLevel="0" collapsed="false">
      <c r="A649" s="36" t="n">
        <v>569</v>
      </c>
      <c r="B649" s="37" t="n">
        <f aca="false">1+IF($G$6=$E$6,$F$6,IF(P649&lt;($F$6-$E$6)/($G$6-$E$6),$E$6+SQRT(P649*($G$6-$E$6)*($F$6-$E$6)),$G$6-SQRT((1-P649)*($G$6-$E$6)*($G$6-$F$6))))</f>
        <v>1.0047195211836</v>
      </c>
      <c r="C649" s="37" t="n">
        <f aca="false">1+IF($G$7=$E$7,$F$7,IF(Q649&lt;($F$7-$E$7)/($G$7-$E$7),$E$7+SQRT(Q649*($G$7-$E$7)*($F$7-$E$7)),$G$7-SQRT((1-Q649)*($G$7-$E$7)*($G$7-$F$7))))</f>
        <v>1.05943291691483</v>
      </c>
      <c r="D649" s="37" t="n">
        <f aca="false">1+IF($G$8=$E$8,$F$8,IF(R649&lt;($F$8-$E$8)/($G$8-$E$8),$E$8+SQRT(R649*($G$8-$E$8)*($F$8-$E$8)),$G$8-SQRT((1-R649)*($G$8-$E$8)*($G$8-$F$8))))</f>
        <v>1.03698148590096</v>
      </c>
      <c r="E649" s="37" t="n">
        <f aca="false">1+IF($G$9=$E$9,$F$9,IF(S649&lt;($F$9-$E$9)/($G$9-$E$9),$E$9+SQRT(S649*($G$9-$E$9)*($F$9-$E$9)),$G$9-SQRT((1-S649)*($G$9-$E$9)*($G$9-$F$9))))</f>
        <v>0.986550693535615</v>
      </c>
      <c r="F649" s="37" t="n">
        <f aca="false">1+IF($G$10=$E$10,$F$10,IF(T649&lt;($F$10-$E$10)/($G$10-$E$10),$E$10+SQRT(T649*($G$10-$E$10)*($F$10-$E$10)),$G$10-SQRT((1-T649)*($G$10-$E$10)*($G$10-$F$10))))</f>
        <v>1.03463507767343</v>
      </c>
      <c r="G649" s="38" t="n">
        <f aca="false">IF($G$11=$E$11,$F$11,IF(U649&lt;($F$11-$E$11)/($G$11-$E$11),$E$11+SQRT(U649*($G$11-$E$11)*($F$11-$E$11)),$G$11-SQRT((1-U649)*($G$11-$E$11)*($G$11-$F$11))))</f>
        <v>0.100719510184315</v>
      </c>
      <c r="H649" s="39" t="n">
        <f aca="false">(('Business Case'!B11*$C649*'Business Case'!B12*$B649)-'Business Case'!B11*$C649*'Business Case'!B13*$D649-'Business Case'!B14*$E649)-MAX(0,(('Business Case'!B11*$C649*'Business Case'!B12*$B649)-'Business Case'!B11*$C649*'Business Case'!B13*$D649-'Business Case'!B14*$E649))*'Business Case'!$B$7-'Business Case'!$B$8*('Business Case'!B11*$C649*'Business Case'!B12*$B649)-'Business Case'!B15*$F649</f>
        <v>-2069270155.34686</v>
      </c>
      <c r="I649" s="39" t="n">
        <f aca="false">(('Business Case'!C11*$C649*'Business Case'!C12*$B649)-'Business Case'!C11*$C649*'Business Case'!C13*$D649-'Business Case'!C14*$E649)-MAX(0,(('Business Case'!C11*$C649*'Business Case'!C12*$B649)-'Business Case'!C11*$C649*'Business Case'!C13*$D649-'Business Case'!C14*$E649))*'Business Case'!$B$7-'Business Case'!$B$8*(('Business Case'!C11*$C649*'Business Case'!C12*$B649)-('Business Case'!B11*$C649*'Business Case'!B12*$B649))-'Business Case'!C15*$F649</f>
        <v>10514372.6136414</v>
      </c>
      <c r="J649" s="39" t="n">
        <f aca="false">(('Business Case'!D11*$C649*'Business Case'!D12*$B649)-'Business Case'!D11*$C649*'Business Case'!D13*$D649-'Business Case'!D14*$E649)-MAX(0,(('Business Case'!D11*$C649*'Business Case'!D12*$B649)-'Business Case'!D11*$C649*'Business Case'!D13*$D649-'Business Case'!D14*$E649))*'Business Case'!$B$7-'Business Case'!$B$8*(('Business Case'!D11*$C649*'Business Case'!D12*$B649)-('Business Case'!C11*$C649*'Business Case'!C12*$B649))-'Business Case'!D15*$F649</f>
        <v>319959964.862567</v>
      </c>
      <c r="K649" s="39" t="n">
        <f aca="false">(('Business Case'!E11*$C649*'Business Case'!E12*$B649)-'Business Case'!E11*$C649*'Business Case'!E13*$D649-'Business Case'!E14*$E649)-MAX(0,(('Business Case'!E11*$C649*'Business Case'!E12*$B649)-'Business Case'!E11*$C649*'Business Case'!E13*$D649-'Business Case'!E14*$E649))*'Business Case'!$B$7-'Business Case'!$B$8*(('Business Case'!E11*$C649*'Business Case'!E12*$B649)-('Business Case'!D11*$C649*'Business Case'!D12*$B649))-'Business Case'!E15*$F649</f>
        <v>681137310.995164</v>
      </c>
      <c r="L649" s="39" t="n">
        <f aca="false">(('Business Case'!F11*$C649*'Business Case'!F12*$B649)-'Business Case'!F11*$C649*'Business Case'!F13*$D649-'Business Case'!F14*$E649)-MAX(0,(('Business Case'!F11*$C649*'Business Case'!F12*$B649)-'Business Case'!F11*$C649*'Business Case'!F13*$D649-'Business Case'!F14*$E649))*'Business Case'!$B$7-'Business Case'!$B$8*(('Business Case'!F11*$C649*'Business Case'!F12*$B649)-('Business Case'!E11*$C649*'Business Case'!E12*$B649))-'Business Case'!F15*$F649</f>
        <v>821072643.909591</v>
      </c>
      <c r="M649" s="39" t="n">
        <f aca="false">(('Business Case'!G11*$C649*'Business Case'!G12*$B649)-'Business Case'!G11*$C649*'Business Case'!G13*$D649-'Business Case'!G14*$E649)-MAX(0,(('Business Case'!G11*$C649*'Business Case'!G12*$B649)-'Business Case'!G11*$C649*'Business Case'!G13*$D649-'Business Case'!G14*$E649))*'Business Case'!$B$7-'Business Case'!$B$8*(('Business Case'!G11*$C649*'Business Case'!G12*$B649)-('Business Case'!F11*$C649*'Business Case'!F12*$B649))-'Business Case'!G15*$F649+'Business Case'!$B$8*('Business Case'!G11*$C649*'Business Case'!G12*$B649)</f>
        <v>1023400055.81591</v>
      </c>
      <c r="N649" s="39" t="n">
        <f aca="false">IF(COUNT('Business Case'!B11:G11)=0,"",H649+NPV(G649,I649:M649))</f>
        <v>-92172578.174499</v>
      </c>
      <c r="P649" s="40" t="n">
        <f aca="true">RAND()</f>
        <v>0.740684961351204</v>
      </c>
      <c r="Q649" s="40" t="n">
        <f aca="true">RAND()</f>
        <v>0.843763875456069</v>
      </c>
      <c r="R649" s="40" t="n">
        <f aca="true">RAND()</f>
        <v>0.82205840814528</v>
      </c>
      <c r="S649" s="40" t="n">
        <f aca="true">RAND()</f>
        <v>0.178127093057923</v>
      </c>
      <c r="T649" s="40" t="n">
        <f aca="true">RAND()</f>
        <v>0.453088849278556</v>
      </c>
      <c r="U649" s="40" t="n">
        <f aca="true">RAND()</f>
        <v>0.380437854112126</v>
      </c>
    </row>
    <row r="650" customFormat="false" ht="15" hidden="false" customHeight="false" outlineLevel="0" collapsed="false">
      <c r="A650" s="36" t="n">
        <v>570</v>
      </c>
      <c r="B650" s="37" t="n">
        <f aca="false">1+IF($G$6=$E$6,$F$6,IF(P650&lt;($F$6-$E$6)/($G$6-$E$6),$E$6+SQRT(P650*($G$6-$E$6)*($F$6-$E$6)),$G$6-SQRT((1-P650)*($G$6-$E$6)*($G$6-$F$6))))</f>
        <v>0.998149395424841</v>
      </c>
      <c r="C650" s="37" t="n">
        <f aca="false">1+IF($G$7=$E$7,$F$7,IF(Q650&lt;($F$7-$E$7)/($G$7-$E$7),$E$7+SQRT(Q650*($G$7-$E$7)*($F$7-$E$7)),$G$7-SQRT((1-Q650)*($G$7-$E$7)*($G$7-$F$7))))</f>
        <v>1.04854382939357</v>
      </c>
      <c r="D650" s="37" t="n">
        <f aca="false">1+IF($G$8=$E$8,$F$8,IF(R650&lt;($F$8-$E$8)/($G$8-$E$8),$E$8+SQRT(R650*($G$8-$E$8)*($F$8-$E$8)),$G$8-SQRT((1-R650)*($G$8-$E$8)*($G$8-$F$8))))</f>
        <v>1.04810850232801</v>
      </c>
      <c r="E650" s="37" t="n">
        <f aca="false">1+IF($G$9=$E$9,$F$9,IF(S650&lt;($F$9-$E$9)/($G$9-$E$9),$E$9+SQRT(S650*($G$9-$E$9)*($F$9-$E$9)),$G$9-SQRT((1-S650)*($G$9-$E$9)*($G$9-$F$9))))</f>
        <v>1.00679285334263</v>
      </c>
      <c r="F650" s="37" t="n">
        <f aca="false">1+IF($G$10=$E$10,$F$10,IF(T650&lt;($F$10-$E$10)/($G$10-$E$10),$E$10+SQRT(T650*($G$10-$E$10)*($F$10-$E$10)),$G$10-SQRT((1-T650)*($G$10-$E$10)*($G$10-$F$10))))</f>
        <v>1.04998859644626</v>
      </c>
      <c r="G650" s="38" t="n">
        <f aca="false">IF($G$11=$E$11,$F$11,IF(U650&lt;($F$11-$E$11)/($G$11-$E$11),$E$11+SQRT(U650*($G$11-$E$11)*($F$11-$E$11)),$G$11-SQRT((1-U650)*($G$11-$E$11)*($G$11-$F$11))))</f>
        <v>0.10037374682631</v>
      </c>
      <c r="H650" s="39" t="n">
        <f aca="false">(('Business Case'!B11*$C650*'Business Case'!B12*$B650)-'Business Case'!B11*$C650*'Business Case'!B13*$D650-'Business Case'!B14*$E650)-MAX(0,(('Business Case'!B11*$C650*'Business Case'!B12*$B650)-'Business Case'!B11*$C650*'Business Case'!B13*$D650-'Business Case'!B14*$E650))*'Business Case'!$B$7-'Business Case'!$B$8*('Business Case'!B11*$C650*'Business Case'!B12*$B650)-'Business Case'!B15*$F650</f>
        <v>-2099977192.89251</v>
      </c>
      <c r="I650" s="39" t="n">
        <f aca="false">(('Business Case'!C11*$C650*'Business Case'!C12*$B650)-'Business Case'!C11*$C650*'Business Case'!C13*$D650-'Business Case'!C14*$E650)-MAX(0,(('Business Case'!C11*$C650*'Business Case'!C12*$B650)-'Business Case'!C11*$C650*'Business Case'!C13*$D650-'Business Case'!C14*$E650))*'Business Case'!$B$7-'Business Case'!$B$8*(('Business Case'!C11*$C650*'Business Case'!C12*$B650)-('Business Case'!B11*$C650*'Business Case'!B12*$B650))-'Business Case'!C15*$F650</f>
        <v>-7770976.48590958</v>
      </c>
      <c r="J650" s="39" t="n">
        <f aca="false">(('Business Case'!D11*$C650*'Business Case'!D12*$B650)-'Business Case'!D11*$C650*'Business Case'!D13*$D650-'Business Case'!D14*$E650)-MAX(0,(('Business Case'!D11*$C650*'Business Case'!D12*$B650)-'Business Case'!D11*$C650*'Business Case'!D13*$D650-'Business Case'!D14*$E650))*'Business Case'!$B$7-'Business Case'!$B$8*(('Business Case'!D11*$C650*'Business Case'!D12*$B650)-('Business Case'!C11*$C650*'Business Case'!C12*$B650))-'Business Case'!D15*$F650</f>
        <v>286878770.12388</v>
      </c>
      <c r="K650" s="39" t="n">
        <f aca="false">(('Business Case'!E11*$C650*'Business Case'!E12*$B650)-'Business Case'!E11*$C650*'Business Case'!E13*$D650-'Business Case'!E14*$E650)-MAX(0,(('Business Case'!E11*$C650*'Business Case'!E12*$B650)-'Business Case'!E11*$C650*'Business Case'!E13*$D650-'Business Case'!E14*$E650))*'Business Case'!$B$7-'Business Case'!$B$8*(('Business Case'!E11*$C650*'Business Case'!E12*$B650)-('Business Case'!D11*$C650*'Business Case'!D12*$B650))-'Business Case'!E15*$F650</f>
        <v>634027946.555982</v>
      </c>
      <c r="L650" s="39" t="n">
        <f aca="false">(('Business Case'!F11*$C650*'Business Case'!F12*$B650)-'Business Case'!F11*$C650*'Business Case'!F13*$D650-'Business Case'!F14*$E650)-MAX(0,(('Business Case'!F11*$C650*'Business Case'!F12*$B650)-'Business Case'!F11*$C650*'Business Case'!F13*$D650-'Business Case'!F14*$E650))*'Business Case'!$B$7-'Business Case'!$B$8*(('Business Case'!F11*$C650*'Business Case'!F12*$B650)-('Business Case'!E11*$C650*'Business Case'!E12*$B650))-'Business Case'!F15*$F650</f>
        <v>768415141.896413</v>
      </c>
      <c r="M650" s="39" t="n">
        <f aca="false">(('Business Case'!G11*$C650*'Business Case'!G12*$B650)-'Business Case'!G11*$C650*'Business Case'!G13*$D650-'Business Case'!G14*$E650)-MAX(0,(('Business Case'!G11*$C650*'Business Case'!G12*$B650)-'Business Case'!G11*$C650*'Business Case'!G13*$D650-'Business Case'!G14*$E650))*'Business Case'!$B$7-'Business Case'!$B$8*(('Business Case'!G11*$C650*'Business Case'!G12*$B650)-('Business Case'!F11*$C650*'Business Case'!F12*$B650))-'Business Case'!G15*$F650+'Business Case'!$B$8*('Business Case'!G11*$C650*'Business Case'!G12*$B650)</f>
        <v>967353514.150836</v>
      </c>
      <c r="N650" s="39" t="n">
        <f aca="false">IF(COUNT('Business Case'!B11:G11)=0,"",H650+NPV(G650,I650:M650))</f>
        <v>-270484858.255526</v>
      </c>
      <c r="P650" s="40" t="n">
        <f aca="true">RAND()</f>
        <v>0.636180000548769</v>
      </c>
      <c r="Q650" s="40" t="n">
        <f aca="true">RAND()</f>
        <v>0.803936103731039</v>
      </c>
      <c r="R650" s="40" t="n">
        <f aca="true">RAND()</f>
        <v>0.90220503617669</v>
      </c>
      <c r="S650" s="40" t="n">
        <f aca="true">RAND()</f>
        <v>0.420828520799388</v>
      </c>
      <c r="T650" s="40" t="n">
        <f aca="true">RAND()</f>
        <v>0.549931576076722</v>
      </c>
      <c r="U650" s="40" t="n">
        <f aca="true">RAND()</f>
        <v>0.358016977270379</v>
      </c>
    </row>
    <row r="651" customFormat="false" ht="15" hidden="false" customHeight="false" outlineLevel="0" collapsed="false">
      <c r="A651" s="36" t="n">
        <v>571</v>
      </c>
      <c r="B651" s="37" t="n">
        <f aca="false">1+IF($G$6=$E$6,$F$6,IF(P651&lt;($F$6-$E$6)/($G$6-$E$6),$E$6+SQRT(P651*($G$6-$E$6)*($F$6-$E$6)),$G$6-SQRT((1-P651)*($G$6-$E$6)*($G$6-$F$6))))</f>
        <v>0.939293029600913</v>
      </c>
      <c r="C651" s="37" t="n">
        <f aca="false">1+IF($G$7=$E$7,$F$7,IF(Q651&lt;($F$7-$E$7)/($G$7-$E$7),$E$7+SQRT(Q651*($G$7-$E$7)*($F$7-$E$7)),$G$7-SQRT((1-Q651)*($G$7-$E$7)*($G$7-$F$7))))</f>
        <v>0.979147340268352</v>
      </c>
      <c r="D651" s="37" t="n">
        <f aca="false">1+IF($G$8=$E$8,$F$8,IF(R651&lt;($F$8-$E$8)/($G$8-$E$8),$E$8+SQRT(R651*($G$8-$E$8)*($F$8-$E$8)),$G$8-SQRT((1-R651)*($G$8-$E$8)*($G$8-$F$8))))</f>
        <v>1.03861426404889</v>
      </c>
      <c r="E651" s="37" t="n">
        <f aca="false">1+IF($G$9=$E$9,$F$9,IF(S651&lt;($F$9-$E$9)/($G$9-$E$9),$E$9+SQRT(S651*($G$9-$E$9)*($F$9-$E$9)),$G$9-SQRT((1-S651)*($G$9-$E$9)*($G$9-$F$9))))</f>
        <v>1.01169933403173</v>
      </c>
      <c r="F651" s="37" t="n">
        <f aca="false">1+IF($G$10=$E$10,$F$10,IF(T651&lt;($F$10-$E$10)/($G$10-$E$10),$E$10+SQRT(T651*($G$10-$E$10)*($F$10-$E$10)),$G$10-SQRT((1-T651)*($G$10-$E$10)*($G$10-$F$10))))</f>
        <v>0.977096834777212</v>
      </c>
      <c r="G651" s="38" t="n">
        <f aca="false">IF($G$11=$E$11,$F$11,IF(U651&lt;($F$11-$E$11)/($G$11-$E$11),$E$11+SQRT(U651*($G$11-$E$11)*($F$11-$E$11)),$G$11-SQRT((1-U651)*($G$11-$E$11)*($G$11-$F$11))))</f>
        <v>0.0966084460563766</v>
      </c>
      <c r="H651" s="39" t="n">
        <f aca="false">(('Business Case'!B11*$C651*'Business Case'!B12*$B651)-'Business Case'!B11*$C651*'Business Case'!B13*$D651-'Business Case'!B14*$E651)-MAX(0,(('Business Case'!B11*$C651*'Business Case'!B12*$B651)-'Business Case'!B11*$C651*'Business Case'!B13*$D651-'Business Case'!B14*$E651))*'Business Case'!$B$7-'Business Case'!$B$8*('Business Case'!B11*$C651*'Business Case'!B12*$B651)-'Business Case'!B15*$F651</f>
        <v>-1954193669.55442</v>
      </c>
      <c r="I651" s="39" t="n">
        <f aca="false">(('Business Case'!C11*$C651*'Business Case'!C12*$B651)-'Business Case'!C11*$C651*'Business Case'!C13*$D651-'Business Case'!C14*$E651)-MAX(0,(('Business Case'!C11*$C651*'Business Case'!C12*$B651)-'Business Case'!C11*$C651*'Business Case'!C13*$D651-'Business Case'!C14*$E651))*'Business Case'!$B$7-'Business Case'!$B$8*(('Business Case'!C11*$C651*'Business Case'!C12*$B651)-('Business Case'!B11*$C651*'Business Case'!B12*$B651))-'Business Case'!C15*$F651</f>
        <v>-56545563.877009</v>
      </c>
      <c r="J651" s="39" t="n">
        <f aca="false">(('Business Case'!D11*$C651*'Business Case'!D12*$B651)-'Business Case'!D11*$C651*'Business Case'!D13*$D651-'Business Case'!D14*$E651)-MAX(0,(('Business Case'!D11*$C651*'Business Case'!D12*$B651)-'Business Case'!D11*$C651*'Business Case'!D13*$D651-'Business Case'!D14*$E651))*'Business Case'!$B$7-'Business Case'!$B$8*(('Business Case'!D11*$C651*'Business Case'!D12*$B651)-('Business Case'!C11*$C651*'Business Case'!C12*$B651))-'Business Case'!D15*$F651</f>
        <v>176159774.146199</v>
      </c>
      <c r="K651" s="39" t="n">
        <f aca="false">(('Business Case'!E11*$C651*'Business Case'!E12*$B651)-'Business Case'!E11*$C651*'Business Case'!E13*$D651-'Business Case'!E14*$E651)-MAX(0,(('Business Case'!E11*$C651*'Business Case'!E12*$B651)-'Business Case'!E11*$C651*'Business Case'!E13*$D651-'Business Case'!E14*$E651))*'Business Case'!$B$7-'Business Case'!$B$8*(('Business Case'!E11*$C651*'Business Case'!E12*$B651)-('Business Case'!D11*$C651*'Business Case'!D12*$B651))-'Business Case'!E15*$F651</f>
        <v>457719953.908267</v>
      </c>
      <c r="L651" s="39" t="n">
        <f aca="false">(('Business Case'!F11*$C651*'Business Case'!F12*$B651)-'Business Case'!F11*$C651*'Business Case'!F13*$D651-'Business Case'!F14*$E651)-MAX(0,(('Business Case'!F11*$C651*'Business Case'!F12*$B651)-'Business Case'!F11*$C651*'Business Case'!F13*$D651-'Business Case'!F14*$E651))*'Business Case'!$B$7-'Business Case'!$B$8*(('Business Case'!F11*$C651*'Business Case'!F12*$B651)-('Business Case'!E11*$C651*'Business Case'!E12*$B651))-'Business Case'!F15*$F651</f>
        <v>567073448.664792</v>
      </c>
      <c r="M651" s="39" t="n">
        <f aca="false">(('Business Case'!G11*$C651*'Business Case'!G12*$B651)-'Business Case'!G11*$C651*'Business Case'!G13*$D651-'Business Case'!G14*$E651)-MAX(0,(('Business Case'!G11*$C651*'Business Case'!G12*$B651)-'Business Case'!G11*$C651*'Business Case'!G13*$D651-'Business Case'!G14*$E651))*'Business Case'!$B$7-'Business Case'!$B$8*(('Business Case'!G11*$C651*'Business Case'!G12*$B651)-('Business Case'!F11*$C651*'Business Case'!F12*$B651))-'Business Case'!G15*$F651+'Business Case'!$B$8*('Business Case'!G11*$C651*'Business Case'!G12*$B651)</f>
        <v>741891216.783129</v>
      </c>
      <c r="N651" s="39" t="n">
        <f aca="false">IF(COUNT('Business Case'!B11:G11)=0,"",H651+NPV(G651,I651:M651))</f>
        <v>-652220412.336636</v>
      </c>
      <c r="P651" s="40" t="n">
        <f aca="true">RAND()</f>
        <v>0.0387730199147618</v>
      </c>
      <c r="Q651" s="40" t="n">
        <f aca="true">RAND()</f>
        <v>0.458482421788922</v>
      </c>
      <c r="R651" s="40" t="n">
        <f aca="true">RAND()</f>
        <v>0.835309698056223</v>
      </c>
      <c r="S651" s="40" t="n">
        <f aca="true">RAND()</f>
        <v>0.480199492637383</v>
      </c>
      <c r="T651" s="40" t="n">
        <f aca="true">RAND()</f>
        <v>0.0587390763954815</v>
      </c>
      <c r="U651" s="40" t="n">
        <f aca="true">RAND()</f>
        <v>0.1455718642668</v>
      </c>
    </row>
    <row r="652" customFormat="false" ht="15" hidden="false" customHeight="false" outlineLevel="0" collapsed="false">
      <c r="A652" s="36" t="n">
        <v>572</v>
      </c>
      <c r="B652" s="37" t="n">
        <f aca="false">1+IF($G$6=$E$6,$F$6,IF(P652&lt;($F$6-$E$6)/($G$6-$E$6),$E$6+SQRT(P652*($G$6-$E$6)*($F$6-$E$6)),$G$6-SQRT((1-P652)*($G$6-$E$6)*($G$6-$F$6))))</f>
        <v>1.00281686261396</v>
      </c>
      <c r="C652" s="37" t="n">
        <f aca="false">1+IF($G$7=$E$7,$F$7,IF(Q652&lt;($F$7-$E$7)/($G$7-$E$7),$E$7+SQRT(Q652*($G$7-$E$7)*($F$7-$E$7)),$G$7-SQRT((1-Q652)*($G$7-$E$7)*($G$7-$F$7))))</f>
        <v>0.934901340189067</v>
      </c>
      <c r="D652" s="37" t="n">
        <f aca="false">1+IF($G$8=$E$8,$F$8,IF(R652&lt;($F$8-$E$8)/($G$8-$E$8),$E$8+SQRT(R652*($G$8-$E$8)*($F$8-$E$8)),$G$8-SQRT((1-R652)*($G$8-$E$8)*($G$8-$F$8))))</f>
        <v>0.994609639709688</v>
      </c>
      <c r="E652" s="37" t="n">
        <f aca="false">1+IF($G$9=$E$9,$F$9,IF(S652&lt;($F$9-$E$9)/($G$9-$E$9),$E$9+SQRT(S652*($G$9-$E$9)*($F$9-$E$9)),$G$9-SQRT((1-S652)*($G$9-$E$9)*($G$9-$F$9))))</f>
        <v>0.973505654081506</v>
      </c>
      <c r="F652" s="37" t="n">
        <f aca="false">1+IF($G$10=$E$10,$F$10,IF(T652&lt;($F$10-$E$10)/($G$10-$E$10),$E$10+SQRT(T652*($G$10-$E$10)*($F$10-$E$10)),$G$10-SQRT((1-T652)*($G$10-$E$10)*($G$10-$F$10))))</f>
        <v>1.03610136515899</v>
      </c>
      <c r="G652" s="38" t="n">
        <f aca="false">IF($G$11=$E$11,$F$11,IF(U652&lt;($F$11-$E$11)/($G$11-$E$11),$E$11+SQRT(U652*($G$11-$E$11)*($F$11-$E$11)),$G$11-SQRT((1-U652)*($G$11-$E$11)*($G$11-$F$11))))</f>
        <v>0.105399770240155</v>
      </c>
      <c r="H652" s="39" t="n">
        <f aca="false">(('Business Case'!B11*$C652*'Business Case'!B12*$B652)-'Business Case'!B11*$C652*'Business Case'!B13*$D652-'Business Case'!B14*$E652)-MAX(0,(('Business Case'!B11*$C652*'Business Case'!B12*$B652)-'Business Case'!B11*$C652*'Business Case'!B13*$D652-'Business Case'!B14*$E652))*'Business Case'!$B$7-'Business Case'!$B$8*('Business Case'!B11*$C652*'Business Case'!B12*$B652)-'Business Case'!B15*$F652</f>
        <v>-2072202730.31798</v>
      </c>
      <c r="I652" s="39" t="n">
        <f aca="false">(('Business Case'!C11*$C652*'Business Case'!C12*$B652)-'Business Case'!C11*$C652*'Business Case'!C13*$D652-'Business Case'!C14*$E652)-MAX(0,(('Business Case'!C11*$C652*'Business Case'!C12*$B652)-'Business Case'!C11*$C652*'Business Case'!C13*$D652-'Business Case'!C14*$E652))*'Business Case'!$B$7-'Business Case'!$B$8*(('Business Case'!C11*$C652*'Business Case'!C12*$B652)-('Business Case'!B11*$C652*'Business Case'!B12*$B652))-'Business Case'!C15*$F652</f>
        <v>1249185.02494089</v>
      </c>
      <c r="J652" s="39" t="n">
        <f aca="false">(('Business Case'!D11*$C652*'Business Case'!D12*$B652)-'Business Case'!D11*$C652*'Business Case'!D13*$D652-'Business Case'!D14*$E652)-MAX(0,(('Business Case'!D11*$C652*'Business Case'!D12*$B652)-'Business Case'!D11*$C652*'Business Case'!D13*$D652-'Business Case'!D14*$E652))*'Business Case'!$B$7-'Business Case'!$B$8*(('Business Case'!D11*$C652*'Business Case'!D12*$B652)-('Business Case'!C11*$C652*'Business Case'!C12*$B652))-'Business Case'!D15*$F652</f>
        <v>293142816.102303</v>
      </c>
      <c r="K652" s="39" t="n">
        <f aca="false">(('Business Case'!E11*$C652*'Business Case'!E12*$B652)-'Business Case'!E11*$C652*'Business Case'!E13*$D652-'Business Case'!E14*$E652)-MAX(0,(('Business Case'!E11*$C652*'Business Case'!E12*$B652)-'Business Case'!E11*$C652*'Business Case'!E13*$D652-'Business Case'!E14*$E652))*'Business Case'!$B$7-'Business Case'!$B$8*(('Business Case'!E11*$C652*'Business Case'!E12*$B652)-('Business Case'!D11*$C652*'Business Case'!D12*$B652))-'Business Case'!E15*$F652</f>
        <v>636841515.437614</v>
      </c>
      <c r="L652" s="39" t="n">
        <f aca="false">(('Business Case'!F11*$C652*'Business Case'!F12*$B652)-'Business Case'!F11*$C652*'Business Case'!F13*$D652-'Business Case'!F14*$E652)-MAX(0,(('Business Case'!F11*$C652*'Business Case'!F12*$B652)-'Business Case'!F11*$C652*'Business Case'!F13*$D652-'Business Case'!F14*$E652))*'Business Case'!$B$7-'Business Case'!$B$8*(('Business Case'!F11*$C652*'Business Case'!F12*$B652)-('Business Case'!E11*$C652*'Business Case'!E12*$B652))-'Business Case'!F15*$F652</f>
        <v>766540596.147489</v>
      </c>
      <c r="M652" s="39" t="n">
        <f aca="false">(('Business Case'!G11*$C652*'Business Case'!G12*$B652)-'Business Case'!G11*$C652*'Business Case'!G13*$D652-'Business Case'!G14*$E652)-MAX(0,(('Business Case'!G11*$C652*'Business Case'!G12*$B652)-'Business Case'!G11*$C652*'Business Case'!G13*$D652-'Business Case'!G14*$E652))*'Business Case'!$B$7-'Business Case'!$B$8*(('Business Case'!G11*$C652*'Business Case'!G12*$B652)-('Business Case'!F11*$C652*'Business Case'!F12*$B652))-'Business Case'!G15*$F652+'Business Case'!$B$8*('Business Case'!G11*$C652*'Business Case'!G12*$B652)</f>
        <v>944747216.409972</v>
      </c>
      <c r="N652" s="39" t="n">
        <f aca="false">IF(COUNT('Business Case'!B11:G11)=0,"",H652+NPV(G652,I652:M652))</f>
        <v>-273848764.295978</v>
      </c>
      <c r="P652" s="40" t="n">
        <f aca="true">RAND()</f>
        <v>0.711961311277261</v>
      </c>
      <c r="Q652" s="40" t="n">
        <f aca="true">RAND()</f>
        <v>0.259976736925804</v>
      </c>
      <c r="R652" s="40" t="n">
        <f aca="true">RAND()</f>
        <v>0.306156916158174</v>
      </c>
      <c r="S652" s="40" t="n">
        <f aca="true">RAND()</f>
        <v>0.0736687698399226</v>
      </c>
      <c r="T652" s="40" t="n">
        <f aca="true">RAND()</f>
        <v>0.462744749945064</v>
      </c>
      <c r="U652" s="40" t="n">
        <f aca="true">RAND()</f>
        <v>0.644722151599547</v>
      </c>
    </row>
    <row r="653" customFormat="false" ht="15" hidden="false" customHeight="false" outlineLevel="0" collapsed="false">
      <c r="A653" s="36" t="n">
        <v>573</v>
      </c>
      <c r="B653" s="37" t="n">
        <f aca="false">1+IF($G$6=$E$6,$F$6,IF(P653&lt;($F$6-$E$6)/($G$6-$E$6),$E$6+SQRT(P653*($G$6-$E$6)*($F$6-$E$6)),$G$6-SQRT((1-P653)*($G$6-$E$6)*($G$6-$F$6))))</f>
        <v>0.99031251493846</v>
      </c>
      <c r="C653" s="37" t="n">
        <f aca="false">1+IF($G$7=$E$7,$F$7,IF(Q653&lt;($F$7-$E$7)/($G$7-$E$7),$E$7+SQRT(Q653*($G$7-$E$7)*($F$7-$E$7)),$G$7-SQRT((1-Q653)*($G$7-$E$7)*($G$7-$F$7))))</f>
        <v>0.936237394501986</v>
      </c>
      <c r="D653" s="37" t="n">
        <f aca="false">1+IF($G$8=$E$8,$F$8,IF(R653&lt;($F$8-$E$8)/($G$8-$E$8),$E$8+SQRT(R653*($G$8-$E$8)*($F$8-$E$8)),$G$8-SQRT((1-R653)*($G$8-$E$8)*($G$8-$F$8))))</f>
        <v>0.995740407527385</v>
      </c>
      <c r="E653" s="37" t="n">
        <f aca="false">1+IF($G$9=$E$9,$F$9,IF(S653&lt;($F$9-$E$9)/($G$9-$E$9),$E$9+SQRT(S653*($G$9-$E$9)*($F$9-$E$9)),$G$9-SQRT((1-S653)*($G$9-$E$9)*($G$9-$F$9))))</f>
        <v>1.03111404237133</v>
      </c>
      <c r="F653" s="37" t="n">
        <f aca="false">1+IF($G$10=$E$10,$F$10,IF(T653&lt;($F$10-$E$10)/($G$10-$E$10),$E$10+SQRT(T653*($G$10-$E$10)*($F$10-$E$10)),$G$10-SQRT((1-T653)*($G$10-$E$10)*($G$10-$F$10))))</f>
        <v>1.07501140329607</v>
      </c>
      <c r="G653" s="38" t="n">
        <f aca="false">IF($G$11=$E$11,$F$11,IF(U653&lt;($F$11-$E$11)/($G$11-$E$11),$E$11+SQRT(U653*($G$11-$E$11)*($F$11-$E$11)),$G$11-SQRT((1-U653)*($G$11-$E$11)*($G$11-$F$11))))</f>
        <v>0.109373703361927</v>
      </c>
      <c r="H653" s="39" t="n">
        <f aca="false">(('Business Case'!B11*$C653*'Business Case'!B12*$B653)-'Business Case'!B11*$C653*'Business Case'!B13*$D653-'Business Case'!B14*$E653)-MAX(0,(('Business Case'!B11*$C653*'Business Case'!B12*$B653)-'Business Case'!B11*$C653*'Business Case'!B13*$D653-'Business Case'!B14*$E653))*'Business Case'!$B$7-'Business Case'!$B$8*('Business Case'!B11*$C653*'Business Case'!B12*$B653)-'Business Case'!B15*$F653</f>
        <v>-2150022806.59214</v>
      </c>
      <c r="I653" s="39" t="n">
        <f aca="false">(('Business Case'!C11*$C653*'Business Case'!C12*$B653)-'Business Case'!C11*$C653*'Business Case'!C13*$D653-'Business Case'!C14*$E653)-MAX(0,(('Business Case'!C11*$C653*'Business Case'!C12*$B653)-'Business Case'!C11*$C653*'Business Case'!C13*$D653-'Business Case'!C14*$E653))*'Business Case'!$B$7-'Business Case'!$B$8*(('Business Case'!C11*$C653*'Business Case'!C12*$B653)-('Business Case'!B11*$C653*'Business Case'!B12*$B653))-'Business Case'!C15*$F653</f>
        <v>-20010013.6511156</v>
      </c>
      <c r="J653" s="39" t="n">
        <f aca="false">(('Business Case'!D11*$C653*'Business Case'!D12*$B653)-'Business Case'!D11*$C653*'Business Case'!D13*$D653-'Business Case'!D14*$E653)-MAX(0,(('Business Case'!D11*$C653*'Business Case'!D12*$B653)-'Business Case'!D11*$C653*'Business Case'!D13*$D653-'Business Case'!D14*$E653))*'Business Case'!$B$7-'Business Case'!$B$8*(('Business Case'!D11*$C653*'Business Case'!D12*$B653)-('Business Case'!C11*$C653*'Business Case'!C12*$B653))-'Business Case'!D15*$F653</f>
        <v>262169898.689074</v>
      </c>
      <c r="K653" s="39" t="n">
        <f aca="false">(('Business Case'!E11*$C653*'Business Case'!E12*$B653)-'Business Case'!E11*$C653*'Business Case'!E13*$D653-'Business Case'!E14*$E653)-MAX(0,(('Business Case'!E11*$C653*'Business Case'!E12*$B653)-'Business Case'!E11*$C653*'Business Case'!E13*$D653-'Business Case'!E14*$E653))*'Business Case'!$B$7-'Business Case'!$B$8*(('Business Case'!E11*$C653*'Business Case'!E12*$B653)-('Business Case'!D11*$C653*'Business Case'!D12*$B653))-'Business Case'!E15*$F653</f>
        <v>598100381.194068</v>
      </c>
      <c r="L653" s="39" t="n">
        <f aca="false">(('Business Case'!F11*$C653*'Business Case'!F12*$B653)-'Business Case'!F11*$C653*'Business Case'!F13*$D653-'Business Case'!F14*$E653)-MAX(0,(('Business Case'!F11*$C653*'Business Case'!F12*$B653)-'Business Case'!F11*$C653*'Business Case'!F13*$D653-'Business Case'!F14*$E653))*'Business Case'!$B$7-'Business Case'!$B$8*(('Business Case'!F11*$C653*'Business Case'!F12*$B653)-('Business Case'!E11*$C653*'Business Case'!E12*$B653))-'Business Case'!F15*$F653</f>
        <v>724203264.531795</v>
      </c>
      <c r="M653" s="39" t="n">
        <f aca="false">(('Business Case'!G11*$C653*'Business Case'!G12*$B653)-'Business Case'!G11*$C653*'Business Case'!G13*$D653-'Business Case'!G14*$E653)-MAX(0,(('Business Case'!G11*$C653*'Business Case'!G12*$B653)-'Business Case'!G11*$C653*'Business Case'!G13*$D653-'Business Case'!G14*$E653))*'Business Case'!$B$7-'Business Case'!$B$8*(('Business Case'!G11*$C653*'Business Case'!G12*$B653)-('Business Case'!F11*$C653*'Business Case'!F12*$B653))-'Business Case'!G15*$F653+'Business Case'!$B$8*('Business Case'!G11*$C653*'Business Case'!G12*$B653)</f>
        <v>900439283.598945</v>
      </c>
      <c r="N653" s="39" t="n">
        <f aca="false">IF(COUNT('Business Case'!B11:G11)=0,"",H653+NPV(G653,I653:M653))</f>
        <v>-502959496.199955</v>
      </c>
      <c r="P653" s="40" t="n">
        <f aca="true">RAND()</f>
        <v>0.514984349684501</v>
      </c>
      <c r="Q653" s="40" t="n">
        <f aca="true">RAND()</f>
        <v>0.265151823724139</v>
      </c>
      <c r="R653" s="40" t="n">
        <f aca="true">RAND()</f>
        <v>0.321874597041732</v>
      </c>
      <c r="S653" s="40" t="n">
        <f aca="true">RAND()</f>
        <v>0.683648322772076</v>
      </c>
      <c r="T653" s="40" t="n">
        <f aca="true">RAND()</f>
        <v>0.687557013879647</v>
      </c>
      <c r="U653" s="40" t="n">
        <f aca="true">RAND()</f>
        <v>0.811803032932794</v>
      </c>
    </row>
    <row r="654" customFormat="false" ht="15" hidden="false" customHeight="false" outlineLevel="0" collapsed="false">
      <c r="A654" s="36" t="n">
        <v>574</v>
      </c>
      <c r="B654" s="37" t="n">
        <f aca="false">1+IF($G$6=$E$6,$F$6,IF(P654&lt;($F$6-$E$6)/($G$6-$E$6),$E$6+SQRT(P654*($G$6-$E$6)*($F$6-$E$6)),$G$6-SQRT((1-P654)*($G$6-$E$6)*($G$6-$F$6))))</f>
        <v>1.00776564702848</v>
      </c>
      <c r="C654" s="37" t="n">
        <f aca="false">1+IF($G$7=$E$7,$F$7,IF(Q654&lt;($F$7-$E$7)/($G$7-$E$7),$E$7+SQRT(Q654*($G$7-$E$7)*($F$7-$E$7)),$G$7-SQRT((1-Q654)*($G$7-$E$7)*($G$7-$F$7))))</f>
        <v>0.994457132284374</v>
      </c>
      <c r="D654" s="37" t="n">
        <f aca="false">1+IF($G$8=$E$8,$F$8,IF(R654&lt;($F$8-$E$8)/($G$8-$E$8),$E$8+SQRT(R654*($G$8-$E$8)*($F$8-$E$8)),$G$8-SQRT((1-R654)*($G$8-$E$8)*($G$8-$F$8))))</f>
        <v>1.02242502106828</v>
      </c>
      <c r="E654" s="37" t="n">
        <f aca="false">1+IF($G$9=$E$9,$F$9,IF(S654&lt;($F$9-$E$9)/($G$9-$E$9),$E$9+SQRT(S654*($G$9-$E$9)*($F$9-$E$9)),$G$9-SQRT((1-S654)*($G$9-$E$9)*($G$9-$F$9))))</f>
        <v>0.957455898062646</v>
      </c>
      <c r="F654" s="37" t="n">
        <f aca="false">1+IF($G$10=$E$10,$F$10,IF(T654&lt;($F$10-$E$10)/($G$10-$E$10),$E$10+SQRT(T654*($G$10-$E$10)*($F$10-$E$10)),$G$10-SQRT((1-T654)*($G$10-$E$10)*($G$10-$F$10))))</f>
        <v>0.999516079871216</v>
      </c>
      <c r="G654" s="38" t="n">
        <f aca="false">IF($G$11=$E$11,$F$11,IF(U654&lt;($F$11-$E$11)/($G$11-$E$11),$E$11+SQRT(U654*($G$11-$E$11)*($F$11-$E$11)),$G$11-SQRT((1-U654)*($G$11-$E$11)*($G$11-$F$11))))</f>
        <v>0.103247255458162</v>
      </c>
      <c r="H654" s="39" t="n">
        <f aca="false">(('Business Case'!B11*$C654*'Business Case'!B12*$B654)-'Business Case'!B11*$C654*'Business Case'!B13*$D654-'Business Case'!B14*$E654)-MAX(0,(('Business Case'!B11*$C654*'Business Case'!B12*$B654)-'Business Case'!B11*$C654*'Business Case'!B13*$D654-'Business Case'!B14*$E654))*'Business Case'!$B$7-'Business Case'!$B$8*('Business Case'!B11*$C654*'Business Case'!B12*$B654)-'Business Case'!B15*$F654</f>
        <v>-1999032159.74243</v>
      </c>
      <c r="I654" s="39" t="n">
        <f aca="false">(('Business Case'!C11*$C654*'Business Case'!C12*$B654)-'Business Case'!C11*$C654*'Business Case'!C13*$D654-'Business Case'!C14*$E654)-MAX(0,(('Business Case'!C11*$C654*'Business Case'!C12*$B654)-'Business Case'!C11*$C654*'Business Case'!C13*$D654-'Business Case'!C14*$E654))*'Business Case'!$B$7-'Business Case'!$B$8*(('Business Case'!C11*$C654*'Business Case'!C12*$B654)-('Business Case'!B11*$C654*'Business Case'!B12*$B654))-'Business Case'!C15*$F654</f>
        <v>12303845.188609</v>
      </c>
      <c r="J654" s="39" t="n">
        <f aca="false">(('Business Case'!D11*$C654*'Business Case'!D12*$B654)-'Business Case'!D11*$C654*'Business Case'!D13*$D654-'Business Case'!D14*$E654)-MAX(0,(('Business Case'!D11*$C654*'Business Case'!D12*$B654)-'Business Case'!D11*$C654*'Business Case'!D13*$D654-'Business Case'!D14*$E654))*'Business Case'!$B$7-'Business Case'!$B$8*(('Business Case'!D11*$C654*'Business Case'!D12*$B654)-('Business Case'!C11*$C654*'Business Case'!C12*$B654))-'Business Case'!D15*$F654</f>
        <v>312662524.54984</v>
      </c>
      <c r="K654" s="39" t="n">
        <f aca="false">(('Business Case'!E11*$C654*'Business Case'!E12*$B654)-'Business Case'!E11*$C654*'Business Case'!E13*$D654-'Business Case'!E14*$E654)-MAX(0,(('Business Case'!E11*$C654*'Business Case'!E12*$B654)-'Business Case'!E11*$C654*'Business Case'!E13*$D654-'Business Case'!E14*$E654))*'Business Case'!$B$7-'Business Case'!$B$8*(('Business Case'!E11*$C654*'Business Case'!E12*$B654)-('Business Case'!D11*$C654*'Business Case'!D12*$B654))-'Business Case'!E15*$F654</f>
        <v>662997007.904632</v>
      </c>
      <c r="L654" s="39" t="n">
        <f aca="false">(('Business Case'!F11*$C654*'Business Case'!F12*$B654)-'Business Case'!F11*$C654*'Business Case'!F13*$D654-'Business Case'!F14*$E654)-MAX(0,(('Business Case'!F11*$C654*'Business Case'!F12*$B654)-'Business Case'!F11*$C654*'Business Case'!F13*$D654-'Business Case'!F14*$E654))*'Business Case'!$B$7-'Business Case'!$B$8*(('Business Case'!F11*$C654*'Business Case'!F12*$B654)-('Business Case'!E11*$C654*'Business Case'!E12*$B654))-'Business Case'!F15*$F654</f>
        <v>797751899.345704</v>
      </c>
      <c r="M654" s="39" t="n">
        <f aca="false">(('Business Case'!G11*$C654*'Business Case'!G12*$B654)-'Business Case'!G11*$C654*'Business Case'!G13*$D654-'Business Case'!G14*$E654)-MAX(0,(('Business Case'!G11*$C654*'Business Case'!G12*$B654)-'Business Case'!G11*$C654*'Business Case'!G13*$D654-'Business Case'!G14*$E654))*'Business Case'!$B$7-'Business Case'!$B$8*(('Business Case'!G11*$C654*'Business Case'!G12*$B654)-('Business Case'!F11*$C654*'Business Case'!F12*$B654))-'Business Case'!G15*$F654+'Business Case'!$B$8*('Business Case'!G11*$C654*'Business Case'!G12*$B654)</f>
        <v>988246223.442676</v>
      </c>
      <c r="N654" s="39" t="n">
        <f aca="false">IF(COUNT('Business Case'!B11:G11)=0,"",H654+NPV(G654,I654:M654))</f>
        <v>-94131837.5907712</v>
      </c>
      <c r="P654" s="40" t="n">
        <f aca="true">RAND()</f>
        <v>0.783530518439066</v>
      </c>
      <c r="Q654" s="40" t="n">
        <f aca="true">RAND()</f>
        <v>0.540193947089467</v>
      </c>
      <c r="R654" s="40" t="n">
        <f aca="true">RAND()</f>
        <v>0.681261711635738</v>
      </c>
      <c r="S654" s="40" t="n">
        <f aca="true">RAND()</f>
        <v>0.00741205545607615</v>
      </c>
      <c r="T654" s="40" t="n">
        <f aca="true">RAND()</f>
        <v>0.196147373265013</v>
      </c>
      <c r="U654" s="40" t="n">
        <f aca="true">RAND()</f>
        <v>0.532242583859885</v>
      </c>
    </row>
    <row r="655" customFormat="false" ht="15" hidden="false" customHeight="false" outlineLevel="0" collapsed="false">
      <c r="A655" s="36" t="n">
        <v>575</v>
      </c>
      <c r="B655" s="37" t="n">
        <f aca="false">1+IF($G$6=$E$6,$F$6,IF(P655&lt;($F$6-$E$6)/($G$6-$E$6),$E$6+SQRT(P655*($G$6-$E$6)*($F$6-$E$6)),$G$6-SQRT((1-P655)*($G$6-$E$6)*($G$6-$F$6))))</f>
        <v>0.979597244783271</v>
      </c>
      <c r="C655" s="37" t="n">
        <f aca="false">1+IF($G$7=$E$7,$F$7,IF(Q655&lt;($F$7-$E$7)/($G$7-$E$7),$E$7+SQRT(Q655*($G$7-$E$7)*($F$7-$E$7)),$G$7-SQRT((1-Q655)*($G$7-$E$7)*($G$7-$F$7))))</f>
        <v>0.983175371959337</v>
      </c>
      <c r="D655" s="37" t="n">
        <f aca="false">1+IF($G$8=$E$8,$F$8,IF(R655&lt;($F$8-$E$8)/($G$8-$E$8),$E$8+SQRT(R655*($G$8-$E$8)*($F$8-$E$8)),$G$8-SQRT((1-R655)*($G$8-$E$8)*($G$8-$F$8))))</f>
        <v>1.01290614603452</v>
      </c>
      <c r="E655" s="37" t="n">
        <f aca="false">1+IF($G$9=$E$9,$F$9,IF(S655&lt;($F$9-$E$9)/($G$9-$E$9),$E$9+SQRT(S655*($G$9-$E$9)*($F$9-$E$9)),$G$9-SQRT((1-S655)*($G$9-$E$9)*($G$9-$F$9))))</f>
        <v>1.05304542895606</v>
      </c>
      <c r="F655" s="37" t="n">
        <f aca="false">1+IF($G$10=$E$10,$F$10,IF(T655&lt;($F$10-$E$10)/($G$10-$E$10),$E$10+SQRT(T655*($G$10-$E$10)*($F$10-$E$10)),$G$10-SQRT((1-T655)*($G$10-$E$10)*($G$10-$F$10))))</f>
        <v>1.02496414442016</v>
      </c>
      <c r="G655" s="38" t="n">
        <f aca="false">IF($G$11=$E$11,$F$11,IF(U655&lt;($F$11-$E$11)/($G$11-$E$11),$E$11+SQRT(U655*($G$11-$E$11)*($F$11-$E$11)),$G$11-SQRT((1-U655)*($G$11-$E$11)*($G$11-$F$11))))</f>
        <v>0.117406707363925</v>
      </c>
      <c r="H655" s="39" t="n">
        <f aca="false">(('Business Case'!B11*$C655*'Business Case'!B12*$B655)-'Business Case'!B11*$C655*'Business Case'!B13*$D655-'Business Case'!B14*$E655)-MAX(0,(('Business Case'!B11*$C655*'Business Case'!B12*$B655)-'Business Case'!B11*$C655*'Business Case'!B13*$D655-'Business Case'!B14*$E655))*'Business Case'!$B$7-'Business Case'!$B$8*('Business Case'!B11*$C655*'Business Case'!B12*$B655)-'Business Case'!B15*$F655</f>
        <v>-2049928288.84032</v>
      </c>
      <c r="I655" s="39" t="n">
        <f aca="false">(('Business Case'!C11*$C655*'Business Case'!C12*$B655)-'Business Case'!C11*$C655*'Business Case'!C13*$D655-'Business Case'!C14*$E655)-MAX(0,(('Business Case'!C11*$C655*'Business Case'!C12*$B655)-'Business Case'!C11*$C655*'Business Case'!C13*$D655-'Business Case'!C14*$E655))*'Business Case'!$B$7-'Business Case'!$B$8*(('Business Case'!C11*$C655*'Business Case'!C12*$B655)-('Business Case'!B11*$C655*'Business Case'!B12*$B655))-'Business Case'!C15*$F655</f>
        <v>-23109039.1840455</v>
      </c>
      <c r="J655" s="39" t="n">
        <f aca="false">(('Business Case'!D11*$C655*'Business Case'!D12*$B655)-'Business Case'!D11*$C655*'Business Case'!D13*$D655-'Business Case'!D14*$E655)-MAX(0,(('Business Case'!D11*$C655*'Business Case'!D12*$B655)-'Business Case'!D11*$C655*'Business Case'!D13*$D655-'Business Case'!D14*$E655))*'Business Case'!$B$7-'Business Case'!$B$8*(('Business Case'!D11*$C655*'Business Case'!D12*$B655)-('Business Case'!C11*$C655*'Business Case'!C12*$B655))-'Business Case'!D15*$F655</f>
        <v>255949323.576322</v>
      </c>
      <c r="K655" s="39" t="n">
        <f aca="false">(('Business Case'!E11*$C655*'Business Case'!E12*$B655)-'Business Case'!E11*$C655*'Business Case'!E13*$D655-'Business Case'!E14*$E655)-MAX(0,(('Business Case'!E11*$C655*'Business Case'!E12*$B655)-'Business Case'!E11*$C655*'Business Case'!E13*$D655-'Business Case'!E14*$E655))*'Business Case'!$B$7-'Business Case'!$B$8*(('Business Case'!E11*$C655*'Business Case'!E12*$B655)-('Business Case'!D11*$C655*'Business Case'!D12*$B655))-'Business Case'!E15*$F655</f>
        <v>586255893.557697</v>
      </c>
      <c r="L655" s="39" t="n">
        <f aca="false">(('Business Case'!F11*$C655*'Business Case'!F12*$B655)-'Business Case'!F11*$C655*'Business Case'!F13*$D655-'Business Case'!F14*$E655)-MAX(0,(('Business Case'!F11*$C655*'Business Case'!F12*$B655)-'Business Case'!F11*$C655*'Business Case'!F13*$D655-'Business Case'!F14*$E655))*'Business Case'!$B$7-'Business Case'!$B$8*(('Business Case'!F11*$C655*'Business Case'!F12*$B655)-('Business Case'!E11*$C655*'Business Case'!E12*$B655))-'Business Case'!F15*$F655</f>
        <v>712560632.814383</v>
      </c>
      <c r="M655" s="39" t="n">
        <f aca="false">(('Business Case'!G11*$C655*'Business Case'!G12*$B655)-'Business Case'!G11*$C655*'Business Case'!G13*$D655-'Business Case'!G14*$E655)-MAX(0,(('Business Case'!G11*$C655*'Business Case'!G12*$B655)-'Business Case'!G11*$C655*'Business Case'!G13*$D655-'Business Case'!G14*$E655))*'Business Case'!$B$7-'Business Case'!$B$8*(('Business Case'!G11*$C655*'Business Case'!G12*$B655)-('Business Case'!F11*$C655*'Business Case'!F12*$B655))-'Business Case'!G15*$F655+'Business Case'!$B$8*('Business Case'!G11*$C655*'Business Case'!G12*$B655)</f>
        <v>895629700.332149</v>
      </c>
      <c r="N655" s="39" t="n">
        <f aca="false">IF(COUNT('Business Case'!B11:G11)=0,"",H655+NPV(G655,I655:M655))</f>
        <v>-474229674.306173</v>
      </c>
      <c r="P655" s="40" t="n">
        <f aca="true">RAND()</f>
        <v>0.369982456849695</v>
      </c>
      <c r="Q655" s="40" t="n">
        <f aca="true">RAND()</f>
        <v>0.47933166989202</v>
      </c>
      <c r="R655" s="40" t="n">
        <f aca="true">RAND()</f>
        <v>0.567155265390208</v>
      </c>
      <c r="S655" s="40" t="n">
        <f aca="true">RAND()</f>
        <v>0.853017883871965</v>
      </c>
      <c r="T655" s="40" t="n">
        <f aca="true">RAND()</f>
        <v>0.387248985228664</v>
      </c>
      <c r="U655" s="40" t="n">
        <f aca="true">RAND()</f>
        <v>0.988791388839467</v>
      </c>
    </row>
    <row r="656" customFormat="false" ht="15" hidden="false" customHeight="false" outlineLevel="0" collapsed="false">
      <c r="A656" s="36" t="n">
        <v>576</v>
      </c>
      <c r="B656" s="37" t="n">
        <f aca="false">1+IF($G$6=$E$6,$F$6,IF(P656&lt;($F$6-$E$6)/($G$6-$E$6),$E$6+SQRT(P656*($G$6-$E$6)*($F$6-$E$6)),$G$6-SQRT((1-P656)*($G$6-$E$6)*($G$6-$F$6))))</f>
        <v>1.0045659973651</v>
      </c>
      <c r="C656" s="37" t="n">
        <f aca="false">1+IF($G$7=$E$7,$F$7,IF(Q656&lt;($F$7-$E$7)/($G$7-$E$7),$E$7+SQRT(Q656*($G$7-$E$7)*($F$7-$E$7)),$G$7-SQRT((1-Q656)*($G$7-$E$7)*($G$7-$F$7))))</f>
        <v>0.993322409674526</v>
      </c>
      <c r="D656" s="37" t="n">
        <f aca="false">1+IF($G$8=$E$8,$F$8,IF(R656&lt;($F$8-$E$8)/($G$8-$E$8),$E$8+SQRT(R656*($G$8-$E$8)*($F$8-$E$8)),$G$8-SQRT((1-R656)*($G$8-$E$8)*($G$8-$F$8))))</f>
        <v>1.03090629124005</v>
      </c>
      <c r="E656" s="37" t="n">
        <f aca="false">1+IF($G$9=$E$9,$F$9,IF(S656&lt;($F$9-$E$9)/($G$9-$E$9),$E$9+SQRT(S656*($G$9-$E$9)*($F$9-$E$9)),$G$9-SQRT((1-S656)*($G$9-$E$9)*($G$9-$F$9))))</f>
        <v>1.03322751210856</v>
      </c>
      <c r="F656" s="37" t="n">
        <f aca="false">1+IF($G$10=$E$10,$F$10,IF(T656&lt;($F$10-$E$10)/($G$10-$E$10),$E$10+SQRT(T656*($G$10-$E$10)*($F$10-$E$10)),$G$10-SQRT((1-T656)*($G$10-$E$10)*($G$10-$F$10))))</f>
        <v>1.0807976668984</v>
      </c>
      <c r="G656" s="38" t="n">
        <f aca="false">IF($G$11=$E$11,$F$11,IF(U656&lt;($F$11-$E$11)/($G$11-$E$11),$E$11+SQRT(U656*($G$11-$E$11)*($F$11-$E$11)),$G$11-SQRT((1-U656)*($G$11-$E$11)*($G$11-$F$11))))</f>
        <v>0.110332981838834</v>
      </c>
      <c r="H656" s="39" t="n">
        <f aca="false">(('Business Case'!B11*$C656*'Business Case'!B12*$B656)-'Business Case'!B11*$C656*'Business Case'!B13*$D656-'Business Case'!B14*$E656)-MAX(0,(('Business Case'!B11*$C656*'Business Case'!B12*$B656)-'Business Case'!B11*$C656*'Business Case'!B13*$D656-'Business Case'!B14*$E656))*'Business Case'!$B$7-'Business Case'!$B$8*('Business Case'!B11*$C656*'Business Case'!B12*$B656)-'Business Case'!B15*$F656</f>
        <v>-2161595333.79681</v>
      </c>
      <c r="I656" s="39" t="n">
        <f aca="false">(('Business Case'!C11*$C656*'Business Case'!C12*$B656)-'Business Case'!C11*$C656*'Business Case'!C13*$D656-'Business Case'!C14*$E656)-MAX(0,(('Business Case'!C11*$C656*'Business Case'!C12*$B656)-'Business Case'!C11*$C656*'Business Case'!C13*$D656-'Business Case'!C14*$E656))*'Business Case'!$B$7-'Business Case'!$B$8*(('Business Case'!C11*$C656*'Business Case'!C12*$B656)-('Business Case'!B11*$C656*'Business Case'!B12*$B656))-'Business Case'!C15*$F656</f>
        <v>-13633700.1502377</v>
      </c>
      <c r="J656" s="39" t="n">
        <f aca="false">(('Business Case'!D11*$C656*'Business Case'!D12*$B656)-'Business Case'!D11*$C656*'Business Case'!D13*$D656-'Business Case'!D14*$E656)-MAX(0,(('Business Case'!D11*$C656*'Business Case'!D12*$B656)-'Business Case'!D11*$C656*'Business Case'!D13*$D656-'Business Case'!D14*$E656))*'Business Case'!$B$7-'Business Case'!$B$8*(('Business Case'!D11*$C656*'Business Case'!D12*$B656)-('Business Case'!C11*$C656*'Business Case'!C12*$B656))-'Business Case'!D15*$F656</f>
        <v>279466273.037803</v>
      </c>
      <c r="K656" s="39" t="n">
        <f aca="false">(('Business Case'!E11*$C656*'Business Case'!E12*$B656)-'Business Case'!E11*$C656*'Business Case'!E13*$D656-'Business Case'!E14*$E656)-MAX(0,(('Business Case'!E11*$C656*'Business Case'!E12*$B656)-'Business Case'!E11*$C656*'Business Case'!E13*$D656-'Business Case'!E14*$E656))*'Business Case'!$B$7-'Business Case'!$B$8*(('Business Case'!E11*$C656*'Business Case'!E12*$B656)-('Business Case'!D11*$C656*'Business Case'!D12*$B656))-'Business Case'!E15*$F656</f>
        <v>626606129.570764</v>
      </c>
      <c r="L656" s="39" t="n">
        <f aca="false">(('Business Case'!F11*$C656*'Business Case'!F12*$B656)-'Business Case'!F11*$C656*'Business Case'!F13*$D656-'Business Case'!F14*$E656)-MAX(0,(('Business Case'!F11*$C656*'Business Case'!F12*$B656)-'Business Case'!F11*$C656*'Business Case'!F13*$D656-'Business Case'!F14*$E656))*'Business Case'!$B$7-'Business Case'!$B$8*(('Business Case'!F11*$C656*'Business Case'!F12*$B656)-('Business Case'!E11*$C656*'Business Case'!E12*$B656))-'Business Case'!F15*$F656</f>
        <v>758792090.251178</v>
      </c>
      <c r="M656" s="39" t="n">
        <f aca="false">(('Business Case'!G11*$C656*'Business Case'!G12*$B656)-'Business Case'!G11*$C656*'Business Case'!G13*$D656-'Business Case'!G14*$E656)-MAX(0,(('Business Case'!G11*$C656*'Business Case'!G12*$B656)-'Business Case'!G11*$C656*'Business Case'!G13*$D656-'Business Case'!G14*$E656))*'Business Case'!$B$7-'Business Case'!$B$8*(('Business Case'!G11*$C656*'Business Case'!G12*$B656)-('Business Case'!F11*$C656*'Business Case'!F12*$B656))-'Business Case'!G15*$F656+'Business Case'!$B$8*('Business Case'!G11*$C656*'Business Case'!G12*$B656)</f>
        <v>948464923.148713</v>
      </c>
      <c r="N656" s="39" t="n">
        <f aca="false">IF(COUNT('Business Case'!B11:G11)=0,"",H656+NPV(G656,I656:M656))</f>
        <v>-428167472.377145</v>
      </c>
      <c r="P656" s="40" t="n">
        <f aca="true">RAND()</f>
        <v>0.738423220264535</v>
      </c>
      <c r="Q656" s="40" t="n">
        <f aca="true">RAND()</f>
        <v>0.533907915462362</v>
      </c>
      <c r="R656" s="40" t="n">
        <f aca="true">RAND()</f>
        <v>0.768250746172419</v>
      </c>
      <c r="S656" s="40" t="n">
        <f aca="true">RAND()</f>
        <v>0.702762324052523</v>
      </c>
      <c r="T656" s="40" t="n">
        <f aca="true">RAND()</f>
        <v>0.715816075662723</v>
      </c>
      <c r="U656" s="40" t="n">
        <f aca="true">RAND()</f>
        <v>0.844247933119478</v>
      </c>
    </row>
    <row r="657" customFormat="false" ht="15" hidden="false" customHeight="false" outlineLevel="0" collapsed="false">
      <c r="A657" s="36" t="n">
        <v>577</v>
      </c>
      <c r="B657" s="37" t="n">
        <f aca="false">1+IF($G$6=$E$6,$F$6,IF(P657&lt;($F$6-$E$6)/($G$6-$E$6),$E$6+SQRT(P657*($G$6-$E$6)*($F$6-$E$6)),$G$6-SQRT((1-P657)*($G$6-$E$6)*($G$6-$F$6))))</f>
        <v>0.978044377455652</v>
      </c>
      <c r="C657" s="37" t="n">
        <f aca="false">1+IF($G$7=$E$7,$F$7,IF(Q657&lt;($F$7-$E$7)/($G$7-$E$7),$E$7+SQRT(Q657*($G$7-$E$7)*($F$7-$E$7)),$G$7-SQRT((1-Q657)*($G$7-$E$7)*($G$7-$F$7))))</f>
        <v>0.971467167917936</v>
      </c>
      <c r="D657" s="37" t="n">
        <f aca="false">1+IF($G$8=$E$8,$F$8,IF(R657&lt;($F$8-$E$8)/($G$8-$E$8),$E$8+SQRT(R657*($G$8-$E$8)*($F$8-$E$8)),$G$8-SQRT((1-R657)*($G$8-$E$8)*($G$8-$F$8))))</f>
        <v>1.06060300459252</v>
      </c>
      <c r="E657" s="37" t="n">
        <f aca="false">1+IF($G$9=$E$9,$F$9,IF(S657&lt;($F$9-$E$9)/($G$9-$E$9),$E$9+SQRT(S657*($G$9-$E$9)*($F$9-$E$9)),$G$9-SQRT((1-S657)*($G$9-$E$9)*($G$9-$F$9))))</f>
        <v>1.0583904550377</v>
      </c>
      <c r="F657" s="37" t="n">
        <f aca="false">1+IF($G$10=$E$10,$F$10,IF(T657&lt;($F$10-$E$10)/($G$10-$E$10),$E$10+SQRT(T657*($G$10-$E$10)*($F$10-$E$10)),$G$10-SQRT((1-T657)*($G$10-$E$10)*($G$10-$F$10))))</f>
        <v>0.984108440849983</v>
      </c>
      <c r="G657" s="38" t="n">
        <f aca="false">IF($G$11=$E$11,$F$11,IF(U657&lt;($F$11-$E$11)/($G$11-$E$11),$E$11+SQRT(U657*($G$11-$E$11)*($F$11-$E$11)),$G$11-SQRT((1-U657)*($G$11-$E$11)*($G$11-$F$11))))</f>
        <v>0.0989465381203018</v>
      </c>
      <c r="H657" s="39" t="n">
        <f aca="false">(('Business Case'!B11*$C657*'Business Case'!B12*$B657)-'Business Case'!B11*$C657*'Business Case'!B13*$D657-'Business Case'!B14*$E657)-MAX(0,(('Business Case'!B11*$C657*'Business Case'!B12*$B657)-'Business Case'!B11*$C657*'Business Case'!B13*$D657-'Business Case'!B14*$E657))*'Business Case'!$B$7-'Business Case'!$B$8*('Business Case'!B11*$C657*'Business Case'!B12*$B657)-'Business Case'!B15*$F657</f>
        <v>-1968216881.69997</v>
      </c>
      <c r="I657" s="39" t="n">
        <f aca="false">(('Business Case'!C11*$C657*'Business Case'!C12*$B657)-'Business Case'!C11*$C657*'Business Case'!C13*$D657-'Business Case'!C14*$E657)-MAX(0,(('Business Case'!C11*$C657*'Business Case'!C12*$B657)-'Business Case'!C11*$C657*'Business Case'!C13*$D657-'Business Case'!C14*$E657))*'Business Case'!$B$7-'Business Case'!$B$8*(('Business Case'!C11*$C657*'Business Case'!C12*$B657)-('Business Case'!B11*$C657*'Business Case'!B12*$B657))-'Business Case'!C15*$F657</f>
        <v>-47389850.9159195</v>
      </c>
      <c r="J657" s="39" t="n">
        <f aca="false">(('Business Case'!D11*$C657*'Business Case'!D12*$B657)-'Business Case'!D11*$C657*'Business Case'!D13*$D657-'Business Case'!D14*$E657)-MAX(0,(('Business Case'!D11*$C657*'Business Case'!D12*$B657)-'Business Case'!D11*$C657*'Business Case'!D13*$D657-'Business Case'!D14*$E657))*'Business Case'!$B$7-'Business Case'!$B$8*(('Business Case'!D11*$C657*'Business Case'!D12*$B657)-('Business Case'!C11*$C657*'Business Case'!C12*$B657))-'Business Case'!D15*$F657</f>
        <v>203389418.955461</v>
      </c>
      <c r="K657" s="39" t="n">
        <f aca="false">(('Business Case'!E11*$C657*'Business Case'!E12*$B657)-'Business Case'!E11*$C657*'Business Case'!E13*$D657-'Business Case'!E14*$E657)-MAX(0,(('Business Case'!E11*$C657*'Business Case'!E12*$B657)-'Business Case'!E11*$C657*'Business Case'!E13*$D657-'Business Case'!E14*$E657))*'Business Case'!$B$7-'Business Case'!$B$8*(('Business Case'!E11*$C657*'Business Case'!E12*$B657)-('Business Case'!D11*$C657*'Business Case'!D12*$B657))-'Business Case'!E15*$F657</f>
        <v>503374110.869341</v>
      </c>
      <c r="L657" s="39" t="n">
        <f aca="false">(('Business Case'!F11*$C657*'Business Case'!F12*$B657)-'Business Case'!F11*$C657*'Business Case'!F13*$D657-'Business Case'!F14*$E657)-MAX(0,(('Business Case'!F11*$C657*'Business Case'!F12*$B657)-'Business Case'!F11*$C657*'Business Case'!F13*$D657-'Business Case'!F14*$E657))*'Business Case'!$B$7-'Business Case'!$B$8*(('Business Case'!F11*$C657*'Business Case'!F12*$B657)-('Business Case'!E11*$C657*'Business Case'!E12*$B657))-'Business Case'!F15*$F657</f>
        <v>619803970.157095</v>
      </c>
      <c r="M657" s="39" t="n">
        <f aca="false">(('Business Case'!G11*$C657*'Business Case'!G12*$B657)-'Business Case'!G11*$C657*'Business Case'!G13*$D657-'Business Case'!G14*$E657)-MAX(0,(('Business Case'!G11*$C657*'Business Case'!G12*$B657)-'Business Case'!G11*$C657*'Business Case'!G13*$D657-'Business Case'!G14*$E657))*'Business Case'!$B$7-'Business Case'!$B$8*(('Business Case'!G11*$C657*'Business Case'!G12*$B657)-('Business Case'!F11*$C657*'Business Case'!F12*$B657))-'Business Case'!G15*$F657+'Business Case'!$B$8*('Business Case'!G11*$C657*'Business Case'!G12*$B657)</f>
        <v>800406201.475543</v>
      </c>
      <c r="N657" s="39" t="n">
        <f aca="false">IF(COUNT('Business Case'!B11:G11)=0,"",H657+NPV(G657,I657:M657))</f>
        <v>-539309948.60132</v>
      </c>
      <c r="P657" s="40" t="n">
        <f aca="true">RAND()</f>
        <v>0.350953099397318</v>
      </c>
      <c r="Q657" s="40" t="n">
        <f aca="true">RAND()</f>
        <v>0.420014138197109</v>
      </c>
      <c r="R657" s="40" t="n">
        <f aca="true">RAND()</f>
        <v>0.963822747034811</v>
      </c>
      <c r="S657" s="40" t="n">
        <f aca="true">RAND()</f>
        <v>0.884576384535367</v>
      </c>
      <c r="T657" s="40" t="n">
        <f aca="true">RAND()</f>
        <v>0.0930708589773436</v>
      </c>
      <c r="U657" s="40" t="n">
        <f aca="true">RAND()</f>
        <v>0.266801814460044</v>
      </c>
    </row>
    <row r="658" customFormat="false" ht="15" hidden="false" customHeight="false" outlineLevel="0" collapsed="false">
      <c r="A658" s="36" t="n">
        <v>578</v>
      </c>
      <c r="B658" s="37" t="n">
        <f aca="false">1+IF($G$6=$E$6,$F$6,IF(P658&lt;($F$6-$E$6)/($G$6-$E$6),$E$6+SQRT(P658*($G$6-$E$6)*($F$6-$E$6)),$G$6-SQRT((1-P658)*($G$6-$E$6)*($G$6-$F$6))))</f>
        <v>0.937760937001371</v>
      </c>
      <c r="C658" s="37" t="n">
        <f aca="false">1+IF($G$7=$E$7,$F$7,IF(Q658&lt;($F$7-$E$7)/($G$7-$E$7),$E$7+SQRT(Q658*($G$7-$E$7)*($F$7-$E$7)),$G$7-SQRT((1-Q658)*($G$7-$E$7)*($G$7-$F$7))))</f>
        <v>0.985803393369164</v>
      </c>
      <c r="D658" s="37" t="n">
        <f aca="false">1+IF($G$8=$E$8,$F$8,IF(R658&lt;($F$8-$E$8)/($G$8-$E$8),$E$8+SQRT(R658*($G$8-$E$8)*($F$8-$E$8)),$G$8-SQRT((1-R658)*($G$8-$E$8)*($G$8-$F$8))))</f>
        <v>1.03713384579831</v>
      </c>
      <c r="E658" s="37" t="n">
        <f aca="false">1+IF($G$9=$E$9,$F$9,IF(S658&lt;($F$9-$E$9)/($G$9-$E$9),$E$9+SQRT(S658*($G$9-$E$9)*($F$9-$E$9)),$G$9-SQRT((1-S658)*($G$9-$E$9)*($G$9-$F$9))))</f>
        <v>1.07468300402441</v>
      </c>
      <c r="F658" s="37" t="n">
        <f aca="false">1+IF($G$10=$E$10,$F$10,IF(T658&lt;($F$10-$E$10)/($G$10-$E$10),$E$10+SQRT(T658*($G$10-$E$10)*($F$10-$E$10)),$G$10-SQRT((1-T658)*($G$10-$E$10)*($G$10-$F$10))))</f>
        <v>1.01695800022594</v>
      </c>
      <c r="G658" s="38" t="n">
        <f aca="false">IF($G$11=$E$11,$F$11,IF(U658&lt;($F$11-$E$11)/($G$11-$E$11),$E$11+SQRT(U658*($G$11-$E$11)*($F$11-$E$11)),$G$11-SQRT((1-U658)*($G$11-$E$11)*($G$11-$F$11))))</f>
        <v>0.0998626524065158</v>
      </c>
      <c r="H658" s="39" t="n">
        <f aca="false">(('Business Case'!B11*$C658*'Business Case'!B12*$B658)-'Business Case'!B11*$C658*'Business Case'!B13*$D658-'Business Case'!B14*$E658)-MAX(0,(('Business Case'!B11*$C658*'Business Case'!B12*$B658)-'Business Case'!B11*$C658*'Business Case'!B13*$D658-'Business Case'!B14*$E658))*'Business Case'!$B$7-'Business Case'!$B$8*('Business Case'!B11*$C658*'Business Case'!B12*$B658)-'Business Case'!B15*$F658</f>
        <v>-2033916000.45189</v>
      </c>
      <c r="I658" s="39" t="n">
        <f aca="false">(('Business Case'!C11*$C658*'Business Case'!C12*$B658)-'Business Case'!C11*$C658*'Business Case'!C13*$D658-'Business Case'!C14*$E658)-MAX(0,(('Business Case'!C11*$C658*'Business Case'!C12*$B658)-'Business Case'!C11*$C658*'Business Case'!C13*$D658-'Business Case'!C14*$E658))*'Business Case'!$B$7-'Business Case'!$B$8*(('Business Case'!C11*$C658*'Business Case'!C12*$B658)-('Business Case'!B11*$C658*'Business Case'!B12*$B658))-'Business Case'!C15*$F658</f>
        <v>-68641861.5970121</v>
      </c>
      <c r="J658" s="39" t="n">
        <f aca="false">(('Business Case'!D11*$C658*'Business Case'!D12*$B658)-'Business Case'!D11*$C658*'Business Case'!D13*$D658-'Business Case'!D14*$E658)-MAX(0,(('Business Case'!D11*$C658*'Business Case'!D12*$B658)-'Business Case'!D11*$C658*'Business Case'!D13*$D658-'Business Case'!D14*$E658))*'Business Case'!$B$7-'Business Case'!$B$8*(('Business Case'!D11*$C658*'Business Case'!D12*$B658)-('Business Case'!C11*$C658*'Business Case'!C12*$B658))-'Business Case'!D15*$F658</f>
        <v>165155379.855602</v>
      </c>
      <c r="K658" s="39" t="n">
        <f aca="false">(('Business Case'!E11*$C658*'Business Case'!E12*$B658)-'Business Case'!E11*$C658*'Business Case'!E13*$D658-'Business Case'!E14*$E658)-MAX(0,(('Business Case'!E11*$C658*'Business Case'!E12*$B658)-'Business Case'!E11*$C658*'Business Case'!E13*$D658-'Business Case'!E14*$E658))*'Business Case'!$B$7-'Business Case'!$B$8*(('Business Case'!E11*$C658*'Business Case'!E12*$B658)-('Business Case'!D11*$C658*'Business Case'!D12*$B658))-'Business Case'!E15*$F658</f>
        <v>449800521.319514</v>
      </c>
      <c r="L658" s="39" t="n">
        <f aca="false">(('Business Case'!F11*$C658*'Business Case'!F12*$B658)-'Business Case'!F11*$C658*'Business Case'!F13*$D658-'Business Case'!F14*$E658)-MAX(0,(('Business Case'!F11*$C658*'Business Case'!F12*$B658)-'Business Case'!F11*$C658*'Business Case'!F13*$D658-'Business Case'!F14*$E658))*'Business Case'!$B$7-'Business Case'!$B$8*(('Business Case'!F11*$C658*'Business Case'!F12*$B658)-('Business Case'!E11*$C658*'Business Case'!E12*$B658))-'Business Case'!F15*$F658</f>
        <v>559681855.040227</v>
      </c>
      <c r="M658" s="39" t="n">
        <f aca="false">(('Business Case'!G11*$C658*'Business Case'!G12*$B658)-'Business Case'!G11*$C658*'Business Case'!G13*$D658-'Business Case'!G14*$E658)-MAX(0,(('Business Case'!G11*$C658*'Business Case'!G12*$B658)-'Business Case'!G11*$C658*'Business Case'!G13*$D658-'Business Case'!G14*$E658))*'Business Case'!$B$7-'Business Case'!$B$8*(('Business Case'!G11*$C658*'Business Case'!G12*$B658)-('Business Case'!F11*$C658*'Business Case'!F12*$B658))-'Business Case'!G15*$F658+'Business Case'!$B$8*('Business Case'!G11*$C658*'Business Case'!G12*$B658)</f>
        <v>735400914.507685</v>
      </c>
      <c r="N658" s="39" t="n">
        <f aca="false">IF(COUNT('Business Case'!B11:G11)=0,"",H658+NPV(G658,I658:M658))</f>
        <v>-782358424.657106</v>
      </c>
      <c r="P658" s="40" t="n">
        <f aca="true">RAND()</f>
        <v>0.0328594669965292</v>
      </c>
      <c r="Q658" s="40" t="n">
        <f aca="true">RAND()</f>
        <v>0.493184299821376</v>
      </c>
      <c r="R658" s="40" t="n">
        <f aca="true">RAND()</f>
        <v>0.823316617688143</v>
      </c>
      <c r="S658" s="40" t="n">
        <f aca="true">RAND()</f>
        <v>0.957269980984785</v>
      </c>
      <c r="T658" s="40" t="n">
        <f aca="true">RAND()</f>
        <v>0.329912526374285</v>
      </c>
      <c r="U658" s="40" t="n">
        <f aca="true">RAND()</f>
        <v>0.324239708305842</v>
      </c>
    </row>
    <row r="659" customFormat="false" ht="15" hidden="false" customHeight="false" outlineLevel="0" collapsed="false">
      <c r="A659" s="36" t="n">
        <v>579</v>
      </c>
      <c r="B659" s="37" t="n">
        <f aca="false">1+IF($G$6=$E$6,$F$6,IF(P659&lt;($F$6-$E$6)/($G$6-$E$6),$E$6+SQRT(P659*($G$6-$E$6)*($F$6-$E$6)),$G$6-SQRT((1-P659)*($G$6-$E$6)*($G$6-$F$6))))</f>
        <v>0.998293018322308</v>
      </c>
      <c r="C659" s="37" t="n">
        <f aca="false">1+IF($G$7=$E$7,$F$7,IF(Q659&lt;($F$7-$E$7)/($G$7-$E$7),$E$7+SQRT(Q659*($G$7-$E$7)*($F$7-$E$7)),$G$7-SQRT((1-Q659)*($G$7-$E$7)*($G$7-$F$7))))</f>
        <v>0.958540798910493</v>
      </c>
      <c r="D659" s="37" t="n">
        <f aca="false">1+IF($G$8=$E$8,$F$8,IF(R659&lt;($F$8-$E$8)/($G$8-$E$8),$E$8+SQRT(R659*($G$8-$E$8)*($F$8-$E$8)),$G$8-SQRT((1-R659)*($G$8-$E$8)*($G$8-$F$8))))</f>
        <v>1.0124807126121</v>
      </c>
      <c r="E659" s="37" t="n">
        <f aca="false">1+IF($G$9=$E$9,$F$9,IF(S659&lt;($F$9-$E$9)/($G$9-$E$9),$E$9+SQRT(S659*($G$9-$E$9)*($F$9-$E$9)),$G$9-SQRT((1-S659)*($G$9-$E$9)*($G$9-$F$9))))</f>
        <v>0.987896719398941</v>
      </c>
      <c r="F659" s="37" t="n">
        <f aca="false">1+IF($G$10=$E$10,$F$10,IF(T659&lt;($F$10-$E$10)/($G$10-$E$10),$E$10+SQRT(T659*($G$10-$E$10)*($F$10-$E$10)),$G$10-SQRT((1-T659)*($G$10-$E$10)*($G$10-$F$10))))</f>
        <v>1.17811880603807</v>
      </c>
      <c r="G659" s="38" t="n">
        <f aca="false">IF($G$11=$E$11,$F$11,IF(U659&lt;($F$11-$E$11)/($G$11-$E$11),$E$11+SQRT(U659*($G$11-$E$11)*($F$11-$E$11)),$G$11-SQRT((1-U659)*($G$11-$E$11)*($G$11-$F$11))))</f>
        <v>0.111325440000355</v>
      </c>
      <c r="H659" s="39" t="n">
        <f aca="false">(('Business Case'!B11*$C659*'Business Case'!B12*$B659)-'Business Case'!B11*$C659*'Business Case'!B13*$D659-'Business Case'!B14*$E659)-MAX(0,(('Business Case'!B11*$C659*'Business Case'!B12*$B659)-'Business Case'!B11*$C659*'Business Case'!B13*$D659-'Business Case'!B14*$E659))*'Business Case'!$B$7-'Business Case'!$B$8*('Business Case'!B11*$C659*'Business Case'!B12*$B659)-'Business Case'!B15*$F659</f>
        <v>-2356237612.07613</v>
      </c>
      <c r="I659" s="39" t="n">
        <f aca="false">(('Business Case'!C11*$C659*'Business Case'!C12*$B659)-'Business Case'!C11*$C659*'Business Case'!C13*$D659-'Business Case'!C14*$E659)-MAX(0,(('Business Case'!C11*$C659*'Business Case'!C12*$B659)-'Business Case'!C11*$C659*'Business Case'!C13*$D659-'Business Case'!C14*$E659))*'Business Case'!$B$7-'Business Case'!$B$8*(('Business Case'!C11*$C659*'Business Case'!C12*$B659)-('Business Case'!B11*$C659*'Business Case'!B12*$B659))-'Business Case'!C15*$F659</f>
        <v>-20943417.8588257</v>
      </c>
      <c r="J659" s="39" t="n">
        <f aca="false">(('Business Case'!D11*$C659*'Business Case'!D12*$B659)-'Business Case'!D11*$C659*'Business Case'!D13*$D659-'Business Case'!D14*$E659)-MAX(0,(('Business Case'!D11*$C659*'Business Case'!D12*$B659)-'Business Case'!D11*$C659*'Business Case'!D13*$D659-'Business Case'!D14*$E659))*'Business Case'!$B$7-'Business Case'!$B$8*(('Business Case'!D11*$C659*'Business Case'!D12*$B659)-('Business Case'!C11*$C659*'Business Case'!C12*$B659))-'Business Case'!D15*$F659</f>
        <v>266009892.191842</v>
      </c>
      <c r="K659" s="39" t="n">
        <f aca="false">(('Business Case'!E11*$C659*'Business Case'!E12*$B659)-'Business Case'!E11*$C659*'Business Case'!E13*$D659-'Business Case'!E14*$E659)-MAX(0,(('Business Case'!E11*$C659*'Business Case'!E12*$B659)-'Business Case'!E11*$C659*'Business Case'!E13*$D659-'Business Case'!E14*$E659))*'Business Case'!$B$7-'Business Case'!$B$8*(('Business Case'!E11*$C659*'Business Case'!E12*$B659)-('Business Case'!D11*$C659*'Business Case'!D12*$B659))-'Business Case'!E15*$F659</f>
        <v>611869142.544414</v>
      </c>
      <c r="L659" s="39" t="n">
        <f aca="false">(('Business Case'!F11*$C659*'Business Case'!F12*$B659)-'Business Case'!F11*$C659*'Business Case'!F13*$D659-'Business Case'!F14*$E659)-MAX(0,(('Business Case'!F11*$C659*'Business Case'!F12*$B659)-'Business Case'!F11*$C659*'Business Case'!F13*$D659-'Business Case'!F14*$E659))*'Business Case'!$B$7-'Business Case'!$B$8*(('Business Case'!F11*$C659*'Business Case'!F12*$B659)-('Business Case'!E11*$C659*'Business Case'!E12*$B659))-'Business Case'!F15*$F659</f>
        <v>740590868.432742</v>
      </c>
      <c r="M659" s="39" t="n">
        <f aca="false">(('Business Case'!G11*$C659*'Business Case'!G12*$B659)-'Business Case'!G11*$C659*'Business Case'!G13*$D659-'Business Case'!G14*$E659)-MAX(0,(('Business Case'!G11*$C659*'Business Case'!G12*$B659)-'Business Case'!G11*$C659*'Business Case'!G13*$D659-'Business Case'!G14*$E659))*'Business Case'!$B$7-'Business Case'!$B$8*(('Business Case'!G11*$C659*'Business Case'!G12*$B659)-('Business Case'!F11*$C659*'Business Case'!F12*$B659))-'Business Case'!G15*$F659+'Business Case'!$B$8*('Business Case'!G11*$C659*'Business Case'!G12*$B659)</f>
        <v>922479292.39232</v>
      </c>
      <c r="N659" s="39" t="n">
        <f aca="false">IF(COUNT('Business Case'!B11:G11)=0,"",H659+NPV(G659,I659:M659))</f>
        <v>-684186892.601834</v>
      </c>
      <c r="P659" s="40" t="n">
        <f aca="true">RAND()</f>
        <v>0.638520491460123</v>
      </c>
      <c r="Q659" s="40" t="n">
        <f aca="true">RAND()</f>
        <v>0.359074070273963</v>
      </c>
      <c r="R659" s="40" t="n">
        <f aca="true">RAND()</f>
        <v>0.561648637560555</v>
      </c>
      <c r="S659" s="40" t="n">
        <f aca="true">RAND()</f>
        <v>0.191488178826939</v>
      </c>
      <c r="T659" s="40" t="n">
        <f aca="true">RAND()</f>
        <v>0.990424267016005</v>
      </c>
      <c r="U659" s="40" t="n">
        <f aca="true">RAND()</f>
        <v>0.874586681354261</v>
      </c>
    </row>
    <row r="660" customFormat="false" ht="15" hidden="false" customHeight="false" outlineLevel="0" collapsed="false">
      <c r="A660" s="36" t="n">
        <v>580</v>
      </c>
      <c r="B660" s="37" t="n">
        <f aca="false">1+IF($G$6=$E$6,$F$6,IF(P660&lt;($F$6-$E$6)/($G$6-$E$6),$E$6+SQRT(P660*($G$6-$E$6)*($F$6-$E$6)),$G$6-SQRT((1-P660)*($G$6-$E$6)*($G$6-$F$6))))</f>
        <v>1.0052086775069</v>
      </c>
      <c r="C660" s="37" t="n">
        <f aca="false">1+IF($G$7=$E$7,$F$7,IF(Q660&lt;($F$7-$E$7)/($G$7-$E$7),$E$7+SQRT(Q660*($G$7-$E$7)*($F$7-$E$7)),$G$7-SQRT((1-Q660)*($G$7-$E$7)*($G$7-$F$7))))</f>
        <v>0.85078856209017</v>
      </c>
      <c r="D660" s="37" t="n">
        <f aca="false">1+IF($G$8=$E$8,$F$8,IF(R660&lt;($F$8-$E$8)/($G$8-$E$8),$E$8+SQRT(R660*($G$8-$E$8)*($F$8-$E$8)),$G$8-SQRT((1-R660)*($G$8-$E$8)*($G$8-$F$8))))</f>
        <v>0.960915026440736</v>
      </c>
      <c r="E660" s="37" t="n">
        <f aca="false">1+IF($G$9=$E$9,$F$9,IF(S660&lt;($F$9-$E$9)/($G$9-$E$9),$E$9+SQRT(S660*($G$9-$E$9)*($F$9-$E$9)),$G$9-SQRT((1-S660)*($G$9-$E$9)*($G$9-$F$9))))</f>
        <v>1.02920426375951</v>
      </c>
      <c r="F660" s="37" t="n">
        <f aca="false">1+IF($G$10=$E$10,$F$10,IF(T660&lt;($F$10-$E$10)/($G$10-$E$10),$E$10+SQRT(T660*($G$10-$E$10)*($F$10-$E$10)),$G$10-SQRT((1-T660)*($G$10-$E$10)*($G$10-$F$10))))</f>
        <v>1.16002890135639</v>
      </c>
      <c r="G660" s="38" t="n">
        <f aca="false">IF($G$11=$E$11,$F$11,IF(U660&lt;($F$11-$E$11)/($G$11-$E$11),$E$11+SQRT(U660*($G$11-$E$11)*($F$11-$E$11)),$G$11-SQRT((1-U660)*($G$11-$E$11)*($G$11-$F$11))))</f>
        <v>0.113380424331777</v>
      </c>
      <c r="H660" s="39" t="n">
        <f aca="false">(('Business Case'!B11*$C660*'Business Case'!B12*$B660)-'Business Case'!B11*$C660*'Business Case'!B13*$D660-'Business Case'!B14*$E660)-MAX(0,(('Business Case'!B11*$C660*'Business Case'!B12*$B660)-'Business Case'!B11*$C660*'Business Case'!B13*$D660-'Business Case'!B14*$E660))*'Business Case'!$B$7-'Business Case'!$B$8*('Business Case'!B11*$C660*'Business Case'!B12*$B660)-'Business Case'!B15*$F660</f>
        <v>-2320057802.71277</v>
      </c>
      <c r="I660" s="39" t="n">
        <f aca="false">(('Business Case'!C11*$C660*'Business Case'!C12*$B660)-'Business Case'!C11*$C660*'Business Case'!C13*$D660-'Business Case'!C14*$E660)-MAX(0,(('Business Case'!C11*$C660*'Business Case'!C12*$B660)-'Business Case'!C11*$C660*'Business Case'!C13*$D660-'Business Case'!C14*$E660))*'Business Case'!$B$7-'Business Case'!$B$8*(('Business Case'!C11*$C660*'Business Case'!C12*$B660)-('Business Case'!B11*$C660*'Business Case'!B12*$B660))-'Business Case'!C15*$F660</f>
        <v>-24716330.759231</v>
      </c>
      <c r="J660" s="39" t="n">
        <f aca="false">(('Business Case'!D11*$C660*'Business Case'!D12*$B660)-'Business Case'!D11*$C660*'Business Case'!D13*$D660-'Business Case'!D14*$E660)-MAX(0,(('Business Case'!D11*$C660*'Business Case'!D12*$B660)-'Business Case'!D11*$C660*'Business Case'!D13*$D660-'Business Case'!D14*$E660))*'Business Case'!$B$7-'Business Case'!$B$8*(('Business Case'!D11*$C660*'Business Case'!D12*$B660)-('Business Case'!C11*$C660*'Business Case'!C12*$B660))-'Business Case'!D15*$F660</f>
        <v>257257682.074031</v>
      </c>
      <c r="K660" s="39" t="n">
        <f aca="false">(('Business Case'!E11*$C660*'Business Case'!E12*$B660)-'Business Case'!E11*$C660*'Business Case'!E13*$D660-'Business Case'!E14*$E660)-MAX(0,(('Business Case'!E11*$C660*'Business Case'!E12*$B660)-'Business Case'!E11*$C660*'Business Case'!E13*$D660-'Business Case'!E14*$E660))*'Business Case'!$B$7-'Business Case'!$B$8*(('Business Case'!E11*$C660*'Business Case'!E12*$B660)-('Business Case'!D11*$C660*'Business Case'!D12*$B660))-'Business Case'!E15*$F660</f>
        <v>597233139.975112</v>
      </c>
      <c r="L660" s="39" t="n">
        <f aca="false">(('Business Case'!F11*$C660*'Business Case'!F12*$B660)-'Business Case'!F11*$C660*'Business Case'!F13*$D660-'Business Case'!F14*$E660)-MAX(0,(('Business Case'!F11*$C660*'Business Case'!F12*$B660)-'Business Case'!F11*$C660*'Business Case'!F13*$D660-'Business Case'!F14*$E660))*'Business Case'!$B$7-'Business Case'!$B$8*(('Business Case'!F11*$C660*'Business Case'!F12*$B660)-('Business Case'!E11*$C660*'Business Case'!E12*$B660))-'Business Case'!F15*$F660</f>
        <v>720780882.353034</v>
      </c>
      <c r="M660" s="39" t="n">
        <f aca="false">(('Business Case'!G11*$C660*'Business Case'!G12*$B660)-'Business Case'!G11*$C660*'Business Case'!G13*$D660-'Business Case'!G14*$E660)-MAX(0,(('Business Case'!G11*$C660*'Business Case'!G12*$B660)-'Business Case'!G11*$C660*'Business Case'!G13*$D660-'Business Case'!G14*$E660))*'Business Case'!$B$7-'Business Case'!$B$8*(('Business Case'!G11*$C660*'Business Case'!G12*$B660)-('Business Case'!F11*$C660*'Business Case'!F12*$B660))-'Business Case'!G15*$F660+'Business Case'!$B$8*('Business Case'!G11*$C660*'Business Case'!G12*$B660)</f>
        <v>883341108.570625</v>
      </c>
      <c r="N660" s="39" t="n">
        <f aca="false">IF(COUNT('Business Case'!B11:G11)=0,"",H660+NPV(G660,I660:M660))</f>
        <v>-716630274.482409</v>
      </c>
      <c r="P660" s="40" t="n">
        <f aca="true">RAND()</f>
        <v>0.747825808162664</v>
      </c>
      <c r="Q660" s="40" t="n">
        <f aca="true">RAND()</f>
        <v>0.0368496862741004</v>
      </c>
      <c r="R660" s="40" t="n">
        <f aca="true">RAND()</f>
        <v>0.0183288926464563</v>
      </c>
      <c r="S660" s="40" t="n">
        <f aca="true">RAND()</f>
        <v>0.665864248677789</v>
      </c>
      <c r="T660" s="40" t="n">
        <f aca="true">RAND()</f>
        <v>0.968046225464448</v>
      </c>
      <c r="U660" s="40" t="n">
        <f aca="true">RAND()</f>
        <v>0.926968696621114</v>
      </c>
    </row>
    <row r="661" customFormat="false" ht="15" hidden="false" customHeight="false" outlineLevel="0" collapsed="false">
      <c r="A661" s="36" t="n">
        <v>581</v>
      </c>
      <c r="B661" s="37" t="n">
        <f aca="false">1+IF($G$6=$E$6,$F$6,IF(P661&lt;($F$6-$E$6)/($G$6-$E$6),$E$6+SQRT(P661*($G$6-$E$6)*($F$6-$E$6)),$G$6-SQRT((1-P661)*($G$6-$E$6)*($G$6-$F$6))))</f>
        <v>0.960175907973462</v>
      </c>
      <c r="C661" s="37" t="n">
        <f aca="false">1+IF($G$7=$E$7,$F$7,IF(Q661&lt;($F$7-$E$7)/($G$7-$E$7),$E$7+SQRT(Q661*($G$7-$E$7)*($F$7-$E$7)),$G$7-SQRT((1-Q661)*($G$7-$E$7)*($G$7-$F$7))))</f>
        <v>0.978976965515054</v>
      </c>
      <c r="D661" s="37" t="n">
        <f aca="false">1+IF($G$8=$E$8,$F$8,IF(R661&lt;($F$8-$E$8)/($G$8-$E$8),$E$8+SQRT(R661*($G$8-$E$8)*($F$8-$E$8)),$G$8-SQRT((1-R661)*($G$8-$E$8)*($G$8-$F$8))))</f>
        <v>1.01254624993329</v>
      </c>
      <c r="E661" s="37" t="n">
        <f aca="false">1+IF($G$9=$E$9,$F$9,IF(S661&lt;($F$9-$E$9)/($G$9-$E$9),$E$9+SQRT(S661*($G$9-$E$9)*($F$9-$E$9)),$G$9-SQRT((1-S661)*($G$9-$E$9)*($G$9-$F$9))))</f>
        <v>1.03681389313187</v>
      </c>
      <c r="F661" s="37" t="n">
        <f aca="false">1+IF($G$10=$E$10,$F$10,IF(T661&lt;($F$10-$E$10)/($G$10-$E$10),$E$10+SQRT(T661*($G$10-$E$10)*($F$10-$E$10)),$G$10-SQRT((1-T661)*($G$10-$E$10)*($G$10-$F$10))))</f>
        <v>1.08610268340278</v>
      </c>
      <c r="G661" s="38" t="n">
        <f aca="false">IF($G$11=$E$11,$F$11,IF(U661&lt;($F$11-$E$11)/($G$11-$E$11),$E$11+SQRT(U661*($G$11-$E$11)*($F$11-$E$11)),$G$11-SQRT((1-U661)*($G$11-$E$11)*($G$11-$F$11))))</f>
        <v>0.110857123878708</v>
      </c>
      <c r="H661" s="39" t="n">
        <f aca="false">(('Business Case'!B11*$C661*'Business Case'!B12*$B661)-'Business Case'!B11*$C661*'Business Case'!B13*$D661-'Business Case'!B14*$E661)-MAX(0,(('Business Case'!B11*$C661*'Business Case'!B12*$B661)-'Business Case'!B11*$C661*'Business Case'!B13*$D661-'Business Case'!B14*$E661))*'Business Case'!$B$7-'Business Case'!$B$8*('Business Case'!B11*$C661*'Business Case'!B12*$B661)-'Business Case'!B15*$F661</f>
        <v>-2172205366.80556</v>
      </c>
      <c r="I661" s="39" t="n">
        <f aca="false">(('Business Case'!C11*$C661*'Business Case'!C12*$B661)-'Business Case'!C11*$C661*'Business Case'!C13*$D661-'Business Case'!C14*$E661)-MAX(0,(('Business Case'!C11*$C661*'Business Case'!C12*$B661)-'Business Case'!C11*$C661*'Business Case'!C13*$D661-'Business Case'!C14*$E661))*'Business Case'!$B$7-'Business Case'!$B$8*(('Business Case'!C11*$C661*'Business Case'!C12*$B661)-('Business Case'!B11*$C661*'Business Case'!B12*$B661))-'Business Case'!C15*$F661</f>
        <v>-42300262.3427608</v>
      </c>
      <c r="J661" s="39" t="n">
        <f aca="false">(('Business Case'!D11*$C661*'Business Case'!D12*$B661)-'Business Case'!D11*$C661*'Business Case'!D13*$D661-'Business Case'!D14*$E661)-MAX(0,(('Business Case'!D11*$C661*'Business Case'!D12*$B661)-'Business Case'!D11*$C661*'Business Case'!D13*$D661-'Business Case'!D14*$E661))*'Business Case'!$B$7-'Business Case'!$B$8*(('Business Case'!D11*$C661*'Business Case'!D12*$B661)-('Business Case'!C11*$C661*'Business Case'!C12*$B661))-'Business Case'!D15*$F661</f>
        <v>220173765.873552</v>
      </c>
      <c r="K661" s="39" t="n">
        <f aca="false">(('Business Case'!E11*$C661*'Business Case'!E12*$B661)-'Business Case'!E11*$C661*'Business Case'!E13*$D661-'Business Case'!E14*$E661)-MAX(0,(('Business Case'!E11*$C661*'Business Case'!E12*$B661)-'Business Case'!E11*$C661*'Business Case'!E13*$D661-'Business Case'!E14*$E661))*'Business Case'!$B$7-'Business Case'!$B$8*(('Business Case'!E11*$C661*'Business Case'!E12*$B661)-('Business Case'!D11*$C661*'Business Case'!D12*$B661))-'Business Case'!E15*$F661</f>
        <v>536952928.260004</v>
      </c>
      <c r="L661" s="39" t="n">
        <f aca="false">(('Business Case'!F11*$C661*'Business Case'!F12*$B661)-'Business Case'!F11*$C661*'Business Case'!F13*$D661-'Business Case'!F14*$E661)-MAX(0,(('Business Case'!F11*$C661*'Business Case'!F12*$B661)-'Business Case'!F11*$C661*'Business Case'!F13*$D661-'Business Case'!F14*$E661))*'Business Case'!$B$7-'Business Case'!$B$8*(('Business Case'!F11*$C661*'Business Case'!F12*$B661)-('Business Case'!E11*$C661*'Business Case'!E12*$B661))-'Business Case'!F15*$F661</f>
        <v>656930328.742404</v>
      </c>
      <c r="M661" s="39" t="n">
        <f aca="false">(('Business Case'!G11*$C661*'Business Case'!G12*$B661)-'Business Case'!G11*$C661*'Business Case'!G13*$D661-'Business Case'!G14*$E661)-MAX(0,(('Business Case'!G11*$C661*'Business Case'!G12*$B661)-'Business Case'!G11*$C661*'Business Case'!G13*$D661-'Business Case'!G14*$E661))*'Business Case'!$B$7-'Business Case'!$B$8*(('Business Case'!G11*$C661*'Business Case'!G12*$B661)-('Business Case'!F11*$C661*'Business Case'!F12*$B661))-'Business Case'!G15*$F661+'Business Case'!$B$8*('Business Case'!G11*$C661*'Business Case'!G12*$B661)</f>
        <v>835603646.332363</v>
      </c>
      <c r="N661" s="39" t="n">
        <f aca="false">IF(COUNT('Business Case'!B11:G11)=0,"",H661+NPV(G661,I661:M661))</f>
        <v>-714768511.780125</v>
      </c>
      <c r="P661" s="40" t="n">
        <f aca="true">RAND()</f>
        <v>0.168135789738761</v>
      </c>
      <c r="Q661" s="40" t="n">
        <f aca="true">RAND()</f>
        <v>0.457610774071099</v>
      </c>
      <c r="R661" s="40" t="n">
        <f aca="true">RAND()</f>
        <v>0.56249919249399</v>
      </c>
      <c r="S661" s="40" t="n">
        <f aca="true">RAND()</f>
        <v>0.733834393256642</v>
      </c>
      <c r="T661" s="40" t="n">
        <f aca="true">RAND()</f>
        <v>0.740548025439053</v>
      </c>
      <c r="U661" s="40" t="n">
        <f aca="true">RAND()</f>
        <v>0.860679693717858</v>
      </c>
    </row>
    <row r="662" customFormat="false" ht="15" hidden="false" customHeight="false" outlineLevel="0" collapsed="false">
      <c r="A662" s="36" t="n">
        <v>582</v>
      </c>
      <c r="B662" s="37" t="n">
        <f aca="false">1+IF($G$6=$E$6,$F$6,IF(P662&lt;($F$6-$E$6)/($G$6-$E$6),$E$6+SQRT(P662*($G$6-$E$6)*($F$6-$E$6)),$G$6-SQRT((1-P662)*($G$6-$E$6)*($G$6-$F$6))))</f>
        <v>1.00920557290187</v>
      </c>
      <c r="C662" s="37" t="n">
        <f aca="false">1+IF($G$7=$E$7,$F$7,IF(Q662&lt;($F$7-$E$7)/($G$7-$E$7),$E$7+SQRT(Q662*($G$7-$E$7)*($F$7-$E$7)),$G$7-SQRT((1-Q662)*($G$7-$E$7)*($G$7-$F$7))))</f>
        <v>1.04450431744383</v>
      </c>
      <c r="D662" s="37" t="n">
        <f aca="false">1+IF($G$8=$E$8,$F$8,IF(R662&lt;($F$8-$E$8)/($G$8-$E$8),$E$8+SQRT(R662*($G$8-$E$8)*($F$8-$E$8)),$G$8-SQRT((1-R662)*($G$8-$E$8)*($G$8-$F$8))))</f>
        <v>1.02441892144382</v>
      </c>
      <c r="E662" s="37" t="n">
        <f aca="false">1+IF($G$9=$E$9,$F$9,IF(S662&lt;($F$9-$E$9)/($G$9-$E$9),$E$9+SQRT(S662*($G$9-$E$9)*($F$9-$E$9)),$G$9-SQRT((1-S662)*($G$9-$E$9)*($G$9-$F$9))))</f>
        <v>1.05292479685626</v>
      </c>
      <c r="F662" s="37" t="n">
        <f aca="false">1+IF($G$10=$E$10,$F$10,IF(T662&lt;($F$10-$E$10)/($G$10-$E$10),$E$10+SQRT(T662*($G$10-$E$10)*($F$10-$E$10)),$G$10-SQRT((1-T662)*($G$10-$E$10)*($G$10-$F$10))))</f>
        <v>1.00595280879808</v>
      </c>
      <c r="G662" s="38" t="n">
        <f aca="false">IF($G$11=$E$11,$F$11,IF(U662&lt;($F$11-$E$11)/($G$11-$E$11),$E$11+SQRT(U662*($G$11-$E$11)*($F$11-$E$11)),$G$11-SQRT((1-U662)*($G$11-$E$11)*($G$11-$F$11))))</f>
        <v>0.104224823627816</v>
      </c>
      <c r="H662" s="39" t="n">
        <f aca="false">(('Business Case'!B11*$C662*'Business Case'!B12*$B662)-'Business Case'!B11*$C662*'Business Case'!B13*$D662-'Business Case'!B14*$E662)-MAX(0,(('Business Case'!B11*$C662*'Business Case'!B12*$B662)-'Business Case'!B11*$C662*'Business Case'!B13*$D662-'Business Case'!B14*$E662))*'Business Case'!$B$7-'Business Case'!$B$8*('Business Case'!B11*$C662*'Business Case'!B12*$B662)-'Business Case'!B15*$F662</f>
        <v>-2011905617.59617</v>
      </c>
      <c r="I662" s="39" t="n">
        <f aca="false">(('Business Case'!C11*$C662*'Business Case'!C12*$B662)-'Business Case'!C11*$C662*'Business Case'!C13*$D662-'Business Case'!C14*$E662)-MAX(0,(('Business Case'!C11*$C662*'Business Case'!C12*$B662)-'Business Case'!C11*$C662*'Business Case'!C13*$D662-'Business Case'!C14*$E662))*'Business Case'!$B$7-'Business Case'!$B$8*(('Business Case'!C11*$C662*'Business Case'!C12*$B662)-('Business Case'!B11*$C662*'Business Case'!B12*$B662))-'Business Case'!C15*$F662</f>
        <v>10673572.9435271</v>
      </c>
      <c r="J662" s="39" t="n">
        <f aca="false">(('Business Case'!D11*$C662*'Business Case'!D12*$B662)-'Business Case'!D11*$C662*'Business Case'!D13*$D662-'Business Case'!D14*$E662)-MAX(0,(('Business Case'!D11*$C662*'Business Case'!D12*$B662)-'Business Case'!D11*$C662*'Business Case'!D13*$D662-'Business Case'!D14*$E662))*'Business Case'!$B$7-'Business Case'!$B$8*(('Business Case'!D11*$C662*'Business Case'!D12*$B662)-('Business Case'!C11*$C662*'Business Case'!C12*$B662))-'Business Case'!D15*$F662</f>
        <v>326313891.807716</v>
      </c>
      <c r="K662" s="39" t="n">
        <f aca="false">(('Business Case'!E11*$C662*'Business Case'!E12*$B662)-'Business Case'!E11*$C662*'Business Case'!E13*$D662-'Business Case'!E14*$E662)-MAX(0,(('Business Case'!E11*$C662*'Business Case'!E12*$B662)-'Business Case'!E11*$C662*'Business Case'!E13*$D662-'Business Case'!E14*$E662))*'Business Case'!$B$7-'Business Case'!$B$8*(('Business Case'!E11*$C662*'Business Case'!E12*$B662)-('Business Case'!D11*$C662*'Business Case'!D12*$B662))-'Business Case'!E15*$F662</f>
        <v>692251851.11181</v>
      </c>
      <c r="L662" s="39" t="n">
        <f aca="false">(('Business Case'!F11*$C662*'Business Case'!F12*$B662)-'Business Case'!F11*$C662*'Business Case'!F13*$D662-'Business Case'!F14*$E662)-MAX(0,(('Business Case'!F11*$C662*'Business Case'!F12*$B662)-'Business Case'!F11*$C662*'Business Case'!F13*$D662-'Business Case'!F14*$E662))*'Business Case'!$B$7-'Business Case'!$B$8*(('Business Case'!F11*$C662*'Business Case'!F12*$B662)-('Business Case'!E11*$C662*'Business Case'!E12*$B662))-'Business Case'!F15*$F662</f>
        <v>833895663.351802</v>
      </c>
      <c r="M662" s="39" t="n">
        <f aca="false">(('Business Case'!G11*$C662*'Business Case'!G12*$B662)-'Business Case'!G11*$C662*'Business Case'!G13*$D662-'Business Case'!G14*$E662)-MAX(0,(('Business Case'!G11*$C662*'Business Case'!G12*$B662)-'Business Case'!G11*$C662*'Business Case'!G13*$D662-'Business Case'!G14*$E662))*'Business Case'!$B$7-'Business Case'!$B$8*(('Business Case'!G11*$C662*'Business Case'!G12*$B662)-('Business Case'!F11*$C662*'Business Case'!F12*$B662))-'Business Case'!G15*$F662+'Business Case'!$B$8*('Business Case'!G11*$C662*'Business Case'!G12*$B662)</f>
        <v>1034262712.75408</v>
      </c>
      <c r="N662" s="39" t="n">
        <f aca="false">IF(COUNT('Business Case'!B11:G11)=0,"",H662+NPV(G662,I662:M662))</f>
        <v>-29566977.6402533</v>
      </c>
      <c r="P662" s="40" t="n">
        <f aca="true">RAND()</f>
        <v>0.802438179103716</v>
      </c>
      <c r="Q662" s="40" t="n">
        <f aca="true">RAND()</f>
        <v>0.788012589752543</v>
      </c>
      <c r="R662" s="40" t="n">
        <f aca="true">RAND()</f>
        <v>0.702956125628073</v>
      </c>
      <c r="S662" s="40" t="n">
        <f aca="true">RAND()</f>
        <v>0.852261683265016</v>
      </c>
      <c r="T662" s="40" t="n">
        <f aca="true">RAND()</f>
        <v>0.246913751732943</v>
      </c>
      <c r="U662" s="40" t="n">
        <f aca="true">RAND()</f>
        <v>0.585239684044148</v>
      </c>
    </row>
    <row r="663" customFormat="false" ht="15" hidden="false" customHeight="false" outlineLevel="0" collapsed="false">
      <c r="A663" s="36" t="n">
        <v>583</v>
      </c>
      <c r="B663" s="37" t="n">
        <f aca="false">1+IF($G$6=$E$6,$F$6,IF(P663&lt;($F$6-$E$6)/($G$6-$E$6),$E$6+SQRT(P663*($G$6-$E$6)*($F$6-$E$6)),$G$6-SQRT((1-P663)*($G$6-$E$6)*($G$6-$F$6))))</f>
        <v>0.943255653005005</v>
      </c>
      <c r="C663" s="37" t="n">
        <f aca="false">1+IF($G$7=$E$7,$F$7,IF(Q663&lt;($F$7-$E$7)/($G$7-$E$7),$E$7+SQRT(Q663*($G$7-$E$7)*($F$7-$E$7)),$G$7-SQRT((1-Q663)*($G$7-$E$7)*($G$7-$F$7))))</f>
        <v>0.949913950302262</v>
      </c>
      <c r="D663" s="37" t="n">
        <f aca="false">1+IF($G$8=$E$8,$F$8,IF(R663&lt;($F$8-$E$8)/($G$8-$E$8),$E$8+SQRT(R663*($G$8-$E$8)*($F$8-$E$8)),$G$8-SQRT((1-R663)*($G$8-$E$8)*($G$8-$F$8))))</f>
        <v>0.981905271678178</v>
      </c>
      <c r="E663" s="37" t="n">
        <f aca="false">1+IF($G$9=$E$9,$F$9,IF(S663&lt;($F$9-$E$9)/($G$9-$E$9),$E$9+SQRT(S663*($G$9-$E$9)*($F$9-$E$9)),$G$9-SQRT((1-S663)*($G$9-$E$9)*($G$9-$F$9))))</f>
        <v>1.0553159377457</v>
      </c>
      <c r="F663" s="37" t="n">
        <f aca="false">1+IF($G$10=$E$10,$F$10,IF(T663&lt;($F$10-$E$10)/($G$10-$E$10),$E$10+SQRT(T663*($G$10-$E$10)*($F$10-$E$10)),$G$10-SQRT((1-T663)*($G$10-$E$10)*($G$10-$F$10))))</f>
        <v>1.00685715259771</v>
      </c>
      <c r="G663" s="38" t="n">
        <f aca="false">IF($G$11=$E$11,$F$11,IF(U663&lt;($F$11-$E$11)/($G$11-$E$11),$E$11+SQRT(U663*($G$11-$E$11)*($F$11-$E$11)),$G$11-SQRT((1-U663)*($G$11-$E$11)*($G$11-$F$11))))</f>
        <v>0.0956831956130215</v>
      </c>
      <c r="H663" s="39" t="n">
        <f aca="false">(('Business Case'!B11*$C663*'Business Case'!B12*$B663)-'Business Case'!B11*$C663*'Business Case'!B13*$D663-'Business Case'!B14*$E663)-MAX(0,(('Business Case'!B11*$C663*'Business Case'!B12*$B663)-'Business Case'!B11*$C663*'Business Case'!B13*$D663-'Business Case'!B14*$E663))*'Business Case'!$B$7-'Business Case'!$B$8*('Business Case'!B11*$C663*'Business Case'!B12*$B663)-'Business Case'!B15*$F663</f>
        <v>-2013714305.19541</v>
      </c>
      <c r="I663" s="39" t="n">
        <f aca="false">(('Business Case'!C11*$C663*'Business Case'!C12*$B663)-'Business Case'!C11*$C663*'Business Case'!C13*$D663-'Business Case'!C14*$E663)-MAX(0,(('Business Case'!C11*$C663*'Business Case'!C12*$B663)-'Business Case'!C11*$C663*'Business Case'!C13*$D663-'Business Case'!C14*$E663))*'Business Case'!$B$7-'Business Case'!$B$8*(('Business Case'!C11*$C663*'Business Case'!C12*$B663)-('Business Case'!B11*$C663*'Business Case'!B12*$B663))-'Business Case'!C15*$F663</f>
        <v>-40783636.1797512</v>
      </c>
      <c r="J663" s="39" t="n">
        <f aca="false">(('Business Case'!D11*$C663*'Business Case'!D12*$B663)-'Business Case'!D11*$C663*'Business Case'!D13*$D663-'Business Case'!D14*$E663)-MAX(0,(('Business Case'!D11*$C663*'Business Case'!D12*$B663)-'Business Case'!D11*$C663*'Business Case'!D13*$D663-'Business Case'!D14*$E663))*'Business Case'!$B$7-'Business Case'!$B$8*(('Business Case'!D11*$C663*'Business Case'!D12*$B663)-('Business Case'!C11*$C663*'Business Case'!C12*$B663))-'Business Case'!D15*$F663</f>
        <v>215633615.956676</v>
      </c>
      <c r="K663" s="39" t="n">
        <f aca="false">(('Business Case'!E11*$C663*'Business Case'!E12*$B663)-'Business Case'!E11*$C663*'Business Case'!E13*$D663-'Business Case'!E14*$E663)-MAX(0,(('Business Case'!E11*$C663*'Business Case'!E12*$B663)-'Business Case'!E11*$C663*'Business Case'!E13*$D663-'Business Case'!E14*$E663))*'Business Case'!$B$7-'Business Case'!$B$8*(('Business Case'!E11*$C663*'Business Case'!E12*$B663)-('Business Case'!D11*$C663*'Business Case'!D12*$B663))-'Business Case'!E15*$F663</f>
        <v>522393725.722989</v>
      </c>
      <c r="L663" s="39" t="n">
        <f aca="false">(('Business Case'!F11*$C663*'Business Case'!F12*$B663)-'Business Case'!F11*$C663*'Business Case'!F13*$D663-'Business Case'!F14*$E663)-MAX(0,(('Business Case'!F11*$C663*'Business Case'!F12*$B663)-'Business Case'!F11*$C663*'Business Case'!F13*$D663-'Business Case'!F14*$E663))*'Business Case'!$B$7-'Business Case'!$B$8*(('Business Case'!F11*$C663*'Business Case'!F12*$B663)-('Business Case'!E11*$C663*'Business Case'!E12*$B663))-'Business Case'!F15*$F663</f>
        <v>638832307.574444</v>
      </c>
      <c r="M663" s="39" t="n">
        <f aca="false">(('Business Case'!G11*$C663*'Business Case'!G12*$B663)-'Business Case'!G11*$C663*'Business Case'!G13*$D663-'Business Case'!G14*$E663)-MAX(0,(('Business Case'!G11*$C663*'Business Case'!G12*$B663)-'Business Case'!G11*$C663*'Business Case'!G13*$D663-'Business Case'!G14*$E663))*'Business Case'!$B$7-'Business Case'!$B$8*(('Business Case'!G11*$C663*'Business Case'!G12*$B663)-('Business Case'!F11*$C663*'Business Case'!F12*$B663))-'Business Case'!G15*$F663+'Business Case'!$B$8*('Business Case'!G11*$C663*'Business Case'!G12*$B663)</f>
        <v>809146212.173999</v>
      </c>
      <c r="N663" s="39" t="n">
        <f aca="false">IF(COUNT('Business Case'!B11:G11)=0,"",H663+NPV(G663,I663:M663))</f>
        <v>-518540754.61335</v>
      </c>
      <c r="P663" s="40" t="n">
        <f aca="true">RAND()</f>
        <v>0.0563359788217925</v>
      </c>
      <c r="Q663" s="40" t="n">
        <f aca="true">RAND()</f>
        <v>0.321059892788987</v>
      </c>
      <c r="R663" s="40" t="n">
        <f aca="true">RAND()</f>
        <v>0.156607132439751</v>
      </c>
      <c r="S663" s="40" t="n">
        <f aca="true">RAND()</f>
        <v>0.866888972030248</v>
      </c>
      <c r="T663" s="40" t="n">
        <f aca="true">RAND()</f>
        <v>0.25391680994669</v>
      </c>
      <c r="U663" s="40" t="n">
        <f aca="true">RAND()</f>
        <v>0.107662374586223</v>
      </c>
    </row>
    <row r="664" customFormat="false" ht="15" hidden="false" customHeight="false" outlineLevel="0" collapsed="false">
      <c r="A664" s="36" t="n">
        <v>584</v>
      </c>
      <c r="B664" s="37" t="n">
        <f aca="false">1+IF($G$6=$E$6,$F$6,IF(P664&lt;($F$6-$E$6)/($G$6-$E$6),$E$6+SQRT(P664*($G$6-$E$6)*($F$6-$E$6)),$G$6-SQRT((1-P664)*($G$6-$E$6)*($G$6-$F$6))))</f>
        <v>0.975449160154003</v>
      </c>
      <c r="C664" s="37" t="n">
        <f aca="false">1+IF($G$7=$E$7,$F$7,IF(Q664&lt;($F$7-$E$7)/($G$7-$E$7),$E$7+SQRT(Q664*($G$7-$E$7)*($F$7-$E$7)),$G$7-SQRT((1-Q664)*($G$7-$E$7)*($G$7-$F$7))))</f>
        <v>1.05298099265527</v>
      </c>
      <c r="D664" s="37" t="n">
        <f aca="false">1+IF($G$8=$E$8,$F$8,IF(R664&lt;($F$8-$E$8)/($G$8-$E$8),$E$8+SQRT(R664*($G$8-$E$8)*($F$8-$E$8)),$G$8-SQRT((1-R664)*($G$8-$E$8)*($G$8-$F$8))))</f>
        <v>1.02389929461402</v>
      </c>
      <c r="E664" s="37" t="n">
        <f aca="false">1+IF($G$9=$E$9,$F$9,IF(S664&lt;($F$9-$E$9)/($G$9-$E$9),$E$9+SQRT(S664*($G$9-$E$9)*($F$9-$E$9)),$G$9-SQRT((1-S664)*($G$9-$E$9)*($G$9-$F$9))))</f>
        <v>1.0634911604415</v>
      </c>
      <c r="F664" s="37" t="n">
        <f aca="false">1+IF($G$10=$E$10,$F$10,IF(T664&lt;($F$10-$E$10)/($G$10-$E$10),$E$10+SQRT(T664*($G$10-$E$10)*($F$10-$E$10)),$G$10-SQRT((1-T664)*($G$10-$E$10)*($G$10-$F$10))))</f>
        <v>1.04962473596278</v>
      </c>
      <c r="G664" s="38" t="n">
        <f aca="false">IF($G$11=$E$11,$F$11,IF(U664&lt;($F$11-$E$11)/($G$11-$E$11),$E$11+SQRT(U664*($G$11-$E$11)*($F$11-$E$11)),$G$11-SQRT((1-U664)*($G$11-$E$11)*($G$11-$F$11))))</f>
        <v>0.0964853421059282</v>
      </c>
      <c r="H664" s="39" t="n">
        <f aca="false">(('Business Case'!B11*$C664*'Business Case'!B12*$B664)-'Business Case'!B11*$C664*'Business Case'!B13*$D664-'Business Case'!B14*$E664)-MAX(0,(('Business Case'!B11*$C664*'Business Case'!B12*$B664)-'Business Case'!B11*$C664*'Business Case'!B13*$D664-'Business Case'!B14*$E664))*'Business Case'!$B$7-'Business Case'!$B$8*('Business Case'!B11*$C664*'Business Case'!B12*$B664)-'Business Case'!B15*$F664</f>
        <v>-2099249471.92556</v>
      </c>
      <c r="I664" s="39" t="n">
        <f aca="false">(('Business Case'!C11*$C664*'Business Case'!C12*$B664)-'Business Case'!C11*$C664*'Business Case'!C13*$D664-'Business Case'!C14*$E664)-MAX(0,(('Business Case'!C11*$C664*'Business Case'!C12*$B664)-'Business Case'!C11*$C664*'Business Case'!C13*$D664-'Business Case'!C14*$E664))*'Business Case'!$B$7-'Business Case'!$B$8*(('Business Case'!C11*$C664*'Business Case'!C12*$B664)-('Business Case'!B11*$C664*'Business Case'!B12*$B664))-'Business Case'!C15*$F664</f>
        <v>-20069107.6913065</v>
      </c>
      <c r="J664" s="39" t="n">
        <f aca="false">(('Business Case'!D11*$C664*'Business Case'!D12*$B664)-'Business Case'!D11*$C664*'Business Case'!D13*$D664-'Business Case'!D14*$E664)-MAX(0,(('Business Case'!D11*$C664*'Business Case'!D12*$B664)-'Business Case'!D11*$C664*'Business Case'!D13*$D664-'Business Case'!D14*$E664))*'Business Case'!$B$7-'Business Case'!$B$8*(('Business Case'!D11*$C664*'Business Case'!D12*$B664)-('Business Case'!C11*$C664*'Business Case'!C12*$B664))-'Business Case'!D15*$F664</f>
        <v>269299090.617528</v>
      </c>
      <c r="K664" s="39" t="n">
        <f aca="false">(('Business Case'!E11*$C664*'Business Case'!E12*$B664)-'Business Case'!E11*$C664*'Business Case'!E13*$D664-'Business Case'!E14*$E664)-MAX(0,(('Business Case'!E11*$C664*'Business Case'!E12*$B664)-'Business Case'!E11*$C664*'Business Case'!E13*$D664-'Business Case'!E14*$E664))*'Business Case'!$B$7-'Business Case'!$B$8*(('Business Case'!E11*$C664*'Business Case'!E12*$B664)-('Business Case'!D11*$C664*'Business Case'!D12*$B664))-'Business Case'!E15*$F664</f>
        <v>611148525.724502</v>
      </c>
      <c r="L664" s="39" t="n">
        <f aca="false">(('Business Case'!F11*$C664*'Business Case'!F12*$B664)-'Business Case'!F11*$C664*'Business Case'!F13*$D664-'Business Case'!F14*$E664)-MAX(0,(('Business Case'!F11*$C664*'Business Case'!F12*$B664)-'Business Case'!F11*$C664*'Business Case'!F13*$D664-'Business Case'!F14*$E664))*'Business Case'!$B$7-'Business Case'!$B$8*(('Business Case'!F11*$C664*'Business Case'!F12*$B664)-('Business Case'!E11*$C664*'Business Case'!E12*$B664))-'Business Case'!F15*$F664</f>
        <v>743102184.753502</v>
      </c>
      <c r="M664" s="39" t="n">
        <f aca="false">(('Business Case'!G11*$C664*'Business Case'!G12*$B664)-'Business Case'!G11*$C664*'Business Case'!G13*$D664-'Business Case'!G14*$E664)-MAX(0,(('Business Case'!G11*$C664*'Business Case'!G12*$B664)-'Business Case'!G11*$C664*'Business Case'!G13*$D664-'Business Case'!G14*$E664))*'Business Case'!$B$7-'Business Case'!$B$8*(('Business Case'!G11*$C664*'Business Case'!G12*$B664)-('Business Case'!F11*$C664*'Business Case'!F12*$B664))-'Business Case'!G15*$F664+'Business Case'!$B$8*('Business Case'!G11*$C664*'Business Case'!G12*$B664)</f>
        <v>938338945.846802</v>
      </c>
      <c r="N664" s="39" t="n">
        <f aca="false">IF(COUNT('Business Case'!B11:G11)=0,"",H664+NPV(G664,I664:M664))</f>
        <v>-323847524.770105</v>
      </c>
      <c r="P664" s="40" t="n">
        <f aca="true">RAND()</f>
        <v>0.320271808519196</v>
      </c>
      <c r="Q664" s="40" t="n">
        <f aca="true">RAND()</f>
        <v>0.820710708835093</v>
      </c>
      <c r="R664" s="40" t="n">
        <f aca="true">RAND()</f>
        <v>0.69737604376876</v>
      </c>
      <c r="S664" s="40" t="n">
        <f aca="true">RAND()</f>
        <v>0.911140308939466</v>
      </c>
      <c r="T664" s="40" t="n">
        <f aca="true">RAND()</f>
        <v>0.547745599314717</v>
      </c>
      <c r="U664" s="40" t="n">
        <f aca="true">RAND()</f>
        <v>0.140198874103086</v>
      </c>
    </row>
    <row r="665" customFormat="false" ht="15" hidden="false" customHeight="false" outlineLevel="0" collapsed="false">
      <c r="A665" s="36" t="n">
        <v>585</v>
      </c>
      <c r="B665" s="37" t="n">
        <f aca="false">1+IF($G$6=$E$6,$F$6,IF(P665&lt;($F$6-$E$6)/($G$6-$E$6),$E$6+SQRT(P665*($G$6-$E$6)*($F$6-$E$6)),$G$6-SQRT((1-P665)*($G$6-$E$6)*($G$6-$F$6))))</f>
        <v>1.02055912028848</v>
      </c>
      <c r="C665" s="37" t="n">
        <f aca="false">1+IF($G$7=$E$7,$F$7,IF(Q665&lt;($F$7-$E$7)/($G$7-$E$7),$E$7+SQRT(Q665*($G$7-$E$7)*($F$7-$E$7)),$G$7-SQRT((1-Q665)*($G$7-$E$7)*($G$7-$F$7))))</f>
        <v>0.878444737052943</v>
      </c>
      <c r="D665" s="37" t="n">
        <f aca="false">1+IF($G$8=$E$8,$F$8,IF(R665&lt;($F$8-$E$8)/($G$8-$E$8),$E$8+SQRT(R665*($G$8-$E$8)*($F$8-$E$8)),$G$8-SQRT((1-R665)*($G$8-$E$8)*($G$8-$F$8))))</f>
        <v>1.00223302967147</v>
      </c>
      <c r="E665" s="37" t="n">
        <f aca="false">1+IF($G$9=$E$9,$F$9,IF(S665&lt;($F$9-$E$9)/($G$9-$E$9),$E$9+SQRT(S665*($G$9-$E$9)*($F$9-$E$9)),$G$9-SQRT((1-S665)*($G$9-$E$9)*($G$9-$F$9))))</f>
        <v>1.07157521945538</v>
      </c>
      <c r="F665" s="37" t="n">
        <f aca="false">1+IF($G$10=$E$10,$F$10,IF(T665&lt;($F$10-$E$10)/($G$10-$E$10),$E$10+SQRT(T665*($G$10-$E$10)*($F$10-$E$10)),$G$10-SQRT((1-T665)*($G$10-$E$10)*($G$10-$F$10))))</f>
        <v>1.00776058351855</v>
      </c>
      <c r="G665" s="38" t="n">
        <f aca="false">IF($G$11=$E$11,$F$11,IF(U665&lt;($F$11-$E$11)/($G$11-$E$11),$E$11+SQRT(U665*($G$11-$E$11)*($F$11-$E$11)),$G$11-SQRT((1-U665)*($G$11-$E$11)*($G$11-$F$11))))</f>
        <v>0.103301064320191</v>
      </c>
      <c r="H665" s="39" t="n">
        <f aca="false">(('Business Case'!B11*$C665*'Business Case'!B12*$B665)-'Business Case'!B11*$C665*'Business Case'!B13*$D665-'Business Case'!B14*$E665)-MAX(0,(('Business Case'!B11*$C665*'Business Case'!B12*$B665)-'Business Case'!B11*$C665*'Business Case'!B13*$D665-'Business Case'!B14*$E665))*'Business Case'!$B$7-'Business Case'!$B$8*('Business Case'!B11*$C665*'Business Case'!B12*$B665)-'Business Case'!B15*$F665</f>
        <v>-2015521167.03709</v>
      </c>
      <c r="I665" s="39" t="n">
        <f aca="false">(('Business Case'!C11*$C665*'Business Case'!C12*$B665)-'Business Case'!C11*$C665*'Business Case'!C13*$D665-'Business Case'!C14*$E665)-MAX(0,(('Business Case'!C11*$C665*'Business Case'!C12*$B665)-'Business Case'!C11*$C665*'Business Case'!C13*$D665-'Business Case'!C14*$E665))*'Business Case'!$B$7-'Business Case'!$B$8*(('Business Case'!C11*$C665*'Business Case'!C12*$B665)-('Business Case'!B11*$C665*'Business Case'!B12*$B665))-'Business Case'!C15*$F665</f>
        <v>-16024501.5627444</v>
      </c>
      <c r="J665" s="39" t="n">
        <f aca="false">(('Business Case'!D11*$C665*'Business Case'!D12*$B665)-'Business Case'!D11*$C665*'Business Case'!D13*$D665-'Business Case'!D14*$E665)-MAX(0,(('Business Case'!D11*$C665*'Business Case'!D12*$B665)-'Business Case'!D11*$C665*'Business Case'!D13*$D665-'Business Case'!D14*$E665))*'Business Case'!$B$7-'Business Case'!$B$8*(('Business Case'!D11*$C665*'Business Case'!D12*$B665)-('Business Case'!C11*$C665*'Business Case'!C12*$B665))-'Business Case'!D15*$F665</f>
        <v>267579859.646407</v>
      </c>
      <c r="K665" s="39" t="n">
        <f aca="false">(('Business Case'!E11*$C665*'Business Case'!E12*$B665)-'Business Case'!E11*$C665*'Business Case'!E13*$D665-'Business Case'!E14*$E665)-MAX(0,(('Business Case'!E11*$C665*'Business Case'!E12*$B665)-'Business Case'!E11*$C665*'Business Case'!E13*$D665-'Business Case'!E14*$E665))*'Business Case'!$B$7-'Business Case'!$B$8*(('Business Case'!E11*$C665*'Business Case'!E12*$B665)-('Business Case'!D11*$C665*'Business Case'!D12*$B665))-'Business Case'!E15*$F665</f>
        <v>601572250.031487</v>
      </c>
      <c r="L665" s="39" t="n">
        <f aca="false">(('Business Case'!F11*$C665*'Business Case'!F12*$B665)-'Business Case'!F11*$C665*'Business Case'!F13*$D665-'Business Case'!F14*$E665)-MAX(0,(('Business Case'!F11*$C665*'Business Case'!F12*$B665)-'Business Case'!F11*$C665*'Business Case'!F13*$D665-'Business Case'!F14*$E665))*'Business Case'!$B$7-'Business Case'!$B$8*(('Business Case'!F11*$C665*'Business Case'!F12*$B665)-('Business Case'!E11*$C665*'Business Case'!E12*$B665))-'Business Case'!F15*$F665</f>
        <v>727090242.576861</v>
      </c>
      <c r="M665" s="39" t="n">
        <f aca="false">(('Business Case'!G11*$C665*'Business Case'!G12*$B665)-'Business Case'!G11*$C665*'Business Case'!G13*$D665-'Business Case'!G14*$E665)-MAX(0,(('Business Case'!G11*$C665*'Business Case'!G12*$B665)-'Business Case'!G11*$C665*'Business Case'!G13*$D665-'Business Case'!G14*$E665))*'Business Case'!$B$7-'Business Case'!$B$8*(('Business Case'!G11*$C665*'Business Case'!G12*$B665)-('Business Case'!F11*$C665*'Business Case'!F12*$B665))-'Business Case'!G15*$F665+'Business Case'!$B$8*('Business Case'!G11*$C665*'Business Case'!G12*$B665)</f>
        <v>897497872.692979</v>
      </c>
      <c r="N665" s="39" t="n">
        <f aca="false">IF(COUNT('Business Case'!B11:G11)=0,"",H665+NPV(G665,I665:M665))</f>
        <v>-322616757.48942</v>
      </c>
      <c r="P665" s="40" t="n">
        <f aca="true">RAND()</f>
        <v>0.92126087417547</v>
      </c>
      <c r="Q665" s="40" t="n">
        <f aca="true">RAND()</f>
        <v>0.0879082395900776</v>
      </c>
      <c r="R665" s="40" t="n">
        <f aca="true">RAND()</f>
        <v>0.41849022364634</v>
      </c>
      <c r="S665" s="40" t="n">
        <f aca="true">RAND()</f>
        <v>0.946135456732671</v>
      </c>
      <c r="T665" s="40" t="n">
        <f aca="true">RAND()</f>
        <v>0.260880135017413</v>
      </c>
      <c r="U665" s="40" t="n">
        <f aca="true">RAND()</f>
        <v>0.535242578602696</v>
      </c>
    </row>
    <row r="666" customFormat="false" ht="15" hidden="false" customHeight="false" outlineLevel="0" collapsed="false">
      <c r="A666" s="36" t="n">
        <v>586</v>
      </c>
      <c r="B666" s="37" t="n">
        <f aca="false">1+IF($G$6=$E$6,$F$6,IF(P666&lt;($F$6-$E$6)/($G$6-$E$6),$E$6+SQRT(P666*($G$6-$E$6)*($F$6-$E$6)),$G$6-SQRT((1-P666)*($G$6-$E$6)*($G$6-$F$6))))</f>
        <v>0.951448786269351</v>
      </c>
      <c r="C666" s="37" t="n">
        <f aca="false">1+IF($G$7=$E$7,$F$7,IF(Q666&lt;($F$7-$E$7)/($G$7-$E$7),$E$7+SQRT(Q666*($G$7-$E$7)*($F$7-$E$7)),$G$7-SQRT((1-Q666)*($G$7-$E$7)*($G$7-$F$7))))</f>
        <v>0.958945608037414</v>
      </c>
      <c r="D666" s="37" t="n">
        <f aca="false">1+IF($G$8=$E$8,$F$8,IF(R666&lt;($F$8-$E$8)/($G$8-$E$8),$E$8+SQRT(R666*($G$8-$E$8)*($F$8-$E$8)),$G$8-SQRT((1-R666)*($G$8-$E$8)*($G$8-$F$8))))</f>
        <v>0.996971122550732</v>
      </c>
      <c r="E666" s="37" t="n">
        <f aca="false">1+IF($G$9=$E$9,$F$9,IF(S666&lt;($F$9-$E$9)/($G$9-$E$9),$E$9+SQRT(S666*($G$9-$E$9)*($F$9-$E$9)),$G$9-SQRT((1-S666)*($G$9-$E$9)*($G$9-$F$9))))</f>
        <v>1.04381308336722</v>
      </c>
      <c r="F666" s="37" t="n">
        <f aca="false">1+IF($G$10=$E$10,$F$10,IF(T666&lt;($F$10-$E$10)/($G$10-$E$10),$E$10+SQRT(T666*($G$10-$E$10)*($F$10-$E$10)),$G$10-SQRT((1-T666)*($G$10-$E$10)*($G$10-$F$10))))</f>
        <v>1.02822661684262</v>
      </c>
      <c r="G666" s="38" t="n">
        <f aca="false">IF($G$11=$E$11,$F$11,IF(U666&lt;($F$11-$E$11)/($G$11-$E$11),$E$11+SQRT(U666*($G$11-$E$11)*($F$11-$E$11)),$G$11-SQRT((1-U666)*($G$11-$E$11)*($G$11-$F$11))))</f>
        <v>0.101821272358527</v>
      </c>
      <c r="H666" s="39" t="n">
        <f aca="false">(('Business Case'!B11*$C666*'Business Case'!B12*$B666)-'Business Case'!B11*$C666*'Business Case'!B13*$D666-'Business Case'!B14*$E666)-MAX(0,(('Business Case'!B11*$C666*'Business Case'!B12*$B666)-'Business Case'!B11*$C666*'Business Case'!B13*$D666-'Business Case'!B14*$E666))*'Business Case'!$B$7-'Business Case'!$B$8*('Business Case'!B11*$C666*'Business Case'!B12*$B666)-'Business Case'!B15*$F666</f>
        <v>-2056453233.68524</v>
      </c>
      <c r="I666" s="39" t="n">
        <f aca="false">(('Business Case'!C11*$C666*'Business Case'!C12*$B666)-'Business Case'!C11*$C666*'Business Case'!C13*$D666-'Business Case'!C14*$E666)-MAX(0,(('Business Case'!C11*$C666*'Business Case'!C12*$B666)-'Business Case'!C11*$C666*'Business Case'!C13*$D666-'Business Case'!C14*$E666))*'Business Case'!$B$7-'Business Case'!$B$8*(('Business Case'!C11*$C666*'Business Case'!C12*$B666)-('Business Case'!B11*$C666*'Business Case'!B12*$B666))-'Business Case'!C15*$F666</f>
        <v>-40656441.5863899</v>
      </c>
      <c r="J666" s="39" t="n">
        <f aca="false">(('Business Case'!D11*$C666*'Business Case'!D12*$B666)-'Business Case'!D11*$C666*'Business Case'!D13*$D666-'Business Case'!D14*$E666)-MAX(0,(('Business Case'!D11*$C666*'Business Case'!D12*$B666)-'Business Case'!D11*$C666*'Business Case'!D13*$D666-'Business Case'!D14*$E666))*'Business Case'!$B$7-'Business Case'!$B$8*(('Business Case'!D11*$C666*'Business Case'!D12*$B666)-('Business Case'!C11*$C666*'Business Case'!C12*$B666))-'Business Case'!D15*$F666</f>
        <v>217238173.957729</v>
      </c>
      <c r="K666" s="39" t="n">
        <f aca="false">(('Business Case'!E11*$C666*'Business Case'!E12*$B666)-'Business Case'!E11*$C666*'Business Case'!E13*$D666-'Business Case'!E14*$E666)-MAX(0,(('Business Case'!E11*$C666*'Business Case'!E12*$B666)-'Business Case'!E11*$C666*'Business Case'!E13*$D666-'Business Case'!E14*$E666))*'Business Case'!$B$7-'Business Case'!$B$8*(('Business Case'!E11*$C666*'Business Case'!E12*$B666)-('Business Case'!D11*$C666*'Business Case'!D12*$B666))-'Business Case'!E15*$F666</f>
        <v>526544120.343978</v>
      </c>
      <c r="L666" s="39" t="n">
        <f aca="false">(('Business Case'!F11*$C666*'Business Case'!F12*$B666)-'Business Case'!F11*$C666*'Business Case'!F13*$D666-'Business Case'!F14*$E666)-MAX(0,(('Business Case'!F11*$C666*'Business Case'!F12*$B666)-'Business Case'!F11*$C666*'Business Case'!F13*$D666-'Business Case'!F14*$E666))*'Business Case'!$B$7-'Business Case'!$B$8*(('Business Case'!F11*$C666*'Business Case'!F12*$B666)-('Business Case'!E11*$C666*'Business Case'!E12*$B666))-'Business Case'!F15*$F666</f>
        <v>644041108.85297</v>
      </c>
      <c r="M666" s="39" t="n">
        <f aca="false">(('Business Case'!G11*$C666*'Business Case'!G12*$B666)-'Business Case'!G11*$C666*'Business Case'!G13*$D666-'Business Case'!G14*$E666)-MAX(0,(('Business Case'!G11*$C666*'Business Case'!G12*$B666)-'Business Case'!G11*$C666*'Business Case'!G13*$D666-'Business Case'!G14*$E666))*'Business Case'!$B$7-'Business Case'!$B$8*(('Business Case'!G11*$C666*'Business Case'!G12*$B666)-('Business Case'!F11*$C666*'Business Case'!F12*$B666))-'Business Case'!G15*$F666+'Business Case'!$B$8*('Business Case'!G11*$C666*'Business Case'!G12*$B666)</f>
        <v>817467750.488209</v>
      </c>
      <c r="N666" s="39" t="n">
        <f aca="false">IF(COUNT('Business Case'!B11:G11)=0,"",H666+NPV(G666,I666:M666))</f>
        <v>-580378631.773375</v>
      </c>
      <c r="P666" s="40" t="n">
        <f aca="true">RAND()</f>
        <v>0.103023558105763</v>
      </c>
      <c r="Q666" s="40" t="n">
        <f aca="true">RAND()</f>
        <v>0.360910090205474</v>
      </c>
      <c r="R666" s="40" t="n">
        <f aca="true">RAND()</f>
        <v>0.339428669796293</v>
      </c>
      <c r="S666" s="40" t="n">
        <f aca="true">RAND()</f>
        <v>0.789535359953374</v>
      </c>
      <c r="T666" s="40" t="n">
        <f aca="true">RAND()</f>
        <v>0.409878096773345</v>
      </c>
      <c r="U666" s="40" t="n">
        <f aca="true">RAND()</f>
        <v>0.449223102228557</v>
      </c>
    </row>
    <row r="667" customFormat="false" ht="15" hidden="false" customHeight="false" outlineLevel="0" collapsed="false">
      <c r="A667" s="36" t="n">
        <v>587</v>
      </c>
      <c r="B667" s="37" t="n">
        <f aca="false">1+IF($G$6=$E$6,$F$6,IF(P667&lt;($F$6-$E$6)/($G$6-$E$6),$E$6+SQRT(P667*($G$6-$E$6)*($F$6-$E$6)),$G$6-SQRT((1-P667)*($G$6-$E$6)*($G$6-$F$6))))</f>
        <v>0.960176180062529</v>
      </c>
      <c r="C667" s="37" t="n">
        <f aca="false">1+IF($G$7=$E$7,$F$7,IF(Q667&lt;($F$7-$E$7)/($G$7-$E$7),$E$7+SQRT(Q667*($G$7-$E$7)*($F$7-$E$7)),$G$7-SQRT((1-Q667)*($G$7-$E$7)*($G$7-$F$7))))</f>
        <v>0.891050143350393</v>
      </c>
      <c r="D667" s="37" t="n">
        <f aca="false">1+IF($G$8=$E$8,$F$8,IF(R667&lt;($F$8-$E$8)/($G$8-$E$8),$E$8+SQRT(R667*($G$8-$E$8)*($F$8-$E$8)),$G$8-SQRT((1-R667)*($G$8-$E$8)*($G$8-$F$8))))</f>
        <v>1.04426739724065</v>
      </c>
      <c r="E667" s="37" t="n">
        <f aca="false">1+IF($G$9=$E$9,$F$9,IF(S667&lt;($F$9-$E$9)/($G$9-$E$9),$E$9+SQRT(S667*($G$9-$E$9)*($F$9-$E$9)),$G$9-SQRT((1-S667)*($G$9-$E$9)*($G$9-$F$9))))</f>
        <v>0.997154938357419</v>
      </c>
      <c r="F667" s="37" t="n">
        <f aca="false">1+IF($G$10=$E$10,$F$10,IF(T667&lt;($F$10-$E$10)/($G$10-$E$10),$E$10+SQRT(T667*($G$10-$E$10)*($F$10-$E$10)),$G$10-SQRT((1-T667)*($G$10-$E$10)*($G$10-$F$10))))</f>
        <v>1.01284677112301</v>
      </c>
      <c r="G667" s="38" t="n">
        <f aca="false">IF($G$11=$E$11,$F$11,IF(U667&lt;($F$11-$E$11)/($G$11-$E$11),$E$11+SQRT(U667*($G$11-$E$11)*($F$11-$E$11)),$G$11-SQRT((1-U667)*($G$11-$E$11)*($G$11-$F$11))))</f>
        <v>0.0932302365057031</v>
      </c>
      <c r="H667" s="39" t="n">
        <f aca="false">(('Business Case'!B11*$C667*'Business Case'!B12*$B667)-'Business Case'!B11*$C667*'Business Case'!B13*$D667-'Business Case'!B14*$E667)-MAX(0,(('Business Case'!B11*$C667*'Business Case'!B12*$B667)-'Business Case'!B11*$C667*'Business Case'!B13*$D667-'Business Case'!B14*$E667))*'Business Case'!$B$7-'Business Case'!$B$8*('Business Case'!B11*$C667*'Business Case'!B12*$B667)-'Business Case'!B15*$F667</f>
        <v>-2025693542.24603</v>
      </c>
      <c r="I667" s="39" t="n">
        <f aca="false">(('Business Case'!C11*$C667*'Business Case'!C12*$B667)-'Business Case'!C11*$C667*'Business Case'!C13*$D667-'Business Case'!C14*$E667)-MAX(0,(('Business Case'!C11*$C667*'Business Case'!C12*$B667)-'Business Case'!C11*$C667*'Business Case'!C13*$D667-'Business Case'!C14*$E667))*'Business Case'!$B$7-'Business Case'!$B$8*(('Business Case'!C11*$C667*'Business Case'!C12*$B667)-('Business Case'!B11*$C667*'Business Case'!B12*$B667))-'Business Case'!C15*$F667</f>
        <v>-63001971.787068</v>
      </c>
      <c r="J667" s="39" t="n">
        <f aca="false">(('Business Case'!D11*$C667*'Business Case'!D12*$B667)-'Business Case'!D11*$C667*'Business Case'!D13*$D667-'Business Case'!D14*$E667)-MAX(0,(('Business Case'!D11*$C667*'Business Case'!D12*$B667)-'Business Case'!D11*$C667*'Business Case'!D13*$D667-'Business Case'!D14*$E667))*'Business Case'!$B$7-'Business Case'!$B$8*(('Business Case'!D11*$C667*'Business Case'!D12*$B667)-('Business Case'!C11*$C667*'Business Case'!C12*$B667))-'Business Case'!D15*$F667</f>
        <v>161428661.743019</v>
      </c>
      <c r="K667" s="39" t="n">
        <f aca="false">(('Business Case'!E11*$C667*'Business Case'!E12*$B667)-'Business Case'!E11*$C667*'Business Case'!E13*$D667-'Business Case'!E14*$E667)-MAX(0,(('Business Case'!E11*$C667*'Business Case'!E12*$B667)-'Business Case'!E11*$C667*'Business Case'!E13*$D667-'Business Case'!E14*$E667))*'Business Case'!$B$7-'Business Case'!$B$8*(('Business Case'!E11*$C667*'Business Case'!E12*$B667)-('Business Case'!D11*$C667*'Business Case'!D12*$B667))-'Business Case'!E15*$F667</f>
        <v>436501633.829256</v>
      </c>
      <c r="L667" s="39" t="n">
        <f aca="false">(('Business Case'!F11*$C667*'Business Case'!F12*$B667)-'Business Case'!F11*$C667*'Business Case'!F13*$D667-'Business Case'!F14*$E667)-MAX(0,(('Business Case'!F11*$C667*'Business Case'!F12*$B667)-'Business Case'!F11*$C667*'Business Case'!F13*$D667-'Business Case'!F14*$E667))*'Business Case'!$B$7-'Business Case'!$B$8*(('Business Case'!F11*$C667*'Business Case'!F12*$B667)-('Business Case'!E11*$C667*'Business Case'!E12*$B667))-'Business Case'!F15*$F667</f>
        <v>540880175.652904</v>
      </c>
      <c r="M667" s="39" t="n">
        <f aca="false">(('Business Case'!G11*$C667*'Business Case'!G12*$B667)-'Business Case'!G11*$C667*'Business Case'!G13*$D667-'Business Case'!G14*$E667)-MAX(0,(('Business Case'!G11*$C667*'Business Case'!G12*$B667)-'Business Case'!G11*$C667*'Business Case'!G13*$D667-'Business Case'!G14*$E667))*'Business Case'!$B$7-'Business Case'!$B$8*(('Business Case'!G11*$C667*'Business Case'!G12*$B667)-('Business Case'!F11*$C667*'Business Case'!F12*$B667))-'Business Case'!G15*$F667+'Business Case'!$B$8*('Business Case'!G11*$C667*'Business Case'!G12*$B667)</f>
        <v>703505994.211141</v>
      </c>
      <c r="N667" s="39" t="n">
        <f aca="false">IF(COUNT('Business Case'!B11:G11)=0,"",H667+NPV(G667,I667:M667))</f>
        <v>-784992998.830363</v>
      </c>
      <c r="P667" s="40" t="n">
        <f aca="true">RAND()</f>
        <v>0.168138067126743</v>
      </c>
      <c r="Q667" s="40" t="n">
        <f aca="true">RAND()</f>
        <v>0.118430408630388</v>
      </c>
      <c r="R667" s="40" t="n">
        <f aca="true">RAND()</f>
        <v>0.877228951927179</v>
      </c>
      <c r="S667" s="40" t="n">
        <f aca="true">RAND()</f>
        <v>0.296478428198929</v>
      </c>
      <c r="T667" s="40" t="n">
        <f aca="true">RAND()</f>
        <v>0.299473378418371</v>
      </c>
      <c r="U667" s="40" t="n">
        <f aca="true">RAND()</f>
        <v>0.0347814262759233</v>
      </c>
    </row>
    <row r="668" customFormat="false" ht="15" hidden="false" customHeight="false" outlineLevel="0" collapsed="false">
      <c r="A668" s="36" t="n">
        <v>588</v>
      </c>
      <c r="B668" s="37" t="n">
        <f aca="false">1+IF($G$6=$E$6,$F$6,IF(P668&lt;($F$6-$E$6)/($G$6-$E$6),$E$6+SQRT(P668*($G$6-$E$6)*($F$6-$E$6)),$G$6-SQRT((1-P668)*($G$6-$E$6)*($G$6-$F$6))))</f>
        <v>0.990190727414591</v>
      </c>
      <c r="C668" s="37" t="n">
        <f aca="false">1+IF($G$7=$E$7,$F$7,IF(Q668&lt;($F$7-$E$7)/($G$7-$E$7),$E$7+SQRT(Q668*($G$7-$E$7)*($F$7-$E$7)),$G$7-SQRT((1-Q668)*($G$7-$E$7)*($G$7-$F$7))))</f>
        <v>1.05939229992445</v>
      </c>
      <c r="D668" s="37" t="n">
        <f aca="false">1+IF($G$8=$E$8,$F$8,IF(R668&lt;($F$8-$E$8)/($G$8-$E$8),$E$8+SQRT(R668*($G$8-$E$8)*($F$8-$E$8)),$G$8-SQRT((1-R668)*($G$8-$E$8)*($G$8-$F$8))))</f>
        <v>1.0243111799445</v>
      </c>
      <c r="E668" s="37" t="n">
        <f aca="false">1+IF($G$9=$E$9,$F$9,IF(S668&lt;($F$9-$E$9)/($G$9-$E$9),$E$9+SQRT(S668*($G$9-$E$9)*($F$9-$E$9)),$G$9-SQRT((1-S668)*($G$9-$E$9)*($G$9-$F$9))))</f>
        <v>1.07590691089279</v>
      </c>
      <c r="F668" s="37" t="n">
        <f aca="false">1+IF($G$10=$E$10,$F$10,IF(T668&lt;($F$10-$E$10)/($G$10-$E$10),$E$10+SQRT(T668*($G$10-$E$10)*($F$10-$E$10)),$G$10-SQRT((1-T668)*($G$10-$E$10)*($G$10-$F$10))))</f>
        <v>1.14540072549142</v>
      </c>
      <c r="G668" s="38" t="n">
        <f aca="false">IF($G$11=$E$11,$F$11,IF(U668&lt;($F$11-$E$11)/($G$11-$E$11),$E$11+SQRT(U668*($G$11-$E$11)*($F$11-$E$11)),$G$11-SQRT((1-U668)*($G$11-$E$11)*($G$11-$F$11))))</f>
        <v>0.115051908320165</v>
      </c>
      <c r="H668" s="39" t="n">
        <f aca="false">(('Business Case'!B11*$C668*'Business Case'!B12*$B668)-'Business Case'!B11*$C668*'Business Case'!B13*$D668-'Business Case'!B14*$E668)-MAX(0,(('Business Case'!B11*$C668*'Business Case'!B12*$B668)-'Business Case'!B11*$C668*'Business Case'!B13*$D668-'Business Case'!B14*$E668))*'Business Case'!$B$7-'Business Case'!$B$8*('Business Case'!B11*$C668*'Business Case'!B12*$B668)-'Business Case'!B15*$F668</f>
        <v>-2290801450.98284</v>
      </c>
      <c r="I668" s="39" t="n">
        <f aca="false">(('Business Case'!C11*$C668*'Business Case'!C12*$B668)-'Business Case'!C11*$C668*'Business Case'!C13*$D668-'Business Case'!C14*$E668)-MAX(0,(('Business Case'!C11*$C668*'Business Case'!C12*$B668)-'Business Case'!C11*$C668*'Business Case'!C13*$D668-'Business Case'!C14*$E668))*'Business Case'!$B$7-'Business Case'!$B$8*(('Business Case'!C11*$C668*'Business Case'!C12*$B668)-('Business Case'!B11*$C668*'Business Case'!B12*$B668))-'Business Case'!C15*$F668</f>
        <v>-18215980.8836357</v>
      </c>
      <c r="J668" s="39" t="n">
        <f aca="false">(('Business Case'!D11*$C668*'Business Case'!D12*$B668)-'Business Case'!D11*$C668*'Business Case'!D13*$D668-'Business Case'!D14*$E668)-MAX(0,(('Business Case'!D11*$C668*'Business Case'!D12*$B668)-'Business Case'!D11*$C668*'Business Case'!D13*$D668-'Business Case'!D14*$E668))*'Business Case'!$B$7-'Business Case'!$B$8*(('Business Case'!D11*$C668*'Business Case'!D12*$B668)-('Business Case'!C11*$C668*'Business Case'!C12*$B668))-'Business Case'!D15*$F668</f>
        <v>285482255.909832</v>
      </c>
      <c r="K668" s="39" t="n">
        <f aca="false">(('Business Case'!E11*$C668*'Business Case'!E12*$B668)-'Business Case'!E11*$C668*'Business Case'!E13*$D668-'Business Case'!E14*$E668)-MAX(0,(('Business Case'!E11*$C668*'Business Case'!E12*$B668)-'Business Case'!E11*$C668*'Business Case'!E13*$D668-'Business Case'!E14*$E668))*'Business Case'!$B$7-'Business Case'!$B$8*(('Business Case'!E11*$C668*'Business Case'!E12*$B668)-('Business Case'!D11*$C668*'Business Case'!D12*$B668))-'Business Case'!E15*$F668</f>
        <v>646450528.977871</v>
      </c>
      <c r="L668" s="39" t="n">
        <f aca="false">(('Business Case'!F11*$C668*'Business Case'!F12*$B668)-'Business Case'!F11*$C668*'Business Case'!F13*$D668-'Business Case'!F14*$E668)-MAX(0,(('Business Case'!F11*$C668*'Business Case'!F12*$B668)-'Business Case'!F11*$C668*'Business Case'!F13*$D668-'Business Case'!F14*$E668))*'Business Case'!$B$7-'Business Case'!$B$8*(('Business Case'!F11*$C668*'Business Case'!F12*$B668)-('Business Case'!E11*$C668*'Business Case'!E12*$B668))-'Business Case'!F15*$F668</f>
        <v>783936729.508365</v>
      </c>
      <c r="M668" s="39" t="n">
        <f aca="false">(('Business Case'!G11*$C668*'Business Case'!G12*$B668)-'Business Case'!G11*$C668*'Business Case'!G13*$D668-'Business Case'!G14*$E668)-MAX(0,(('Business Case'!G11*$C668*'Business Case'!G12*$B668)-'Business Case'!G11*$C668*'Business Case'!G13*$D668-'Business Case'!G14*$E668))*'Business Case'!$B$7-'Business Case'!$B$8*(('Business Case'!G11*$C668*'Business Case'!G12*$B668)-('Business Case'!F11*$C668*'Business Case'!F12*$B668))-'Business Case'!G15*$F668+'Business Case'!$B$8*('Business Case'!G11*$C668*'Business Case'!G12*$B668)</f>
        <v>983330731.638056</v>
      </c>
      <c r="N668" s="39" t="n">
        <f aca="false">IF(COUNT('Business Case'!B11:G11)=0,"",H668+NPV(G668,I668:M668))</f>
        <v>-533678464.059037</v>
      </c>
      <c r="P668" s="40" t="n">
        <f aca="true">RAND()</f>
        <v>0.513201897394734</v>
      </c>
      <c r="Q668" s="40" t="n">
        <f aca="true">RAND()</f>
        <v>0.843623708324165</v>
      </c>
      <c r="R668" s="40" t="n">
        <f aca="true">RAND()</f>
        <v>0.70180339623325</v>
      </c>
      <c r="S668" s="40" t="n">
        <f aca="true">RAND()</f>
        <v>0.961301537151483</v>
      </c>
      <c r="T668" s="40" t="n">
        <f aca="true">RAND()</f>
        <v>0.940378384462729</v>
      </c>
      <c r="U668" s="40" t="n">
        <f aca="true">RAND()</f>
        <v>0.959193981213246</v>
      </c>
    </row>
    <row r="669" customFormat="false" ht="15" hidden="false" customHeight="false" outlineLevel="0" collapsed="false">
      <c r="A669" s="36" t="n">
        <v>589</v>
      </c>
      <c r="B669" s="37" t="n">
        <f aca="false">1+IF($G$6=$E$6,$F$6,IF(P669&lt;($F$6-$E$6)/($G$6-$E$6),$E$6+SQRT(P669*($G$6-$E$6)*($F$6-$E$6)),$G$6-SQRT((1-P669)*($G$6-$E$6)*($G$6-$F$6))))</f>
        <v>1.02382857890506</v>
      </c>
      <c r="C669" s="37" t="n">
        <f aca="false">1+IF($G$7=$E$7,$F$7,IF(Q669&lt;($F$7-$E$7)/($G$7-$E$7),$E$7+SQRT(Q669*($G$7-$E$7)*($F$7-$E$7)),$G$7-SQRT((1-Q669)*($G$7-$E$7)*($G$7-$F$7))))</f>
        <v>0.945028881860851</v>
      </c>
      <c r="D669" s="37" t="n">
        <f aca="false">1+IF($G$8=$E$8,$F$8,IF(R669&lt;($F$8-$E$8)/($G$8-$E$8),$E$8+SQRT(R669*($G$8-$E$8)*($F$8-$E$8)),$G$8-SQRT((1-R669)*($G$8-$E$8)*($G$8-$F$8))))</f>
        <v>1.0267062821206</v>
      </c>
      <c r="E669" s="37" t="n">
        <f aca="false">1+IF($G$9=$E$9,$F$9,IF(S669&lt;($F$9-$E$9)/($G$9-$E$9),$E$9+SQRT(S669*($G$9-$E$9)*($F$9-$E$9)),$G$9-SQRT((1-S669)*($G$9-$E$9)*($G$9-$F$9))))</f>
        <v>1.02646706441581</v>
      </c>
      <c r="F669" s="37" t="n">
        <f aca="false">1+IF($G$10=$E$10,$F$10,IF(T669&lt;($F$10-$E$10)/($G$10-$E$10),$E$10+SQRT(T669*($G$10-$E$10)*($F$10-$E$10)),$G$10-SQRT((1-T669)*($G$10-$E$10)*($G$10-$F$10))))</f>
        <v>1.12427308183096</v>
      </c>
      <c r="G669" s="38" t="n">
        <f aca="false">IF($G$11=$E$11,$F$11,IF(U669&lt;($F$11-$E$11)/($G$11-$E$11),$E$11+SQRT(U669*($G$11-$E$11)*($F$11-$E$11)),$G$11-SQRT((1-U669)*($G$11-$E$11)*($G$11-$F$11))))</f>
        <v>0.0969539491426466</v>
      </c>
      <c r="H669" s="39" t="n">
        <f aca="false">(('Business Case'!B11*$C669*'Business Case'!B12*$B669)-'Business Case'!B11*$C669*'Business Case'!B13*$D669-'Business Case'!B14*$E669)-MAX(0,(('Business Case'!B11*$C669*'Business Case'!B12*$B669)-'Business Case'!B11*$C669*'Business Case'!B13*$D669-'Business Case'!B14*$E669))*'Business Case'!$B$7-'Business Case'!$B$8*('Business Case'!B11*$C669*'Business Case'!B12*$B669)-'Business Case'!B15*$F669</f>
        <v>-2248546163.66193</v>
      </c>
      <c r="I669" s="39" t="n">
        <f aca="false">(('Business Case'!C11*$C669*'Business Case'!C12*$B669)-'Business Case'!C11*$C669*'Business Case'!C13*$D669-'Business Case'!C14*$E669)-MAX(0,(('Business Case'!C11*$C669*'Business Case'!C12*$B669)-'Business Case'!C11*$C669*'Business Case'!C13*$D669-'Business Case'!C14*$E669))*'Business Case'!$B$7-'Business Case'!$B$8*(('Business Case'!C11*$C669*'Business Case'!C12*$B669)-('Business Case'!B11*$C669*'Business Case'!B12*$B669))-'Business Case'!C15*$F669</f>
        <v>-12756590.6451623</v>
      </c>
      <c r="J669" s="39" t="n">
        <f aca="false">(('Business Case'!D11*$C669*'Business Case'!D12*$B669)-'Business Case'!D11*$C669*'Business Case'!D13*$D669-'Business Case'!D14*$E669)-MAX(0,(('Business Case'!D11*$C669*'Business Case'!D12*$B669)-'Business Case'!D11*$C669*'Business Case'!D13*$D669-'Business Case'!D14*$E669))*'Business Case'!$B$7-'Business Case'!$B$8*(('Business Case'!D11*$C669*'Business Case'!D12*$B669)-('Business Case'!C11*$C669*'Business Case'!C12*$B669))-'Business Case'!D15*$F669</f>
        <v>283035409.851629</v>
      </c>
      <c r="K669" s="39" t="n">
        <f aca="false">(('Business Case'!E11*$C669*'Business Case'!E12*$B669)-'Business Case'!E11*$C669*'Business Case'!E13*$D669-'Business Case'!E14*$E669)-MAX(0,(('Business Case'!E11*$C669*'Business Case'!E12*$B669)-'Business Case'!E11*$C669*'Business Case'!E13*$D669-'Business Case'!E14*$E669))*'Business Case'!$B$7-'Business Case'!$B$8*(('Business Case'!E11*$C669*'Business Case'!E12*$B669)-('Business Case'!D11*$C669*'Business Case'!D12*$B669))-'Business Case'!E15*$F669</f>
        <v>635041064.439969</v>
      </c>
      <c r="L669" s="39" t="n">
        <f aca="false">(('Business Case'!F11*$C669*'Business Case'!F12*$B669)-'Business Case'!F11*$C669*'Business Case'!F13*$D669-'Business Case'!F14*$E669)-MAX(0,(('Business Case'!F11*$C669*'Business Case'!F12*$B669)-'Business Case'!F11*$C669*'Business Case'!F13*$D669-'Business Case'!F14*$E669))*'Business Case'!$B$7-'Business Case'!$B$8*(('Business Case'!F11*$C669*'Business Case'!F12*$B669)-('Business Case'!E11*$C669*'Business Case'!E12*$B669))-'Business Case'!F15*$F669</f>
        <v>767076842.204852</v>
      </c>
      <c r="M669" s="39" t="n">
        <f aca="false">(('Business Case'!G11*$C669*'Business Case'!G12*$B669)-'Business Case'!G11*$C669*'Business Case'!G13*$D669-'Business Case'!G14*$E669)-MAX(0,(('Business Case'!G11*$C669*'Business Case'!G12*$B669)-'Business Case'!G11*$C669*'Business Case'!G13*$D669-'Business Case'!G14*$E669))*'Business Case'!$B$7-'Business Case'!$B$8*(('Business Case'!G11*$C669*'Business Case'!G12*$B669)-('Business Case'!F11*$C669*'Business Case'!F12*$B669))-'Business Case'!G15*$F669+'Business Case'!$B$8*('Business Case'!G11*$C669*'Business Case'!G12*$B669)</f>
        <v>950988285.667592</v>
      </c>
      <c r="N669" s="39" t="n">
        <f aca="false">IF(COUNT('Business Case'!B11:G11)=0,"",H669+NPV(G669,I669:M669))</f>
        <v>-415358966.160768</v>
      </c>
      <c r="P669" s="40" t="n">
        <f aca="true">RAND()</f>
        <v>0.945517737452143</v>
      </c>
      <c r="Q669" s="40" t="n">
        <f aca="true">RAND()</f>
        <v>0.300476808197267</v>
      </c>
      <c r="R669" s="40" t="n">
        <f aca="true">RAND()</f>
        <v>0.726901887941406</v>
      </c>
      <c r="S669" s="40" t="n">
        <f aca="true">RAND()</f>
        <v>0.639527158958077</v>
      </c>
      <c r="T669" s="40" t="n">
        <f aca="true">RAND()</f>
        <v>0.885308677292403</v>
      </c>
      <c r="U669" s="40" t="n">
        <f aca="true">RAND()</f>
        <v>0.161191362261716</v>
      </c>
    </row>
    <row r="670" customFormat="false" ht="15" hidden="false" customHeight="false" outlineLevel="0" collapsed="false">
      <c r="A670" s="36" t="n">
        <v>590</v>
      </c>
      <c r="B670" s="37" t="n">
        <f aca="false">1+IF($G$6=$E$6,$F$6,IF(P670&lt;($F$6-$E$6)/($G$6-$E$6),$E$6+SQRT(P670*($G$6-$E$6)*($F$6-$E$6)),$G$6-SQRT((1-P670)*($G$6-$E$6)*($G$6-$F$6))))</f>
        <v>0.973396594500298</v>
      </c>
      <c r="C670" s="37" t="n">
        <f aca="false">1+IF($G$7=$E$7,$F$7,IF(Q670&lt;($F$7-$E$7)/($G$7-$E$7),$E$7+SQRT(Q670*($G$7-$E$7)*($F$7-$E$7)),$G$7-SQRT((1-Q670)*($G$7-$E$7)*($G$7-$F$7))))</f>
        <v>0.992525777625237</v>
      </c>
      <c r="D670" s="37" t="n">
        <f aca="false">1+IF($G$8=$E$8,$F$8,IF(R670&lt;($F$8-$E$8)/($G$8-$E$8),$E$8+SQRT(R670*($G$8-$E$8)*($F$8-$E$8)),$G$8-SQRT((1-R670)*($G$8-$E$8)*($G$8-$F$8))))</f>
        <v>0.979224370668139</v>
      </c>
      <c r="E670" s="37" t="n">
        <f aca="false">1+IF($G$9=$E$9,$F$9,IF(S670&lt;($F$9-$E$9)/($G$9-$E$9),$E$9+SQRT(S670*($G$9-$E$9)*($F$9-$E$9)),$G$9-SQRT((1-S670)*($G$9-$E$9)*($G$9-$F$9))))</f>
        <v>1.00750274959116</v>
      </c>
      <c r="F670" s="37" t="n">
        <f aca="false">1+IF($G$10=$E$10,$F$10,IF(T670&lt;($F$10-$E$10)/($G$10-$E$10),$E$10+SQRT(T670*($G$10-$E$10)*($F$10-$E$10)),$G$10-SQRT((1-T670)*($G$10-$E$10)*($G$10-$F$10))))</f>
        <v>1.03691664542509</v>
      </c>
      <c r="G670" s="38" t="n">
        <f aca="false">IF($G$11=$E$11,$F$11,IF(U670&lt;($F$11-$E$11)/($G$11-$E$11),$E$11+SQRT(U670*($G$11-$E$11)*($F$11-$E$11)),$G$11-SQRT((1-U670)*($G$11-$E$11)*($G$11-$F$11))))</f>
        <v>0.104109809144062</v>
      </c>
      <c r="H670" s="39" t="n">
        <f aca="false">(('Business Case'!B11*$C670*'Business Case'!B12*$B670)-'Business Case'!B11*$C670*'Business Case'!B13*$D670-'Business Case'!B14*$E670)-MAX(0,(('Business Case'!B11*$C670*'Business Case'!B12*$B670)-'Business Case'!B11*$C670*'Business Case'!B13*$D670-'Business Case'!B14*$E670))*'Business Case'!$B$7-'Business Case'!$B$8*('Business Case'!B11*$C670*'Business Case'!B12*$B670)-'Business Case'!B15*$F670</f>
        <v>-2073833290.85018</v>
      </c>
      <c r="I670" s="39" t="n">
        <f aca="false">(('Business Case'!C11*$C670*'Business Case'!C12*$B670)-'Business Case'!C11*$C670*'Business Case'!C13*$D670-'Business Case'!C14*$E670)-MAX(0,(('Business Case'!C11*$C670*'Business Case'!C12*$B670)-'Business Case'!C11*$C670*'Business Case'!C13*$D670-'Business Case'!C14*$E670))*'Business Case'!$B$7-'Business Case'!$B$8*(('Business Case'!C11*$C670*'Business Case'!C12*$B670)-('Business Case'!B11*$C670*'Business Case'!B12*$B670))-'Business Case'!C15*$F670</f>
        <v>-3257273.59908244</v>
      </c>
      <c r="J670" s="39" t="n">
        <f aca="false">(('Business Case'!D11*$C670*'Business Case'!D12*$B670)-'Business Case'!D11*$C670*'Business Case'!D13*$D670-'Business Case'!D14*$E670)-MAX(0,(('Business Case'!D11*$C670*'Business Case'!D12*$B670)-'Business Case'!D11*$C670*'Business Case'!D13*$D670-'Business Case'!D14*$E670))*'Business Case'!$B$7-'Business Case'!$B$8*(('Business Case'!D11*$C670*'Business Case'!D12*$B670)-('Business Case'!C11*$C670*'Business Case'!C12*$B670))-'Business Case'!D15*$F670</f>
        <v>290527731.9608</v>
      </c>
      <c r="K670" s="39" t="n">
        <f aca="false">(('Business Case'!E11*$C670*'Business Case'!E12*$B670)-'Business Case'!E11*$C670*'Business Case'!E13*$D670-'Business Case'!E14*$E670)-MAX(0,(('Business Case'!E11*$C670*'Business Case'!E12*$B670)-'Business Case'!E11*$C670*'Business Case'!E13*$D670-'Business Case'!E14*$E670))*'Business Case'!$B$7-'Business Case'!$B$8*(('Business Case'!E11*$C670*'Business Case'!E12*$B670)-('Business Case'!D11*$C670*'Business Case'!D12*$B670))-'Business Case'!E15*$F670</f>
        <v>636158569.791937</v>
      </c>
      <c r="L670" s="39" t="n">
        <f aca="false">(('Business Case'!F11*$C670*'Business Case'!F12*$B670)-'Business Case'!F11*$C670*'Business Case'!F13*$D670-'Business Case'!F14*$E670)-MAX(0,(('Business Case'!F11*$C670*'Business Case'!F12*$B670)-'Business Case'!F11*$C670*'Business Case'!F13*$D670-'Business Case'!F14*$E670))*'Business Case'!$B$7-'Business Case'!$B$8*(('Business Case'!F11*$C670*'Business Case'!F12*$B670)-('Business Case'!E11*$C670*'Business Case'!E12*$B670))-'Business Case'!F15*$F670</f>
        <v>767476054.061627</v>
      </c>
      <c r="M670" s="39" t="n">
        <f aca="false">(('Business Case'!G11*$C670*'Business Case'!G12*$B670)-'Business Case'!G11*$C670*'Business Case'!G13*$D670-'Business Case'!G14*$E670)-MAX(0,(('Business Case'!G11*$C670*'Business Case'!G12*$B670)-'Business Case'!G11*$C670*'Business Case'!G13*$D670-'Business Case'!G14*$E670))*'Business Case'!$B$7-'Business Case'!$B$8*(('Business Case'!G11*$C670*'Business Case'!G12*$B670)-('Business Case'!F11*$C670*'Business Case'!F12*$B670))-'Business Case'!G15*$F670+'Business Case'!$B$8*('Business Case'!G11*$C670*'Business Case'!G12*$B670)</f>
        <v>951116374.01847</v>
      </c>
      <c r="N670" s="39" t="n">
        <f aca="false">IF(COUNT('Business Case'!B11:G11)=0,"",H670+NPV(G670,I670:M670))</f>
        <v>-269730326.063291</v>
      </c>
      <c r="P670" s="40" t="n">
        <f aca="true">RAND()</f>
        <v>0.296999615023882</v>
      </c>
      <c r="Q670" s="40" t="n">
        <f aca="true">RAND()</f>
        <v>0.529516786431458</v>
      </c>
      <c r="R670" s="40" t="n">
        <f aca="true">RAND()</f>
        <v>0.131394437069048</v>
      </c>
      <c r="S670" s="40" t="n">
        <f aca="true">RAND()</f>
        <v>0.429617244453573</v>
      </c>
      <c r="T670" s="40" t="n">
        <f aca="true">RAND()</f>
        <v>0.468076389211889</v>
      </c>
      <c r="U670" s="40" t="n">
        <f aca="true">RAND()</f>
        <v>0.579169724269795</v>
      </c>
    </row>
    <row r="671" customFormat="false" ht="15" hidden="false" customHeight="false" outlineLevel="0" collapsed="false">
      <c r="A671" s="36" t="n">
        <v>591</v>
      </c>
      <c r="B671" s="37" t="n">
        <f aca="false">1+IF($G$6=$E$6,$F$6,IF(P671&lt;($F$6-$E$6)/($G$6-$E$6),$E$6+SQRT(P671*($G$6-$E$6)*($F$6-$E$6)),$G$6-SQRT((1-P671)*($G$6-$E$6)*($G$6-$F$6))))</f>
        <v>0.928756603169114</v>
      </c>
      <c r="C671" s="37" t="n">
        <f aca="false">1+IF($G$7=$E$7,$F$7,IF(Q671&lt;($F$7-$E$7)/($G$7-$E$7),$E$7+SQRT(Q671*($G$7-$E$7)*($F$7-$E$7)),$G$7-SQRT((1-Q671)*($G$7-$E$7)*($G$7-$F$7))))</f>
        <v>1.00618370858986</v>
      </c>
      <c r="D671" s="37" t="n">
        <f aca="false">1+IF($G$8=$E$8,$F$8,IF(R671&lt;($F$8-$E$8)/($G$8-$E$8),$E$8+SQRT(R671*($G$8-$E$8)*($F$8-$E$8)),$G$8-SQRT((1-R671)*($G$8-$E$8)*($G$8-$F$8))))</f>
        <v>0.977271783374824</v>
      </c>
      <c r="E671" s="37" t="n">
        <f aca="false">1+IF($G$9=$E$9,$F$9,IF(S671&lt;($F$9-$E$9)/($G$9-$E$9),$E$9+SQRT(S671*($G$9-$E$9)*($F$9-$E$9)),$G$9-SQRT((1-S671)*($G$9-$E$9)*($G$9-$F$9))))</f>
        <v>1.06846703815309</v>
      </c>
      <c r="F671" s="37" t="n">
        <f aca="false">1+IF($G$10=$E$10,$F$10,IF(T671&lt;($F$10-$E$10)/($G$10-$E$10),$E$10+SQRT(T671*($G$10-$E$10)*($F$10-$E$10)),$G$10-SQRT((1-T671)*($G$10-$E$10)*($G$10-$F$10))))</f>
        <v>1.04763917782764</v>
      </c>
      <c r="G671" s="38" t="n">
        <f aca="false">IF($G$11=$E$11,$F$11,IF(U671&lt;($F$11-$E$11)/($G$11-$E$11),$E$11+SQRT(U671*($G$11-$E$11)*($F$11-$E$11)),$G$11-SQRT((1-U671)*($G$11-$E$11)*($G$11-$F$11))))</f>
        <v>0.0977701008653784</v>
      </c>
      <c r="H671" s="39" t="n">
        <f aca="false">(('Business Case'!B11*$C671*'Business Case'!B12*$B671)-'Business Case'!B11*$C671*'Business Case'!B13*$D671-'Business Case'!B14*$E671)-MAX(0,(('Business Case'!B11*$C671*'Business Case'!B12*$B671)-'Business Case'!B11*$C671*'Business Case'!B13*$D671-'Business Case'!B14*$E671))*'Business Case'!$B$7-'Business Case'!$B$8*('Business Case'!B11*$C671*'Business Case'!B12*$B671)-'Business Case'!B15*$F671</f>
        <v>-2095278355.65528</v>
      </c>
      <c r="I671" s="39" t="n">
        <f aca="false">(('Business Case'!C11*$C671*'Business Case'!C12*$B671)-'Business Case'!C11*$C671*'Business Case'!C13*$D671-'Business Case'!C14*$E671)-MAX(0,(('Business Case'!C11*$C671*'Business Case'!C12*$B671)-'Business Case'!C11*$C671*'Business Case'!C13*$D671-'Business Case'!C14*$E671))*'Business Case'!$B$7-'Business Case'!$B$8*(('Business Case'!C11*$C671*'Business Case'!C12*$B671)-('Business Case'!B11*$C671*'Business Case'!B12*$B671))-'Business Case'!C15*$F671</f>
        <v>-43100395.990428</v>
      </c>
      <c r="J671" s="39" t="n">
        <f aca="false">(('Business Case'!D11*$C671*'Business Case'!D12*$B671)-'Business Case'!D11*$C671*'Business Case'!D13*$D671-'Business Case'!D14*$E671)-MAX(0,(('Business Case'!D11*$C671*'Business Case'!D12*$B671)-'Business Case'!D11*$C671*'Business Case'!D13*$D671-'Business Case'!D14*$E671))*'Business Case'!$B$7-'Business Case'!$B$8*(('Business Case'!D11*$C671*'Business Case'!D12*$B671)-('Business Case'!C11*$C671*'Business Case'!C12*$B671))-'Business Case'!D15*$F671</f>
        <v>218943606.35955</v>
      </c>
      <c r="K671" s="39" t="n">
        <f aca="false">(('Business Case'!E11*$C671*'Business Case'!E12*$B671)-'Business Case'!E11*$C671*'Business Case'!E13*$D671-'Business Case'!E14*$E671)-MAX(0,(('Business Case'!E11*$C671*'Business Case'!E12*$B671)-'Business Case'!E11*$C671*'Business Case'!E13*$D671-'Business Case'!E14*$E671))*'Business Case'!$B$7-'Business Case'!$B$8*(('Business Case'!E11*$C671*'Business Case'!E12*$B671)-('Business Case'!D11*$C671*'Business Case'!D12*$B671))-'Business Case'!E15*$F671</f>
        <v>533369567.600909</v>
      </c>
      <c r="L671" s="39" t="n">
        <f aca="false">(('Business Case'!F11*$C671*'Business Case'!F12*$B671)-'Business Case'!F11*$C671*'Business Case'!F13*$D671-'Business Case'!F14*$E671)-MAX(0,(('Business Case'!F11*$C671*'Business Case'!F12*$B671)-'Business Case'!F11*$C671*'Business Case'!F13*$D671-'Business Case'!F14*$E671))*'Business Case'!$B$7-'Business Case'!$B$8*(('Business Case'!F11*$C671*'Business Case'!F12*$B671)-('Business Case'!E11*$C671*'Business Case'!E12*$B671))-'Business Case'!F15*$F671</f>
        <v>653013880.205751</v>
      </c>
      <c r="M671" s="39" t="n">
        <f aca="false">(('Business Case'!G11*$C671*'Business Case'!G12*$B671)-'Business Case'!G11*$C671*'Business Case'!G13*$D671-'Business Case'!G14*$E671)-MAX(0,(('Business Case'!G11*$C671*'Business Case'!G12*$B671)-'Business Case'!G11*$C671*'Business Case'!G13*$D671-'Business Case'!G14*$E671))*'Business Case'!$B$7-'Business Case'!$B$8*(('Business Case'!G11*$C671*'Business Case'!G12*$B671)-('Business Case'!F11*$C671*'Business Case'!F12*$B671))-'Business Case'!G15*$F671+'Business Case'!$B$8*('Business Case'!G11*$C671*'Business Case'!G12*$B671)</f>
        <v>830643595.224082</v>
      </c>
      <c r="N671" s="39" t="n">
        <f aca="false">IF(COUNT('Business Case'!B11:G11)=0,"",H671+NPV(G671,I671:M671))</f>
        <v>-579007426.195521</v>
      </c>
      <c r="P671" s="40" t="n">
        <f aca="true">RAND()</f>
        <v>0.00798730198555504</v>
      </c>
      <c r="Q671" s="40" t="n">
        <f aca="true">RAND()</f>
        <v>0.606035701429201</v>
      </c>
      <c r="R671" s="40" t="n">
        <f aca="true">RAND()</f>
        <v>0.114423102837433</v>
      </c>
      <c r="S671" s="40" t="n">
        <f aca="true">RAND()</f>
        <v>0.933711487810757</v>
      </c>
      <c r="T671" s="40" t="n">
        <f aca="true">RAND()</f>
        <v>0.535723597339256</v>
      </c>
      <c r="U671" s="40" t="n">
        <f aca="true">RAND()</f>
        <v>0.201248224860515</v>
      </c>
    </row>
    <row r="672" customFormat="false" ht="15" hidden="false" customHeight="false" outlineLevel="0" collapsed="false">
      <c r="A672" s="36" t="n">
        <v>592</v>
      </c>
      <c r="B672" s="37" t="n">
        <f aca="false">1+IF($G$6=$E$6,$F$6,IF(P672&lt;($F$6-$E$6)/($G$6-$E$6),$E$6+SQRT(P672*($G$6-$E$6)*($F$6-$E$6)),$G$6-SQRT((1-P672)*($G$6-$E$6)*($G$6-$F$6))))</f>
        <v>0.988649817692034</v>
      </c>
      <c r="C672" s="37" t="n">
        <f aca="false">1+IF($G$7=$E$7,$F$7,IF(Q672&lt;($F$7-$E$7)/($G$7-$E$7),$E$7+SQRT(Q672*($G$7-$E$7)*($F$7-$E$7)),$G$7-SQRT((1-Q672)*($G$7-$E$7)*($G$7-$F$7))))</f>
        <v>0.964653618633277</v>
      </c>
      <c r="D672" s="37" t="n">
        <f aca="false">1+IF($G$8=$E$8,$F$8,IF(R672&lt;($F$8-$E$8)/($G$8-$E$8),$E$8+SQRT(R672*($G$8-$E$8)*($F$8-$E$8)),$G$8-SQRT((1-R672)*($G$8-$E$8)*($G$8-$F$8))))</f>
        <v>1.02704723704324</v>
      </c>
      <c r="E672" s="37" t="n">
        <f aca="false">1+IF($G$9=$E$9,$F$9,IF(S672&lt;($F$9-$E$9)/($G$9-$E$9),$E$9+SQRT(S672*($G$9-$E$9)*($F$9-$E$9)),$G$9-SQRT((1-S672)*($G$9-$E$9)*($G$9-$F$9))))</f>
        <v>1.00677596313752</v>
      </c>
      <c r="F672" s="37" t="n">
        <f aca="false">1+IF($G$10=$E$10,$F$10,IF(T672&lt;($F$10-$E$10)/($G$10-$E$10),$E$10+SQRT(T672*($G$10-$E$10)*($F$10-$E$10)),$G$10-SQRT((1-T672)*($G$10-$E$10)*($G$10-$F$10))))</f>
        <v>1.02522633007348</v>
      </c>
      <c r="G672" s="38" t="n">
        <f aca="false">IF($G$11=$E$11,$F$11,IF(U672&lt;($F$11-$E$11)/($G$11-$E$11),$E$11+SQRT(U672*($G$11-$E$11)*($F$11-$E$11)),$G$11-SQRT((1-U672)*($G$11-$E$11)*($G$11-$F$11))))</f>
        <v>0.103862950744846</v>
      </c>
      <c r="H672" s="39" t="n">
        <f aca="false">(('Business Case'!B11*$C672*'Business Case'!B12*$B672)-'Business Case'!B11*$C672*'Business Case'!B13*$D672-'Business Case'!B14*$E672)-MAX(0,(('Business Case'!B11*$C672*'Business Case'!B12*$B672)-'Business Case'!B11*$C672*'Business Case'!B13*$D672-'Business Case'!B14*$E672))*'Business Case'!$B$7-'Business Case'!$B$8*('Business Case'!B11*$C672*'Business Case'!B12*$B672)-'Business Case'!B15*$F672</f>
        <v>-2050452660.14696</v>
      </c>
      <c r="I672" s="39" t="n">
        <f aca="false">(('Business Case'!C11*$C672*'Business Case'!C12*$B672)-'Business Case'!C11*$C672*'Business Case'!C13*$D672-'Business Case'!C14*$E672)-MAX(0,(('Business Case'!C11*$C672*'Business Case'!C12*$B672)-'Business Case'!C11*$C672*'Business Case'!C13*$D672-'Business Case'!C14*$E672))*'Business Case'!$B$7-'Business Case'!$B$8*(('Business Case'!C11*$C672*'Business Case'!C12*$B672)-('Business Case'!B11*$C672*'Business Case'!B12*$B672))-'Business Case'!C15*$F672</f>
        <v>-21155564.011504</v>
      </c>
      <c r="J672" s="39" t="n">
        <f aca="false">(('Business Case'!D11*$C672*'Business Case'!D12*$B672)-'Business Case'!D11*$C672*'Business Case'!D13*$D672-'Business Case'!D14*$E672)-MAX(0,(('Business Case'!D11*$C672*'Business Case'!D12*$B672)-'Business Case'!D11*$C672*'Business Case'!D13*$D672-'Business Case'!D14*$E672))*'Business Case'!$B$7-'Business Case'!$B$8*(('Business Case'!D11*$C672*'Business Case'!D12*$B672)-('Business Case'!C11*$C672*'Business Case'!C12*$B672))-'Business Case'!D15*$F672</f>
        <v>252815094.660908</v>
      </c>
      <c r="K672" s="39" t="n">
        <f aca="false">(('Business Case'!E11*$C672*'Business Case'!E12*$B672)-'Business Case'!E11*$C672*'Business Case'!E13*$D672-'Business Case'!E14*$E672)-MAX(0,(('Business Case'!E11*$C672*'Business Case'!E12*$B672)-'Business Case'!E11*$C672*'Business Case'!E13*$D672-'Business Case'!E14*$E672))*'Business Case'!$B$7-'Business Case'!$B$8*(('Business Case'!E11*$C672*'Business Case'!E12*$B672)-('Business Case'!D11*$C672*'Business Case'!D12*$B672))-'Business Case'!E15*$F672</f>
        <v>578047069.836994</v>
      </c>
      <c r="L672" s="39" t="n">
        <f aca="false">(('Business Case'!F11*$C672*'Business Case'!F12*$B672)-'Business Case'!F11*$C672*'Business Case'!F13*$D672-'Business Case'!F14*$E672)-MAX(0,(('Business Case'!F11*$C672*'Business Case'!F12*$B672)-'Business Case'!F11*$C672*'Business Case'!F13*$D672-'Business Case'!F14*$E672))*'Business Case'!$B$7-'Business Case'!$B$8*(('Business Case'!F11*$C672*'Business Case'!F12*$B672)-('Business Case'!E11*$C672*'Business Case'!E12*$B672))-'Business Case'!F15*$F672</f>
        <v>702330654.540071</v>
      </c>
      <c r="M672" s="39" t="n">
        <f aca="false">(('Business Case'!G11*$C672*'Business Case'!G12*$B672)-'Business Case'!G11*$C672*'Business Case'!G13*$D672-'Business Case'!G14*$E672)-MAX(0,(('Business Case'!G11*$C672*'Business Case'!G12*$B672)-'Business Case'!G11*$C672*'Business Case'!G13*$D672-'Business Case'!G14*$E672))*'Business Case'!$B$7-'Business Case'!$B$8*(('Business Case'!G11*$C672*'Business Case'!G12*$B672)-('Business Case'!F11*$C672*'Business Case'!F12*$B672))-'Business Case'!G15*$F672+'Business Case'!$B$8*('Business Case'!G11*$C672*'Business Case'!G12*$B672)</f>
        <v>883610829.50758</v>
      </c>
      <c r="N672" s="39" t="n">
        <f aca="false">IF(COUNT('Business Case'!B11:G11)=0,"",H672+NPV(G672,I672:M672))</f>
        <v>-420246180.844641</v>
      </c>
      <c r="P672" s="40" t="n">
        <f aca="true">RAND()</f>
        <v>0.490916403036412</v>
      </c>
      <c r="Q672" s="40" t="n">
        <f aca="true">RAND()</f>
        <v>0.387297344700467</v>
      </c>
      <c r="R672" s="40" t="n">
        <f aca="true">RAND()</f>
        <v>0.730385086081226</v>
      </c>
      <c r="S672" s="40" t="n">
        <f aca="true">RAND()</f>
        <v>0.42061859673759</v>
      </c>
      <c r="T672" s="40" t="n">
        <f aca="true">RAND()</f>
        <v>0.389083286008328</v>
      </c>
      <c r="U672" s="40" t="n">
        <f aca="true">RAND()</f>
        <v>0.565992735561204</v>
      </c>
    </row>
    <row r="673" customFormat="false" ht="15" hidden="false" customHeight="false" outlineLevel="0" collapsed="false">
      <c r="A673" s="36" t="n">
        <v>593</v>
      </c>
      <c r="B673" s="37" t="n">
        <f aca="false">1+IF($G$6=$E$6,$F$6,IF(P673&lt;($F$6-$E$6)/($G$6-$E$6),$E$6+SQRT(P673*($G$6-$E$6)*($F$6-$E$6)),$G$6-SQRT((1-P673)*($G$6-$E$6)*($G$6-$F$6))))</f>
        <v>1.00920611961916</v>
      </c>
      <c r="C673" s="37" t="n">
        <f aca="false">1+IF($G$7=$E$7,$F$7,IF(Q673&lt;($F$7-$E$7)/($G$7-$E$7),$E$7+SQRT(Q673*($G$7-$E$7)*($F$7-$E$7)),$G$7-SQRT((1-Q673)*($G$7-$E$7)*($G$7-$F$7))))</f>
        <v>1.0041447139694</v>
      </c>
      <c r="D673" s="37" t="n">
        <f aca="false">1+IF($G$8=$E$8,$F$8,IF(R673&lt;($F$8-$E$8)/($G$8-$E$8),$E$8+SQRT(R673*($G$8-$E$8)*($F$8-$E$8)),$G$8-SQRT((1-R673)*($G$8-$E$8)*($G$8-$F$8))))</f>
        <v>1.00485519400837</v>
      </c>
      <c r="E673" s="37" t="n">
        <f aca="false">1+IF($G$9=$E$9,$F$9,IF(S673&lt;($F$9-$E$9)/($G$9-$E$9),$E$9+SQRT(S673*($G$9-$E$9)*($F$9-$E$9)),$G$9-SQRT((1-S673)*($G$9-$E$9)*($G$9-$F$9))))</f>
        <v>1.01042840564584</v>
      </c>
      <c r="F673" s="37" t="n">
        <f aca="false">1+IF($G$10=$E$10,$F$10,IF(T673&lt;($F$10-$E$10)/($G$10-$E$10),$E$10+SQRT(T673*($G$10-$E$10)*($F$10-$E$10)),$G$10-SQRT((1-T673)*($G$10-$E$10)*($G$10-$F$10))))</f>
        <v>1.11961023248121</v>
      </c>
      <c r="G673" s="38" t="n">
        <f aca="false">IF($G$11=$E$11,$F$11,IF(U673&lt;($F$11-$E$11)/($G$11-$E$11),$E$11+SQRT(U673*($G$11-$E$11)*($F$11-$E$11)),$G$11-SQRT((1-U673)*($G$11-$E$11)*($G$11-$F$11))))</f>
        <v>0.0978115949209108</v>
      </c>
      <c r="H673" s="39" t="n">
        <f aca="false">(('Business Case'!B11*$C673*'Business Case'!B12*$B673)-'Business Case'!B11*$C673*'Business Case'!B13*$D673-'Business Case'!B14*$E673)-MAX(0,(('Business Case'!B11*$C673*'Business Case'!B12*$B673)-'Business Case'!B11*$C673*'Business Case'!B13*$D673-'Business Case'!B14*$E673))*'Business Case'!$B$7-'Business Case'!$B$8*('Business Case'!B11*$C673*'Business Case'!B12*$B673)-'Business Case'!B15*$F673</f>
        <v>-2239220464.96242</v>
      </c>
      <c r="I673" s="39" t="n">
        <f aca="false">(('Business Case'!C11*$C673*'Business Case'!C12*$B673)-'Business Case'!C11*$C673*'Business Case'!C13*$D673-'Business Case'!C14*$E673)-MAX(0,(('Business Case'!C11*$C673*'Business Case'!C12*$B673)-'Business Case'!C11*$C673*'Business Case'!C13*$D673-'Business Case'!C14*$E673))*'Business Case'!$B$7-'Business Case'!$B$8*(('Business Case'!C11*$C673*'Business Case'!C12*$B673)-('Business Case'!B11*$C673*'Business Case'!B12*$B673))-'Business Case'!C15*$F673</f>
        <v>5322984.83310816</v>
      </c>
      <c r="J673" s="39" t="n">
        <f aca="false">(('Business Case'!D11*$C673*'Business Case'!D12*$B673)-'Business Case'!D11*$C673*'Business Case'!D13*$D673-'Business Case'!D14*$E673)-MAX(0,(('Business Case'!D11*$C673*'Business Case'!D12*$B673)-'Business Case'!D11*$C673*'Business Case'!D13*$D673-'Business Case'!D14*$E673))*'Business Case'!$B$7-'Business Case'!$B$8*(('Business Case'!D11*$C673*'Business Case'!D12*$B673)-('Business Case'!C11*$C673*'Business Case'!C12*$B673))-'Business Case'!D15*$F673</f>
        <v>318823997.455425</v>
      </c>
      <c r="K673" s="39" t="n">
        <f aca="false">(('Business Case'!E11*$C673*'Business Case'!E12*$B673)-'Business Case'!E11*$C673*'Business Case'!E13*$D673-'Business Case'!E14*$E673)-MAX(0,(('Business Case'!E11*$C673*'Business Case'!E12*$B673)-'Business Case'!E11*$C673*'Business Case'!E13*$D673-'Business Case'!E14*$E673))*'Business Case'!$B$7-'Business Case'!$B$8*(('Business Case'!E11*$C673*'Business Case'!E12*$B673)-('Business Case'!D11*$C673*'Business Case'!D12*$B673))-'Business Case'!E15*$F673</f>
        <v>688305521.701802</v>
      </c>
      <c r="L673" s="39" t="n">
        <f aca="false">(('Business Case'!F11*$C673*'Business Case'!F12*$B673)-'Business Case'!F11*$C673*'Business Case'!F13*$D673-'Business Case'!F14*$E673)-MAX(0,(('Business Case'!F11*$C673*'Business Case'!F12*$B673)-'Business Case'!F11*$C673*'Business Case'!F13*$D673-'Business Case'!F14*$E673))*'Business Case'!$B$7-'Business Case'!$B$8*(('Business Case'!F11*$C673*'Business Case'!F12*$B673)-('Business Case'!E11*$C673*'Business Case'!E12*$B673))-'Business Case'!F15*$F673</f>
        <v>827828582.748073</v>
      </c>
      <c r="M673" s="39" t="n">
        <f aca="false">(('Business Case'!G11*$C673*'Business Case'!G12*$B673)-'Business Case'!G11*$C673*'Business Case'!G13*$D673-'Business Case'!G14*$E673)-MAX(0,(('Business Case'!G11*$C673*'Business Case'!G12*$B673)-'Business Case'!G11*$C673*'Business Case'!G13*$D673-'Business Case'!G14*$E673))*'Business Case'!$B$7-'Business Case'!$B$8*(('Business Case'!G11*$C673*'Business Case'!G12*$B673)-('Business Case'!F11*$C673*'Business Case'!F12*$B673))-'Business Case'!G15*$F673+'Business Case'!$B$8*('Business Case'!G11*$C673*'Business Case'!G12*$B673)</f>
        <v>1020453562.02832</v>
      </c>
      <c r="N673" s="39" t="n">
        <f aca="false">IF(COUNT('Business Case'!B11:G11)=0,"",H673+NPV(G673,I673:M673))</f>
        <v>-239694367.827566</v>
      </c>
      <c r="P673" s="40" t="n">
        <f aca="true">RAND()</f>
        <v>0.802445193977233</v>
      </c>
      <c r="Q673" s="40" t="n">
        <f aca="true">RAND()</f>
        <v>0.594785438798715</v>
      </c>
      <c r="R673" s="40" t="n">
        <f aca="true">RAND()</f>
        <v>0.457044051200093</v>
      </c>
      <c r="S673" s="40" t="n">
        <f aca="true">RAND()</f>
        <v>0.465128632323609</v>
      </c>
      <c r="T673" s="40" t="n">
        <f aca="true">RAND()</f>
        <v>0.870749705565494</v>
      </c>
      <c r="U673" s="40" t="n">
        <f aca="true">RAND()</f>
        <v>0.203403384027997</v>
      </c>
    </row>
    <row r="674" customFormat="false" ht="15" hidden="false" customHeight="false" outlineLevel="0" collapsed="false">
      <c r="A674" s="36" t="n">
        <v>594</v>
      </c>
      <c r="B674" s="37" t="n">
        <f aca="false">1+IF($G$6=$E$6,$F$6,IF(P674&lt;($F$6-$E$6)/($G$6-$E$6),$E$6+SQRT(P674*($G$6-$E$6)*($F$6-$E$6)),$G$6-SQRT((1-P674)*($G$6-$E$6)*($G$6-$F$6))))</f>
        <v>0.997606207709538</v>
      </c>
      <c r="C674" s="37" t="n">
        <f aca="false">1+IF($G$7=$E$7,$F$7,IF(Q674&lt;($F$7-$E$7)/($G$7-$E$7),$E$7+SQRT(Q674*($G$7-$E$7)*($F$7-$E$7)),$G$7-SQRT((1-Q674)*($G$7-$E$7)*($G$7-$F$7))))</f>
        <v>0.988727266164641</v>
      </c>
      <c r="D674" s="37" t="n">
        <f aca="false">1+IF($G$8=$E$8,$F$8,IF(R674&lt;($F$8-$E$8)/($G$8-$E$8),$E$8+SQRT(R674*($G$8-$E$8)*($F$8-$E$8)),$G$8-SQRT((1-R674)*($G$8-$E$8)*($G$8-$F$8))))</f>
        <v>1.01610231188255</v>
      </c>
      <c r="E674" s="37" t="n">
        <f aca="false">1+IF($G$9=$E$9,$F$9,IF(S674&lt;($F$9-$E$9)/($G$9-$E$9),$E$9+SQRT(S674*($G$9-$E$9)*($F$9-$E$9)),$G$9-SQRT((1-S674)*($G$9-$E$9)*($G$9-$F$9))))</f>
        <v>0.991234998566843</v>
      </c>
      <c r="F674" s="37" t="n">
        <f aca="false">1+IF($G$10=$E$10,$F$10,IF(T674&lt;($F$10-$E$10)/($G$10-$E$10),$E$10+SQRT(T674*($G$10-$E$10)*($F$10-$E$10)),$G$10-SQRT((1-T674)*($G$10-$E$10)*($G$10-$F$10))))</f>
        <v>1.06089698387526</v>
      </c>
      <c r="G674" s="38" t="n">
        <f aca="false">IF($G$11=$E$11,$F$11,IF(U674&lt;($F$11-$E$11)/($G$11-$E$11),$E$11+SQRT(U674*($G$11-$E$11)*($F$11-$E$11)),$G$11-SQRT((1-U674)*($G$11-$E$11)*($G$11-$F$11))))</f>
        <v>0.098810227234502</v>
      </c>
      <c r="H674" s="39" t="n">
        <f aca="false">(('Business Case'!B11*$C674*'Business Case'!B12*$B674)-'Business Case'!B11*$C674*'Business Case'!B13*$D674-'Business Case'!B14*$E674)-MAX(0,(('Business Case'!B11*$C674*'Business Case'!B12*$B674)-'Business Case'!B11*$C674*'Business Case'!B13*$D674-'Business Case'!B14*$E674))*'Business Case'!$B$7-'Business Case'!$B$8*('Business Case'!B11*$C674*'Business Case'!B12*$B674)-'Business Case'!B15*$F674</f>
        <v>-2121793967.75053</v>
      </c>
      <c r="I674" s="39" t="n">
        <f aca="false">(('Business Case'!C11*$C674*'Business Case'!C12*$B674)-'Business Case'!C11*$C674*'Business Case'!C13*$D674-'Business Case'!C14*$E674)-MAX(0,(('Business Case'!C11*$C674*'Business Case'!C12*$B674)-'Business Case'!C11*$C674*'Business Case'!C13*$D674-'Business Case'!C14*$E674))*'Business Case'!$B$7-'Business Case'!$B$8*(('Business Case'!C11*$C674*'Business Case'!C12*$B674)-('Business Case'!B11*$C674*'Business Case'!B12*$B674))-'Business Case'!C15*$F674</f>
        <v>-4575443.29282574</v>
      </c>
      <c r="J674" s="39" t="n">
        <f aca="false">(('Business Case'!D11*$C674*'Business Case'!D12*$B674)-'Business Case'!D11*$C674*'Business Case'!D13*$D674-'Business Case'!D14*$E674)-MAX(0,(('Business Case'!D11*$C674*'Business Case'!D12*$B674)-'Business Case'!D11*$C674*'Business Case'!D13*$D674-'Business Case'!D14*$E674))*'Business Case'!$B$7-'Business Case'!$B$8*(('Business Case'!D11*$C674*'Business Case'!D12*$B674)-('Business Case'!C11*$C674*'Business Case'!C12*$B674))-'Business Case'!D15*$F674</f>
        <v>289025354.764518</v>
      </c>
      <c r="K674" s="39" t="n">
        <f aca="false">(('Business Case'!E11*$C674*'Business Case'!E12*$B674)-'Business Case'!E11*$C674*'Business Case'!E13*$D674-'Business Case'!E14*$E674)-MAX(0,(('Business Case'!E11*$C674*'Business Case'!E12*$B674)-'Business Case'!E11*$C674*'Business Case'!E13*$D674-'Business Case'!E14*$E674))*'Business Case'!$B$7-'Business Case'!$B$8*(('Business Case'!E11*$C674*'Business Case'!E12*$B674)-('Business Case'!D11*$C674*'Business Case'!D12*$B674))-'Business Case'!E15*$F674</f>
        <v>635671002.015625</v>
      </c>
      <c r="L674" s="39" t="n">
        <f aca="false">(('Business Case'!F11*$C674*'Business Case'!F12*$B674)-'Business Case'!F11*$C674*'Business Case'!F13*$D674-'Business Case'!F14*$E674)-MAX(0,(('Business Case'!F11*$C674*'Business Case'!F12*$B674)-'Business Case'!F11*$C674*'Business Case'!F13*$D674-'Business Case'!F14*$E674))*'Business Case'!$B$7-'Business Case'!$B$8*(('Business Case'!F11*$C674*'Business Case'!F12*$B674)-('Business Case'!E11*$C674*'Business Case'!E12*$B674))-'Business Case'!F15*$F674</f>
        <v>767626552.145699</v>
      </c>
      <c r="M674" s="39" t="n">
        <f aca="false">(('Business Case'!G11*$C674*'Business Case'!G12*$B674)-'Business Case'!G11*$C674*'Business Case'!G13*$D674-'Business Case'!G14*$E674)-MAX(0,(('Business Case'!G11*$C674*'Business Case'!G12*$B674)-'Business Case'!G11*$C674*'Business Case'!G13*$D674-'Business Case'!G14*$E674))*'Business Case'!$B$7-'Business Case'!$B$8*(('Business Case'!G11*$C674*'Business Case'!G12*$B674)-('Business Case'!F11*$C674*'Business Case'!F12*$B674))-'Business Case'!G15*$F674+'Business Case'!$B$8*('Business Case'!G11*$C674*'Business Case'!G12*$B674)</f>
        <v>955113948.089305</v>
      </c>
      <c r="N674" s="39" t="n">
        <f aca="false">IF(COUNT('Business Case'!B11:G11)=0,"",H674+NPV(G674,I674:M674))</f>
        <v>-284592326.896642</v>
      </c>
      <c r="P674" s="40" t="n">
        <f aca="true">RAND()</f>
        <v>0.627367028651654</v>
      </c>
      <c r="Q674" s="40" t="n">
        <f aca="true">RAND()</f>
        <v>0.508828299913987</v>
      </c>
      <c r="R674" s="40" t="n">
        <f aca="true">RAND()</f>
        <v>0.607412062812011</v>
      </c>
      <c r="S674" s="40" t="n">
        <f aca="true">RAND()</f>
        <v>0.22671001424101</v>
      </c>
      <c r="T674" s="40" t="n">
        <f aca="true">RAND()</f>
        <v>0.613007018100031</v>
      </c>
      <c r="U674" s="40" t="n">
        <f aca="true">RAND()</f>
        <v>0.258733679745202</v>
      </c>
    </row>
    <row r="675" customFormat="false" ht="15" hidden="false" customHeight="false" outlineLevel="0" collapsed="false">
      <c r="A675" s="36" t="n">
        <v>595</v>
      </c>
      <c r="B675" s="37" t="n">
        <f aca="false">1+IF($G$6=$E$6,$F$6,IF(P675&lt;($F$6-$E$6)/($G$6-$E$6),$E$6+SQRT(P675*($G$6-$E$6)*($F$6-$E$6)),$G$6-SQRT((1-P675)*($G$6-$E$6)*($G$6-$F$6))))</f>
        <v>0.99815269826522</v>
      </c>
      <c r="C675" s="37" t="n">
        <f aca="false">1+IF($G$7=$E$7,$F$7,IF(Q675&lt;($F$7-$E$7)/($G$7-$E$7),$E$7+SQRT(Q675*($G$7-$E$7)*($F$7-$E$7)),$G$7-SQRT((1-Q675)*($G$7-$E$7)*($G$7-$F$7))))</f>
        <v>0.953109122891366</v>
      </c>
      <c r="D675" s="37" t="n">
        <f aca="false">1+IF($G$8=$E$8,$F$8,IF(R675&lt;($F$8-$E$8)/($G$8-$E$8),$E$8+SQRT(R675*($G$8-$E$8)*($F$8-$E$8)),$G$8-SQRT((1-R675)*($G$8-$E$8)*($G$8-$F$8))))</f>
        <v>1.04627052208279</v>
      </c>
      <c r="E675" s="37" t="n">
        <f aca="false">1+IF($G$9=$E$9,$F$9,IF(S675&lt;($F$9-$E$9)/($G$9-$E$9),$E$9+SQRT(S675*($G$9-$E$9)*($F$9-$E$9)),$G$9-SQRT((1-S675)*($G$9-$E$9)*($G$9-$F$9))))</f>
        <v>1.02628502686672</v>
      </c>
      <c r="F675" s="37" t="n">
        <f aca="false">1+IF($G$10=$E$10,$F$10,IF(T675&lt;($F$10-$E$10)/($G$10-$E$10),$E$10+SQRT(T675*($G$10-$E$10)*($F$10-$E$10)),$G$10-SQRT((1-T675)*($G$10-$E$10)*($G$10-$F$10))))</f>
        <v>1.09093850290205</v>
      </c>
      <c r="G675" s="38" t="n">
        <f aca="false">IF($G$11=$E$11,$F$11,IF(U675&lt;($F$11-$E$11)/($G$11-$E$11),$E$11+SQRT(U675*($G$11-$E$11)*($F$11-$E$11)),$G$11-SQRT((1-U675)*($G$11-$E$11)*($G$11-$F$11))))</f>
        <v>0.112329285622087</v>
      </c>
      <c r="H675" s="39" t="n">
        <f aca="false">(('Business Case'!B11*$C675*'Business Case'!B12*$B675)-'Business Case'!B11*$C675*'Business Case'!B13*$D675-'Business Case'!B14*$E675)-MAX(0,(('Business Case'!B11*$C675*'Business Case'!B12*$B675)-'Business Case'!B11*$C675*'Business Case'!B13*$D675-'Business Case'!B14*$E675))*'Business Case'!$B$7-'Business Case'!$B$8*('Business Case'!B11*$C675*'Business Case'!B12*$B675)-'Business Case'!B15*$F675</f>
        <v>-2181877005.8041</v>
      </c>
      <c r="I675" s="39" t="n">
        <f aca="false">(('Business Case'!C11*$C675*'Business Case'!C12*$B675)-'Business Case'!C11*$C675*'Business Case'!C13*$D675-'Business Case'!C14*$E675)-MAX(0,(('Business Case'!C11*$C675*'Business Case'!C12*$B675)-'Business Case'!C11*$C675*'Business Case'!C13*$D675-'Business Case'!C14*$E675))*'Business Case'!$B$7-'Business Case'!$B$8*(('Business Case'!C11*$C675*'Business Case'!C12*$B675)-('Business Case'!B11*$C675*'Business Case'!B12*$B675))-'Business Case'!C15*$F675</f>
        <v>-35618345.4403362</v>
      </c>
      <c r="J675" s="39" t="n">
        <f aca="false">(('Business Case'!D11*$C675*'Business Case'!D12*$B675)-'Business Case'!D11*$C675*'Business Case'!D13*$D675-'Business Case'!D14*$E675)-MAX(0,(('Business Case'!D11*$C675*'Business Case'!D12*$B675)-'Business Case'!D11*$C675*'Business Case'!D13*$D675-'Business Case'!D14*$E675))*'Business Case'!$B$7-'Business Case'!$B$8*(('Business Case'!D11*$C675*'Business Case'!D12*$B675)-('Business Case'!C11*$C675*'Business Case'!C12*$B675))-'Business Case'!D15*$F675</f>
        <v>233112793.50241</v>
      </c>
      <c r="K675" s="39" t="n">
        <f aca="false">(('Business Case'!E11*$C675*'Business Case'!E12*$B675)-'Business Case'!E11*$C675*'Business Case'!E13*$D675-'Business Case'!E14*$E675)-MAX(0,(('Business Case'!E11*$C675*'Business Case'!E12*$B675)-'Business Case'!E11*$C675*'Business Case'!E13*$D675-'Business Case'!E14*$E675))*'Business Case'!$B$7-'Business Case'!$B$8*(('Business Case'!E11*$C675*'Business Case'!E12*$B675)-('Business Case'!D11*$C675*'Business Case'!D12*$B675))-'Business Case'!E15*$F675</f>
        <v>556390857.590259</v>
      </c>
      <c r="L675" s="39" t="n">
        <f aca="false">(('Business Case'!F11*$C675*'Business Case'!F12*$B675)-'Business Case'!F11*$C675*'Business Case'!F13*$D675-'Business Case'!F14*$E675)-MAX(0,(('Business Case'!F11*$C675*'Business Case'!F12*$B675)-'Business Case'!F11*$C675*'Business Case'!F13*$D675-'Business Case'!F14*$E675))*'Business Case'!$B$7-'Business Case'!$B$8*(('Business Case'!F11*$C675*'Business Case'!F12*$B675)-('Business Case'!E11*$C675*'Business Case'!E12*$B675))-'Business Case'!F15*$F675</f>
        <v>678846506.086128</v>
      </c>
      <c r="M675" s="39" t="n">
        <f aca="false">(('Business Case'!G11*$C675*'Business Case'!G12*$B675)-'Business Case'!G11*$C675*'Business Case'!G13*$D675-'Business Case'!G14*$E675)-MAX(0,(('Business Case'!G11*$C675*'Business Case'!G12*$B675)-'Business Case'!G11*$C675*'Business Case'!G13*$D675-'Business Case'!G14*$E675))*'Business Case'!$B$7-'Business Case'!$B$8*(('Business Case'!G11*$C675*'Business Case'!G12*$B675)-('Business Case'!F11*$C675*'Business Case'!F12*$B675))-'Business Case'!G15*$F675+'Business Case'!$B$8*('Business Case'!G11*$C675*'Business Case'!G12*$B675)</f>
        <v>859678818.08504</v>
      </c>
      <c r="N675" s="39" t="n">
        <f aca="false">IF(COUNT('Business Case'!B11:G11)=0,"",H675+NPV(G675,I675:M675))</f>
        <v>-672911170.31693</v>
      </c>
      <c r="P675" s="40" t="n">
        <f aca="true">RAND()</f>
        <v>0.636233775639011</v>
      </c>
      <c r="Q675" s="40" t="n">
        <f aca="true">RAND()</f>
        <v>0.334891478750908</v>
      </c>
      <c r="R675" s="40" t="n">
        <f aca="true">RAND()</f>
        <v>0.890607915330019</v>
      </c>
      <c r="S675" s="40" t="n">
        <f aca="true">RAND()</f>
        <v>0.637740182397329</v>
      </c>
      <c r="T675" s="40" t="n">
        <f aca="true">RAND()</f>
        <v>0.762111797015066</v>
      </c>
      <c r="U675" s="40" t="n">
        <f aca="true">RAND()</f>
        <v>0.901933568220797</v>
      </c>
    </row>
    <row r="676" customFormat="false" ht="15" hidden="false" customHeight="false" outlineLevel="0" collapsed="false">
      <c r="A676" s="36" t="n">
        <v>596</v>
      </c>
      <c r="B676" s="37" t="n">
        <f aca="false">1+IF($G$6=$E$6,$F$6,IF(P676&lt;($F$6-$E$6)/($G$6-$E$6),$E$6+SQRT(P676*($G$6-$E$6)*($F$6-$E$6)),$G$6-SQRT((1-P676)*($G$6-$E$6)*($G$6-$F$6))))</f>
        <v>0.94631034432882</v>
      </c>
      <c r="C676" s="37" t="n">
        <f aca="false">1+IF($G$7=$E$7,$F$7,IF(Q676&lt;($F$7-$E$7)/($G$7-$E$7),$E$7+SQRT(Q676*($G$7-$E$7)*($F$7-$E$7)),$G$7-SQRT((1-Q676)*($G$7-$E$7)*($G$7-$F$7))))</f>
        <v>1.06596463965678</v>
      </c>
      <c r="D676" s="37" t="n">
        <f aca="false">1+IF($G$8=$E$8,$F$8,IF(R676&lt;($F$8-$E$8)/($G$8-$E$8),$E$8+SQRT(R676*($G$8-$E$8)*($F$8-$E$8)),$G$8-SQRT((1-R676)*($G$8-$E$8)*($G$8-$F$8))))</f>
        <v>1.01873822303392</v>
      </c>
      <c r="E676" s="37" t="n">
        <f aca="false">1+IF($G$9=$E$9,$F$9,IF(S676&lt;($F$9-$E$9)/($G$9-$E$9),$E$9+SQRT(S676*($G$9-$E$9)*($F$9-$E$9)),$G$9-SQRT((1-S676)*($G$9-$E$9)*($G$9-$F$9))))</f>
        <v>1.05462059360854</v>
      </c>
      <c r="F676" s="37" t="n">
        <f aca="false">1+IF($G$10=$E$10,$F$10,IF(T676&lt;($F$10-$E$10)/($G$10-$E$10),$E$10+SQRT(T676*($G$10-$E$10)*($F$10-$E$10)),$G$10-SQRT((1-T676)*($G$10-$E$10)*($G$10-$F$10))))</f>
        <v>1.05916328129866</v>
      </c>
      <c r="G676" s="38" t="n">
        <f aca="false">IF($G$11=$E$11,$F$11,IF(U676&lt;($F$11-$E$11)/($G$11-$E$11),$E$11+SQRT(U676*($G$11-$E$11)*($F$11-$E$11)),$G$11-SQRT((1-U676)*($G$11-$E$11)*($G$11-$F$11))))</f>
        <v>0.0948639218737611</v>
      </c>
      <c r="H676" s="39" t="n">
        <f aca="false">(('Business Case'!B11*$C676*'Business Case'!B12*$B676)-'Business Case'!B11*$C676*'Business Case'!B13*$D676-'Business Case'!B14*$E676)-MAX(0,(('Business Case'!B11*$C676*'Business Case'!B12*$B676)-'Business Case'!B11*$C676*'Business Case'!B13*$D676-'Business Case'!B14*$E676))*'Business Case'!$B$7-'Business Case'!$B$8*('Business Case'!B11*$C676*'Business Case'!B12*$B676)-'Business Case'!B15*$F676</f>
        <v>-2118326562.59733</v>
      </c>
      <c r="I676" s="39" t="n">
        <f aca="false">(('Business Case'!C11*$C676*'Business Case'!C12*$B676)-'Business Case'!C11*$C676*'Business Case'!C13*$D676-'Business Case'!C14*$E676)-MAX(0,(('Business Case'!C11*$C676*'Business Case'!C12*$B676)-'Business Case'!C11*$C676*'Business Case'!C13*$D676-'Business Case'!C14*$E676))*'Business Case'!$B$7-'Business Case'!$B$8*(('Business Case'!C11*$C676*'Business Case'!C12*$B676)-('Business Case'!B11*$C676*'Business Case'!B12*$B676))-'Business Case'!C15*$F676</f>
        <v>-37864712.6654758</v>
      </c>
      <c r="J676" s="39" t="n">
        <f aca="false">(('Business Case'!D11*$C676*'Business Case'!D12*$B676)-'Business Case'!D11*$C676*'Business Case'!D13*$D676-'Business Case'!D14*$E676)-MAX(0,(('Business Case'!D11*$C676*'Business Case'!D12*$B676)-'Business Case'!D11*$C676*'Business Case'!D13*$D676-'Business Case'!D14*$E676))*'Business Case'!$B$7-'Business Case'!$B$8*(('Business Case'!D11*$C676*'Business Case'!D12*$B676)-('Business Case'!C11*$C676*'Business Case'!C12*$B676))-'Business Case'!D15*$F676</f>
        <v>232446688.861808</v>
      </c>
      <c r="K676" s="39" t="n">
        <f aca="false">(('Business Case'!E11*$C676*'Business Case'!E12*$B676)-'Business Case'!E11*$C676*'Business Case'!E13*$D676-'Business Case'!E14*$E676)-MAX(0,(('Business Case'!E11*$C676*'Business Case'!E12*$B676)-'Business Case'!E11*$C676*'Business Case'!E13*$D676-'Business Case'!E14*$E676))*'Business Case'!$B$7-'Business Case'!$B$8*(('Business Case'!E11*$C676*'Business Case'!E12*$B676)-('Business Case'!D11*$C676*'Business Case'!D12*$B676))-'Business Case'!E15*$F676</f>
        <v>555716254.454026</v>
      </c>
      <c r="L676" s="39" t="n">
        <f aca="false">(('Business Case'!F11*$C676*'Business Case'!F12*$B676)-'Business Case'!F11*$C676*'Business Case'!F13*$D676-'Business Case'!F14*$E676)-MAX(0,(('Business Case'!F11*$C676*'Business Case'!F12*$B676)-'Business Case'!F11*$C676*'Business Case'!F13*$D676-'Business Case'!F14*$E676))*'Business Case'!$B$7-'Business Case'!$B$8*(('Business Case'!F11*$C676*'Business Case'!F12*$B676)-('Business Case'!E11*$C676*'Business Case'!E12*$B676))-'Business Case'!F15*$F676</f>
        <v>680681880.064293</v>
      </c>
      <c r="M676" s="39" t="n">
        <f aca="false">(('Business Case'!G11*$C676*'Business Case'!G12*$B676)-'Business Case'!G11*$C676*'Business Case'!G13*$D676-'Business Case'!G14*$E676)-MAX(0,(('Business Case'!G11*$C676*'Business Case'!G12*$B676)-'Business Case'!G11*$C676*'Business Case'!G13*$D676-'Business Case'!G14*$E676))*'Business Case'!$B$7-'Business Case'!$B$8*(('Business Case'!G11*$C676*'Business Case'!G12*$B676)-('Business Case'!F11*$C676*'Business Case'!F12*$B676))-'Business Case'!G15*$F676+'Business Case'!$B$8*('Business Case'!G11*$C676*'Business Case'!G12*$B676)</f>
        <v>872421918.12074</v>
      </c>
      <c r="N676" s="39" t="n">
        <f aca="false">IF(COUNT('Business Case'!B11:G11)=0,"",H676+NPV(G676,I676:M676))</f>
        <v>-507346700.07903</v>
      </c>
      <c r="P676" s="40" t="n">
        <f aca="true">RAND()</f>
        <v>0.0721077311146963</v>
      </c>
      <c r="Q676" s="40" t="n">
        <f aca="true">RAND()</f>
        <v>0.865486823085437</v>
      </c>
      <c r="R676" s="40" t="n">
        <f aca="true">RAND()</f>
        <v>0.639134104130627</v>
      </c>
      <c r="S676" s="40" t="n">
        <f aca="true">RAND()</f>
        <v>0.86271396503727</v>
      </c>
      <c r="T676" s="40" t="n">
        <f aca="true">RAND()</f>
        <v>0.603300373308816</v>
      </c>
      <c r="U676" s="40" t="n">
        <f aca="true">RAND()</f>
        <v>0.0788591199801736</v>
      </c>
    </row>
    <row r="677" customFormat="false" ht="15" hidden="false" customHeight="false" outlineLevel="0" collapsed="false">
      <c r="A677" s="36" t="n">
        <v>597</v>
      </c>
      <c r="B677" s="37" t="n">
        <f aca="false">1+IF($G$6=$E$6,$F$6,IF(P677&lt;($F$6-$E$6)/($G$6-$E$6),$E$6+SQRT(P677*($G$6-$E$6)*($F$6-$E$6)),$G$6-SQRT((1-P677)*($G$6-$E$6)*($G$6-$F$6))))</f>
        <v>0.984457192657538</v>
      </c>
      <c r="C677" s="37" t="n">
        <f aca="false">1+IF($G$7=$E$7,$F$7,IF(Q677&lt;($F$7-$E$7)/($G$7-$E$7),$E$7+SQRT(Q677*($G$7-$E$7)*($F$7-$E$7)),$G$7-SQRT((1-Q677)*($G$7-$E$7)*($G$7-$F$7))))</f>
        <v>0.890756751084466</v>
      </c>
      <c r="D677" s="37" t="n">
        <f aca="false">1+IF($G$8=$E$8,$F$8,IF(R677&lt;($F$8-$E$8)/($G$8-$E$8),$E$8+SQRT(R677*($G$8-$E$8)*($F$8-$E$8)),$G$8-SQRT((1-R677)*($G$8-$E$8)*($G$8-$F$8))))</f>
        <v>1.00374511146903</v>
      </c>
      <c r="E677" s="37" t="n">
        <f aca="false">1+IF($G$9=$E$9,$F$9,IF(S677&lt;($F$9-$E$9)/($G$9-$E$9),$E$9+SQRT(S677*($G$9-$E$9)*($F$9-$E$9)),$G$9-SQRT((1-S677)*($G$9-$E$9)*($G$9-$F$9))))</f>
        <v>0.981021998674134</v>
      </c>
      <c r="F677" s="37" t="n">
        <f aca="false">1+IF($G$10=$E$10,$F$10,IF(T677&lt;($F$10-$E$10)/($G$10-$E$10),$E$10+SQRT(T677*($G$10-$E$10)*($F$10-$E$10)),$G$10-SQRT((1-T677)*($G$10-$E$10)*($G$10-$F$10))))</f>
        <v>1.08424017382313</v>
      </c>
      <c r="G677" s="38" t="n">
        <f aca="false">IF($G$11=$E$11,$F$11,IF(U677&lt;($F$11-$E$11)/($G$11-$E$11),$E$11+SQRT(U677*($G$11-$E$11)*($F$11-$E$11)),$G$11-SQRT((1-U677)*($G$11-$E$11)*($G$11-$F$11))))</f>
        <v>0.109381132647568</v>
      </c>
      <c r="H677" s="39" t="n">
        <f aca="false">(('Business Case'!B11*$C677*'Business Case'!B12*$B677)-'Business Case'!B11*$C677*'Business Case'!B13*$D677-'Business Case'!B14*$E677)-MAX(0,(('Business Case'!B11*$C677*'Business Case'!B12*$B677)-'Business Case'!B11*$C677*'Business Case'!B13*$D677-'Business Case'!B14*$E677))*'Business Case'!$B$7-'Business Case'!$B$8*('Business Case'!B11*$C677*'Business Case'!B12*$B677)-'Business Case'!B15*$F677</f>
        <v>-2168480347.64625</v>
      </c>
      <c r="I677" s="39" t="n">
        <f aca="false">(('Business Case'!C11*$C677*'Business Case'!C12*$B677)-'Business Case'!C11*$C677*'Business Case'!C13*$D677-'Business Case'!C14*$E677)-MAX(0,(('Business Case'!C11*$C677*'Business Case'!C12*$B677)-'Business Case'!C11*$C677*'Business Case'!C13*$D677-'Business Case'!C14*$E677))*'Business Case'!$B$7-'Business Case'!$B$8*(('Business Case'!C11*$C677*'Business Case'!C12*$B677)-('Business Case'!B11*$C677*'Business Case'!B12*$B677))-'Business Case'!C15*$F677</f>
        <v>-32834434.6101148</v>
      </c>
      <c r="J677" s="39" t="n">
        <f aca="false">(('Business Case'!D11*$C677*'Business Case'!D12*$B677)-'Business Case'!D11*$C677*'Business Case'!D13*$D677-'Business Case'!D14*$E677)-MAX(0,(('Business Case'!D11*$C677*'Business Case'!D12*$B677)-'Business Case'!D11*$C677*'Business Case'!D13*$D677-'Business Case'!D14*$E677))*'Business Case'!$B$7-'Business Case'!$B$8*(('Business Case'!D11*$C677*'Business Case'!D12*$B677)-('Business Case'!C11*$C677*'Business Case'!C12*$B677))-'Business Case'!D15*$F677</f>
        <v>227715588.777758</v>
      </c>
      <c r="K677" s="39" t="n">
        <f aca="false">(('Business Case'!E11*$C677*'Business Case'!E12*$B677)-'Business Case'!E11*$C677*'Business Case'!E13*$D677-'Business Case'!E14*$E677)-MAX(0,(('Business Case'!E11*$C677*'Business Case'!E12*$B677)-'Business Case'!E11*$C677*'Business Case'!E13*$D677-'Business Case'!E14*$E677))*'Business Case'!$B$7-'Business Case'!$B$8*(('Business Case'!E11*$C677*'Business Case'!E12*$B677)-('Business Case'!D11*$C677*'Business Case'!D12*$B677))-'Business Case'!E15*$F677</f>
        <v>542477620.856787</v>
      </c>
      <c r="L677" s="39" t="n">
        <f aca="false">(('Business Case'!F11*$C677*'Business Case'!F12*$B677)-'Business Case'!F11*$C677*'Business Case'!F13*$D677-'Business Case'!F14*$E677)-MAX(0,(('Business Case'!F11*$C677*'Business Case'!F12*$B677)-'Business Case'!F11*$C677*'Business Case'!F13*$D677-'Business Case'!F14*$E677))*'Business Case'!$B$7-'Business Case'!$B$8*(('Business Case'!F11*$C677*'Business Case'!F12*$B677)-('Business Case'!E11*$C677*'Business Case'!E12*$B677))-'Business Case'!F15*$F677</f>
        <v>659633703.588886</v>
      </c>
      <c r="M677" s="39" t="n">
        <f aca="false">(('Business Case'!G11*$C677*'Business Case'!G12*$B677)-'Business Case'!G11*$C677*'Business Case'!G13*$D677-'Business Case'!G14*$E677)-MAX(0,(('Business Case'!G11*$C677*'Business Case'!G12*$B677)-'Business Case'!G11*$C677*'Business Case'!G13*$D677-'Business Case'!G14*$E677))*'Business Case'!$B$7-'Business Case'!$B$8*(('Business Case'!G11*$C677*'Business Case'!G12*$B677)-('Business Case'!F11*$C677*'Business Case'!F12*$B677))-'Business Case'!G15*$F677+'Business Case'!$B$8*('Business Case'!G11*$C677*'Business Case'!G12*$B677)</f>
        <v>826317115.737666</v>
      </c>
      <c r="N677" s="39" t="n">
        <f aca="false">IF(COUNT('Business Case'!B11:G11)=0,"",H677+NPV(G677,I677:M677))</f>
        <v>-688493071.47913</v>
      </c>
      <c r="P677" s="40" t="n">
        <f aca="true">RAND()</f>
        <v>0.432784342217811</v>
      </c>
      <c r="Q677" s="40" t="n">
        <f aca="true">RAND()</f>
        <v>0.117668398105825</v>
      </c>
      <c r="R677" s="40" t="n">
        <f aca="true">RAND()</f>
        <v>0.440883843762388</v>
      </c>
      <c r="S677" s="40" t="n">
        <f aca="true">RAND()</f>
        <v>0.128315253565065</v>
      </c>
      <c r="T677" s="40" t="n">
        <f aca="true">RAND()</f>
        <v>0.731993252870004</v>
      </c>
      <c r="U677" s="40" t="n">
        <f aca="true">RAND()</f>
        <v>0.812066093585748</v>
      </c>
    </row>
    <row r="678" customFormat="false" ht="15" hidden="false" customHeight="false" outlineLevel="0" collapsed="false">
      <c r="A678" s="36" t="n">
        <v>598</v>
      </c>
      <c r="B678" s="37" t="n">
        <f aca="false">1+IF($G$6=$E$6,$F$6,IF(P678&lt;($F$6-$E$6)/($G$6-$E$6),$E$6+SQRT(P678*($G$6-$E$6)*($F$6-$E$6)),$G$6-SQRT((1-P678)*($G$6-$E$6)*($G$6-$F$6))))</f>
        <v>1.01052556477693</v>
      </c>
      <c r="C678" s="37" t="n">
        <f aca="false">1+IF($G$7=$E$7,$F$7,IF(Q678&lt;($F$7-$E$7)/($G$7-$E$7),$E$7+SQRT(Q678*($G$7-$E$7)*($F$7-$E$7)),$G$7-SQRT((1-Q678)*($G$7-$E$7)*($G$7-$F$7))))</f>
        <v>1.06330842413066</v>
      </c>
      <c r="D678" s="37" t="n">
        <f aca="false">1+IF($G$8=$E$8,$F$8,IF(R678&lt;($F$8-$E$8)/($G$8-$E$8),$E$8+SQRT(R678*($G$8-$E$8)*($F$8-$E$8)),$G$8-SQRT((1-R678)*($G$8-$E$8)*($G$8-$F$8))))</f>
        <v>0.998756748422396</v>
      </c>
      <c r="E678" s="37" t="n">
        <f aca="false">1+IF($G$9=$E$9,$F$9,IF(S678&lt;($F$9-$E$9)/($G$9-$E$9),$E$9+SQRT(S678*($G$9-$E$9)*($F$9-$E$9)),$G$9-SQRT((1-S678)*($G$9-$E$9)*($G$9-$F$9))))</f>
        <v>1.02019807215443</v>
      </c>
      <c r="F678" s="37" t="n">
        <f aca="false">1+IF($G$10=$E$10,$F$10,IF(T678&lt;($F$10-$E$10)/($G$10-$E$10),$E$10+SQRT(T678*($G$10-$E$10)*($F$10-$E$10)),$G$10-SQRT((1-T678)*($G$10-$E$10)*($G$10-$F$10))))</f>
        <v>1.02583184330549</v>
      </c>
      <c r="G678" s="38" t="n">
        <f aca="false">IF($G$11=$E$11,$F$11,IF(U678&lt;($F$11-$E$11)/($G$11-$E$11),$E$11+SQRT(U678*($G$11-$E$11)*($F$11-$E$11)),$G$11-SQRT((1-U678)*($G$11-$E$11)*($G$11-$F$11))))</f>
        <v>0.107028947535889</v>
      </c>
      <c r="H678" s="39" t="n">
        <f aca="false">(('Business Case'!B11*$C678*'Business Case'!B12*$B678)-'Business Case'!B11*$C678*'Business Case'!B13*$D678-'Business Case'!B14*$E678)-MAX(0,(('Business Case'!B11*$C678*'Business Case'!B12*$B678)-'Business Case'!B11*$C678*'Business Case'!B13*$D678-'Business Case'!B14*$E678))*'Business Case'!$B$7-'Business Case'!$B$8*('Business Case'!B11*$C678*'Business Case'!B12*$B678)-'Business Case'!B15*$F678</f>
        <v>-2051663686.61099</v>
      </c>
      <c r="I678" s="39" t="n">
        <f aca="false">(('Business Case'!C11*$C678*'Business Case'!C12*$B678)-'Business Case'!C11*$C678*'Business Case'!C13*$D678-'Business Case'!C14*$E678)-MAX(0,(('Business Case'!C11*$C678*'Business Case'!C12*$B678)-'Business Case'!C11*$C678*'Business Case'!C13*$D678-'Business Case'!C14*$E678))*'Business Case'!$B$7-'Business Case'!$B$8*(('Business Case'!C11*$C678*'Business Case'!C12*$B678)-('Business Case'!B11*$C678*'Business Case'!B12*$B678))-'Business Case'!C15*$F678</f>
        <v>33083588.3570437</v>
      </c>
      <c r="J678" s="39" t="n">
        <f aca="false">(('Business Case'!D11*$C678*'Business Case'!D12*$B678)-'Business Case'!D11*$C678*'Business Case'!D13*$D678-'Business Case'!D14*$E678)-MAX(0,(('Business Case'!D11*$C678*'Business Case'!D12*$B678)-'Business Case'!D11*$C678*'Business Case'!D13*$D678-'Business Case'!D14*$E678))*'Business Case'!$B$7-'Business Case'!$B$8*(('Business Case'!D11*$C678*'Business Case'!D12*$B678)-('Business Case'!C11*$C678*'Business Case'!C12*$B678))-'Business Case'!D15*$F678</f>
        <v>369524624.832653</v>
      </c>
      <c r="K678" s="39" t="n">
        <f aca="false">(('Business Case'!E11*$C678*'Business Case'!E12*$B678)-'Business Case'!E11*$C678*'Business Case'!E13*$D678-'Business Case'!E14*$E678)-MAX(0,(('Business Case'!E11*$C678*'Business Case'!E12*$B678)-'Business Case'!E11*$C678*'Business Case'!E13*$D678-'Business Case'!E14*$E678))*'Business Case'!$B$7-'Business Case'!$B$8*(('Business Case'!E11*$C678*'Business Case'!E12*$B678)-('Business Case'!D11*$C678*'Business Case'!D12*$B678))-'Business Case'!E15*$F678</f>
        <v>757257253.473537</v>
      </c>
      <c r="L678" s="39" t="n">
        <f aca="false">(('Business Case'!F11*$C678*'Business Case'!F12*$B678)-'Business Case'!F11*$C678*'Business Case'!F13*$D678-'Business Case'!F14*$E678)-MAX(0,(('Business Case'!F11*$C678*'Business Case'!F12*$B678)-'Business Case'!F11*$C678*'Business Case'!F13*$D678-'Business Case'!F14*$E678))*'Business Case'!$B$7-'Business Case'!$B$8*(('Business Case'!F11*$C678*'Business Case'!F12*$B678)-('Business Case'!E11*$C678*'Business Case'!E12*$B678))-'Business Case'!F15*$F678</f>
        <v>906538997.583845</v>
      </c>
      <c r="M678" s="39" t="n">
        <f aca="false">(('Business Case'!G11*$C678*'Business Case'!G12*$B678)-'Business Case'!G11*$C678*'Business Case'!G13*$D678-'Business Case'!G14*$E678)-MAX(0,(('Business Case'!G11*$C678*'Business Case'!G12*$B678)-'Business Case'!G11*$C678*'Business Case'!G13*$D678-'Business Case'!G14*$E678))*'Business Case'!$B$7-'Business Case'!$B$8*(('Business Case'!G11*$C678*'Business Case'!G12*$B678)-('Business Case'!F11*$C678*'Business Case'!F12*$B678))-'Business Case'!G15*$F678+'Business Case'!$B$8*('Business Case'!G11*$C678*'Business Case'!G12*$B678)</f>
        <v>1110780023.31858</v>
      </c>
      <c r="N678" s="39" t="n">
        <f aca="false">IF(COUNT('Business Case'!B11:G11)=0,"",H678+NPV(G678,I678:M678))</f>
        <v>109606937.188272</v>
      </c>
      <c r="P678" s="40" t="n">
        <f aca="true">RAND()</f>
        <v>0.81901201422521</v>
      </c>
      <c r="Q678" s="40" t="n">
        <f aca="true">RAND()</f>
        <v>0.856848965205522</v>
      </c>
      <c r="R678" s="40" t="n">
        <f aca="true">RAND()</f>
        <v>0.365726233342273</v>
      </c>
      <c r="S678" s="40" t="n">
        <f aca="true">RAND()</f>
        <v>0.575443487475386</v>
      </c>
      <c r="T678" s="40" t="n">
        <f aca="true">RAND()</f>
        <v>0.393309063872764</v>
      </c>
      <c r="U678" s="40" t="n">
        <f aca="true">RAND()</f>
        <v>0.719586329955485</v>
      </c>
    </row>
    <row r="679" customFormat="false" ht="15" hidden="false" customHeight="false" outlineLevel="0" collapsed="false">
      <c r="A679" s="36" t="n">
        <v>599</v>
      </c>
      <c r="B679" s="37" t="n">
        <f aca="false">1+IF($G$6=$E$6,$F$6,IF(P679&lt;($F$6-$E$6)/($G$6-$E$6),$E$6+SQRT(P679*($G$6-$E$6)*($F$6-$E$6)),$G$6-SQRT((1-P679)*($G$6-$E$6)*($G$6-$F$6))))</f>
        <v>0.984335935486754</v>
      </c>
      <c r="C679" s="37" t="n">
        <f aca="false">1+IF($G$7=$E$7,$F$7,IF(Q679&lt;($F$7-$E$7)/($G$7-$E$7),$E$7+SQRT(Q679*($G$7-$E$7)*($F$7-$E$7)),$G$7-SQRT((1-Q679)*($G$7-$E$7)*($G$7-$F$7))))</f>
        <v>1.06274409894027</v>
      </c>
      <c r="D679" s="37" t="n">
        <f aca="false">1+IF($G$8=$E$8,$F$8,IF(R679&lt;($F$8-$E$8)/($G$8-$E$8),$E$8+SQRT(R679*($G$8-$E$8)*($F$8-$E$8)),$G$8-SQRT((1-R679)*($G$8-$E$8)*($G$8-$F$8))))</f>
        <v>1.01210404623411</v>
      </c>
      <c r="E679" s="37" t="n">
        <f aca="false">1+IF($G$9=$E$9,$F$9,IF(S679&lt;($F$9-$E$9)/($G$9-$E$9),$E$9+SQRT(S679*($G$9-$E$9)*($F$9-$E$9)),$G$9-SQRT((1-S679)*($G$9-$E$9)*($G$9-$F$9))))</f>
        <v>1.03811806050462</v>
      </c>
      <c r="F679" s="37" t="n">
        <f aca="false">1+IF($G$10=$E$10,$F$10,IF(T679&lt;($F$10-$E$10)/($G$10-$E$10),$E$10+SQRT(T679*($G$10-$E$10)*($F$10-$E$10)),$G$10-SQRT((1-T679)*($G$10-$E$10)*($G$10-$F$10))))</f>
        <v>1.05496149325921</v>
      </c>
      <c r="G679" s="38" t="n">
        <f aca="false">IF($G$11=$E$11,$F$11,IF(U679&lt;($F$11-$E$11)/($G$11-$E$11),$E$11+SQRT(U679*($G$11-$E$11)*($F$11-$E$11)),$G$11-SQRT((1-U679)*($G$11-$E$11)*($G$11-$F$11))))</f>
        <v>0.104439804727699</v>
      </c>
      <c r="H679" s="39" t="n">
        <f aca="false">(('Business Case'!B11*$C679*'Business Case'!B12*$B679)-'Business Case'!B11*$C679*'Business Case'!B13*$D679-'Business Case'!B14*$E679)-MAX(0,(('Business Case'!B11*$C679*'Business Case'!B12*$B679)-'Business Case'!B11*$C679*'Business Case'!B13*$D679-'Business Case'!B14*$E679))*'Business Case'!$B$7-'Business Case'!$B$8*('Business Case'!B11*$C679*'Business Case'!B12*$B679)-'Business Case'!B15*$F679</f>
        <v>-2109922986.51842</v>
      </c>
      <c r="I679" s="39" t="n">
        <f aca="false">(('Business Case'!C11*$C679*'Business Case'!C12*$B679)-'Business Case'!C11*$C679*'Business Case'!C13*$D679-'Business Case'!C14*$E679)-MAX(0,(('Business Case'!C11*$C679*'Business Case'!C12*$B679)-'Business Case'!C11*$C679*'Business Case'!C13*$D679-'Business Case'!C14*$E679))*'Business Case'!$B$7-'Business Case'!$B$8*(('Business Case'!C11*$C679*'Business Case'!C12*$B679)-('Business Case'!B11*$C679*'Business Case'!B12*$B679))-'Business Case'!C15*$F679</f>
        <v>-1142329.29983148</v>
      </c>
      <c r="J679" s="39" t="n">
        <f aca="false">(('Business Case'!D11*$C679*'Business Case'!D12*$B679)-'Business Case'!D11*$C679*'Business Case'!D13*$D679-'Business Case'!D14*$E679)-MAX(0,(('Business Case'!D11*$C679*'Business Case'!D12*$B679)-'Business Case'!D11*$C679*'Business Case'!D13*$D679-'Business Case'!D14*$E679))*'Business Case'!$B$7-'Business Case'!$B$8*(('Business Case'!D11*$C679*'Business Case'!D12*$B679)-('Business Case'!C11*$C679*'Business Case'!C12*$B679))-'Business Case'!D15*$F679</f>
        <v>305061558.131222</v>
      </c>
      <c r="K679" s="39" t="n">
        <f aca="false">(('Business Case'!E11*$C679*'Business Case'!E12*$B679)-'Business Case'!E11*$C679*'Business Case'!E13*$D679-'Business Case'!E14*$E679)-MAX(0,(('Business Case'!E11*$C679*'Business Case'!E12*$B679)-'Business Case'!E11*$C679*'Business Case'!E13*$D679-'Business Case'!E14*$E679))*'Business Case'!$B$7-'Business Case'!$B$8*(('Business Case'!E11*$C679*'Business Case'!E12*$B679)-('Business Case'!D11*$C679*'Business Case'!D12*$B679))-'Business Case'!E15*$F679</f>
        <v>664013520.225235</v>
      </c>
      <c r="L679" s="39" t="n">
        <f aca="false">(('Business Case'!F11*$C679*'Business Case'!F12*$B679)-'Business Case'!F11*$C679*'Business Case'!F13*$D679-'Business Case'!F14*$E679)-MAX(0,(('Business Case'!F11*$C679*'Business Case'!F12*$B679)-'Business Case'!F11*$C679*'Business Case'!F13*$D679-'Business Case'!F14*$E679))*'Business Case'!$B$7-'Business Case'!$B$8*(('Business Case'!F11*$C679*'Business Case'!F12*$B679)-('Business Case'!E11*$C679*'Business Case'!E12*$B679))-'Business Case'!F15*$F679</f>
        <v>802234602.169723</v>
      </c>
      <c r="M679" s="39" t="n">
        <f aca="false">(('Business Case'!G11*$C679*'Business Case'!G12*$B679)-'Business Case'!G11*$C679*'Business Case'!G13*$D679-'Business Case'!G14*$E679)-MAX(0,(('Business Case'!G11*$C679*'Business Case'!G12*$B679)-'Business Case'!G11*$C679*'Business Case'!G13*$D679-'Business Case'!G14*$E679))*'Business Case'!$B$7-'Business Case'!$B$8*(('Business Case'!G11*$C679*'Business Case'!G12*$B679)-('Business Case'!F11*$C679*'Business Case'!F12*$B679))-'Business Case'!G15*$F679+'Business Case'!$B$8*('Business Case'!G11*$C679*'Business Case'!G12*$B679)</f>
        <v>1001076759.24081</v>
      </c>
      <c r="N679" s="39" t="n">
        <f aca="false">IF(COUNT('Business Case'!B11:G11)=0,"",H679+NPV(G679,I679:M679))</f>
        <v>-219596973.547571</v>
      </c>
      <c r="P679" s="40" t="n">
        <f aca="true">RAND()</f>
        <v>0.43115756197456</v>
      </c>
      <c r="Q679" s="40" t="n">
        <f aca="true">RAND()</f>
        <v>0.854979194861993</v>
      </c>
      <c r="R679" s="40" t="n">
        <f aca="true">RAND()</f>
        <v>0.556744179059645</v>
      </c>
      <c r="S679" s="40" t="n">
        <f aca="true">RAND()</f>
        <v>0.744708370952685</v>
      </c>
      <c r="T679" s="40" t="n">
        <f aca="true">RAND()</f>
        <v>0.579276631248035</v>
      </c>
      <c r="U679" s="40" t="n">
        <f aca="true">RAND()</f>
        <v>0.596467205146414</v>
      </c>
    </row>
    <row r="680" customFormat="false" ht="15" hidden="false" customHeight="false" outlineLevel="0" collapsed="false">
      <c r="A680" s="36" t="n">
        <v>600</v>
      </c>
      <c r="B680" s="37" t="n">
        <f aca="false">1+IF($G$6=$E$6,$F$6,IF(P680&lt;($F$6-$E$6)/($G$6-$E$6),$E$6+SQRT(P680*($G$6-$E$6)*($F$6-$E$6)),$G$6-SQRT((1-P680)*($G$6-$E$6)*($G$6-$F$6))))</f>
        <v>1.0020391794081</v>
      </c>
      <c r="C680" s="37" t="n">
        <f aca="false">1+IF($G$7=$E$7,$F$7,IF(Q680&lt;($F$7-$E$7)/($G$7-$E$7),$E$7+SQRT(Q680*($G$7-$E$7)*($F$7-$E$7)),$G$7-SQRT((1-Q680)*($G$7-$E$7)*($G$7-$F$7))))</f>
        <v>1.03976068937446</v>
      </c>
      <c r="D680" s="37" t="n">
        <f aca="false">1+IF($G$8=$E$8,$F$8,IF(R680&lt;($F$8-$E$8)/($G$8-$E$8),$E$8+SQRT(R680*($G$8-$E$8)*($F$8-$E$8)),$G$8-SQRT((1-R680)*($G$8-$E$8)*($G$8-$F$8))))</f>
        <v>1.04464369795549</v>
      </c>
      <c r="E680" s="37" t="n">
        <f aca="false">1+IF($G$9=$E$9,$F$9,IF(S680&lt;($F$9-$E$9)/($G$9-$E$9),$E$9+SQRT(S680*($G$9-$E$9)*($F$9-$E$9)),$G$9-SQRT((1-S680)*($G$9-$E$9)*($G$9-$F$9))))</f>
        <v>0.971909586455122</v>
      </c>
      <c r="F680" s="37" t="n">
        <f aca="false">1+IF($G$10=$E$10,$F$10,IF(T680&lt;($F$10-$E$10)/($G$10-$E$10),$E$10+SQRT(T680*($G$10-$E$10)*($F$10-$E$10)),$G$10-SQRT((1-T680)*($G$10-$E$10)*($G$10-$F$10))))</f>
        <v>0.990968163719158</v>
      </c>
      <c r="G680" s="38" t="n">
        <f aca="false">IF($G$11=$E$11,$F$11,IF(U680&lt;($F$11-$E$11)/($G$11-$E$11),$E$11+SQRT(U680*($G$11-$E$11)*($F$11-$E$11)),$G$11-SQRT((1-U680)*($G$11-$E$11)*($G$11-$F$11))))</f>
        <v>0.099101592443543</v>
      </c>
      <c r="H680" s="39" t="n">
        <f aca="false">(('Business Case'!B11*$C680*'Business Case'!B12*$B680)-'Business Case'!B11*$C680*'Business Case'!B13*$D680-'Business Case'!B14*$E680)-MAX(0,(('Business Case'!B11*$C680*'Business Case'!B12*$B680)-'Business Case'!B11*$C680*'Business Case'!B13*$D680-'Business Case'!B14*$E680))*'Business Case'!$B$7-'Business Case'!$B$8*('Business Case'!B11*$C680*'Business Case'!B12*$B680)-'Business Case'!B15*$F680</f>
        <v>-1981936327.43832</v>
      </c>
      <c r="I680" s="39" t="n">
        <f aca="false">(('Business Case'!C11*$C680*'Business Case'!C12*$B680)-'Business Case'!C11*$C680*'Business Case'!C13*$D680-'Business Case'!C14*$E680)-MAX(0,(('Business Case'!C11*$C680*'Business Case'!C12*$B680)-'Business Case'!C11*$C680*'Business Case'!C13*$D680-'Business Case'!C14*$E680))*'Business Case'!$B$7-'Business Case'!$B$8*(('Business Case'!C11*$C680*'Business Case'!C12*$B680)-('Business Case'!B11*$C680*'Business Case'!B12*$B680))-'Business Case'!C15*$F680</f>
        <v>6025059.06986925</v>
      </c>
      <c r="J680" s="39" t="n">
        <f aca="false">(('Business Case'!D11*$C680*'Business Case'!D12*$B680)-'Business Case'!D11*$C680*'Business Case'!D13*$D680-'Business Case'!D14*$E680)-MAX(0,(('Business Case'!D11*$C680*'Business Case'!D12*$B680)-'Business Case'!D11*$C680*'Business Case'!D13*$D680-'Business Case'!D14*$E680))*'Business Case'!$B$7-'Business Case'!$B$8*(('Business Case'!D11*$C680*'Business Case'!D12*$B680)-('Business Case'!C11*$C680*'Business Case'!C12*$B680))-'Business Case'!D15*$F680</f>
        <v>303363586.047901</v>
      </c>
      <c r="K680" s="39" t="n">
        <f aca="false">(('Business Case'!E11*$C680*'Business Case'!E12*$B680)-'Business Case'!E11*$C680*'Business Case'!E13*$D680-'Business Case'!E14*$E680)-MAX(0,(('Business Case'!E11*$C680*'Business Case'!E12*$B680)-'Business Case'!E11*$C680*'Business Case'!E13*$D680-'Business Case'!E14*$E680))*'Business Case'!$B$7-'Business Case'!$B$8*(('Business Case'!E11*$C680*'Business Case'!E12*$B680)-('Business Case'!D11*$C680*'Business Case'!D12*$B680))-'Business Case'!E15*$F680</f>
        <v>650250521.211891</v>
      </c>
      <c r="L680" s="39" t="n">
        <f aca="false">(('Business Case'!F11*$C680*'Business Case'!F12*$B680)-'Business Case'!F11*$C680*'Business Case'!F13*$D680-'Business Case'!F14*$E680)-MAX(0,(('Business Case'!F11*$C680*'Business Case'!F12*$B680)-'Business Case'!F11*$C680*'Business Case'!F13*$D680-'Business Case'!F14*$E680))*'Business Case'!$B$7-'Business Case'!$B$8*(('Business Case'!F11*$C680*'Business Case'!F12*$B680)-('Business Case'!E11*$C680*'Business Case'!E12*$B680))-'Business Case'!F15*$F680</f>
        <v>785370769.099454</v>
      </c>
      <c r="M680" s="39" t="n">
        <f aca="false">(('Business Case'!G11*$C680*'Business Case'!G12*$B680)-'Business Case'!G11*$C680*'Business Case'!G13*$D680-'Business Case'!G14*$E680)-MAX(0,(('Business Case'!G11*$C680*'Business Case'!G12*$B680)-'Business Case'!G11*$C680*'Business Case'!G13*$D680-'Business Case'!G14*$E680))*'Business Case'!$B$7-'Business Case'!$B$8*(('Business Case'!G11*$C680*'Business Case'!G12*$B680)-('Business Case'!F11*$C680*'Business Case'!F12*$B680))-'Business Case'!G15*$F680+'Business Case'!$B$8*('Business Case'!G11*$C680*'Business Case'!G12*$B680)</f>
        <v>983411499.687993</v>
      </c>
      <c r="N680" s="39" t="n">
        <f aca="false">IF(COUNT('Business Case'!B11:G11)=0,"",H680+NPV(G680,I680:M680))</f>
        <v>-84293253.7738466</v>
      </c>
      <c r="P680" s="40" t="n">
        <f aca="true">RAND()</f>
        <v>0.699786687497857</v>
      </c>
      <c r="Q680" s="40" t="n">
        <f aca="true">RAND()</f>
        <v>0.76851989319631</v>
      </c>
      <c r="R680" s="40" t="n">
        <f aca="true">RAND()</f>
        <v>0.879801144782423</v>
      </c>
      <c r="S680" s="40" t="n">
        <f aca="true">RAND()</f>
        <v>0.0640039971512632</v>
      </c>
      <c r="T680" s="40" t="n">
        <f aca="true">RAND()</f>
        <v>0.134271235081578</v>
      </c>
      <c r="U680" s="40" t="n">
        <f aca="true">RAND()</f>
        <v>0.276129950027866</v>
      </c>
    </row>
    <row r="681" customFormat="false" ht="15" hidden="false" customHeight="false" outlineLevel="0" collapsed="false">
      <c r="A681" s="36" t="n">
        <v>601</v>
      </c>
      <c r="B681" s="37" t="n">
        <f aca="false">1+IF($G$6=$E$6,$F$6,IF(P681&lt;($F$6-$E$6)/($G$6-$E$6),$E$6+SQRT(P681*($G$6-$E$6)*($F$6-$E$6)),$G$6-SQRT((1-P681)*($G$6-$E$6)*($G$6-$F$6))))</f>
        <v>0.968838765868732</v>
      </c>
      <c r="C681" s="37" t="n">
        <f aca="false">1+IF($G$7=$E$7,$F$7,IF(Q681&lt;($F$7-$E$7)/($G$7-$E$7),$E$7+SQRT(Q681*($G$7-$E$7)*($F$7-$E$7)),$G$7-SQRT((1-Q681)*($G$7-$E$7)*($G$7-$F$7))))</f>
        <v>1.07607906888213</v>
      </c>
      <c r="D681" s="37" t="n">
        <f aca="false">1+IF($G$8=$E$8,$F$8,IF(R681&lt;($F$8-$E$8)/($G$8-$E$8),$E$8+SQRT(R681*($G$8-$E$8)*($F$8-$E$8)),$G$8-SQRT((1-R681)*($G$8-$E$8)*($G$8-$F$8))))</f>
        <v>0.998462769888465</v>
      </c>
      <c r="E681" s="37" t="n">
        <f aca="false">1+IF($G$9=$E$9,$F$9,IF(S681&lt;($F$9-$E$9)/($G$9-$E$9),$E$9+SQRT(S681*($G$9-$E$9)*($F$9-$E$9)),$G$9-SQRT((1-S681)*($G$9-$E$9)*($G$9-$F$9))))</f>
        <v>0.985178307558288</v>
      </c>
      <c r="F681" s="37" t="n">
        <f aca="false">1+IF($G$10=$E$10,$F$10,IF(T681&lt;($F$10-$E$10)/($G$10-$E$10),$E$10+SQRT(T681*($G$10-$E$10)*($F$10-$E$10)),$G$10-SQRT((1-T681)*($G$10-$E$10)*($G$10-$F$10))))</f>
        <v>1.08187502821992</v>
      </c>
      <c r="G681" s="38" t="n">
        <f aca="false">IF($G$11=$E$11,$F$11,IF(U681&lt;($F$11-$E$11)/($G$11-$E$11),$E$11+SQRT(U681*($G$11-$E$11)*($F$11-$E$11)),$G$11-SQRT((1-U681)*($G$11-$E$11)*($G$11-$F$11))))</f>
        <v>0.0947287796477113</v>
      </c>
      <c r="H681" s="39" t="n">
        <f aca="false">(('Business Case'!B11*$C681*'Business Case'!B12*$B681)-'Business Case'!B11*$C681*'Business Case'!B13*$D681-'Business Case'!B14*$E681)-MAX(0,(('Business Case'!B11*$C681*'Business Case'!B12*$B681)-'Business Case'!B11*$C681*'Business Case'!B13*$D681-'Business Case'!B14*$E681))*'Business Case'!$B$7-'Business Case'!$B$8*('Business Case'!B11*$C681*'Business Case'!B12*$B681)-'Business Case'!B15*$F681</f>
        <v>-2163750056.43984</v>
      </c>
      <c r="I681" s="39" t="n">
        <f aca="false">(('Business Case'!C11*$C681*'Business Case'!C12*$B681)-'Business Case'!C11*$C681*'Business Case'!C13*$D681-'Business Case'!C14*$E681)-MAX(0,(('Business Case'!C11*$C681*'Business Case'!C12*$B681)-'Business Case'!C11*$C681*'Business Case'!C13*$D681-'Business Case'!C14*$E681))*'Business Case'!$B$7-'Business Case'!$B$8*(('Business Case'!C11*$C681*'Business Case'!C12*$B681)-('Business Case'!B11*$C681*'Business Case'!B12*$B681))-'Business Case'!C15*$F681</f>
        <v>1576063.03999512</v>
      </c>
      <c r="J681" s="39" t="n">
        <f aca="false">(('Business Case'!D11*$C681*'Business Case'!D12*$B681)-'Business Case'!D11*$C681*'Business Case'!D13*$D681-'Business Case'!D14*$E681)-MAX(0,(('Business Case'!D11*$C681*'Business Case'!D12*$B681)-'Business Case'!D11*$C681*'Business Case'!D13*$D681-'Business Case'!D14*$E681))*'Business Case'!$B$7-'Business Case'!$B$8*(('Business Case'!D11*$C681*'Business Case'!D12*$B681)-('Business Case'!C11*$C681*'Business Case'!C12*$B681))-'Business Case'!D15*$F681</f>
        <v>305477626.785832</v>
      </c>
      <c r="K681" s="39" t="n">
        <f aca="false">(('Business Case'!E11*$C681*'Business Case'!E12*$B681)-'Business Case'!E11*$C681*'Business Case'!E13*$D681-'Business Case'!E14*$E681)-MAX(0,(('Business Case'!E11*$C681*'Business Case'!E12*$B681)-'Business Case'!E11*$C681*'Business Case'!E13*$D681-'Business Case'!E14*$E681))*'Business Case'!$B$7-'Business Case'!$B$8*(('Business Case'!E11*$C681*'Business Case'!E12*$B681)-('Business Case'!D11*$C681*'Business Case'!D12*$B681))-'Business Case'!E15*$F681</f>
        <v>663472941.942663</v>
      </c>
      <c r="L681" s="39" t="n">
        <f aca="false">(('Business Case'!F11*$C681*'Business Case'!F12*$B681)-'Business Case'!F11*$C681*'Business Case'!F13*$D681-'Business Case'!F14*$E681)-MAX(0,(('Business Case'!F11*$C681*'Business Case'!F12*$B681)-'Business Case'!F11*$C681*'Business Case'!F13*$D681-'Business Case'!F14*$E681))*'Business Case'!$B$7-'Business Case'!$B$8*(('Business Case'!F11*$C681*'Business Case'!F12*$B681)-('Business Case'!E11*$C681*'Business Case'!E12*$B681))-'Business Case'!F15*$F681</f>
        <v>800803891.557316</v>
      </c>
      <c r="M681" s="39" t="n">
        <f aca="false">(('Business Case'!G11*$C681*'Business Case'!G12*$B681)-'Business Case'!G11*$C681*'Business Case'!G13*$D681-'Business Case'!G14*$E681)-MAX(0,(('Business Case'!G11*$C681*'Business Case'!G12*$B681)-'Business Case'!G11*$C681*'Business Case'!G13*$D681-'Business Case'!G14*$E681))*'Business Case'!$B$7-'Business Case'!$B$8*(('Business Case'!G11*$C681*'Business Case'!G12*$B681)-('Business Case'!F11*$C681*'Business Case'!F12*$B681))-'Business Case'!G15*$F681+'Business Case'!$B$8*('Business Case'!G11*$C681*'Business Case'!G12*$B681)</f>
        <v>998971247.57054</v>
      </c>
      <c r="N681" s="39" t="n">
        <f aca="false">IF(COUNT('Business Case'!B11:G11)=0,"",H681+NPV(G681,I681:M681))</f>
        <v>-208768558.648805</v>
      </c>
      <c r="P681" s="40" t="n">
        <f aca="true">RAND()</f>
        <v>0.248460942873005</v>
      </c>
      <c r="Q681" s="40" t="n">
        <f aca="true">RAND()</f>
        <v>0.895918017955555</v>
      </c>
      <c r="R681" s="40" t="n">
        <f aca="true">RAND()</f>
        <v>0.361329240809585</v>
      </c>
      <c r="S681" s="40" t="n">
        <f aca="true">RAND()</f>
        <v>0.165001776355402</v>
      </c>
      <c r="T681" s="40" t="n">
        <f aca="true">RAND()</f>
        <v>0.720929820839101</v>
      </c>
      <c r="U681" s="40" t="n">
        <f aca="true">RAND()</f>
        <v>0.0745378565220296</v>
      </c>
    </row>
    <row r="682" customFormat="false" ht="15" hidden="false" customHeight="false" outlineLevel="0" collapsed="false">
      <c r="A682" s="36" t="n">
        <v>602</v>
      </c>
      <c r="B682" s="37" t="n">
        <f aca="false">1+IF($G$6=$E$6,$F$6,IF(P682&lt;($F$6-$E$6)/($G$6-$E$6),$E$6+SQRT(P682*($G$6-$E$6)*($F$6-$E$6)),$G$6-SQRT((1-P682)*($G$6-$E$6)*($G$6-$F$6))))</f>
        <v>0.956740172591885</v>
      </c>
      <c r="C682" s="37" t="n">
        <f aca="false">1+IF($G$7=$E$7,$F$7,IF(Q682&lt;($F$7-$E$7)/($G$7-$E$7),$E$7+SQRT(Q682*($G$7-$E$7)*($F$7-$E$7)),$G$7-SQRT((1-Q682)*($G$7-$E$7)*($G$7-$F$7))))</f>
        <v>1.01425345149561</v>
      </c>
      <c r="D682" s="37" t="n">
        <f aca="false">1+IF($G$8=$E$8,$F$8,IF(R682&lt;($F$8-$E$8)/($G$8-$E$8),$E$8+SQRT(R682*($G$8-$E$8)*($F$8-$E$8)),$G$8-SQRT((1-R682)*($G$8-$E$8)*($G$8-$F$8))))</f>
        <v>1.00848017796001</v>
      </c>
      <c r="E682" s="37" t="n">
        <f aca="false">1+IF($G$9=$E$9,$F$9,IF(S682&lt;($F$9-$E$9)/($G$9-$E$9),$E$9+SQRT(S682*($G$9-$E$9)*($F$9-$E$9)),$G$9-SQRT((1-S682)*($G$9-$E$9)*($G$9-$F$9))))</f>
        <v>1.00851060936202</v>
      </c>
      <c r="F682" s="37" t="n">
        <f aca="false">1+IF($G$10=$E$10,$F$10,IF(T682&lt;($F$10-$E$10)/($G$10-$E$10),$E$10+SQRT(T682*($G$10-$E$10)*($F$10-$E$10)),$G$10-SQRT((1-T682)*($G$10-$E$10)*($G$10-$F$10))))</f>
        <v>1.0543514340391</v>
      </c>
      <c r="G682" s="38" t="n">
        <f aca="false">IF($G$11=$E$11,$F$11,IF(U682&lt;($F$11-$E$11)/($G$11-$E$11),$E$11+SQRT(U682*($G$11-$E$11)*($F$11-$E$11)),$G$11-SQRT((1-U682)*($G$11-$E$11)*($G$11-$F$11))))</f>
        <v>0.10178030754945</v>
      </c>
      <c r="H682" s="39" t="n">
        <f aca="false">(('Business Case'!B11*$C682*'Business Case'!B12*$B682)-'Business Case'!B11*$C682*'Business Case'!B13*$D682-'Business Case'!B14*$E682)-MAX(0,(('Business Case'!B11*$C682*'Business Case'!B12*$B682)-'Business Case'!B11*$C682*'Business Case'!B13*$D682-'Business Case'!B14*$E682))*'Business Case'!$B$7-'Business Case'!$B$8*('Business Case'!B11*$C682*'Business Case'!B12*$B682)-'Business Case'!B15*$F682</f>
        <v>-2108702868.0782</v>
      </c>
      <c r="I682" s="39" t="n">
        <f aca="false">(('Business Case'!C11*$C682*'Business Case'!C12*$B682)-'Business Case'!C11*$C682*'Business Case'!C13*$D682-'Business Case'!C14*$E682)-MAX(0,(('Business Case'!C11*$C682*'Business Case'!C12*$B682)-'Business Case'!C11*$C682*'Business Case'!C13*$D682-'Business Case'!C14*$E682))*'Business Case'!$B$7-'Business Case'!$B$8*(('Business Case'!C11*$C682*'Business Case'!C12*$B682)-('Business Case'!B11*$C682*'Business Case'!B12*$B682))-'Business Case'!C15*$F682</f>
        <v>-27960724.8166049</v>
      </c>
      <c r="J682" s="39" t="n">
        <f aca="false">(('Business Case'!D11*$C682*'Business Case'!D12*$B682)-'Business Case'!D11*$C682*'Business Case'!D13*$D682-'Business Case'!D14*$E682)-MAX(0,(('Business Case'!D11*$C682*'Business Case'!D12*$B682)-'Business Case'!D11*$C682*'Business Case'!D13*$D682-'Business Case'!D14*$E682))*'Business Case'!$B$7-'Business Case'!$B$8*(('Business Case'!D11*$C682*'Business Case'!D12*$B682)-('Business Case'!C11*$C682*'Business Case'!C12*$B682))-'Business Case'!D15*$F682</f>
        <v>243228247.254685</v>
      </c>
      <c r="K682" s="39" t="n">
        <f aca="false">(('Business Case'!E11*$C682*'Business Case'!E12*$B682)-'Business Case'!E11*$C682*'Business Case'!E13*$D682-'Business Case'!E14*$E682)-MAX(0,(('Business Case'!E11*$C682*'Business Case'!E12*$B682)-'Business Case'!E11*$C682*'Business Case'!E13*$D682-'Business Case'!E14*$E682))*'Business Case'!$B$7-'Business Case'!$B$8*(('Business Case'!E11*$C682*'Business Case'!E12*$B682)-('Business Case'!D11*$C682*'Business Case'!D12*$B682))-'Business Case'!E15*$F682</f>
        <v>567134791.027929</v>
      </c>
      <c r="L682" s="39" t="n">
        <f aca="false">(('Business Case'!F11*$C682*'Business Case'!F12*$B682)-'Business Case'!F11*$C682*'Business Case'!F13*$D682-'Business Case'!F14*$E682)-MAX(0,(('Business Case'!F11*$C682*'Business Case'!F12*$B682)-'Business Case'!F11*$C682*'Business Case'!F13*$D682-'Business Case'!F14*$E682))*'Business Case'!$B$7-'Business Case'!$B$8*(('Business Case'!F11*$C682*'Business Case'!F12*$B682)-('Business Case'!E11*$C682*'Business Case'!E12*$B682))-'Business Case'!F15*$F682</f>
        <v>691067344.940163</v>
      </c>
      <c r="M682" s="39" t="n">
        <f aca="false">(('Business Case'!G11*$C682*'Business Case'!G12*$B682)-'Business Case'!G11*$C682*'Business Case'!G13*$D682-'Business Case'!G14*$E682)-MAX(0,(('Business Case'!G11*$C682*'Business Case'!G12*$B682)-'Business Case'!G11*$C682*'Business Case'!G13*$D682-'Business Case'!G14*$E682))*'Business Case'!$B$7-'Business Case'!$B$8*(('Business Case'!G11*$C682*'Business Case'!G12*$B682)-('Business Case'!F11*$C682*'Business Case'!F12*$B682))-'Business Case'!G15*$F682+'Business Case'!$B$8*('Business Case'!G11*$C682*'Business Case'!G12*$B682)</f>
        <v>875516609.326749</v>
      </c>
      <c r="N682" s="39" t="n">
        <f aca="false">IF(COUNT('Business Case'!B11:G11)=0,"",H682+NPV(G682,I682:M682))</f>
        <v>-501466146.707611</v>
      </c>
      <c r="P682" s="40" t="n">
        <f aca="true">RAND()</f>
        <v>0.140608362716825</v>
      </c>
      <c r="Q682" s="40" t="n">
        <f aca="true">RAND()</f>
        <v>0.649007134650408</v>
      </c>
      <c r="R682" s="40" t="n">
        <f aca="true">RAND()</f>
        <v>0.508164909170028</v>
      </c>
      <c r="S682" s="40" t="n">
        <f aca="true">RAND()</f>
        <v>0.441979426712731</v>
      </c>
      <c r="T682" s="40" t="n">
        <f aca="true">RAND()</f>
        <v>0.575729904670668</v>
      </c>
      <c r="U682" s="40" t="n">
        <f aca="true">RAND()</f>
        <v>0.446738011678924</v>
      </c>
    </row>
    <row r="683" customFormat="false" ht="15" hidden="false" customHeight="false" outlineLevel="0" collapsed="false">
      <c r="A683" s="36" t="n">
        <v>603</v>
      </c>
      <c r="B683" s="37" t="n">
        <f aca="false">1+IF($G$6=$E$6,$F$6,IF(P683&lt;($F$6-$E$6)/($G$6-$E$6),$E$6+SQRT(P683*($G$6-$E$6)*($F$6-$E$6)),$G$6-SQRT((1-P683)*($G$6-$E$6)*($G$6-$F$6))))</f>
        <v>1.00740650200206</v>
      </c>
      <c r="C683" s="37" t="n">
        <f aca="false">1+IF($G$7=$E$7,$F$7,IF(Q683&lt;($F$7-$E$7)/($G$7-$E$7),$E$7+SQRT(Q683*($G$7-$E$7)*($F$7-$E$7)),$G$7-SQRT((1-Q683)*($G$7-$E$7)*($G$7-$F$7))))</f>
        <v>1.06586276795679</v>
      </c>
      <c r="D683" s="37" t="n">
        <f aca="false">1+IF($G$8=$E$8,$F$8,IF(R683&lt;($F$8-$E$8)/($G$8-$E$8),$E$8+SQRT(R683*($G$8-$E$8)*($F$8-$E$8)),$G$8-SQRT((1-R683)*($G$8-$E$8)*($G$8-$F$8))))</f>
        <v>1.05263288788304</v>
      </c>
      <c r="E683" s="37" t="n">
        <f aca="false">1+IF($G$9=$E$9,$F$9,IF(S683&lt;($F$9-$E$9)/($G$9-$E$9),$E$9+SQRT(S683*($G$9-$E$9)*($F$9-$E$9)),$G$9-SQRT((1-S683)*($G$9-$E$9)*($G$9-$F$9))))</f>
        <v>1.0590066176279</v>
      </c>
      <c r="F683" s="37" t="n">
        <f aca="false">1+IF($G$10=$E$10,$F$10,IF(T683&lt;($F$10-$E$10)/($G$10-$E$10),$E$10+SQRT(T683*($G$10-$E$10)*($F$10-$E$10)),$G$10-SQRT((1-T683)*($G$10-$E$10)*($G$10-$F$10))))</f>
        <v>1.01602123481751</v>
      </c>
      <c r="G683" s="38" t="n">
        <f aca="false">IF($G$11=$E$11,$F$11,IF(U683&lt;($F$11-$E$11)/($G$11-$E$11),$E$11+SQRT(U683*($G$11-$E$11)*($F$11-$E$11)),$G$11-SQRT((1-U683)*($G$11-$E$11)*($G$11-$F$11))))</f>
        <v>0.103121140741573</v>
      </c>
      <c r="H683" s="39" t="n">
        <f aca="false">(('Business Case'!B11*$C683*'Business Case'!B12*$B683)-'Business Case'!B11*$C683*'Business Case'!B13*$D683-'Business Case'!B14*$E683)-MAX(0,(('Business Case'!B11*$C683*'Business Case'!B12*$B683)-'Business Case'!B11*$C683*'Business Case'!B13*$D683-'Business Case'!B14*$E683))*'Business Case'!$B$7-'Business Case'!$B$8*('Business Case'!B11*$C683*'Business Case'!B12*$B683)-'Business Case'!B15*$F683</f>
        <v>-2032042469.63501</v>
      </c>
      <c r="I683" s="39" t="n">
        <f aca="false">(('Business Case'!C11*$C683*'Business Case'!C12*$B683)-'Business Case'!C11*$C683*'Business Case'!C13*$D683-'Business Case'!C14*$E683)-MAX(0,(('Business Case'!C11*$C683*'Business Case'!C12*$B683)-'Business Case'!C11*$C683*'Business Case'!C13*$D683-'Business Case'!C14*$E683))*'Business Case'!$B$7-'Business Case'!$B$8*(('Business Case'!C11*$C683*'Business Case'!C12*$B683)-('Business Case'!B11*$C683*'Business Case'!B12*$B683))-'Business Case'!C15*$F683</f>
        <v>-2726961.67513745</v>
      </c>
      <c r="J683" s="39" t="n">
        <f aca="false">(('Business Case'!D11*$C683*'Business Case'!D12*$B683)-'Business Case'!D11*$C683*'Business Case'!D13*$D683-'Business Case'!D14*$E683)-MAX(0,(('Business Case'!D11*$C683*'Business Case'!D12*$B683)-'Business Case'!D11*$C683*'Business Case'!D13*$D683-'Business Case'!D14*$E683))*'Business Case'!$B$7-'Business Case'!$B$8*(('Business Case'!D11*$C683*'Business Case'!D12*$B683)-('Business Case'!C11*$C683*'Business Case'!C12*$B683))-'Business Case'!D15*$F683</f>
        <v>302402508.324377</v>
      </c>
      <c r="K683" s="39" t="n">
        <f aca="false">(('Business Case'!E11*$C683*'Business Case'!E12*$B683)-'Business Case'!E11*$C683*'Business Case'!E13*$D683-'Business Case'!E14*$E683)-MAX(0,(('Business Case'!E11*$C683*'Business Case'!E12*$B683)-'Business Case'!E11*$C683*'Business Case'!E13*$D683-'Business Case'!E14*$E683))*'Business Case'!$B$7-'Business Case'!$B$8*(('Business Case'!E11*$C683*'Business Case'!E12*$B683)-('Business Case'!D11*$C683*'Business Case'!D12*$B683))-'Business Case'!E15*$F683</f>
        <v>658333040.064767</v>
      </c>
      <c r="L683" s="39" t="n">
        <f aca="false">(('Business Case'!F11*$C683*'Business Case'!F12*$B683)-'Business Case'!F11*$C683*'Business Case'!F13*$D683-'Business Case'!F14*$E683)-MAX(0,(('Business Case'!F11*$C683*'Business Case'!F12*$B683)-'Business Case'!F11*$C683*'Business Case'!F13*$D683-'Business Case'!F14*$E683))*'Business Case'!$B$7-'Business Case'!$B$8*(('Business Case'!F11*$C683*'Business Case'!F12*$B683)-('Business Case'!E11*$C683*'Business Case'!E12*$B683))-'Business Case'!F15*$F683</f>
        <v>797151908.175414</v>
      </c>
      <c r="M683" s="39" t="n">
        <f aca="false">(('Business Case'!G11*$C683*'Business Case'!G12*$B683)-'Business Case'!G11*$C683*'Business Case'!G13*$D683-'Business Case'!G14*$E683)-MAX(0,(('Business Case'!G11*$C683*'Business Case'!G12*$B683)-'Business Case'!G11*$C683*'Business Case'!G13*$D683-'Business Case'!G14*$E683))*'Business Case'!$B$7-'Business Case'!$B$8*(('Business Case'!G11*$C683*'Business Case'!G12*$B683)-('Business Case'!F11*$C683*'Business Case'!F12*$B683))-'Business Case'!G15*$F683+'Business Case'!$B$8*('Business Case'!G11*$C683*'Business Case'!G12*$B683)</f>
        <v>1001251654.45153</v>
      </c>
      <c r="N683" s="39" t="n">
        <f aca="false">IF(COUNT('Business Case'!B11:G11)=0,"",H683+NPV(G683,I683:M683))</f>
        <v>-144295795.974214</v>
      </c>
      <c r="P683" s="40" t="n">
        <f aca="true">RAND()</f>
        <v>0.778679976720535</v>
      </c>
      <c r="Q683" s="40" t="n">
        <f aca="true">RAND()</f>
        <v>0.865160498744884</v>
      </c>
      <c r="R683" s="40" t="n">
        <f aca="true">RAND()</f>
        <v>0.927984728305554</v>
      </c>
      <c r="S683" s="40" t="n">
        <f aca="true">RAND()</f>
        <v>0.887969506779675</v>
      </c>
      <c r="T683" s="40" t="n">
        <f aca="true">RAND()</f>
        <v>0.323036279238494</v>
      </c>
      <c r="U683" s="40" t="n">
        <f aca="true">RAND()</f>
        <v>0.525173516890356</v>
      </c>
    </row>
    <row r="684" customFormat="false" ht="15" hidden="false" customHeight="false" outlineLevel="0" collapsed="false">
      <c r="A684" s="36" t="n">
        <v>604</v>
      </c>
      <c r="B684" s="37" t="n">
        <f aca="false">1+IF($G$6=$E$6,$F$6,IF(P684&lt;($F$6-$E$6)/($G$6-$E$6),$E$6+SQRT(P684*($G$6-$E$6)*($F$6-$E$6)),$G$6-SQRT((1-P684)*($G$6-$E$6)*($G$6-$F$6))))</f>
        <v>0.972702321567554</v>
      </c>
      <c r="C684" s="37" t="n">
        <f aca="false">1+IF($G$7=$E$7,$F$7,IF(Q684&lt;($F$7-$E$7)/($G$7-$E$7),$E$7+SQRT(Q684*($G$7-$E$7)*($F$7-$E$7)),$G$7-SQRT((1-Q684)*($G$7-$E$7)*($G$7-$F$7))))</f>
        <v>0.966279614902768</v>
      </c>
      <c r="D684" s="37" t="n">
        <f aca="false">1+IF($G$8=$E$8,$F$8,IF(R684&lt;($F$8-$E$8)/($G$8-$E$8),$E$8+SQRT(R684*($G$8-$E$8)*($F$8-$E$8)),$G$8-SQRT((1-R684)*($G$8-$E$8)*($G$8-$F$8))))</f>
        <v>1.03285749565948</v>
      </c>
      <c r="E684" s="37" t="n">
        <f aca="false">1+IF($G$9=$E$9,$F$9,IF(S684&lt;($F$9-$E$9)/($G$9-$E$9),$E$9+SQRT(S684*($G$9-$E$9)*($F$9-$E$9)),$G$9-SQRT((1-S684)*($G$9-$E$9)*($G$9-$F$9))))</f>
        <v>1.03002094779403</v>
      </c>
      <c r="F684" s="37" t="n">
        <f aca="false">1+IF($G$10=$E$10,$F$10,IF(T684&lt;($F$10-$E$10)/($G$10-$E$10),$E$10+SQRT(T684*($G$10-$E$10)*($F$10-$E$10)),$G$10-SQRT((1-T684)*($G$10-$E$10)*($G$10-$F$10))))</f>
        <v>1.05572457982618</v>
      </c>
      <c r="G684" s="38" t="n">
        <f aca="false">IF($G$11=$E$11,$F$11,IF(U684&lt;($F$11-$E$11)/($G$11-$E$11),$E$11+SQRT(U684*($G$11-$E$11)*($F$11-$E$11)),$G$11-SQRT((1-U684)*($G$11-$E$11)*($G$11-$F$11))))</f>
        <v>0.0940203316546741</v>
      </c>
      <c r="H684" s="39" t="n">
        <f aca="false">(('Business Case'!B11*$C684*'Business Case'!B12*$B684)-'Business Case'!B11*$C684*'Business Case'!B13*$D684-'Business Case'!B14*$E684)-MAX(0,(('Business Case'!B11*$C684*'Business Case'!B12*$B684)-'Business Case'!B11*$C684*'Business Case'!B13*$D684-'Business Case'!B14*$E684))*'Business Case'!$B$7-'Business Case'!$B$8*('Business Case'!B11*$C684*'Business Case'!B12*$B684)-'Business Case'!B15*$F684</f>
        <v>-2111449159.65236</v>
      </c>
      <c r="I684" s="39" t="n">
        <f aca="false">(('Business Case'!C11*$C684*'Business Case'!C12*$B684)-'Business Case'!C11*$C684*'Business Case'!C13*$D684-'Business Case'!C14*$E684)-MAX(0,(('Business Case'!C11*$C684*'Business Case'!C12*$B684)-'Business Case'!C11*$C684*'Business Case'!C13*$D684-'Business Case'!C14*$E684))*'Business Case'!$B$7-'Business Case'!$B$8*(('Business Case'!C11*$C684*'Business Case'!C12*$B684)-('Business Case'!B11*$C684*'Business Case'!B12*$B684))-'Business Case'!C15*$F684</f>
        <v>-41829298.6160671</v>
      </c>
      <c r="J684" s="39" t="n">
        <f aca="false">(('Business Case'!D11*$C684*'Business Case'!D12*$B684)-'Business Case'!D11*$C684*'Business Case'!D13*$D684-'Business Case'!D14*$E684)-MAX(0,(('Business Case'!D11*$C684*'Business Case'!D12*$B684)-'Business Case'!D11*$C684*'Business Case'!D13*$D684-'Business Case'!D14*$E684))*'Business Case'!$B$7-'Business Case'!$B$8*(('Business Case'!D11*$C684*'Business Case'!D12*$B684)-('Business Case'!C11*$C684*'Business Case'!C12*$B684))-'Business Case'!D15*$F684</f>
        <v>217107381.223208</v>
      </c>
      <c r="K684" s="39" t="n">
        <f aca="false">(('Business Case'!E11*$C684*'Business Case'!E12*$B684)-'Business Case'!E11*$C684*'Business Case'!E13*$D684-'Business Case'!E14*$E684)-MAX(0,(('Business Case'!E11*$C684*'Business Case'!E12*$B684)-'Business Case'!E11*$C684*'Business Case'!E13*$D684-'Business Case'!E14*$E684))*'Business Case'!$B$7-'Business Case'!$B$8*(('Business Case'!E11*$C684*'Business Case'!E12*$B684)-('Business Case'!D11*$C684*'Business Case'!D12*$B684))-'Business Case'!E15*$F684</f>
        <v>528830290.053792</v>
      </c>
      <c r="L684" s="39" t="n">
        <f aca="false">(('Business Case'!F11*$C684*'Business Case'!F12*$B684)-'Business Case'!F11*$C684*'Business Case'!F13*$D684-'Business Case'!F14*$E684)-MAX(0,(('Business Case'!F11*$C684*'Business Case'!F12*$B684)-'Business Case'!F11*$C684*'Business Case'!F13*$D684-'Business Case'!F14*$E684))*'Business Case'!$B$7-'Business Case'!$B$8*(('Business Case'!F11*$C684*'Business Case'!F12*$B684)-('Business Case'!E11*$C684*'Business Case'!E12*$B684))-'Business Case'!F15*$F684</f>
        <v>647625544.464492</v>
      </c>
      <c r="M684" s="39" t="n">
        <f aca="false">(('Business Case'!G11*$C684*'Business Case'!G12*$B684)-'Business Case'!G11*$C684*'Business Case'!G13*$D684-'Business Case'!G14*$E684)-MAX(0,(('Business Case'!G11*$C684*'Business Case'!G12*$B684)-'Business Case'!G11*$C684*'Business Case'!G13*$D684-'Business Case'!G14*$E684))*'Business Case'!$B$7-'Business Case'!$B$8*(('Business Case'!G11*$C684*'Business Case'!G12*$B684)-('Business Case'!F11*$C684*'Business Case'!F12*$B684))-'Business Case'!G15*$F684+'Business Case'!$B$8*('Business Case'!G11*$C684*'Business Case'!G12*$B684)</f>
        <v>826282197.35134</v>
      </c>
      <c r="N684" s="39" t="n">
        <f aca="false">IF(COUNT('Business Case'!B11:G11)=0,"",H684+NPV(G684,I684:M684))</f>
        <v>-585101627.970338</v>
      </c>
      <c r="P684" s="40" t="n">
        <f aca="true">RAND()</f>
        <v>0.289326531105194</v>
      </c>
      <c r="Q684" s="40" t="n">
        <f aca="true">RAND()</f>
        <v>0.394984433317324</v>
      </c>
      <c r="R684" s="40" t="n">
        <f aca="true">RAND()</f>
        <v>0.786306181202296</v>
      </c>
      <c r="S684" s="40" t="n">
        <f aca="true">RAND()</f>
        <v>0.673528816823622</v>
      </c>
      <c r="T684" s="40" t="n">
        <f aca="true">RAND()</f>
        <v>0.583692062673352</v>
      </c>
      <c r="U684" s="40" t="n">
        <f aca="true">RAND()</f>
        <v>0.0538768887119149</v>
      </c>
    </row>
    <row r="685" customFormat="false" ht="15" hidden="false" customHeight="false" outlineLevel="0" collapsed="false">
      <c r="A685" s="36" t="n">
        <v>605</v>
      </c>
      <c r="B685" s="37" t="n">
        <f aca="false">1+IF($G$6=$E$6,$F$6,IF(P685&lt;($F$6-$E$6)/($G$6-$E$6),$E$6+SQRT(P685*($G$6-$E$6)*($F$6-$E$6)),$G$6-SQRT((1-P685)*($G$6-$E$6)*($G$6-$F$6))))</f>
        <v>0.998302057546754</v>
      </c>
      <c r="C685" s="37" t="n">
        <f aca="false">1+IF($G$7=$E$7,$F$7,IF(Q685&lt;($F$7-$E$7)/($G$7-$E$7),$E$7+SQRT(Q685*($G$7-$E$7)*($F$7-$E$7)),$G$7-SQRT((1-Q685)*($G$7-$E$7)*($G$7-$F$7))))</f>
        <v>1.03548497617243</v>
      </c>
      <c r="D685" s="37" t="n">
        <f aca="false">1+IF($G$8=$E$8,$F$8,IF(R685&lt;($F$8-$E$8)/($G$8-$E$8),$E$8+SQRT(R685*($G$8-$E$8)*($F$8-$E$8)),$G$8-SQRT((1-R685)*($G$8-$E$8)*($G$8-$F$8))))</f>
        <v>0.958236267604548</v>
      </c>
      <c r="E685" s="37" t="n">
        <f aca="false">1+IF($G$9=$E$9,$F$9,IF(S685&lt;($F$9-$E$9)/($G$9-$E$9),$E$9+SQRT(S685*($G$9-$E$9)*($F$9-$E$9)),$G$9-SQRT((1-S685)*($G$9-$E$9)*($G$9-$F$9))))</f>
        <v>1.03810797154809</v>
      </c>
      <c r="F685" s="37" t="n">
        <f aca="false">1+IF($G$10=$E$10,$F$10,IF(T685&lt;($F$10-$E$10)/($G$10-$E$10),$E$10+SQRT(T685*($G$10-$E$10)*($F$10-$E$10)),$G$10-SQRT((1-T685)*($G$10-$E$10)*($G$10-$F$10))))</f>
        <v>0.977037759266366</v>
      </c>
      <c r="G685" s="38" t="n">
        <f aca="false">IF($G$11=$E$11,$F$11,IF(U685&lt;($F$11-$E$11)/($G$11-$E$11),$E$11+SQRT(U685*($G$11-$E$11)*($F$11-$E$11)),$G$11-SQRT((1-U685)*($G$11-$E$11)*($G$11-$F$11))))</f>
        <v>0.0999768239067785</v>
      </c>
      <c r="H685" s="39" t="n">
        <f aca="false">(('Business Case'!B11*$C685*'Business Case'!B12*$B685)-'Business Case'!B11*$C685*'Business Case'!B13*$D685-'Business Case'!B14*$E685)-MAX(0,(('Business Case'!B11*$C685*'Business Case'!B12*$B685)-'Business Case'!B11*$C685*'Business Case'!B13*$D685-'Business Case'!B14*$E685))*'Business Case'!$B$7-'Business Case'!$B$8*('Business Case'!B11*$C685*'Business Case'!B12*$B685)-'Business Case'!B15*$F685</f>
        <v>-1954075518.53273</v>
      </c>
      <c r="I685" s="39" t="n">
        <f aca="false">(('Business Case'!C11*$C685*'Business Case'!C12*$B685)-'Business Case'!C11*$C685*'Business Case'!C13*$D685-'Business Case'!C14*$E685)-MAX(0,(('Business Case'!C11*$C685*'Business Case'!C12*$B685)-'Business Case'!C11*$C685*'Business Case'!C13*$D685-'Business Case'!C14*$E685))*'Business Case'!$B$7-'Business Case'!$B$8*(('Business Case'!C11*$C685*'Business Case'!C12*$B685)-('Business Case'!B11*$C685*'Business Case'!B12*$B685))-'Business Case'!C15*$F685</f>
        <v>39838415.8070332</v>
      </c>
      <c r="J685" s="39" t="n">
        <f aca="false">(('Business Case'!D11*$C685*'Business Case'!D12*$B685)-'Business Case'!D11*$C685*'Business Case'!D13*$D685-'Business Case'!D14*$E685)-MAX(0,(('Business Case'!D11*$C685*'Business Case'!D12*$B685)-'Business Case'!D11*$C685*'Business Case'!D13*$D685-'Business Case'!D14*$E685))*'Business Case'!$B$7-'Business Case'!$B$8*(('Business Case'!D11*$C685*'Business Case'!D12*$B685)-('Business Case'!C11*$C685*'Business Case'!C12*$B685))-'Business Case'!D15*$F685</f>
        <v>378587957.487805</v>
      </c>
      <c r="K685" s="39" t="n">
        <f aca="false">(('Business Case'!E11*$C685*'Business Case'!E12*$B685)-'Business Case'!E11*$C685*'Business Case'!E13*$D685-'Business Case'!E14*$E685)-MAX(0,(('Business Case'!E11*$C685*'Business Case'!E12*$B685)-'Business Case'!E11*$C685*'Business Case'!E13*$D685-'Business Case'!E14*$E685))*'Business Case'!$B$7-'Business Case'!$B$8*(('Business Case'!E11*$C685*'Business Case'!E12*$B685)-('Business Case'!D11*$C685*'Business Case'!D12*$B685))-'Business Case'!E15*$F685</f>
        <v>766189387.131896</v>
      </c>
      <c r="L685" s="39" t="n">
        <f aca="false">(('Business Case'!F11*$C685*'Business Case'!F12*$B685)-'Business Case'!F11*$C685*'Business Case'!F13*$D685-'Business Case'!F14*$E685)-MAX(0,(('Business Case'!F11*$C685*'Business Case'!F12*$B685)-'Business Case'!F11*$C685*'Business Case'!F13*$D685-'Business Case'!F14*$E685))*'Business Case'!$B$7-'Business Case'!$B$8*(('Business Case'!F11*$C685*'Business Case'!F12*$B685)-('Business Case'!E11*$C685*'Business Case'!E12*$B685))-'Business Case'!F15*$F685</f>
        <v>914831498.620796</v>
      </c>
      <c r="M685" s="39" t="n">
        <f aca="false">(('Business Case'!G11*$C685*'Business Case'!G12*$B685)-'Business Case'!G11*$C685*'Business Case'!G13*$D685-'Business Case'!G14*$E685)-MAX(0,(('Business Case'!G11*$C685*'Business Case'!G12*$B685)-'Business Case'!G11*$C685*'Business Case'!G13*$D685-'Business Case'!G14*$E685))*'Business Case'!$B$7-'Business Case'!$B$8*(('Business Case'!G11*$C685*'Business Case'!G12*$B685)-('Business Case'!F11*$C685*'Business Case'!F12*$B685))-'Business Case'!G15*$F685+'Business Case'!$B$8*('Business Case'!G11*$C685*'Business Case'!G12*$B685)</f>
        <v>1111322285.395</v>
      </c>
      <c r="N685" s="39" t="n">
        <f aca="false">IF(COUNT('Business Case'!B11:G11)=0,"",H685+NPV(G685,I685:M685))</f>
        <v>285734881.220365</v>
      </c>
      <c r="P685" s="40" t="n">
        <f aca="true">RAND()</f>
        <v>0.638667939172412</v>
      </c>
      <c r="Q685" s="40" t="n">
        <f aca="true">RAND()</f>
        <v>0.750215415576606</v>
      </c>
      <c r="R685" s="40" t="n">
        <f aca="true">RAND()</f>
        <v>0.0104363237005736</v>
      </c>
      <c r="S685" s="40" t="n">
        <f aca="true">RAND()</f>
        <v>0.744625120940499</v>
      </c>
      <c r="T685" s="40" t="n">
        <f aca="true">RAND()</f>
        <v>0.0584832340916748</v>
      </c>
      <c r="U685" s="40" t="n">
        <f aca="true">RAND()</f>
        <v>0.331790050889554</v>
      </c>
    </row>
    <row r="686" customFormat="false" ht="15" hidden="false" customHeight="false" outlineLevel="0" collapsed="false">
      <c r="A686" s="36" t="n">
        <v>606</v>
      </c>
      <c r="B686" s="37" t="n">
        <f aca="false">1+IF($G$6=$E$6,$F$6,IF(P686&lt;($F$6-$E$6)/($G$6-$E$6),$E$6+SQRT(P686*($G$6-$E$6)*($F$6-$E$6)),$G$6-SQRT((1-P686)*($G$6-$E$6)*($G$6-$F$6))))</f>
        <v>1.02860817421406</v>
      </c>
      <c r="C686" s="37" t="n">
        <f aca="false">1+IF($G$7=$E$7,$F$7,IF(Q686&lt;($F$7-$E$7)/($G$7-$E$7),$E$7+SQRT(Q686*($G$7-$E$7)*($F$7-$E$7)),$G$7-SQRT((1-Q686)*($G$7-$E$7)*($G$7-$F$7))))</f>
        <v>0.953283561518649</v>
      </c>
      <c r="D686" s="37" t="n">
        <f aca="false">1+IF($G$8=$E$8,$F$8,IF(R686&lt;($F$8-$E$8)/($G$8-$E$8),$E$8+SQRT(R686*($G$8-$E$8)*($F$8-$E$8)),$G$8-SQRT((1-R686)*($G$8-$E$8)*($G$8-$F$8))))</f>
        <v>1.02774026410445</v>
      </c>
      <c r="E686" s="37" t="n">
        <f aca="false">1+IF($G$9=$E$9,$F$9,IF(S686&lt;($F$9-$E$9)/($G$9-$E$9),$E$9+SQRT(S686*($G$9-$E$9)*($F$9-$E$9)),$G$9-SQRT((1-S686)*($G$9-$E$9)*($G$9-$F$9))))</f>
        <v>1.08810482086987</v>
      </c>
      <c r="F686" s="37" t="n">
        <f aca="false">1+IF($G$10=$E$10,$F$10,IF(T686&lt;($F$10-$E$10)/($G$10-$E$10),$E$10+SQRT(T686*($G$10-$E$10)*($F$10-$E$10)),$G$10-SQRT((1-T686)*($G$10-$E$10)*($G$10-$F$10))))</f>
        <v>1.13479668734854</v>
      </c>
      <c r="G686" s="38" t="n">
        <f aca="false">IF($G$11=$E$11,$F$11,IF(U686&lt;($F$11-$E$11)/($G$11-$E$11),$E$11+SQRT(U686*($G$11-$E$11)*($F$11-$E$11)),$G$11-SQRT((1-U686)*($G$11-$E$11)*($G$11-$F$11))))</f>
        <v>0.108255755567577</v>
      </c>
      <c r="H686" s="39" t="n">
        <f aca="false">(('Business Case'!B11*$C686*'Business Case'!B12*$B686)-'Business Case'!B11*$C686*'Business Case'!B13*$D686-'Business Case'!B14*$E686)-MAX(0,(('Business Case'!B11*$C686*'Business Case'!B12*$B686)-'Business Case'!B11*$C686*'Business Case'!B13*$D686-'Business Case'!B14*$E686))*'Business Case'!$B$7-'Business Case'!$B$8*('Business Case'!B11*$C686*'Business Case'!B12*$B686)-'Business Case'!B15*$F686</f>
        <v>-2269593374.69709</v>
      </c>
      <c r="I686" s="39" t="n">
        <f aca="false">(('Business Case'!C11*$C686*'Business Case'!C12*$B686)-'Business Case'!C11*$C686*'Business Case'!C13*$D686-'Business Case'!C14*$E686)-MAX(0,(('Business Case'!C11*$C686*'Business Case'!C12*$B686)-'Business Case'!C11*$C686*'Business Case'!C13*$D686-'Business Case'!C14*$E686))*'Business Case'!$B$7-'Business Case'!$B$8*(('Business Case'!C11*$C686*'Business Case'!C12*$B686)-('Business Case'!B11*$C686*'Business Case'!B12*$B686))-'Business Case'!C15*$F686</f>
        <v>-17437104.3668529</v>
      </c>
      <c r="J686" s="39" t="n">
        <f aca="false">(('Business Case'!D11*$C686*'Business Case'!D12*$B686)-'Business Case'!D11*$C686*'Business Case'!D13*$D686-'Business Case'!D14*$E686)-MAX(0,(('Business Case'!D11*$C686*'Business Case'!D12*$B686)-'Business Case'!D11*$C686*'Business Case'!D13*$D686-'Business Case'!D14*$E686))*'Business Case'!$B$7-'Business Case'!$B$8*(('Business Case'!D11*$C686*'Business Case'!D12*$B686)-('Business Case'!C11*$C686*'Business Case'!C12*$B686))-'Business Case'!D15*$F686</f>
        <v>284165950.40019</v>
      </c>
      <c r="K686" s="39" t="n">
        <f aca="false">(('Business Case'!E11*$C686*'Business Case'!E12*$B686)-'Business Case'!E11*$C686*'Business Case'!E13*$D686-'Business Case'!E14*$E686)-MAX(0,(('Business Case'!E11*$C686*'Business Case'!E12*$B686)-'Business Case'!E11*$C686*'Business Case'!E13*$D686-'Business Case'!E14*$E686))*'Business Case'!$B$7-'Business Case'!$B$8*(('Business Case'!E11*$C686*'Business Case'!E12*$B686)-('Business Case'!D11*$C686*'Business Case'!D12*$B686))-'Business Case'!E15*$F686</f>
        <v>642508839.534661</v>
      </c>
      <c r="L686" s="39" t="n">
        <f aca="false">(('Business Case'!F11*$C686*'Business Case'!F12*$B686)-'Business Case'!F11*$C686*'Business Case'!F13*$D686-'Business Case'!F14*$E686)-MAX(0,(('Business Case'!F11*$C686*'Business Case'!F12*$B686)-'Business Case'!F11*$C686*'Business Case'!F13*$D686-'Business Case'!F14*$E686))*'Business Case'!$B$7-'Business Case'!$B$8*(('Business Case'!F11*$C686*'Business Case'!F12*$B686)-('Business Case'!E11*$C686*'Business Case'!E12*$B686))-'Business Case'!F15*$F686</f>
        <v>776931181.037907</v>
      </c>
      <c r="M686" s="39" t="n">
        <f aca="false">(('Business Case'!G11*$C686*'Business Case'!G12*$B686)-'Business Case'!G11*$C686*'Business Case'!G13*$D686-'Business Case'!G14*$E686)-MAX(0,(('Business Case'!G11*$C686*'Business Case'!G12*$B686)-'Business Case'!G11*$C686*'Business Case'!G13*$D686-'Business Case'!G14*$E686))*'Business Case'!$B$7-'Business Case'!$B$8*(('Business Case'!G11*$C686*'Business Case'!G12*$B686)-('Business Case'!F11*$C686*'Business Case'!F12*$B686))-'Business Case'!G15*$F686+'Business Case'!$B$8*('Business Case'!G11*$C686*'Business Case'!G12*$B686)</f>
        <v>963315125.566179</v>
      </c>
      <c r="N686" s="39" t="n">
        <f aca="false">IF(COUNT('Business Case'!B11:G11)=0,"",H686+NPV(G686,I686:M686))</f>
        <v>-490734828.224903</v>
      </c>
      <c r="P686" s="40" t="n">
        <f aca="true">RAND()</f>
        <v>0.972963813596401</v>
      </c>
      <c r="Q686" s="40" t="n">
        <f aca="true">RAND()</f>
        <v>0.335655003312019</v>
      </c>
      <c r="R686" s="40" t="n">
        <f aca="true">RAND()</f>
        <v>0.737396154242994</v>
      </c>
      <c r="S686" s="40" t="n">
        <f aca="true">RAND()</f>
        <v>0.990566980897467</v>
      </c>
      <c r="T686" s="40" t="n">
        <f aca="true">RAND()</f>
        <v>0.914970560385526</v>
      </c>
      <c r="U686" s="40" t="n">
        <f aca="true">RAND()</f>
        <v>0.77012120451917</v>
      </c>
    </row>
    <row r="687" customFormat="false" ht="15" hidden="false" customHeight="false" outlineLevel="0" collapsed="false">
      <c r="A687" s="36" t="n">
        <v>607</v>
      </c>
      <c r="B687" s="37" t="n">
        <f aca="false">1+IF($G$6=$E$6,$F$6,IF(P687&lt;($F$6-$E$6)/($G$6-$E$6),$E$6+SQRT(P687*($G$6-$E$6)*($F$6-$E$6)),$G$6-SQRT((1-P687)*($G$6-$E$6)*($G$6-$F$6))))</f>
        <v>1.02218471290161</v>
      </c>
      <c r="C687" s="37" t="n">
        <f aca="false">1+IF($G$7=$E$7,$F$7,IF(Q687&lt;($F$7-$E$7)/($G$7-$E$7),$E$7+SQRT(Q687*($G$7-$E$7)*($F$7-$E$7)),$G$7-SQRT((1-Q687)*($G$7-$E$7)*($G$7-$F$7))))</f>
        <v>1.04908543592174</v>
      </c>
      <c r="D687" s="37" t="n">
        <f aca="false">1+IF($G$8=$E$8,$F$8,IF(R687&lt;($F$8-$E$8)/($G$8-$E$8),$E$8+SQRT(R687*($G$8-$E$8)*($F$8-$E$8)),$G$8-SQRT((1-R687)*($G$8-$E$8)*($G$8-$F$8))))</f>
        <v>0.971463341287964</v>
      </c>
      <c r="E687" s="37" t="n">
        <f aca="false">1+IF($G$9=$E$9,$F$9,IF(S687&lt;($F$9-$E$9)/($G$9-$E$9),$E$9+SQRT(S687*($G$9-$E$9)*($F$9-$E$9)),$G$9-SQRT((1-S687)*($G$9-$E$9)*($G$9-$F$9))))</f>
        <v>1.04781428040655</v>
      </c>
      <c r="F687" s="37" t="n">
        <f aca="false">1+IF($G$10=$E$10,$F$10,IF(T687&lt;($F$10-$E$10)/($G$10-$E$10),$E$10+SQRT(T687*($G$10-$E$10)*($F$10-$E$10)),$G$10-SQRT((1-T687)*($G$10-$E$10)*($G$10-$F$10))))</f>
        <v>1.00013885426389</v>
      </c>
      <c r="G687" s="38" t="n">
        <f aca="false">IF($G$11=$E$11,$F$11,IF(U687&lt;($F$11-$E$11)/($G$11-$E$11),$E$11+SQRT(U687*($G$11-$E$11)*($F$11-$E$11)),$G$11-SQRT((1-U687)*($G$11-$E$11)*($G$11-$F$11))))</f>
        <v>0.104029816176457</v>
      </c>
      <c r="H687" s="39" t="n">
        <f aca="false">(('Business Case'!B11*$C687*'Business Case'!B12*$B687)-'Business Case'!B11*$C687*'Business Case'!B13*$D687-'Business Case'!B14*$E687)-MAX(0,(('Business Case'!B11*$C687*'Business Case'!B12*$B687)-'Business Case'!B11*$C687*'Business Case'!B13*$D687-'Business Case'!B14*$E687))*'Business Case'!$B$7-'Business Case'!$B$8*('Business Case'!B11*$C687*'Business Case'!B12*$B687)-'Business Case'!B15*$F687</f>
        <v>-2000277708.52778</v>
      </c>
      <c r="I687" s="39" t="n">
        <f aca="false">(('Business Case'!C11*$C687*'Business Case'!C12*$B687)-'Business Case'!C11*$C687*'Business Case'!C13*$D687-'Business Case'!C14*$E687)-MAX(0,(('Business Case'!C11*$C687*'Business Case'!C12*$B687)-'Business Case'!C11*$C687*'Business Case'!C13*$D687-'Business Case'!C14*$E687))*'Business Case'!$B$7-'Business Case'!$B$8*(('Business Case'!C11*$C687*'Business Case'!C12*$B687)-('Business Case'!B11*$C687*'Business Case'!B12*$B687))-'Business Case'!C15*$F687</f>
        <v>52012871.0625895</v>
      </c>
      <c r="J687" s="39" t="n">
        <f aca="false">(('Business Case'!D11*$C687*'Business Case'!D12*$B687)-'Business Case'!D11*$C687*'Business Case'!D13*$D687-'Business Case'!D14*$E687)-MAX(0,(('Business Case'!D11*$C687*'Business Case'!D12*$B687)-'Business Case'!D11*$C687*'Business Case'!D13*$D687-'Business Case'!D14*$E687))*'Business Case'!$B$7-'Business Case'!$B$8*(('Business Case'!D11*$C687*'Business Case'!D12*$B687)-('Business Case'!C11*$C687*'Business Case'!C12*$B687))-'Business Case'!D15*$F687</f>
        <v>408629913.716759</v>
      </c>
      <c r="K687" s="39" t="n">
        <f aca="false">(('Business Case'!E11*$C687*'Business Case'!E12*$B687)-'Business Case'!E11*$C687*'Business Case'!E13*$D687-'Business Case'!E14*$E687)-MAX(0,(('Business Case'!E11*$C687*'Business Case'!E12*$B687)-'Business Case'!E11*$C687*'Business Case'!E13*$D687-'Business Case'!E14*$E687))*'Business Case'!$B$7-'Business Case'!$B$8*(('Business Case'!E11*$C687*'Business Case'!E12*$B687)-('Business Case'!D11*$C687*'Business Case'!D12*$B687))-'Business Case'!E15*$F687</f>
        <v>815253899.084124</v>
      </c>
      <c r="L687" s="39" t="n">
        <f aca="false">(('Business Case'!F11*$C687*'Business Case'!F12*$B687)-'Business Case'!F11*$C687*'Business Case'!F13*$D687-'Business Case'!F14*$E687)-MAX(0,(('Business Case'!F11*$C687*'Business Case'!F12*$B687)-'Business Case'!F11*$C687*'Business Case'!F13*$D687-'Business Case'!F14*$E687))*'Business Case'!$B$7-'Business Case'!$B$8*(('Business Case'!F11*$C687*'Business Case'!F12*$B687)-('Business Case'!E11*$C687*'Business Case'!E12*$B687))-'Business Case'!F15*$F687</f>
        <v>971186976.9631</v>
      </c>
      <c r="M687" s="39" t="n">
        <f aca="false">(('Business Case'!G11*$C687*'Business Case'!G12*$B687)-'Business Case'!G11*$C687*'Business Case'!G13*$D687-'Business Case'!G14*$E687)-MAX(0,(('Business Case'!G11*$C687*'Business Case'!G12*$B687)-'Business Case'!G11*$C687*'Business Case'!G13*$D687-'Business Case'!G14*$E687))*'Business Case'!$B$7-'Business Case'!$B$8*(('Business Case'!G11*$C687*'Business Case'!G12*$B687)-('Business Case'!F11*$C687*'Business Case'!F12*$B687))-'Business Case'!G15*$F687+'Business Case'!$B$8*('Business Case'!G11*$C687*'Business Case'!G12*$B687)</f>
        <v>1175020993.76483</v>
      </c>
      <c r="N687" s="39" t="n">
        <f aca="false">IF(COUNT('Business Case'!B11:G11)=0,"",H687+NPV(G687,I687:M687))</f>
        <v>357992236.246778</v>
      </c>
      <c r="P687" s="40" t="n">
        <f aca="true">RAND()</f>
        <v>0.933878238667081</v>
      </c>
      <c r="Q687" s="40" t="n">
        <f aca="true">RAND()</f>
        <v>0.806023823940851</v>
      </c>
      <c r="R687" s="40" t="n">
        <f aca="true">RAND()</f>
        <v>0.0708730798836314</v>
      </c>
      <c r="S687" s="40" t="n">
        <f aca="true">RAND()</f>
        <v>0.818443378034261</v>
      </c>
      <c r="T687" s="40" t="n">
        <f aca="true">RAND()</f>
        <v>0.20111044850098</v>
      </c>
      <c r="U687" s="40" t="n">
        <f aca="true">RAND()</f>
        <v>0.574922047737073</v>
      </c>
    </row>
    <row r="688" customFormat="false" ht="15" hidden="false" customHeight="false" outlineLevel="0" collapsed="false">
      <c r="A688" s="36" t="n">
        <v>608</v>
      </c>
      <c r="B688" s="37" t="n">
        <f aca="false">1+IF($G$6=$E$6,$F$6,IF(P688&lt;($F$6-$E$6)/($G$6-$E$6),$E$6+SQRT(P688*($G$6-$E$6)*($F$6-$E$6)),$G$6-SQRT((1-P688)*($G$6-$E$6)*($G$6-$F$6))))</f>
        <v>0.976875204246791</v>
      </c>
      <c r="C688" s="37" t="n">
        <f aca="false">1+IF($G$7=$E$7,$F$7,IF(Q688&lt;($F$7-$E$7)/($G$7-$E$7),$E$7+SQRT(Q688*($G$7-$E$7)*($F$7-$E$7)),$G$7-SQRT((1-Q688)*($G$7-$E$7)*($G$7-$F$7))))</f>
        <v>0.919710349665313</v>
      </c>
      <c r="D688" s="37" t="n">
        <f aca="false">1+IF($G$8=$E$8,$F$8,IF(R688&lt;($F$8-$E$8)/($G$8-$E$8),$E$8+SQRT(R688*($G$8-$E$8)*($F$8-$E$8)),$G$8-SQRT((1-R688)*($G$8-$E$8)*($G$8-$F$8))))</f>
        <v>1.00233401526482</v>
      </c>
      <c r="E688" s="37" t="n">
        <f aca="false">1+IF($G$9=$E$9,$F$9,IF(S688&lt;($F$9-$E$9)/($G$9-$E$9),$E$9+SQRT(S688*($G$9-$E$9)*($F$9-$E$9)),$G$9-SQRT((1-S688)*($G$9-$E$9)*($G$9-$F$9))))</f>
        <v>1.01682338968993</v>
      </c>
      <c r="F688" s="37" t="n">
        <f aca="false">1+IF($G$10=$E$10,$F$10,IF(T688&lt;($F$10-$E$10)/($G$10-$E$10),$E$10+SQRT(T688*($G$10-$E$10)*($F$10-$E$10)),$G$10-SQRT((1-T688)*($G$10-$E$10)*($G$10-$F$10))))</f>
        <v>1.03075575626196</v>
      </c>
      <c r="G688" s="38" t="n">
        <f aca="false">IF($G$11=$E$11,$F$11,IF(U688&lt;($F$11-$E$11)/($G$11-$E$11),$E$11+SQRT(U688*($G$11-$E$11)*($F$11-$E$11)),$G$11-SQRT((1-U688)*($G$11-$E$11)*($G$11-$F$11))))</f>
        <v>0.108125140446467</v>
      </c>
      <c r="H688" s="39" t="n">
        <f aca="false">(('Business Case'!B11*$C688*'Business Case'!B12*$B688)-'Business Case'!B11*$C688*'Business Case'!B13*$D688-'Business Case'!B14*$E688)-MAX(0,(('Business Case'!B11*$C688*'Business Case'!B12*$B688)-'Business Case'!B11*$C688*'Business Case'!B13*$D688-'Business Case'!B14*$E688))*'Business Case'!$B$7-'Business Case'!$B$8*('Business Case'!B11*$C688*'Business Case'!B12*$B688)-'Business Case'!B15*$F688</f>
        <v>-2061511512.52391</v>
      </c>
      <c r="I688" s="39" t="n">
        <f aca="false">(('Business Case'!C11*$C688*'Business Case'!C12*$B688)-'Business Case'!C11*$C688*'Business Case'!C13*$D688-'Business Case'!C14*$E688)-MAX(0,(('Business Case'!C11*$C688*'Business Case'!C12*$B688)-'Business Case'!C11*$C688*'Business Case'!C13*$D688-'Business Case'!C14*$E688))*'Business Case'!$B$7-'Business Case'!$B$8*(('Business Case'!C11*$C688*'Business Case'!C12*$B688)-('Business Case'!B11*$C688*'Business Case'!B12*$B688))-'Business Case'!C15*$F688</f>
        <v>-30271247.1618609</v>
      </c>
      <c r="J688" s="39" t="n">
        <f aca="false">(('Business Case'!D11*$C688*'Business Case'!D12*$B688)-'Business Case'!D11*$C688*'Business Case'!D13*$D688-'Business Case'!D14*$E688)-MAX(0,(('Business Case'!D11*$C688*'Business Case'!D12*$B688)-'Business Case'!D11*$C688*'Business Case'!D13*$D688-'Business Case'!D14*$E688))*'Business Case'!$B$7-'Business Case'!$B$8*(('Business Case'!D11*$C688*'Business Case'!D12*$B688)-('Business Case'!C11*$C688*'Business Case'!C12*$B688))-'Business Case'!D15*$F688</f>
        <v>233700612.813888</v>
      </c>
      <c r="K688" s="39" t="n">
        <f aca="false">(('Business Case'!E11*$C688*'Business Case'!E12*$B688)-'Business Case'!E11*$C688*'Business Case'!E13*$D688-'Business Case'!E14*$E688)-MAX(0,(('Business Case'!E11*$C688*'Business Case'!E12*$B688)-'Business Case'!E11*$C688*'Business Case'!E13*$D688-'Business Case'!E14*$E688))*'Business Case'!$B$7-'Business Case'!$B$8*(('Business Case'!E11*$C688*'Business Case'!E12*$B688)-('Business Case'!D11*$C688*'Business Case'!D12*$B688))-'Business Case'!E15*$F688</f>
        <v>549210260.602734</v>
      </c>
      <c r="L688" s="39" t="n">
        <f aca="false">(('Business Case'!F11*$C688*'Business Case'!F12*$B688)-'Business Case'!F11*$C688*'Business Case'!F13*$D688-'Business Case'!F14*$E688)-MAX(0,(('Business Case'!F11*$C688*'Business Case'!F12*$B688)-'Business Case'!F11*$C688*'Business Case'!F13*$D688-'Business Case'!F14*$E688))*'Business Case'!$B$7-'Business Case'!$B$8*(('Business Case'!F11*$C688*'Business Case'!F12*$B688)-('Business Case'!E11*$C688*'Business Case'!E12*$B688))-'Business Case'!F15*$F688</f>
        <v>668251044.259654</v>
      </c>
      <c r="M688" s="39" t="n">
        <f aca="false">(('Business Case'!G11*$C688*'Business Case'!G12*$B688)-'Business Case'!G11*$C688*'Business Case'!G13*$D688-'Business Case'!G14*$E688)-MAX(0,(('Business Case'!G11*$C688*'Business Case'!G12*$B688)-'Business Case'!G11*$C688*'Business Case'!G13*$D688-'Business Case'!G14*$E688))*'Business Case'!$B$7-'Business Case'!$B$8*(('Business Case'!G11*$C688*'Business Case'!G12*$B688)-('Business Case'!F11*$C688*'Business Case'!F12*$B688))-'Business Case'!G15*$F688+'Business Case'!$B$8*('Business Case'!G11*$C688*'Business Case'!G12*$B688)</f>
        <v>839026944.417175</v>
      </c>
      <c r="N688" s="39" t="n">
        <f aca="false">IF(COUNT('Business Case'!B11:G11)=0,"",H688+NPV(G688,I688:M688))</f>
        <v>-549557936.687443</v>
      </c>
      <c r="P688" s="40" t="n">
        <f aca="true">RAND()</f>
        <v>0.336957172720224</v>
      </c>
      <c r="Q688" s="40" t="n">
        <f aca="true">RAND()</f>
        <v>0.204722397385594</v>
      </c>
      <c r="R688" s="40" t="n">
        <f aca="true">RAND()</f>
        <v>0.419999501453394</v>
      </c>
      <c r="S688" s="40" t="n">
        <f aca="true">RAND()</f>
        <v>0.538776766488459</v>
      </c>
      <c r="T688" s="40" t="n">
        <f aca="true">RAND()</f>
        <v>0.427127719230757</v>
      </c>
      <c r="U688" s="40" t="n">
        <f aca="true">RAND()</f>
        <v>0.764979517639781</v>
      </c>
    </row>
    <row r="689" customFormat="false" ht="15" hidden="false" customHeight="false" outlineLevel="0" collapsed="false">
      <c r="A689" s="36" t="n">
        <v>609</v>
      </c>
      <c r="B689" s="37" t="n">
        <f aca="false">1+IF($G$6=$E$6,$F$6,IF(P689&lt;($F$6-$E$6)/($G$6-$E$6),$E$6+SQRT(P689*($G$6-$E$6)*($F$6-$E$6)),$G$6-SQRT((1-P689)*($G$6-$E$6)*($G$6-$F$6))))</f>
        <v>0.994227040935625</v>
      </c>
      <c r="C689" s="37" t="n">
        <f aca="false">1+IF($G$7=$E$7,$F$7,IF(Q689&lt;($F$7-$E$7)/($G$7-$E$7),$E$7+SQRT(Q689*($G$7-$E$7)*($F$7-$E$7)),$G$7-SQRT((1-Q689)*($G$7-$E$7)*($G$7-$F$7))))</f>
        <v>1.02730287827461</v>
      </c>
      <c r="D689" s="37" t="n">
        <f aca="false">1+IF($G$8=$E$8,$F$8,IF(R689&lt;($F$8-$E$8)/($G$8-$E$8),$E$8+SQRT(R689*($G$8-$E$8)*($F$8-$E$8)),$G$8-SQRT((1-R689)*($G$8-$E$8)*($G$8-$F$8))))</f>
        <v>1.03359349736615</v>
      </c>
      <c r="E689" s="37" t="n">
        <f aca="false">1+IF($G$9=$E$9,$F$9,IF(S689&lt;($F$9-$E$9)/($G$9-$E$9),$E$9+SQRT(S689*($G$9-$E$9)*($F$9-$E$9)),$G$9-SQRT((1-S689)*($G$9-$E$9)*($G$9-$F$9))))</f>
        <v>0.9844371004453</v>
      </c>
      <c r="F689" s="37" t="n">
        <f aca="false">1+IF($G$10=$E$10,$F$10,IF(T689&lt;($F$10-$E$10)/($G$10-$E$10),$E$10+SQRT(T689*($G$10-$E$10)*($F$10-$E$10)),$G$10-SQRT((1-T689)*($G$10-$E$10)*($G$10-$F$10))))</f>
        <v>1.03043942628175</v>
      </c>
      <c r="G689" s="38" t="n">
        <f aca="false">IF($G$11=$E$11,$F$11,IF(U689&lt;($F$11-$E$11)/($G$11-$E$11),$E$11+SQRT(U689*($G$11-$E$11)*($F$11-$E$11)),$G$11-SQRT((1-U689)*($G$11-$E$11)*($G$11-$F$11))))</f>
        <v>0.100091831747121</v>
      </c>
      <c r="H689" s="39" t="n">
        <f aca="false">(('Business Case'!B11*$C689*'Business Case'!B12*$B689)-'Business Case'!B11*$C689*'Business Case'!B13*$D689-'Business Case'!B14*$E689)-MAX(0,(('Business Case'!B11*$C689*'Business Case'!B12*$B689)-'Business Case'!B11*$C689*'Business Case'!B13*$D689-'Business Case'!B14*$E689))*'Business Case'!$B$7-'Business Case'!$B$8*('Business Case'!B11*$C689*'Business Case'!B12*$B689)-'Business Case'!B15*$F689</f>
        <v>-2060878852.56349</v>
      </c>
      <c r="I689" s="39" t="n">
        <f aca="false">(('Business Case'!C11*$C689*'Business Case'!C12*$B689)-'Business Case'!C11*$C689*'Business Case'!C13*$D689-'Business Case'!C14*$E689)-MAX(0,(('Business Case'!C11*$C689*'Business Case'!C12*$B689)-'Business Case'!C11*$C689*'Business Case'!C13*$D689-'Business Case'!C14*$E689))*'Business Case'!$B$7-'Business Case'!$B$8*(('Business Case'!C11*$C689*'Business Case'!C12*$B689)-('Business Case'!B11*$C689*'Business Case'!B12*$B689))-'Business Case'!C15*$F689</f>
        <v>-2964990.43201798</v>
      </c>
      <c r="J689" s="39" t="n">
        <f aca="false">(('Business Case'!D11*$C689*'Business Case'!D12*$B689)-'Business Case'!D11*$C689*'Business Case'!D13*$D689-'Business Case'!D14*$E689)-MAX(0,(('Business Case'!D11*$C689*'Business Case'!D12*$B689)-'Business Case'!D11*$C689*'Business Case'!D13*$D689-'Business Case'!D14*$E689))*'Business Case'!$B$7-'Business Case'!$B$8*(('Business Case'!D11*$C689*'Business Case'!D12*$B689)-('Business Case'!C11*$C689*'Business Case'!C12*$B689))-'Business Case'!D15*$F689</f>
        <v>290048857.521534</v>
      </c>
      <c r="K689" s="39" t="n">
        <f aca="false">(('Business Case'!E11*$C689*'Business Case'!E12*$B689)-'Business Case'!E11*$C689*'Business Case'!E13*$D689-'Business Case'!E14*$E689)-MAX(0,(('Business Case'!E11*$C689*'Business Case'!E12*$B689)-'Business Case'!E11*$C689*'Business Case'!E13*$D689-'Business Case'!E14*$E689))*'Business Case'!$B$7-'Business Case'!$B$8*(('Business Case'!E11*$C689*'Business Case'!E12*$B689)-('Business Case'!D11*$C689*'Business Case'!D12*$B689))-'Business Case'!E15*$F689</f>
        <v>634584676.789174</v>
      </c>
      <c r="L689" s="39" t="n">
        <f aca="false">(('Business Case'!F11*$C689*'Business Case'!F12*$B689)-'Business Case'!F11*$C689*'Business Case'!F13*$D689-'Business Case'!F14*$E689)-MAX(0,(('Business Case'!F11*$C689*'Business Case'!F12*$B689)-'Business Case'!F11*$C689*'Business Case'!F13*$D689-'Business Case'!F14*$E689))*'Business Case'!$B$7-'Business Case'!$B$8*(('Business Case'!F11*$C689*'Business Case'!F12*$B689)-('Business Case'!E11*$C689*'Business Case'!E12*$B689))-'Business Case'!F15*$F689</f>
        <v>767554586.156407</v>
      </c>
      <c r="M689" s="39" t="n">
        <f aca="false">(('Business Case'!G11*$C689*'Business Case'!G12*$B689)-'Business Case'!G11*$C689*'Business Case'!G13*$D689-'Business Case'!G14*$E689)-MAX(0,(('Business Case'!G11*$C689*'Business Case'!G12*$B689)-'Business Case'!G11*$C689*'Business Case'!G13*$D689-'Business Case'!G14*$E689))*'Business Case'!$B$7-'Business Case'!$B$8*(('Business Case'!G11*$C689*'Business Case'!G12*$B689)-('Business Case'!F11*$C689*'Business Case'!F12*$B689))-'Business Case'!G15*$F689+'Business Case'!$B$8*('Business Case'!G11*$C689*'Business Case'!G12*$B689)</f>
        <v>961697033.094679</v>
      </c>
      <c r="N689" s="39" t="n">
        <f aca="false">IF(COUNT('Business Case'!B11:G11)=0,"",H689+NPV(G689,I689:M689))</f>
        <v>-226286737.410333</v>
      </c>
      <c r="P689" s="40" t="n">
        <f aca="true">RAND()</f>
        <v>0.573922250631134</v>
      </c>
      <c r="Q689" s="40" t="n">
        <f aca="true">RAND()</f>
        <v>0.713246025148659</v>
      </c>
      <c r="R689" s="40" t="n">
        <f aca="true">RAND()</f>
        <v>0.792926587816753</v>
      </c>
      <c r="S689" s="40" t="n">
        <f aca="true">RAND()</f>
        <v>0.158121851610627</v>
      </c>
      <c r="T689" s="40" t="n">
        <f aca="true">RAND()</f>
        <v>0.424984236806723</v>
      </c>
      <c r="U689" s="40" t="n">
        <f aca="true">RAND()</f>
        <v>0.339441394691791</v>
      </c>
    </row>
    <row r="690" customFormat="false" ht="15" hidden="false" customHeight="false" outlineLevel="0" collapsed="false">
      <c r="A690" s="36" t="n">
        <v>610</v>
      </c>
      <c r="B690" s="37" t="n">
        <f aca="false">1+IF($G$6=$E$6,$F$6,IF(P690&lt;($F$6-$E$6)/($G$6-$E$6),$E$6+SQRT(P690*($G$6-$E$6)*($F$6-$E$6)),$G$6-SQRT((1-P690)*($G$6-$E$6)*($G$6-$F$6))))</f>
        <v>0.992590647025289</v>
      </c>
      <c r="C690" s="37" t="n">
        <f aca="false">1+IF($G$7=$E$7,$F$7,IF(Q690&lt;($F$7-$E$7)/($G$7-$E$7),$E$7+SQRT(Q690*($G$7-$E$7)*($F$7-$E$7)),$G$7-SQRT((1-Q690)*($G$7-$E$7)*($G$7-$F$7))))</f>
        <v>1.00545338117441</v>
      </c>
      <c r="D690" s="37" t="n">
        <f aca="false">1+IF($G$8=$E$8,$F$8,IF(R690&lt;($F$8-$E$8)/($G$8-$E$8),$E$8+SQRT(R690*($G$8-$E$8)*($F$8-$E$8)),$G$8-SQRT((1-R690)*($G$8-$E$8)*($G$8-$F$8))))</f>
        <v>0.996634946309693</v>
      </c>
      <c r="E690" s="37" t="n">
        <f aca="false">1+IF($G$9=$E$9,$F$9,IF(S690&lt;($F$9-$E$9)/($G$9-$E$9),$E$9+SQRT(S690*($G$9-$E$9)*($F$9-$E$9)),$G$9-SQRT((1-S690)*($G$9-$E$9)*($G$9-$F$9))))</f>
        <v>1.06281008778149</v>
      </c>
      <c r="F690" s="37" t="n">
        <f aca="false">1+IF($G$10=$E$10,$F$10,IF(T690&lt;($F$10-$E$10)/($G$10-$E$10),$E$10+SQRT(T690*($G$10-$E$10)*($F$10-$E$10)),$G$10-SQRT((1-T690)*($G$10-$E$10)*($G$10-$F$10))))</f>
        <v>1.10556102645253</v>
      </c>
      <c r="G690" s="38" t="n">
        <f aca="false">IF($G$11=$E$11,$F$11,IF(U690&lt;($F$11-$E$11)/($G$11-$E$11),$E$11+SQRT(U690*($G$11-$E$11)*($F$11-$E$11)),$G$11-SQRT((1-U690)*($G$11-$E$11)*($G$11-$F$11))))</f>
        <v>0.10195476165388</v>
      </c>
      <c r="H690" s="39" t="n">
        <f aca="false">(('Business Case'!B11*$C690*'Business Case'!B12*$B690)-'Business Case'!B11*$C690*'Business Case'!B13*$D690-'Business Case'!B14*$E690)-MAX(0,(('Business Case'!B11*$C690*'Business Case'!B12*$B690)-'Business Case'!B11*$C690*'Business Case'!B13*$D690-'Business Case'!B14*$E690))*'Business Case'!$B$7-'Business Case'!$B$8*('Business Case'!B11*$C690*'Business Case'!B12*$B690)-'Business Case'!B15*$F690</f>
        <v>-2211122052.90505</v>
      </c>
      <c r="I690" s="39" t="n">
        <f aca="false">(('Business Case'!C11*$C690*'Business Case'!C12*$B690)-'Business Case'!C11*$C690*'Business Case'!C13*$D690-'Business Case'!C14*$E690)-MAX(0,(('Business Case'!C11*$C690*'Business Case'!C12*$B690)-'Business Case'!C11*$C690*'Business Case'!C13*$D690-'Business Case'!C14*$E690))*'Business Case'!$B$7-'Business Case'!$B$8*(('Business Case'!C11*$C690*'Business Case'!C12*$B690)-('Business Case'!B11*$C690*'Business Case'!B12*$B690))-'Business Case'!C15*$F690</f>
        <v>-8967044.48269805</v>
      </c>
      <c r="J690" s="39" t="n">
        <f aca="false">(('Business Case'!D11*$C690*'Business Case'!D12*$B690)-'Business Case'!D11*$C690*'Business Case'!D13*$D690-'Business Case'!D14*$E690)-MAX(0,(('Business Case'!D11*$C690*'Business Case'!D12*$B690)-'Business Case'!D11*$C690*'Business Case'!D13*$D690-'Business Case'!D14*$E690))*'Business Case'!$B$7-'Business Case'!$B$8*(('Business Case'!D11*$C690*'Business Case'!D12*$B690)-('Business Case'!C11*$C690*'Business Case'!C12*$B690))-'Business Case'!D15*$F690</f>
        <v>295490115.935868</v>
      </c>
      <c r="K690" s="39" t="n">
        <f aca="false">(('Business Case'!E11*$C690*'Business Case'!E12*$B690)-'Business Case'!E11*$C690*'Business Case'!E13*$D690-'Business Case'!E14*$E690)-MAX(0,(('Business Case'!E11*$C690*'Business Case'!E12*$B690)-'Business Case'!E11*$C690*'Business Case'!E13*$D690-'Business Case'!E14*$E690))*'Business Case'!$B$7-'Business Case'!$B$8*(('Business Case'!E11*$C690*'Business Case'!E12*$B690)-('Business Case'!D11*$C690*'Business Case'!D12*$B690))-'Business Case'!E15*$F690</f>
        <v>655225327.67706</v>
      </c>
      <c r="L690" s="39" t="n">
        <f aca="false">(('Business Case'!F11*$C690*'Business Case'!F12*$B690)-'Business Case'!F11*$C690*'Business Case'!F13*$D690-'Business Case'!F14*$E690)-MAX(0,(('Business Case'!F11*$C690*'Business Case'!F12*$B690)-'Business Case'!F11*$C690*'Business Case'!F13*$D690-'Business Case'!F14*$E690))*'Business Case'!$B$7-'Business Case'!$B$8*(('Business Case'!F11*$C690*'Business Case'!F12*$B690)-('Business Case'!E11*$C690*'Business Case'!E12*$B690))-'Business Case'!F15*$F690</f>
        <v>791202052.998905</v>
      </c>
      <c r="M690" s="39" t="n">
        <f aca="false">(('Business Case'!G11*$C690*'Business Case'!G12*$B690)-'Business Case'!G11*$C690*'Business Case'!G13*$D690-'Business Case'!G14*$E690)-MAX(0,(('Business Case'!G11*$C690*'Business Case'!G12*$B690)-'Business Case'!G11*$C690*'Business Case'!G13*$D690-'Business Case'!G14*$E690))*'Business Case'!$B$7-'Business Case'!$B$8*(('Business Case'!G11*$C690*'Business Case'!G12*$B690)-('Business Case'!F11*$C690*'Business Case'!F12*$B690))-'Business Case'!G15*$F690+'Business Case'!$B$8*('Business Case'!G11*$C690*'Business Case'!G12*$B690)</f>
        <v>980902581.501676</v>
      </c>
      <c r="N690" s="39" t="n">
        <f aca="false">IF(COUNT('Business Case'!B11:G11)=0,"",H690+NPV(G690,I690:M690))</f>
        <v>-345995298.046562</v>
      </c>
      <c r="P690" s="40" t="n">
        <f aca="true">RAND()</f>
        <v>0.548896045369794</v>
      </c>
      <c r="Q690" s="40" t="n">
        <f aca="true">RAND()</f>
        <v>0.602024285449323</v>
      </c>
      <c r="R690" s="40" t="n">
        <f aca="true">RAND()</f>
        <v>0.334587418047373</v>
      </c>
      <c r="S690" s="40" t="n">
        <f aca="true">RAND()</f>
        <v>0.90779402861199</v>
      </c>
      <c r="T690" s="40" t="n">
        <f aca="true">RAND()</f>
        <v>0.821625605505988</v>
      </c>
      <c r="U690" s="40" t="n">
        <f aca="true">RAND()</f>
        <v>0.457282288386181</v>
      </c>
    </row>
    <row r="691" customFormat="false" ht="15" hidden="false" customHeight="false" outlineLevel="0" collapsed="false">
      <c r="A691" s="36" t="n">
        <v>611</v>
      </c>
      <c r="B691" s="37" t="n">
        <f aca="false">1+IF($G$6=$E$6,$F$6,IF(P691&lt;($F$6-$E$6)/($G$6-$E$6),$E$6+SQRT(P691*($G$6-$E$6)*($F$6-$E$6)),$G$6-SQRT((1-P691)*($G$6-$E$6)*($G$6-$F$6))))</f>
        <v>1.02835459280672</v>
      </c>
      <c r="C691" s="37" t="n">
        <f aca="false">1+IF($G$7=$E$7,$F$7,IF(Q691&lt;($F$7-$E$7)/($G$7-$E$7),$E$7+SQRT(Q691*($G$7-$E$7)*($F$7-$E$7)),$G$7-SQRT((1-Q691)*($G$7-$E$7)*($G$7-$F$7))))</f>
        <v>1.0225167320471</v>
      </c>
      <c r="D691" s="37" t="n">
        <f aca="false">1+IF($G$8=$E$8,$F$8,IF(R691&lt;($F$8-$E$8)/($G$8-$E$8),$E$8+SQRT(R691*($G$8-$E$8)*($F$8-$E$8)),$G$8-SQRT((1-R691)*($G$8-$E$8)*($G$8-$F$8))))</f>
        <v>1.01117296675337</v>
      </c>
      <c r="E691" s="37" t="n">
        <f aca="false">1+IF($G$9=$E$9,$F$9,IF(S691&lt;($F$9-$E$9)/($G$9-$E$9),$E$9+SQRT(S691*($G$9-$E$9)*($F$9-$E$9)),$G$9-SQRT((1-S691)*($G$9-$E$9)*($G$9-$F$9))))</f>
        <v>0.998113172703855</v>
      </c>
      <c r="F691" s="37" t="n">
        <f aca="false">1+IF($G$10=$E$10,$F$10,IF(T691&lt;($F$10-$E$10)/($G$10-$E$10),$E$10+SQRT(T691*($G$10-$E$10)*($F$10-$E$10)),$G$10-SQRT((1-T691)*($G$10-$E$10)*($G$10-$F$10))))</f>
        <v>1.02271412994882</v>
      </c>
      <c r="G691" s="38" t="n">
        <f aca="false">IF($G$11=$E$11,$F$11,IF(U691&lt;($F$11-$E$11)/($G$11-$E$11),$E$11+SQRT(U691*($G$11-$E$11)*($F$11-$E$11)),$G$11-SQRT((1-U691)*($G$11-$E$11)*($G$11-$F$11))))</f>
        <v>0.114527501221893</v>
      </c>
      <c r="H691" s="39" t="n">
        <f aca="false">(('Business Case'!B11*$C691*'Business Case'!B12*$B691)-'Business Case'!B11*$C691*'Business Case'!B13*$D691-'Business Case'!B14*$E691)-MAX(0,(('Business Case'!B11*$C691*'Business Case'!B12*$B691)-'Business Case'!B11*$C691*'Business Case'!B13*$D691-'Business Case'!B14*$E691))*'Business Case'!$B$7-'Business Case'!$B$8*('Business Case'!B11*$C691*'Business Case'!B12*$B691)-'Business Case'!B15*$F691</f>
        <v>-2045428259.89763</v>
      </c>
      <c r="I691" s="39" t="n">
        <f aca="false">(('Business Case'!C11*$C691*'Business Case'!C12*$B691)-'Business Case'!C11*$C691*'Business Case'!C13*$D691-'Business Case'!C14*$E691)-MAX(0,(('Business Case'!C11*$C691*'Business Case'!C12*$B691)-'Business Case'!C11*$C691*'Business Case'!C13*$D691-'Business Case'!C14*$E691))*'Business Case'!$B$7-'Business Case'!$B$8*(('Business Case'!C11*$C691*'Business Case'!C12*$B691)-('Business Case'!B11*$C691*'Business Case'!B12*$B691))-'Business Case'!C15*$F691</f>
        <v>33253624.7740836</v>
      </c>
      <c r="J691" s="39" t="n">
        <f aca="false">(('Business Case'!D11*$C691*'Business Case'!D12*$B691)-'Business Case'!D11*$C691*'Business Case'!D13*$D691-'Business Case'!D14*$E691)-MAX(0,(('Business Case'!D11*$C691*'Business Case'!D12*$B691)-'Business Case'!D11*$C691*'Business Case'!D13*$D691-'Business Case'!D14*$E691))*'Business Case'!$B$7-'Business Case'!$B$8*(('Business Case'!D11*$C691*'Business Case'!D12*$B691)-('Business Case'!C11*$C691*'Business Case'!C12*$B691))-'Business Case'!D15*$F691</f>
        <v>365220622.57348</v>
      </c>
      <c r="K691" s="39" t="n">
        <f aca="false">(('Business Case'!E11*$C691*'Business Case'!E12*$B691)-'Business Case'!E11*$C691*'Business Case'!E13*$D691-'Business Case'!E14*$E691)-MAX(0,(('Business Case'!E11*$C691*'Business Case'!E12*$B691)-'Business Case'!E11*$C691*'Business Case'!E13*$D691-'Business Case'!E14*$E691))*'Business Case'!$B$7-'Business Case'!$B$8*(('Business Case'!E11*$C691*'Business Case'!E12*$B691)-('Business Case'!D11*$C691*'Business Case'!D12*$B691))-'Business Case'!E15*$F691</f>
        <v>748323326.870317</v>
      </c>
      <c r="L691" s="39" t="n">
        <f aca="false">(('Business Case'!F11*$C691*'Business Case'!F12*$B691)-'Business Case'!F11*$C691*'Business Case'!F13*$D691-'Business Case'!F14*$E691)-MAX(0,(('Business Case'!F11*$C691*'Business Case'!F12*$B691)-'Business Case'!F11*$C691*'Business Case'!F13*$D691-'Business Case'!F14*$E691))*'Business Case'!$B$7-'Business Case'!$B$8*(('Business Case'!F11*$C691*'Business Case'!F12*$B691)-('Business Case'!E11*$C691*'Business Case'!E12*$B691))-'Business Case'!F15*$F691</f>
        <v>895319170.718078</v>
      </c>
      <c r="M691" s="39" t="n">
        <f aca="false">(('Business Case'!G11*$C691*'Business Case'!G12*$B691)-'Business Case'!G11*$C691*'Business Case'!G13*$D691-'Business Case'!G14*$E691)-MAX(0,(('Business Case'!G11*$C691*'Business Case'!G12*$B691)-'Business Case'!G11*$C691*'Business Case'!G13*$D691-'Business Case'!G14*$E691))*'Business Case'!$B$7-'Business Case'!$B$8*(('Business Case'!G11*$C691*'Business Case'!G12*$B691)-('Business Case'!F11*$C691*'Business Case'!F12*$B691))-'Business Case'!G15*$F691+'Business Case'!$B$8*('Business Case'!G11*$C691*'Business Case'!G12*$B691)</f>
        <v>1095190149.24853</v>
      </c>
      <c r="N691" s="39" t="n">
        <f aca="false">IF(COUNT('Business Case'!B11:G11)=0,"",H691+NPV(G691,I691:M691))</f>
        <v>36049662.6567586</v>
      </c>
      <c r="P691" s="40" t="n">
        <f aca="true">RAND()</f>
        <v>0.971746769021396</v>
      </c>
      <c r="Q691" s="40" t="n">
        <f aca="true">RAND()</f>
        <v>0.690438407467593</v>
      </c>
      <c r="R691" s="40" t="n">
        <f aca="true">RAND()</f>
        <v>0.544503797544872</v>
      </c>
      <c r="S691" s="40" t="n">
        <f aca="true">RAND()</f>
        <v>0.308650318350798</v>
      </c>
      <c r="T691" s="40" t="n">
        <f aca="true">RAND()</f>
        <v>0.371394405603904</v>
      </c>
      <c r="U691" s="40" t="n">
        <f aca="true">RAND()</f>
        <v>0.950086261872692</v>
      </c>
    </row>
    <row r="692" customFormat="false" ht="15" hidden="false" customHeight="false" outlineLevel="0" collapsed="false">
      <c r="A692" s="36" t="n">
        <v>612</v>
      </c>
      <c r="B692" s="37" t="n">
        <f aca="false">1+IF($G$6=$E$6,$F$6,IF(P692&lt;($F$6-$E$6)/($G$6-$E$6),$E$6+SQRT(P692*($G$6-$E$6)*($F$6-$E$6)),$G$6-SQRT((1-P692)*($G$6-$E$6)*($G$6-$F$6))))</f>
        <v>0.993060661477224</v>
      </c>
      <c r="C692" s="37" t="n">
        <f aca="false">1+IF($G$7=$E$7,$F$7,IF(Q692&lt;($F$7-$E$7)/($G$7-$E$7),$E$7+SQRT(Q692*($G$7-$E$7)*($F$7-$E$7)),$G$7-SQRT((1-Q692)*($G$7-$E$7)*($G$7-$F$7))))</f>
        <v>0.805539972187012</v>
      </c>
      <c r="D692" s="37" t="n">
        <f aca="false">1+IF($G$8=$E$8,$F$8,IF(R692&lt;($F$8-$E$8)/($G$8-$E$8),$E$8+SQRT(R692*($G$8-$E$8)*($F$8-$E$8)),$G$8-SQRT((1-R692)*($G$8-$E$8)*($G$8-$F$8))))</f>
        <v>1.00003748626384</v>
      </c>
      <c r="E692" s="37" t="n">
        <f aca="false">1+IF($G$9=$E$9,$F$9,IF(S692&lt;($F$9-$E$9)/($G$9-$E$9),$E$9+SQRT(S692*($G$9-$E$9)*($F$9-$E$9)),$G$9-SQRT((1-S692)*($G$9-$E$9)*($G$9-$F$9))))</f>
        <v>0.96412240056624</v>
      </c>
      <c r="F692" s="37" t="n">
        <f aca="false">1+IF($G$10=$E$10,$F$10,IF(T692&lt;($F$10-$E$10)/($G$10-$E$10),$E$10+SQRT(T692*($G$10-$E$10)*($F$10-$E$10)),$G$10-SQRT((1-T692)*($G$10-$E$10)*($G$10-$F$10))))</f>
        <v>1.11691727191255</v>
      </c>
      <c r="G692" s="38" t="n">
        <f aca="false">IF($G$11=$E$11,$F$11,IF(U692&lt;($F$11-$E$11)/($G$11-$E$11),$E$11+SQRT(U692*($G$11-$E$11)*($F$11-$E$11)),$G$11-SQRT((1-U692)*($G$11-$E$11)*($G$11-$F$11))))</f>
        <v>0.106450678967437</v>
      </c>
      <c r="H692" s="39" t="n">
        <f aca="false">(('Business Case'!B11*$C692*'Business Case'!B12*$B692)-'Business Case'!B11*$C692*'Business Case'!B13*$D692-'Business Case'!B14*$E692)-MAX(0,(('Business Case'!B11*$C692*'Business Case'!B12*$B692)-'Business Case'!B11*$C692*'Business Case'!B13*$D692-'Business Case'!B14*$E692))*'Business Case'!$B$7-'Business Case'!$B$8*('Business Case'!B11*$C692*'Business Case'!B12*$B692)-'Business Case'!B15*$F692</f>
        <v>-2233834543.8251</v>
      </c>
      <c r="I692" s="39" t="n">
        <f aca="false">(('Business Case'!C11*$C692*'Business Case'!C12*$B692)-'Business Case'!C11*$C692*'Business Case'!C13*$D692-'Business Case'!C14*$E692)-MAX(0,(('Business Case'!C11*$C692*'Business Case'!C12*$B692)-'Business Case'!C11*$C692*'Business Case'!C13*$D692-'Business Case'!C14*$E692))*'Business Case'!$B$7-'Business Case'!$B$8*(('Business Case'!C11*$C692*'Business Case'!C12*$B692)-('Business Case'!B11*$C692*'Business Case'!B12*$B692))-'Business Case'!C15*$F692</f>
        <v>-47430130.7873839</v>
      </c>
      <c r="J692" s="39" t="n">
        <f aca="false">(('Business Case'!D11*$C692*'Business Case'!D12*$B692)-'Business Case'!D11*$C692*'Business Case'!D13*$D692-'Business Case'!D14*$E692)-MAX(0,(('Business Case'!D11*$C692*'Business Case'!D12*$B692)-'Business Case'!D11*$C692*'Business Case'!D13*$D692-'Business Case'!D14*$E692))*'Business Case'!$B$7-'Business Case'!$B$8*(('Business Case'!D11*$C692*'Business Case'!D12*$B692)-('Business Case'!C11*$C692*'Business Case'!C12*$B692))-'Business Case'!D15*$F692</f>
        <v>195399081.964358</v>
      </c>
      <c r="K692" s="39" t="n">
        <f aca="false">(('Business Case'!E11*$C692*'Business Case'!E12*$B692)-'Business Case'!E11*$C692*'Business Case'!E13*$D692-'Business Case'!E14*$E692)-MAX(0,(('Business Case'!E11*$C692*'Business Case'!E12*$B692)-'Business Case'!E11*$C692*'Business Case'!E13*$D692-'Business Case'!E14*$E692))*'Business Case'!$B$7-'Business Case'!$B$8*(('Business Case'!E11*$C692*'Business Case'!E12*$B692)-('Business Case'!D11*$C692*'Business Case'!D12*$B692))-'Business Case'!E15*$F692</f>
        <v>494074158.311727</v>
      </c>
      <c r="L692" s="39" t="n">
        <f aca="false">(('Business Case'!F11*$C692*'Business Case'!F12*$B692)-'Business Case'!F11*$C692*'Business Case'!F13*$D692-'Business Case'!F14*$E692)-MAX(0,(('Business Case'!F11*$C692*'Business Case'!F12*$B692)-'Business Case'!F11*$C692*'Business Case'!F13*$D692-'Business Case'!F14*$E692))*'Business Case'!$B$7-'Business Case'!$B$8*(('Business Case'!F11*$C692*'Business Case'!F12*$B692)-('Business Case'!E11*$C692*'Business Case'!E12*$B692))-'Business Case'!F15*$F692</f>
        <v>602663503.220543</v>
      </c>
      <c r="M692" s="39" t="n">
        <f aca="false">(('Business Case'!G11*$C692*'Business Case'!G12*$B692)-'Business Case'!G11*$C692*'Business Case'!G13*$D692-'Business Case'!G14*$E692)-MAX(0,(('Business Case'!G11*$C692*'Business Case'!G12*$B692)-'Business Case'!G11*$C692*'Business Case'!G13*$D692-'Business Case'!G14*$E692))*'Business Case'!$B$7-'Business Case'!$B$8*(('Business Case'!G11*$C692*'Business Case'!G12*$B692)-('Business Case'!F11*$C692*'Business Case'!F12*$B692))-'Business Case'!G15*$F692+'Business Case'!$B$8*('Business Case'!G11*$C692*'Business Case'!G12*$B692)</f>
        <v>754718010.174165</v>
      </c>
      <c r="N692" s="39" t="n">
        <f aca="false">IF(COUNT('Business Case'!B11:G11)=0,"",H692+NPV(G692,I692:M692))</f>
        <v>-895111461.177074</v>
      </c>
      <c r="P692" s="40" t="n">
        <f aca="true">RAND()</f>
        <v>0.556027109946829</v>
      </c>
      <c r="Q692" s="40" t="n">
        <f aca="true">RAND()</f>
        <v>0.000438447026183791</v>
      </c>
      <c r="R692" s="40" t="n">
        <f aca="true">RAND()</f>
        <v>0.385191961249401</v>
      </c>
      <c r="S692" s="40" t="n">
        <f aca="true">RAND()</f>
        <v>0.0265922930337784</v>
      </c>
      <c r="T692" s="40" t="n">
        <f aca="true">RAND()</f>
        <v>0.861945205870934</v>
      </c>
      <c r="U692" s="40" t="n">
        <f aca="true">RAND()</f>
        <v>0.69402649926093</v>
      </c>
    </row>
    <row r="693" customFormat="false" ht="15" hidden="false" customHeight="false" outlineLevel="0" collapsed="false">
      <c r="A693" s="36" t="n">
        <v>613</v>
      </c>
      <c r="B693" s="37" t="n">
        <f aca="false">1+IF($G$6=$E$6,$F$6,IF(P693&lt;($F$6-$E$6)/($G$6-$E$6),$E$6+SQRT(P693*($G$6-$E$6)*($F$6-$E$6)),$G$6-SQRT((1-P693)*($G$6-$E$6)*($G$6-$F$6))))</f>
        <v>0.945360931938767</v>
      </c>
      <c r="C693" s="37" t="n">
        <f aca="false">1+IF($G$7=$E$7,$F$7,IF(Q693&lt;($F$7-$E$7)/($G$7-$E$7),$E$7+SQRT(Q693*($G$7-$E$7)*($F$7-$E$7)),$G$7-SQRT((1-Q693)*($G$7-$E$7)*($G$7-$F$7))))</f>
        <v>0.912476715366467</v>
      </c>
      <c r="D693" s="37" t="n">
        <f aca="false">1+IF($G$8=$E$8,$F$8,IF(R693&lt;($F$8-$E$8)/($G$8-$E$8),$E$8+SQRT(R693*($G$8-$E$8)*($F$8-$E$8)),$G$8-SQRT((1-R693)*($G$8-$E$8)*($G$8-$F$8))))</f>
        <v>0.992930449614394</v>
      </c>
      <c r="E693" s="37" t="n">
        <f aca="false">1+IF($G$9=$E$9,$F$9,IF(S693&lt;($F$9-$E$9)/($G$9-$E$9),$E$9+SQRT(S693*($G$9-$E$9)*($F$9-$E$9)),$G$9-SQRT((1-S693)*($G$9-$E$9)*($G$9-$F$9))))</f>
        <v>0.965608772481006</v>
      </c>
      <c r="F693" s="37" t="n">
        <f aca="false">1+IF($G$10=$E$10,$F$10,IF(T693&lt;($F$10-$E$10)/($G$10-$E$10),$E$10+SQRT(T693*($G$10-$E$10)*($F$10-$E$10)),$G$10-SQRT((1-T693)*($G$10-$E$10)*($G$10-$F$10))))</f>
        <v>1.07797339921826</v>
      </c>
      <c r="G693" s="38" t="n">
        <f aca="false">IF($G$11=$E$11,$F$11,IF(U693&lt;($F$11-$E$11)/($G$11-$E$11),$E$11+SQRT(U693*($G$11-$E$11)*($F$11-$E$11)),$G$11-SQRT((1-U693)*($G$11-$E$11)*($G$11-$F$11))))</f>
        <v>0.0964727379817645</v>
      </c>
      <c r="H693" s="39" t="n">
        <f aca="false">(('Business Case'!B11*$C693*'Business Case'!B12*$B693)-'Business Case'!B11*$C693*'Business Case'!B13*$D693-'Business Case'!B14*$E693)-MAX(0,(('Business Case'!B11*$C693*'Business Case'!B12*$B693)-'Business Case'!B11*$C693*'Business Case'!B13*$D693-'Business Case'!B14*$E693))*'Business Case'!$B$7-'Business Case'!$B$8*('Business Case'!B11*$C693*'Business Case'!B12*$B693)-'Business Case'!B15*$F693</f>
        <v>-2155946798.43651</v>
      </c>
      <c r="I693" s="39" t="n">
        <f aca="false">(('Business Case'!C11*$C693*'Business Case'!C12*$B693)-'Business Case'!C11*$C693*'Business Case'!C13*$D693-'Business Case'!C14*$E693)-MAX(0,(('Business Case'!C11*$C693*'Business Case'!C12*$B693)-'Business Case'!C11*$C693*'Business Case'!C13*$D693-'Business Case'!C14*$E693))*'Business Case'!$B$7-'Business Case'!$B$8*(('Business Case'!C11*$C693*'Business Case'!C12*$B693)-('Business Case'!B11*$C693*'Business Case'!B12*$B693))-'Business Case'!C15*$F693</f>
        <v>-47090150.3471069</v>
      </c>
      <c r="J693" s="39" t="n">
        <f aca="false">(('Business Case'!D11*$C693*'Business Case'!D12*$B693)-'Business Case'!D11*$C693*'Business Case'!D13*$D693-'Business Case'!D14*$E693)-MAX(0,(('Business Case'!D11*$C693*'Business Case'!D12*$B693)-'Business Case'!D11*$C693*'Business Case'!D13*$D693-'Business Case'!D14*$E693))*'Business Case'!$B$7-'Business Case'!$B$8*(('Business Case'!D11*$C693*'Business Case'!D12*$B693)-('Business Case'!C11*$C693*'Business Case'!C12*$B693))-'Business Case'!D15*$F693</f>
        <v>195644819.076915</v>
      </c>
      <c r="K693" s="39" t="n">
        <f aca="false">(('Business Case'!E11*$C693*'Business Case'!E12*$B693)-'Business Case'!E11*$C693*'Business Case'!E13*$D693-'Business Case'!E14*$E693)-MAX(0,(('Business Case'!E11*$C693*'Business Case'!E12*$B693)-'Business Case'!E11*$C693*'Business Case'!E13*$D693-'Business Case'!E14*$E693))*'Business Case'!$B$7-'Business Case'!$B$8*(('Business Case'!E11*$C693*'Business Case'!E12*$B693)-('Business Case'!D11*$C693*'Business Case'!D12*$B693))-'Business Case'!E15*$F693</f>
        <v>492278458.46185</v>
      </c>
      <c r="L693" s="39" t="n">
        <f aca="false">(('Business Case'!F11*$C693*'Business Case'!F12*$B693)-'Business Case'!F11*$C693*'Business Case'!F13*$D693-'Business Case'!F14*$E693)-MAX(0,(('Business Case'!F11*$C693*'Business Case'!F12*$B693)-'Business Case'!F11*$C693*'Business Case'!F13*$D693-'Business Case'!F14*$E693))*'Business Case'!$B$7-'Business Case'!$B$8*(('Business Case'!F11*$C693*'Business Case'!F12*$B693)-('Business Case'!E11*$C693*'Business Case'!E12*$B693))-'Business Case'!F15*$F693</f>
        <v>603002256.538193</v>
      </c>
      <c r="M693" s="39" t="n">
        <f aca="false">(('Business Case'!G11*$C693*'Business Case'!G12*$B693)-'Business Case'!G11*$C693*'Business Case'!G13*$D693-'Business Case'!G14*$E693)-MAX(0,(('Business Case'!G11*$C693*'Business Case'!G12*$B693)-'Business Case'!G11*$C693*'Business Case'!G13*$D693-'Business Case'!G14*$E693))*'Business Case'!$B$7-'Business Case'!$B$8*(('Business Case'!G11*$C693*'Business Case'!G12*$B693)-('Business Case'!F11*$C693*'Business Case'!F12*$B693))-'Business Case'!G15*$F693+'Business Case'!$B$8*('Business Case'!G11*$C693*'Business Case'!G12*$B693)</f>
        <v>766969035.347375</v>
      </c>
      <c r="N693" s="39" t="n">
        <f aca="false">IF(COUNT('Business Case'!B11:G11)=0,"",H693+NPV(G693,I693:M693))</f>
        <v>-761604137.080072</v>
      </c>
      <c r="P693" s="40" t="n">
        <f aca="true">RAND()</f>
        <v>0.0669975905002881</v>
      </c>
      <c r="Q693" s="40" t="n">
        <f aca="true">RAND()</f>
        <v>0.18072873570899</v>
      </c>
      <c r="R693" s="40" t="n">
        <f aca="true">RAND()</f>
        <v>0.283542077552929</v>
      </c>
      <c r="S693" s="40" t="n">
        <f aca="true">RAND()</f>
        <v>0.0324845037818419</v>
      </c>
      <c r="T693" s="40" t="n">
        <f aca="true">RAND()</f>
        <v>0.702190174033062</v>
      </c>
      <c r="U693" s="40" t="n">
        <f aca="true">RAND()</f>
        <v>0.139654456601923</v>
      </c>
    </row>
    <row r="694" customFormat="false" ht="15" hidden="false" customHeight="false" outlineLevel="0" collapsed="false">
      <c r="A694" s="36" t="n">
        <v>614</v>
      </c>
      <c r="B694" s="37" t="n">
        <f aca="false">1+IF($G$6=$E$6,$F$6,IF(P694&lt;($F$6-$E$6)/($G$6-$E$6),$E$6+SQRT(P694*($G$6-$E$6)*($F$6-$E$6)),$G$6-SQRT((1-P694)*($G$6-$E$6)*($G$6-$F$6))))</f>
        <v>0.972021527538592</v>
      </c>
      <c r="C694" s="37" t="n">
        <f aca="false">1+IF($G$7=$E$7,$F$7,IF(Q694&lt;($F$7-$E$7)/($G$7-$E$7),$E$7+SQRT(Q694*($G$7-$E$7)*($F$7-$E$7)),$G$7-SQRT((1-Q694)*($G$7-$E$7)*($G$7-$F$7))))</f>
        <v>1.03462621066219</v>
      </c>
      <c r="D694" s="37" t="n">
        <f aca="false">1+IF($G$8=$E$8,$F$8,IF(R694&lt;($F$8-$E$8)/($G$8-$E$8),$E$8+SQRT(R694*($G$8-$E$8)*($F$8-$E$8)),$G$8-SQRT((1-R694)*($G$8-$E$8)*($G$8-$F$8))))</f>
        <v>0.951851765246563</v>
      </c>
      <c r="E694" s="37" t="n">
        <f aca="false">1+IF($G$9=$E$9,$F$9,IF(S694&lt;($F$9-$E$9)/($G$9-$E$9),$E$9+SQRT(S694*($G$9-$E$9)*($F$9-$E$9)),$G$9-SQRT((1-S694)*($G$9-$E$9)*($G$9-$F$9))))</f>
        <v>0.987417337356265</v>
      </c>
      <c r="F694" s="37" t="n">
        <f aca="false">1+IF($G$10=$E$10,$F$10,IF(T694&lt;($F$10-$E$10)/($G$10-$E$10),$E$10+SQRT(T694*($G$10-$E$10)*($F$10-$E$10)),$G$10-SQRT((1-T694)*($G$10-$E$10)*($G$10-$F$10))))</f>
        <v>1.11285366813001</v>
      </c>
      <c r="G694" s="38" t="n">
        <f aca="false">IF($G$11=$E$11,$F$11,IF(U694&lt;($F$11-$E$11)/($G$11-$E$11),$E$11+SQRT(U694*($G$11-$E$11)*($F$11-$E$11)),$G$11-SQRT((1-U694)*($G$11-$E$11)*($G$11-$F$11))))</f>
        <v>0.0998065090271381</v>
      </c>
      <c r="H694" s="39" t="n">
        <f aca="false">(('Business Case'!B11*$C694*'Business Case'!B12*$B694)-'Business Case'!B11*$C694*'Business Case'!B13*$D694-'Business Case'!B14*$E694)-MAX(0,(('Business Case'!B11*$C694*'Business Case'!B12*$B694)-'Business Case'!B11*$C694*'Business Case'!B13*$D694-'Business Case'!B14*$E694))*'Business Case'!$B$7-'Business Case'!$B$8*('Business Case'!B11*$C694*'Business Case'!B12*$B694)-'Business Case'!B15*$F694</f>
        <v>-2225707336.26002</v>
      </c>
      <c r="I694" s="39" t="n">
        <f aca="false">(('Business Case'!C11*$C694*'Business Case'!C12*$B694)-'Business Case'!C11*$C694*'Business Case'!C13*$D694-'Business Case'!C14*$E694)-MAX(0,(('Business Case'!C11*$C694*'Business Case'!C12*$B694)-'Business Case'!C11*$C694*'Business Case'!C13*$D694-'Business Case'!C14*$E694))*'Business Case'!$B$7-'Business Case'!$B$8*(('Business Case'!C11*$C694*'Business Case'!C12*$B694)-('Business Case'!B11*$C694*'Business Case'!B12*$B694))-'Business Case'!C15*$F694</f>
        <v>15748622.7143407</v>
      </c>
      <c r="J694" s="39" t="n">
        <f aca="false">(('Business Case'!D11*$C694*'Business Case'!D12*$B694)-'Business Case'!D11*$C694*'Business Case'!D13*$D694-'Business Case'!D14*$E694)-MAX(0,(('Business Case'!D11*$C694*'Business Case'!D12*$B694)-'Business Case'!D11*$C694*'Business Case'!D13*$D694-'Business Case'!D14*$E694))*'Business Case'!$B$7-'Business Case'!$B$8*(('Business Case'!D11*$C694*'Business Case'!D12*$B694)-('Business Case'!C11*$C694*'Business Case'!C12*$B694))-'Business Case'!D15*$F694</f>
        <v>335327754.367193</v>
      </c>
      <c r="K694" s="39" t="n">
        <f aca="false">(('Business Case'!E11*$C694*'Business Case'!E12*$B694)-'Business Case'!E11*$C694*'Business Case'!E13*$D694-'Business Case'!E14*$E694)-MAX(0,(('Business Case'!E11*$C694*'Business Case'!E12*$B694)-'Business Case'!E11*$C694*'Business Case'!E13*$D694-'Business Case'!E14*$E694))*'Business Case'!$B$7-'Business Case'!$B$8*(('Business Case'!E11*$C694*'Business Case'!E12*$B694)-('Business Case'!D11*$C694*'Business Case'!D12*$B694))-'Business Case'!E15*$F694</f>
        <v>710549569.426547</v>
      </c>
      <c r="L694" s="39" t="n">
        <f aca="false">(('Business Case'!F11*$C694*'Business Case'!F12*$B694)-'Business Case'!F11*$C694*'Business Case'!F13*$D694-'Business Case'!F14*$E694)-MAX(0,(('Business Case'!F11*$C694*'Business Case'!F12*$B694)-'Business Case'!F11*$C694*'Business Case'!F13*$D694-'Business Case'!F14*$E694))*'Business Case'!$B$7-'Business Case'!$B$8*(('Business Case'!F11*$C694*'Business Case'!F12*$B694)-('Business Case'!E11*$C694*'Business Case'!E12*$B694))-'Business Case'!F15*$F694</f>
        <v>851832211.146463</v>
      </c>
      <c r="M694" s="39" t="n">
        <f aca="false">(('Business Case'!G11*$C694*'Business Case'!G12*$B694)-'Business Case'!G11*$C694*'Business Case'!G13*$D694-'Business Case'!G14*$E694)-MAX(0,(('Business Case'!G11*$C694*'Business Case'!G12*$B694)-'Business Case'!G11*$C694*'Business Case'!G13*$D694-'Business Case'!G14*$E694))*'Business Case'!$B$7-'Business Case'!$B$8*(('Business Case'!G11*$C694*'Business Case'!G12*$B694)-('Business Case'!F11*$C694*'Business Case'!F12*$B694))-'Business Case'!G15*$F694+'Business Case'!$B$8*('Business Case'!G11*$C694*'Business Case'!G12*$B694)</f>
        <v>1042991665.90911</v>
      </c>
      <c r="N694" s="39" t="n">
        <f aca="false">IF(COUNT('Business Case'!B11:G11)=0,"",H694+NPV(G694,I694:M694))</f>
        <v>-169623717.57797</v>
      </c>
      <c r="P694" s="40" t="n">
        <f aca="true">RAND()</f>
        <v>0.28189992994255</v>
      </c>
      <c r="Q694" s="40" t="n">
        <f aca="true">RAND()</f>
        <v>0.746455023501593</v>
      </c>
      <c r="R694" s="40" t="n">
        <f aca="true">RAND()</f>
        <v>0.000527543773596514</v>
      </c>
      <c r="S694" s="40" t="n">
        <f aca="true">RAND()</f>
        <v>0.18667428464434</v>
      </c>
      <c r="T694" s="40" t="n">
        <f aca="true">RAND()</f>
        <v>0.848110336832119</v>
      </c>
      <c r="U694" s="40" t="n">
        <f aca="true">RAND()</f>
        <v>0.320558730997804</v>
      </c>
    </row>
    <row r="695" customFormat="false" ht="15" hidden="false" customHeight="false" outlineLevel="0" collapsed="false">
      <c r="A695" s="36" t="n">
        <v>615</v>
      </c>
      <c r="B695" s="37" t="n">
        <f aca="false">1+IF($G$6=$E$6,$F$6,IF(P695&lt;($F$6-$E$6)/($G$6-$E$6),$E$6+SQRT(P695*($G$6-$E$6)*($F$6-$E$6)),$G$6-SQRT((1-P695)*($G$6-$E$6)*($G$6-$F$6))))</f>
        <v>0.983847547260405</v>
      </c>
      <c r="C695" s="37" t="n">
        <f aca="false">1+IF($G$7=$E$7,$F$7,IF(Q695&lt;($F$7-$E$7)/($G$7-$E$7),$E$7+SQRT(Q695*($G$7-$E$7)*($F$7-$E$7)),$G$7-SQRT((1-Q695)*($G$7-$E$7)*($G$7-$F$7))))</f>
        <v>1.04081821874119</v>
      </c>
      <c r="D695" s="37" t="n">
        <f aca="false">1+IF($G$8=$E$8,$F$8,IF(R695&lt;($F$8-$E$8)/($G$8-$E$8),$E$8+SQRT(R695*($G$8-$E$8)*($F$8-$E$8)),$G$8-SQRT((1-R695)*($G$8-$E$8)*($G$8-$F$8))))</f>
        <v>1.01410796488647</v>
      </c>
      <c r="E695" s="37" t="n">
        <f aca="false">1+IF($G$9=$E$9,$F$9,IF(S695&lt;($F$9-$E$9)/($G$9-$E$9),$E$9+SQRT(S695*($G$9-$E$9)*($F$9-$E$9)),$G$9-SQRT((1-S695)*($G$9-$E$9)*($G$9-$F$9))))</f>
        <v>0.983317198456816</v>
      </c>
      <c r="F695" s="37" t="n">
        <f aca="false">1+IF($G$10=$E$10,$F$10,IF(T695&lt;($F$10-$E$10)/($G$10-$E$10),$E$10+SQRT(T695*($G$10-$E$10)*($F$10-$E$10)),$G$10-SQRT((1-T695)*($G$10-$E$10)*($G$10-$F$10))))</f>
        <v>1.03731610779942</v>
      </c>
      <c r="G695" s="38" t="n">
        <f aca="false">IF($G$11=$E$11,$F$11,IF(U695&lt;($F$11-$E$11)/($G$11-$E$11),$E$11+SQRT(U695*($G$11-$E$11)*($F$11-$E$11)),$G$11-SQRT((1-U695)*($G$11-$E$11)*($G$11-$F$11))))</f>
        <v>0.0947268702110311</v>
      </c>
      <c r="H695" s="39" t="n">
        <f aca="false">(('Business Case'!B11*$C695*'Business Case'!B12*$B695)-'Business Case'!B11*$C695*'Business Case'!B13*$D695-'Business Case'!B14*$E695)-MAX(0,(('Business Case'!B11*$C695*'Business Case'!B12*$B695)-'Business Case'!B11*$C695*'Business Case'!B13*$D695-'Business Case'!B14*$E695))*'Business Case'!$B$7-'Business Case'!$B$8*('Business Case'!B11*$C695*'Business Case'!B12*$B695)-'Business Case'!B15*$F695</f>
        <v>-2074632215.59885</v>
      </c>
      <c r="I695" s="39" t="n">
        <f aca="false">(('Business Case'!C11*$C695*'Business Case'!C12*$B695)-'Business Case'!C11*$C695*'Business Case'!C13*$D695-'Business Case'!C14*$E695)-MAX(0,(('Business Case'!C11*$C695*'Business Case'!C12*$B695)-'Business Case'!C11*$C695*'Business Case'!C13*$D695-'Business Case'!C14*$E695))*'Business Case'!$B$7-'Business Case'!$B$8*(('Business Case'!C11*$C695*'Business Case'!C12*$B695)-('Business Case'!B11*$C695*'Business Case'!B12*$B695))-'Business Case'!C15*$F695</f>
        <v>1758594.31768557</v>
      </c>
      <c r="J695" s="39" t="n">
        <f aca="false">(('Business Case'!D11*$C695*'Business Case'!D12*$B695)-'Business Case'!D11*$C695*'Business Case'!D13*$D695-'Business Case'!D14*$E695)-MAX(0,(('Business Case'!D11*$C695*'Business Case'!D12*$B695)-'Business Case'!D11*$C695*'Business Case'!D13*$D695-'Business Case'!D14*$E695))*'Business Case'!$B$7-'Business Case'!$B$8*(('Business Case'!D11*$C695*'Business Case'!D12*$B695)-('Business Case'!C11*$C695*'Business Case'!C12*$B695))-'Business Case'!D15*$F695</f>
        <v>300160999.489536</v>
      </c>
      <c r="K695" s="39" t="n">
        <f aca="false">(('Business Case'!E11*$C695*'Business Case'!E12*$B695)-'Business Case'!E11*$C695*'Business Case'!E13*$D695-'Business Case'!E14*$E695)-MAX(0,(('Business Case'!E11*$C695*'Business Case'!E12*$B695)-'Business Case'!E11*$C695*'Business Case'!E13*$D695-'Business Case'!E14*$E695))*'Business Case'!$B$7-'Business Case'!$B$8*(('Business Case'!E11*$C695*'Business Case'!E12*$B695)-('Business Case'!D11*$C695*'Business Case'!D12*$B695))-'Business Case'!E15*$F695</f>
        <v>650429210.051358</v>
      </c>
      <c r="L695" s="39" t="n">
        <f aca="false">(('Business Case'!F11*$C695*'Business Case'!F12*$B695)-'Business Case'!F11*$C695*'Business Case'!F13*$D695-'Business Case'!F14*$E695)-MAX(0,(('Business Case'!F11*$C695*'Business Case'!F12*$B695)-'Business Case'!F11*$C695*'Business Case'!F13*$D695-'Business Case'!F14*$E695))*'Business Case'!$B$7-'Business Case'!$B$8*(('Business Case'!F11*$C695*'Business Case'!F12*$B695)-('Business Case'!E11*$C695*'Business Case'!E12*$B695))-'Business Case'!F15*$F695</f>
        <v>785286341.411084</v>
      </c>
      <c r="M695" s="39" t="n">
        <f aca="false">(('Business Case'!G11*$C695*'Business Case'!G12*$B695)-'Business Case'!G11*$C695*'Business Case'!G13*$D695-'Business Case'!G14*$E695)-MAX(0,(('Business Case'!G11*$C695*'Business Case'!G12*$B695)-'Business Case'!G11*$C695*'Business Case'!G13*$D695-'Business Case'!G14*$E695))*'Business Case'!$B$7-'Business Case'!$B$8*(('Business Case'!G11*$C695*'Business Case'!G12*$B695)-('Business Case'!F11*$C695*'Business Case'!F12*$B695))-'Business Case'!G15*$F695+'Business Case'!$B$8*('Business Case'!G11*$C695*'Business Case'!G12*$B695)</f>
        <v>979929487.741184</v>
      </c>
      <c r="N695" s="39" t="n">
        <f aca="false">IF(COUNT('Business Case'!B11:G11)=0,"",H695+NPV(G695,I695:M695))</f>
        <v>-156764931.184588</v>
      </c>
      <c r="P695" s="40" t="n">
        <f aca="true">RAND()</f>
        <v>0.424636384496836</v>
      </c>
      <c r="Q695" s="40" t="n">
        <f aca="true">RAND()</f>
        <v>0.772939783641009</v>
      </c>
      <c r="R695" s="40" t="n">
        <f aca="true">RAND()</f>
        <v>0.582523048903544</v>
      </c>
      <c r="S695" s="40" t="n">
        <f aca="true">RAND()</f>
        <v>0.148004761734778</v>
      </c>
      <c r="T695" s="40" t="n">
        <f aca="true">RAND()</f>
        <v>0.470679024369423</v>
      </c>
      <c r="U695" s="40" t="n">
        <f aca="true">RAND()</f>
        <v>0.0744776733064455</v>
      </c>
    </row>
    <row r="696" customFormat="false" ht="15" hidden="false" customHeight="false" outlineLevel="0" collapsed="false">
      <c r="A696" s="36" t="n">
        <v>616</v>
      </c>
      <c r="B696" s="37" t="n">
        <f aca="false">1+IF($G$6=$E$6,$F$6,IF(P696&lt;($F$6-$E$6)/($G$6-$E$6),$E$6+SQRT(P696*($G$6-$E$6)*($F$6-$E$6)),$G$6-SQRT((1-P696)*($G$6-$E$6)*($G$6-$F$6))))</f>
        <v>0.957069783708676</v>
      </c>
      <c r="C696" s="37" t="n">
        <f aca="false">1+IF($G$7=$E$7,$F$7,IF(Q696&lt;($F$7-$E$7)/($G$7-$E$7),$E$7+SQRT(Q696*($G$7-$E$7)*($F$7-$E$7)),$G$7-SQRT((1-Q696)*($G$7-$E$7)*($G$7-$F$7))))</f>
        <v>0.813470447445961</v>
      </c>
      <c r="D696" s="37" t="n">
        <f aca="false">1+IF($G$8=$E$8,$F$8,IF(R696&lt;($F$8-$E$8)/($G$8-$E$8),$E$8+SQRT(R696*($G$8-$E$8)*($F$8-$E$8)),$G$8-SQRT((1-R696)*($G$8-$E$8)*($G$8-$F$8))))</f>
        <v>1.00514727047098</v>
      </c>
      <c r="E696" s="37" t="n">
        <f aca="false">1+IF($G$9=$E$9,$F$9,IF(S696&lt;($F$9-$E$9)/($G$9-$E$9),$E$9+SQRT(S696*($G$9-$E$9)*($F$9-$E$9)),$G$9-SQRT((1-S696)*($G$9-$E$9)*($G$9-$F$9))))</f>
        <v>1.03475185453879</v>
      </c>
      <c r="F696" s="37" t="n">
        <f aca="false">1+IF($G$10=$E$10,$F$10,IF(T696&lt;($F$10-$E$10)/($G$10-$E$10),$E$10+SQRT(T696*($G$10-$E$10)*($F$10-$E$10)),$G$10-SQRT((1-T696)*($G$10-$E$10)*($G$10-$F$10))))</f>
        <v>1.00666966402113</v>
      </c>
      <c r="G696" s="38" t="n">
        <f aca="false">IF($G$11=$E$11,$F$11,IF(U696&lt;($F$11-$E$11)/($G$11-$E$11),$E$11+SQRT(U696*($G$11-$E$11)*($F$11-$E$11)),$G$11-SQRT((1-U696)*($G$11-$E$11)*($G$11-$F$11))))</f>
        <v>0.110592009520308</v>
      </c>
      <c r="H696" s="39" t="n">
        <f aca="false">(('Business Case'!B11*$C696*'Business Case'!B12*$B696)-'Business Case'!B11*$C696*'Business Case'!B13*$D696-'Business Case'!B14*$E696)-MAX(0,(('Business Case'!B11*$C696*'Business Case'!B12*$B696)-'Business Case'!B11*$C696*'Business Case'!B13*$D696-'Business Case'!B14*$E696))*'Business Case'!$B$7-'Business Case'!$B$8*('Business Case'!B11*$C696*'Business Case'!B12*$B696)-'Business Case'!B15*$F696</f>
        <v>-2013339328.04227</v>
      </c>
      <c r="I696" s="39" t="n">
        <f aca="false">(('Business Case'!C11*$C696*'Business Case'!C12*$B696)-'Business Case'!C11*$C696*'Business Case'!C13*$D696-'Business Case'!C14*$E696)-MAX(0,(('Business Case'!C11*$C696*'Business Case'!C12*$B696)-'Business Case'!C11*$C696*'Business Case'!C13*$D696-'Business Case'!C14*$E696))*'Business Case'!$B$7-'Business Case'!$B$8*(('Business Case'!C11*$C696*'Business Case'!C12*$B696)-('Business Case'!B11*$C696*'Business Case'!B12*$B696))-'Business Case'!C15*$F696</f>
        <v>-69057030.8637248</v>
      </c>
      <c r="J696" s="39" t="n">
        <f aca="false">(('Business Case'!D11*$C696*'Business Case'!D12*$B696)-'Business Case'!D11*$C696*'Business Case'!D13*$D696-'Business Case'!D14*$E696)-MAX(0,(('Business Case'!D11*$C696*'Business Case'!D12*$B696)-'Business Case'!D11*$C696*'Business Case'!D13*$D696-'Business Case'!D14*$E696))*'Business Case'!$B$7-'Business Case'!$B$8*(('Business Case'!D11*$C696*'Business Case'!D12*$B696)-('Business Case'!C11*$C696*'Business Case'!C12*$B696))-'Business Case'!D15*$F696</f>
        <v>150054545.942356</v>
      </c>
      <c r="K696" s="39" t="n">
        <f aca="false">(('Business Case'!E11*$C696*'Business Case'!E12*$B696)-'Business Case'!E11*$C696*'Business Case'!E13*$D696-'Business Case'!E14*$E696)-MAX(0,(('Business Case'!E11*$C696*'Business Case'!E12*$B696)-'Business Case'!E11*$C696*'Business Case'!E13*$D696-'Business Case'!E14*$E696))*'Business Case'!$B$7-'Business Case'!$B$8*(('Business Case'!E11*$C696*'Business Case'!E12*$B696)-('Business Case'!D11*$C696*'Business Case'!D12*$B696))-'Business Case'!E15*$F696</f>
        <v>419499605.949493</v>
      </c>
      <c r="L696" s="39" t="n">
        <f aca="false">(('Business Case'!F11*$C696*'Business Case'!F12*$B696)-'Business Case'!F11*$C696*'Business Case'!F13*$D696-'Business Case'!F14*$E696)-MAX(0,(('Business Case'!F11*$C696*'Business Case'!F12*$B696)-'Business Case'!F11*$C696*'Business Case'!F13*$D696-'Business Case'!F14*$E696))*'Business Case'!$B$7-'Business Case'!$B$8*(('Business Case'!F11*$C696*'Business Case'!F12*$B696)-('Business Case'!E11*$C696*'Business Case'!E12*$B696))-'Business Case'!F15*$F696</f>
        <v>519443416.58637</v>
      </c>
      <c r="M696" s="39" t="n">
        <f aca="false">(('Business Case'!G11*$C696*'Business Case'!G12*$B696)-'Business Case'!G11*$C696*'Business Case'!G13*$D696-'Business Case'!G14*$E696)-MAX(0,(('Business Case'!G11*$C696*'Business Case'!G12*$B696)-'Business Case'!G11*$C696*'Business Case'!G13*$D696-'Business Case'!G14*$E696))*'Business Case'!$B$7-'Business Case'!$B$8*(('Business Case'!G11*$C696*'Business Case'!G12*$B696)-('Business Case'!F11*$C696*'Business Case'!F12*$B696))-'Business Case'!G15*$F696+'Business Case'!$B$8*('Business Case'!G11*$C696*'Business Case'!G12*$B696)</f>
        <v>667429817.611381</v>
      </c>
      <c r="N696" s="39" t="n">
        <f aca="false">IF(COUNT('Business Case'!B11:G11)=0,"",H696+NPV(G696,I696:M696))</f>
        <v>-911140630.426027</v>
      </c>
      <c r="P696" s="40" t="n">
        <f aca="true">RAND()</f>
        <v>0.143142590021664</v>
      </c>
      <c r="Q696" s="40" t="n">
        <f aca="true">RAND()</f>
        <v>0.00259218506277693</v>
      </c>
      <c r="R696" s="40" t="n">
        <f aca="true">RAND()</f>
        <v>0.461256623274522</v>
      </c>
      <c r="S696" s="40" t="n">
        <f aca="true">RAND()</f>
        <v>0.716178634258213</v>
      </c>
      <c r="T696" s="40" t="n">
        <f aca="true">RAND()</f>
        <v>0.252467623805965</v>
      </c>
      <c r="U696" s="40" t="n">
        <f aca="true">RAND()</f>
        <v>0.852482858556696</v>
      </c>
    </row>
    <row r="697" customFormat="false" ht="15" hidden="false" customHeight="false" outlineLevel="0" collapsed="false">
      <c r="A697" s="36" t="n">
        <v>617</v>
      </c>
      <c r="B697" s="37" t="n">
        <f aca="false">1+IF($G$6=$E$6,$F$6,IF(P697&lt;($F$6-$E$6)/($G$6-$E$6),$E$6+SQRT(P697*($G$6-$E$6)*($F$6-$E$6)),$G$6-SQRT((1-P697)*($G$6-$E$6)*($G$6-$F$6))))</f>
        <v>1.01322071626096</v>
      </c>
      <c r="C697" s="37" t="n">
        <f aca="false">1+IF($G$7=$E$7,$F$7,IF(Q697&lt;($F$7-$E$7)/($G$7-$E$7),$E$7+SQRT(Q697*($G$7-$E$7)*($F$7-$E$7)),$G$7-SQRT((1-Q697)*($G$7-$E$7)*($G$7-$F$7))))</f>
        <v>0.99366829523389</v>
      </c>
      <c r="D697" s="37" t="n">
        <f aca="false">1+IF($G$8=$E$8,$F$8,IF(R697&lt;($F$8-$E$8)/($G$8-$E$8),$E$8+SQRT(R697*($G$8-$E$8)*($F$8-$E$8)),$G$8-SQRT((1-R697)*($G$8-$E$8)*($G$8-$F$8))))</f>
        <v>0.978978254931796</v>
      </c>
      <c r="E697" s="37" t="n">
        <f aca="false">1+IF($G$9=$E$9,$F$9,IF(S697&lt;($F$9-$E$9)/($G$9-$E$9),$E$9+SQRT(S697*($G$9-$E$9)*($F$9-$E$9)),$G$9-SQRT((1-S697)*($G$9-$E$9)*($G$9-$F$9))))</f>
        <v>0.98317115612234</v>
      </c>
      <c r="F697" s="37" t="n">
        <f aca="false">1+IF($G$10=$E$10,$F$10,IF(T697&lt;($F$10-$E$10)/($G$10-$E$10),$E$10+SQRT(T697*($G$10-$E$10)*($F$10-$E$10)),$G$10-SQRT((1-T697)*($G$10-$E$10)*($G$10-$F$10))))</f>
        <v>1.00507472647677</v>
      </c>
      <c r="G697" s="38" t="n">
        <f aca="false">IF($G$11=$E$11,$F$11,IF(U697&lt;($F$11-$E$11)/($G$11-$E$11),$E$11+SQRT(U697*($G$11-$E$11)*($F$11-$E$11)),$G$11-SQRT((1-U697)*($G$11-$E$11)*($G$11-$F$11))))</f>
        <v>0.108799521228066</v>
      </c>
      <c r="H697" s="39" t="n">
        <f aca="false">(('Business Case'!B11*$C697*'Business Case'!B12*$B697)-'Business Case'!B11*$C697*'Business Case'!B13*$D697-'Business Case'!B14*$E697)-MAX(0,(('Business Case'!B11*$C697*'Business Case'!B12*$B697)-'Business Case'!B11*$C697*'Business Case'!B13*$D697-'Business Case'!B14*$E697))*'Business Case'!$B$7-'Business Case'!$B$8*('Business Case'!B11*$C697*'Business Case'!B12*$B697)-'Business Case'!B15*$F697</f>
        <v>-2010149452.95354</v>
      </c>
      <c r="I697" s="39" t="n">
        <f aca="false">(('Business Case'!C11*$C697*'Business Case'!C12*$B697)-'Business Case'!C11*$C697*'Business Case'!C13*$D697-'Business Case'!C14*$E697)-MAX(0,(('Business Case'!C11*$C697*'Business Case'!C12*$B697)-'Business Case'!C11*$C697*'Business Case'!C13*$D697-'Business Case'!C14*$E697))*'Business Case'!$B$7-'Business Case'!$B$8*(('Business Case'!C11*$C697*'Business Case'!C12*$B697)-('Business Case'!B11*$C697*'Business Case'!B12*$B697))-'Business Case'!C15*$F697</f>
        <v>34153473.9836903</v>
      </c>
      <c r="J697" s="39" t="n">
        <f aca="false">(('Business Case'!D11*$C697*'Business Case'!D12*$B697)-'Business Case'!D11*$C697*'Business Case'!D13*$D697-'Business Case'!D14*$E697)-MAX(0,(('Business Case'!D11*$C697*'Business Case'!D12*$B697)-'Business Case'!D11*$C697*'Business Case'!D13*$D697-'Business Case'!D14*$E697))*'Business Case'!$B$7-'Business Case'!$B$8*(('Business Case'!D11*$C697*'Business Case'!D12*$B697)-('Business Case'!C11*$C697*'Business Case'!C12*$B697))-'Business Case'!D15*$F697</f>
        <v>360814145.862142</v>
      </c>
      <c r="K697" s="39" t="n">
        <f aca="false">(('Business Case'!E11*$C697*'Business Case'!E12*$B697)-'Business Case'!E11*$C697*'Business Case'!E13*$D697-'Business Case'!E14*$E697)-MAX(0,(('Business Case'!E11*$C697*'Business Case'!E12*$B697)-'Business Case'!E11*$C697*'Business Case'!E13*$D697-'Business Case'!E14*$E697))*'Business Case'!$B$7-'Business Case'!$B$8*(('Business Case'!E11*$C697*'Business Case'!E12*$B697)-('Business Case'!D11*$C697*'Business Case'!D12*$B697))-'Business Case'!E15*$F697</f>
        <v>737728554.064433</v>
      </c>
      <c r="L697" s="39" t="n">
        <f aca="false">(('Business Case'!F11*$C697*'Business Case'!F12*$B697)-'Business Case'!F11*$C697*'Business Case'!F13*$D697-'Business Case'!F14*$E697)-MAX(0,(('Business Case'!F11*$C697*'Business Case'!F12*$B697)-'Business Case'!F11*$C697*'Business Case'!F13*$D697-'Business Case'!F14*$E697))*'Business Case'!$B$7-'Business Case'!$B$8*(('Business Case'!F11*$C697*'Business Case'!F12*$B697)-('Business Case'!E11*$C697*'Business Case'!E12*$B697))-'Business Case'!F15*$F697</f>
        <v>881410635.921576</v>
      </c>
      <c r="M697" s="39" t="n">
        <f aca="false">(('Business Case'!G11*$C697*'Business Case'!G12*$B697)-'Business Case'!G11*$C697*'Business Case'!G13*$D697-'Business Case'!G14*$E697)-MAX(0,(('Business Case'!G11*$C697*'Business Case'!G12*$B697)-'Business Case'!G11*$C697*'Business Case'!G13*$D697-'Business Case'!G14*$E697))*'Business Case'!$B$7-'Business Case'!$B$8*(('Business Case'!G11*$C697*'Business Case'!G12*$B697)-('Business Case'!F11*$C697*'Business Case'!F12*$B697))-'Business Case'!G15*$F697+'Business Case'!$B$8*('Business Case'!G11*$C697*'Business Case'!G12*$B697)</f>
        <v>1072784187.69203</v>
      </c>
      <c r="N697" s="39" t="n">
        <f aca="false">IF(COUNT('Business Case'!B11:G11)=0,"",H697+NPV(G697,I697:M697))</f>
        <v>78536942.7367997</v>
      </c>
      <c r="P697" s="40" t="n">
        <f aca="true">RAND()</f>
        <v>0.850597908838317</v>
      </c>
      <c r="Q697" s="40" t="n">
        <f aca="true">RAND()</f>
        <v>0.535820122554301</v>
      </c>
      <c r="R697" s="40" t="n">
        <f aca="true">RAND()</f>
        <v>0.129190655214173</v>
      </c>
      <c r="S697" s="40" t="n">
        <f aca="true">RAND()</f>
        <v>0.146710079799022</v>
      </c>
      <c r="T697" s="40" t="n">
        <f aca="true">RAND()</f>
        <v>0.240082754837868</v>
      </c>
      <c r="U697" s="40" t="n">
        <f aca="true">RAND()</f>
        <v>0.790915458799085</v>
      </c>
    </row>
    <row r="698" customFormat="false" ht="15" hidden="false" customHeight="false" outlineLevel="0" collapsed="false">
      <c r="A698" s="36" t="n">
        <v>618</v>
      </c>
      <c r="B698" s="37" t="n">
        <f aca="false">1+IF($G$6=$E$6,$F$6,IF(P698&lt;($F$6-$E$6)/($G$6-$E$6),$E$6+SQRT(P698*($G$6-$E$6)*($F$6-$E$6)),$G$6-SQRT((1-P698)*($G$6-$E$6)*($G$6-$F$6))))</f>
        <v>1.023111691943</v>
      </c>
      <c r="C698" s="37" t="n">
        <f aca="false">1+IF($G$7=$E$7,$F$7,IF(Q698&lt;($F$7-$E$7)/($G$7-$E$7),$E$7+SQRT(Q698*($G$7-$E$7)*($F$7-$E$7)),$G$7-SQRT((1-Q698)*($G$7-$E$7)*($G$7-$F$7))))</f>
        <v>1.06418769266224</v>
      </c>
      <c r="D698" s="37" t="n">
        <f aca="false">1+IF($G$8=$E$8,$F$8,IF(R698&lt;($F$8-$E$8)/($G$8-$E$8),$E$8+SQRT(R698*($G$8-$E$8)*($F$8-$E$8)),$G$8-SQRT((1-R698)*($G$8-$E$8)*($G$8-$F$8))))</f>
        <v>0.994129051147646</v>
      </c>
      <c r="E698" s="37" t="n">
        <f aca="false">1+IF($G$9=$E$9,$F$9,IF(S698&lt;($F$9-$E$9)/($G$9-$E$9),$E$9+SQRT(S698*($G$9-$E$9)*($F$9-$E$9)),$G$9-SQRT((1-S698)*($G$9-$E$9)*($G$9-$F$9))))</f>
        <v>1.02134916733183</v>
      </c>
      <c r="F698" s="37" t="n">
        <f aca="false">1+IF($G$10=$E$10,$F$10,IF(T698&lt;($F$10-$E$10)/($G$10-$E$10),$E$10+SQRT(T698*($G$10-$E$10)*($F$10-$E$10)),$G$10-SQRT((1-T698)*($G$10-$E$10)*($G$10-$F$10))))</f>
        <v>0.976620168340584</v>
      </c>
      <c r="G698" s="38" t="n">
        <f aca="false">IF($G$11=$E$11,$F$11,IF(U698&lt;($F$11-$E$11)/($G$11-$E$11),$E$11+SQRT(U698*($G$11-$E$11)*($F$11-$E$11)),$G$11-SQRT((1-U698)*($G$11-$E$11)*($G$11-$F$11))))</f>
        <v>0.0933461890055061</v>
      </c>
      <c r="H698" s="39" t="n">
        <f aca="false">(('Business Case'!B11*$C698*'Business Case'!B12*$B698)-'Business Case'!B11*$C698*'Business Case'!B13*$D698-'Business Case'!B14*$E698)-MAX(0,(('Business Case'!B11*$C698*'Business Case'!B12*$B698)-'Business Case'!B11*$C698*'Business Case'!B13*$D698-'Business Case'!B14*$E698))*'Business Case'!$B$7-'Business Case'!$B$8*('Business Case'!B11*$C698*'Business Case'!B12*$B698)-'Business Case'!B15*$F698</f>
        <v>-1953240336.68117</v>
      </c>
      <c r="I698" s="39" t="n">
        <f aca="false">(('Business Case'!C11*$C698*'Business Case'!C12*$B698)-'Business Case'!C11*$C698*'Business Case'!C13*$D698-'Business Case'!C14*$E698)-MAX(0,(('Business Case'!C11*$C698*'Business Case'!C12*$B698)-'Business Case'!C11*$C698*'Business Case'!C13*$D698-'Business Case'!C14*$E698))*'Business Case'!$B$7-'Business Case'!$B$8*(('Business Case'!C11*$C698*'Business Case'!C12*$B698)-('Business Case'!B11*$C698*'Business Case'!B12*$B698))-'Business Case'!C15*$F698</f>
        <v>50870596.8927902</v>
      </c>
      <c r="J698" s="39" t="n">
        <f aca="false">(('Business Case'!D11*$C698*'Business Case'!D12*$B698)-'Business Case'!D11*$C698*'Business Case'!D13*$D698-'Business Case'!D14*$E698)-MAX(0,(('Business Case'!D11*$C698*'Business Case'!D12*$B698)-'Business Case'!D11*$C698*'Business Case'!D13*$D698-'Business Case'!D14*$E698))*'Business Case'!$B$7-'Business Case'!$B$8*(('Business Case'!D11*$C698*'Business Case'!D12*$B698)-('Business Case'!C11*$C698*'Business Case'!C12*$B698))-'Business Case'!D15*$F698</f>
        <v>401081566.235698</v>
      </c>
      <c r="K698" s="39" t="n">
        <f aca="false">(('Business Case'!E11*$C698*'Business Case'!E12*$B698)-'Business Case'!E11*$C698*'Business Case'!E13*$D698-'Business Case'!E14*$E698)-MAX(0,(('Business Case'!E11*$C698*'Business Case'!E12*$B698)-'Business Case'!E11*$C698*'Business Case'!E13*$D698-'Business Case'!E14*$E698))*'Business Case'!$B$7-'Business Case'!$B$8*(('Business Case'!E11*$C698*'Business Case'!E12*$B698)-('Business Case'!D11*$C698*'Business Case'!D12*$B698))-'Business Case'!E15*$F698</f>
        <v>800123543.995634</v>
      </c>
      <c r="L698" s="39" t="n">
        <f aca="false">(('Business Case'!F11*$C698*'Business Case'!F12*$B698)-'Business Case'!F11*$C698*'Business Case'!F13*$D698-'Business Case'!F14*$E698)-MAX(0,(('Business Case'!F11*$C698*'Business Case'!F12*$B698)-'Business Case'!F11*$C698*'Business Case'!F13*$D698-'Business Case'!F14*$E698))*'Business Case'!$B$7-'Business Case'!$B$8*(('Business Case'!F11*$C698*'Business Case'!F12*$B698)-('Business Case'!E11*$C698*'Business Case'!E12*$B698))-'Business Case'!F15*$F698</f>
        <v>954488869.790918</v>
      </c>
      <c r="M698" s="39" t="n">
        <f aca="false">(('Business Case'!G11*$C698*'Business Case'!G12*$B698)-'Business Case'!G11*$C698*'Business Case'!G13*$D698-'Business Case'!G14*$E698)-MAX(0,(('Business Case'!G11*$C698*'Business Case'!G12*$B698)-'Business Case'!G11*$C698*'Business Case'!G13*$D698-'Business Case'!G14*$E698))*'Business Case'!$B$7-'Business Case'!$B$8*(('Business Case'!G11*$C698*'Business Case'!G12*$B698)-('Business Case'!F11*$C698*'Business Case'!F12*$B698))-'Business Case'!G15*$F698+'Business Case'!$B$8*('Business Case'!G11*$C698*'Business Case'!G12*$B698)</f>
        <v>1161444717.86965</v>
      </c>
      <c r="N698" s="39" t="n">
        <f aca="false">IF(COUNT('Business Case'!B11:G11)=0,"",H698+NPV(G698,I698:M698))</f>
        <v>452315723.490024</v>
      </c>
      <c r="P698" s="40" t="n">
        <f aca="true">RAND()</f>
        <v>0.94058021895244</v>
      </c>
      <c r="Q698" s="40" t="n">
        <f aca="true">RAND()</f>
        <v>0.859738055416567</v>
      </c>
      <c r="R698" s="40" t="n">
        <f aca="true">RAND()</f>
        <v>0.29959587002947</v>
      </c>
      <c r="S698" s="40" t="n">
        <f aca="true">RAND()</f>
        <v>0.58760310137357</v>
      </c>
      <c r="T698" s="40" t="n">
        <f aca="true">RAND()</f>
        <v>0.0566906689984831</v>
      </c>
      <c r="U698" s="40" t="n">
        <f aca="true">RAND()</f>
        <v>0.0373232695352325</v>
      </c>
    </row>
    <row r="699" customFormat="false" ht="15" hidden="false" customHeight="false" outlineLevel="0" collapsed="false">
      <c r="A699" s="36" t="n">
        <v>619</v>
      </c>
      <c r="B699" s="37" t="n">
        <f aca="false">1+IF($G$6=$E$6,$F$6,IF(P699&lt;($F$6-$E$6)/($G$6-$E$6),$E$6+SQRT(P699*($G$6-$E$6)*($F$6-$E$6)),$G$6-SQRT((1-P699)*($G$6-$E$6)*($G$6-$F$6))))</f>
        <v>0.953305555373653</v>
      </c>
      <c r="C699" s="37" t="n">
        <f aca="false">1+IF($G$7=$E$7,$F$7,IF(Q699&lt;($F$7-$E$7)/($G$7-$E$7),$E$7+SQRT(Q699*($G$7-$E$7)*($F$7-$E$7)),$G$7-SQRT((1-Q699)*($G$7-$E$7)*($G$7-$F$7))))</f>
        <v>1.03902899039012</v>
      </c>
      <c r="D699" s="37" t="n">
        <f aca="false">1+IF($G$8=$E$8,$F$8,IF(R699&lt;($F$8-$E$8)/($G$8-$E$8),$E$8+SQRT(R699*($G$8-$E$8)*($F$8-$E$8)),$G$8-SQRT((1-R699)*($G$8-$E$8)*($G$8-$F$8))))</f>
        <v>0.993013763670657</v>
      </c>
      <c r="E699" s="37" t="n">
        <f aca="false">1+IF($G$9=$E$9,$F$9,IF(S699&lt;($F$9-$E$9)/($G$9-$E$9),$E$9+SQRT(S699*($G$9-$E$9)*($F$9-$E$9)),$G$9-SQRT((1-S699)*($G$9-$E$9)*($G$9-$F$9))))</f>
        <v>0.980005326294875</v>
      </c>
      <c r="F699" s="37" t="n">
        <f aca="false">1+IF($G$10=$E$10,$F$10,IF(T699&lt;($F$10-$E$10)/($G$10-$E$10),$E$10+SQRT(T699*($G$10-$E$10)*($F$10-$E$10)),$G$10-SQRT((1-T699)*($G$10-$E$10)*($G$10-$F$10))))</f>
        <v>1.11431765964506</v>
      </c>
      <c r="G699" s="38" t="n">
        <f aca="false">IF($G$11=$E$11,$F$11,IF(U699&lt;($F$11-$E$11)/($G$11-$E$11),$E$11+SQRT(U699*($G$11-$E$11)*($F$11-$E$11)),$G$11-SQRT((1-U699)*($G$11-$E$11)*($G$11-$F$11))))</f>
        <v>0.111703267774409</v>
      </c>
      <c r="H699" s="39" t="n">
        <f aca="false">(('Business Case'!B11*$C699*'Business Case'!B12*$B699)-'Business Case'!B11*$C699*'Business Case'!B13*$D699-'Business Case'!B14*$E699)-MAX(0,(('Business Case'!B11*$C699*'Business Case'!B12*$B699)-'Business Case'!B11*$C699*'Business Case'!B13*$D699-'Business Case'!B14*$E699))*'Business Case'!$B$7-'Business Case'!$B$8*('Business Case'!B11*$C699*'Business Case'!B12*$B699)-'Business Case'!B15*$F699</f>
        <v>-2228635319.29013</v>
      </c>
      <c r="I699" s="39" t="n">
        <f aca="false">(('Business Case'!C11*$C699*'Business Case'!C12*$B699)-'Business Case'!C11*$C699*'Business Case'!C13*$D699-'Business Case'!C14*$E699)-MAX(0,(('Business Case'!C11*$C699*'Business Case'!C12*$B699)-'Business Case'!C11*$C699*'Business Case'!C13*$D699-'Business Case'!C14*$E699))*'Business Case'!$B$7-'Business Case'!$B$8*(('Business Case'!C11*$C699*'Business Case'!C12*$B699)-('Business Case'!B11*$C699*'Business Case'!B12*$B699))-'Business Case'!C15*$F699</f>
        <v>-19019680.7638294</v>
      </c>
      <c r="J699" s="39" t="n">
        <f aca="false">(('Business Case'!D11*$C699*'Business Case'!D12*$B699)-'Business Case'!D11*$C699*'Business Case'!D13*$D699-'Business Case'!D14*$E699)-MAX(0,(('Business Case'!D11*$C699*'Business Case'!D12*$B699)-'Business Case'!D11*$C699*'Business Case'!D13*$D699-'Business Case'!D14*$E699))*'Business Case'!$B$7-'Business Case'!$B$8*(('Business Case'!D11*$C699*'Business Case'!D12*$B699)-('Business Case'!C11*$C699*'Business Case'!C12*$B699))-'Business Case'!D15*$F699</f>
        <v>264097309.552707</v>
      </c>
      <c r="K699" s="39" t="n">
        <f aca="false">(('Business Case'!E11*$C699*'Business Case'!E12*$B699)-'Business Case'!E11*$C699*'Business Case'!E13*$D699-'Business Case'!E14*$E699)-MAX(0,(('Business Case'!E11*$C699*'Business Case'!E12*$B699)-'Business Case'!E11*$C699*'Business Case'!E13*$D699-'Business Case'!E14*$E699))*'Business Case'!$B$7-'Business Case'!$B$8*(('Business Case'!E11*$C699*'Business Case'!E12*$B699)-('Business Case'!D11*$C699*'Business Case'!D12*$B699))-'Business Case'!E15*$F699</f>
        <v>602930182.851496</v>
      </c>
      <c r="L699" s="39" t="n">
        <f aca="false">(('Business Case'!F11*$C699*'Business Case'!F12*$B699)-'Business Case'!F11*$C699*'Business Case'!F13*$D699-'Business Case'!F14*$E699)-MAX(0,(('Business Case'!F11*$C699*'Business Case'!F12*$B699)-'Business Case'!F11*$C699*'Business Case'!F13*$D699-'Business Case'!F14*$E699))*'Business Case'!$B$7-'Business Case'!$B$8*(('Business Case'!F11*$C699*'Business Case'!F12*$B699)-('Business Case'!E11*$C699*'Business Case'!E12*$B699))-'Business Case'!F15*$F699</f>
        <v>731534611.434827</v>
      </c>
      <c r="M699" s="39" t="n">
        <f aca="false">(('Business Case'!G11*$C699*'Business Case'!G12*$B699)-'Business Case'!G11*$C699*'Business Case'!G13*$D699-'Business Case'!G14*$E699)-MAX(0,(('Business Case'!G11*$C699*'Business Case'!G12*$B699)-'Business Case'!G11*$C699*'Business Case'!G13*$D699-'Business Case'!G14*$E699))*'Business Case'!$B$7-'Business Case'!$B$8*(('Business Case'!G11*$C699*'Business Case'!G12*$B699)-('Business Case'!F11*$C699*'Business Case'!F12*$B699))-'Business Case'!G15*$F699+'Business Case'!$B$8*('Business Case'!G11*$C699*'Business Case'!G12*$B699)</f>
        <v>919811153.062829</v>
      </c>
      <c r="N699" s="39" t="n">
        <f aca="false">IF(COUNT('Business Case'!B11:G11)=0,"",H699+NPV(G699,I699:M699))</f>
        <v>-572586460.100306</v>
      </c>
      <c r="P699" s="40" t="n">
        <f aca="true">RAND()</f>
        <v>0.115547918619524</v>
      </c>
      <c r="Q699" s="40" t="n">
        <f aca="true">RAND()</f>
        <v>0.765436857641213</v>
      </c>
      <c r="R699" s="40" t="n">
        <f aca="true">RAND()</f>
        <v>0.284643671556175</v>
      </c>
      <c r="S699" s="40" t="n">
        <f aca="true">RAND()</f>
        <v>0.120042614141586</v>
      </c>
      <c r="T699" s="40" t="n">
        <f aca="true">RAND()</f>
        <v>0.853170731026021</v>
      </c>
      <c r="U699" s="40" t="n">
        <f aca="true">RAND()</f>
        <v>0.885273723961398</v>
      </c>
    </row>
    <row r="700" customFormat="false" ht="15" hidden="false" customHeight="false" outlineLevel="0" collapsed="false">
      <c r="A700" s="36" t="n">
        <v>620</v>
      </c>
      <c r="B700" s="37" t="n">
        <f aca="false">1+IF($G$6=$E$6,$F$6,IF(P700&lt;($F$6-$E$6)/($G$6-$E$6),$E$6+SQRT(P700*($G$6-$E$6)*($F$6-$E$6)),$G$6-SQRT((1-P700)*($G$6-$E$6)*($G$6-$F$6))))</f>
        <v>0.997488354300375</v>
      </c>
      <c r="C700" s="37" t="n">
        <f aca="false">1+IF($G$7=$E$7,$F$7,IF(Q700&lt;($F$7-$E$7)/($G$7-$E$7),$E$7+SQRT(Q700*($G$7-$E$7)*($F$7-$E$7)),$G$7-SQRT((1-Q700)*($G$7-$E$7)*($G$7-$F$7))))</f>
        <v>0.96476027384898</v>
      </c>
      <c r="D700" s="37" t="n">
        <f aca="false">1+IF($G$8=$E$8,$F$8,IF(R700&lt;($F$8-$E$8)/($G$8-$E$8),$E$8+SQRT(R700*($G$8-$E$8)*($F$8-$E$8)),$G$8-SQRT((1-R700)*($G$8-$E$8)*($G$8-$F$8))))</f>
        <v>1.01434993439976</v>
      </c>
      <c r="E700" s="37" t="n">
        <f aca="false">1+IF($G$9=$E$9,$F$9,IF(S700&lt;($F$9-$E$9)/($G$9-$E$9),$E$9+SQRT(S700*($G$9-$E$9)*($F$9-$E$9)),$G$9-SQRT((1-S700)*($G$9-$E$9)*($G$9-$F$9))))</f>
        <v>0.980899485468751</v>
      </c>
      <c r="F700" s="37" t="n">
        <f aca="false">1+IF($G$10=$E$10,$F$10,IF(T700&lt;($F$10-$E$10)/($G$10-$E$10),$E$10+SQRT(T700*($G$10-$E$10)*($F$10-$E$10)),$G$10-SQRT((1-T700)*($G$10-$E$10)*($G$10-$F$10))))</f>
        <v>1.11883245288516</v>
      </c>
      <c r="G700" s="38" t="n">
        <f aca="false">IF($G$11=$E$11,$F$11,IF(U700&lt;($F$11-$E$11)/($G$11-$E$11),$E$11+SQRT(U700*($G$11-$E$11)*($F$11-$E$11)),$G$11-SQRT((1-U700)*($G$11-$E$11)*($G$11-$F$11))))</f>
        <v>0.0976003650356352</v>
      </c>
      <c r="H700" s="39" t="n">
        <f aca="false">(('Business Case'!B11*$C700*'Business Case'!B12*$B700)-'Business Case'!B11*$C700*'Business Case'!B13*$D700-'Business Case'!B14*$E700)-MAX(0,(('Business Case'!B11*$C700*'Business Case'!B12*$B700)-'Business Case'!B11*$C700*'Business Case'!B13*$D700-'Business Case'!B14*$E700))*'Business Case'!$B$7-'Business Case'!$B$8*('Business Case'!B11*$C700*'Business Case'!B12*$B700)-'Business Case'!B15*$F700</f>
        <v>-2237664905.77032</v>
      </c>
      <c r="I700" s="39" t="n">
        <f aca="false">(('Business Case'!C11*$C700*'Business Case'!C12*$B700)-'Business Case'!C11*$C700*'Business Case'!C13*$D700-'Business Case'!C14*$E700)-MAX(0,(('Business Case'!C11*$C700*'Business Case'!C12*$B700)-'Business Case'!C11*$C700*'Business Case'!C13*$D700-'Business Case'!C14*$E700))*'Business Case'!$B$7-'Business Case'!$B$8*(('Business Case'!C11*$C700*'Business Case'!C12*$B700)-('Business Case'!B11*$C700*'Business Case'!B12*$B700))-'Business Case'!C15*$F700</f>
        <v>-13998531.2999872</v>
      </c>
      <c r="J700" s="39" t="n">
        <f aca="false">(('Business Case'!D11*$C700*'Business Case'!D12*$B700)-'Business Case'!D11*$C700*'Business Case'!D13*$D700-'Business Case'!D14*$E700)-MAX(0,(('Business Case'!D11*$C700*'Business Case'!D12*$B700)-'Business Case'!D11*$C700*'Business Case'!D13*$D700-'Business Case'!D14*$E700))*'Business Case'!$B$7-'Business Case'!$B$8*(('Business Case'!D11*$C700*'Business Case'!D12*$B700)-('Business Case'!C11*$C700*'Business Case'!C12*$B700))-'Business Case'!D15*$F700</f>
        <v>273257646.748653</v>
      </c>
      <c r="K700" s="39" t="n">
        <f aca="false">(('Business Case'!E11*$C700*'Business Case'!E12*$B700)-'Business Case'!E11*$C700*'Business Case'!E13*$D700-'Business Case'!E14*$E700)-MAX(0,(('Business Case'!E11*$C700*'Business Case'!E12*$B700)-'Business Case'!E11*$C700*'Business Case'!E13*$D700-'Business Case'!E14*$E700))*'Business Case'!$B$7-'Business Case'!$B$8*(('Business Case'!E11*$C700*'Business Case'!E12*$B700)-('Business Case'!D11*$C700*'Business Case'!D12*$B700))-'Business Case'!E15*$F700</f>
        <v>616455447.441551</v>
      </c>
      <c r="L700" s="39" t="n">
        <f aca="false">(('Business Case'!F11*$C700*'Business Case'!F12*$B700)-'Business Case'!F11*$C700*'Business Case'!F13*$D700-'Business Case'!F14*$E700)-MAX(0,(('Business Case'!F11*$C700*'Business Case'!F12*$B700)-'Business Case'!F11*$C700*'Business Case'!F13*$D700-'Business Case'!F14*$E700))*'Business Case'!$B$7-'Business Case'!$B$8*(('Business Case'!F11*$C700*'Business Case'!F12*$B700)-('Business Case'!E11*$C700*'Business Case'!E12*$B700))-'Business Case'!F15*$F700</f>
        <v>745465878.275401</v>
      </c>
      <c r="M700" s="39" t="n">
        <f aca="false">(('Business Case'!G11*$C700*'Business Case'!G12*$B700)-'Business Case'!G11*$C700*'Business Case'!G13*$D700-'Business Case'!G14*$E700)-MAX(0,(('Business Case'!G11*$C700*'Business Case'!G12*$B700)-'Business Case'!G11*$C700*'Business Case'!G13*$D700-'Business Case'!G14*$E700))*'Business Case'!$B$7-'Business Case'!$B$8*(('Business Case'!G11*$C700*'Business Case'!G12*$B700)-('Business Case'!F11*$C700*'Business Case'!F12*$B700))-'Business Case'!G15*$F700+'Business Case'!$B$8*('Business Case'!G11*$C700*'Business Case'!G12*$B700)</f>
        <v>928386921.439069</v>
      </c>
      <c r="N700" s="39" t="n">
        <f aca="false">IF(COUNT('Business Case'!B11:G11)=0,"",H700+NPV(G700,I700:M700))</f>
        <v>-460986175.666166</v>
      </c>
      <c r="P700" s="40" t="n">
        <f aca="true">RAND()</f>
        <v>0.625463026268792</v>
      </c>
      <c r="Q700" s="40" t="n">
        <f aca="true">RAND()</f>
        <v>0.387799254839868</v>
      </c>
      <c r="R700" s="40" t="n">
        <f aca="true">RAND()</f>
        <v>0.585583546796575</v>
      </c>
      <c r="S700" s="40" t="n">
        <f aca="true">RAND()</f>
        <v>0.127303760297807</v>
      </c>
      <c r="T700" s="40" t="n">
        <f aca="true">RAND()</f>
        <v>0.868236585907205</v>
      </c>
      <c r="U700" s="40" t="n">
        <f aca="true">RAND()</f>
        <v>0.192551828916352</v>
      </c>
    </row>
    <row r="701" customFormat="false" ht="15" hidden="false" customHeight="false" outlineLevel="0" collapsed="false">
      <c r="A701" s="36" t="n">
        <v>621</v>
      </c>
      <c r="B701" s="37" t="n">
        <f aca="false">1+IF($G$6=$E$6,$F$6,IF(P701&lt;($F$6-$E$6)/($G$6-$E$6),$E$6+SQRT(P701*($G$6-$E$6)*($F$6-$E$6)),$G$6-SQRT((1-P701)*($G$6-$E$6)*($G$6-$F$6))))</f>
        <v>0.99518046874937</v>
      </c>
      <c r="C701" s="37" t="n">
        <f aca="false">1+IF($G$7=$E$7,$F$7,IF(Q701&lt;($F$7-$E$7)/($G$7-$E$7),$E$7+SQRT(Q701*($G$7-$E$7)*($F$7-$E$7)),$G$7-SQRT((1-Q701)*($G$7-$E$7)*($G$7-$F$7))))</f>
        <v>0.995543406658246</v>
      </c>
      <c r="D701" s="37" t="n">
        <f aca="false">1+IF($G$8=$E$8,$F$8,IF(R701&lt;($F$8-$E$8)/($G$8-$E$8),$E$8+SQRT(R701*($G$8-$E$8)*($F$8-$E$8)),$G$8-SQRT((1-R701)*($G$8-$E$8)*($G$8-$F$8))))</f>
        <v>1.06791318036098</v>
      </c>
      <c r="E701" s="37" t="n">
        <f aca="false">1+IF($G$9=$E$9,$F$9,IF(S701&lt;($F$9-$E$9)/($G$9-$E$9),$E$9+SQRT(S701*($G$9-$E$9)*($F$9-$E$9)),$G$9-SQRT((1-S701)*($G$9-$E$9)*($G$9-$F$9))))</f>
        <v>1.00100660198892</v>
      </c>
      <c r="F701" s="37" t="n">
        <f aca="false">1+IF($G$10=$E$10,$F$10,IF(T701&lt;($F$10-$E$10)/($G$10-$E$10),$E$10+SQRT(T701*($G$10-$E$10)*($F$10-$E$10)),$G$10-SQRT((1-T701)*($G$10-$E$10)*($G$10-$F$10))))</f>
        <v>1.12082151901349</v>
      </c>
      <c r="G701" s="38" t="n">
        <f aca="false">IF($G$11=$E$11,$F$11,IF(U701&lt;($F$11-$E$11)/($G$11-$E$11),$E$11+SQRT(U701*($G$11-$E$11)*($F$11-$E$11)),$G$11-SQRT((1-U701)*($G$11-$E$11)*($G$11-$F$11))))</f>
        <v>0.112450377001804</v>
      </c>
      <c r="H701" s="39" t="n">
        <f aca="false">(('Business Case'!B11*$C701*'Business Case'!B12*$B701)-'Business Case'!B11*$C701*'Business Case'!B13*$D701-'Business Case'!B14*$E701)-MAX(0,(('Business Case'!B11*$C701*'Business Case'!B12*$B701)-'Business Case'!B11*$C701*'Business Case'!B13*$D701-'Business Case'!B14*$E701))*'Business Case'!$B$7-'Business Case'!$B$8*('Business Case'!B11*$C701*'Business Case'!B12*$B701)-'Business Case'!B15*$F701</f>
        <v>-2241643038.02697</v>
      </c>
      <c r="I701" s="39" t="n">
        <f aca="false">(('Business Case'!C11*$C701*'Business Case'!C12*$B701)-'Business Case'!C11*$C701*'Business Case'!C13*$D701-'Business Case'!C14*$E701)-MAX(0,(('Business Case'!C11*$C701*'Business Case'!C12*$B701)-'Business Case'!C11*$C701*'Business Case'!C13*$D701-'Business Case'!C14*$E701))*'Business Case'!$B$7-'Business Case'!$B$8*(('Business Case'!C11*$C701*'Business Case'!C12*$B701)-('Business Case'!B11*$C701*'Business Case'!B12*$B701))-'Business Case'!C15*$F701</f>
        <v>-38543508.7774361</v>
      </c>
      <c r="J701" s="39" t="n">
        <f aca="false">(('Business Case'!D11*$C701*'Business Case'!D12*$B701)-'Business Case'!D11*$C701*'Business Case'!D13*$D701-'Business Case'!D14*$E701)-MAX(0,(('Business Case'!D11*$C701*'Business Case'!D12*$B701)-'Business Case'!D11*$C701*'Business Case'!D13*$D701-'Business Case'!D14*$E701))*'Business Case'!$B$7-'Business Case'!$B$8*(('Business Case'!D11*$C701*'Business Case'!D12*$B701)-('Business Case'!C11*$C701*'Business Case'!C12*$B701))-'Business Case'!D15*$F701</f>
        <v>228698512.305767</v>
      </c>
      <c r="K701" s="39" t="n">
        <f aca="false">(('Business Case'!E11*$C701*'Business Case'!E12*$B701)-'Business Case'!E11*$C701*'Business Case'!E13*$D701-'Business Case'!E14*$E701)-MAX(0,(('Business Case'!E11*$C701*'Business Case'!E12*$B701)-'Business Case'!E11*$C701*'Business Case'!E13*$D701-'Business Case'!E14*$E701))*'Business Case'!$B$7-'Business Case'!$B$8*(('Business Case'!E11*$C701*'Business Case'!E12*$B701)-('Business Case'!D11*$C701*'Business Case'!D12*$B701))-'Business Case'!E15*$F701</f>
        <v>551981609.339645</v>
      </c>
      <c r="L701" s="39" t="n">
        <f aca="false">(('Business Case'!F11*$C701*'Business Case'!F12*$B701)-'Business Case'!F11*$C701*'Business Case'!F13*$D701-'Business Case'!F14*$E701)-MAX(0,(('Business Case'!F11*$C701*'Business Case'!F12*$B701)-'Business Case'!F11*$C701*'Business Case'!F13*$D701-'Business Case'!F14*$E701))*'Business Case'!$B$7-'Business Case'!$B$8*(('Business Case'!F11*$C701*'Business Case'!F12*$B701)-('Business Case'!E11*$C701*'Business Case'!E12*$B701))-'Business Case'!F15*$F701</f>
        <v>675302442.47169</v>
      </c>
      <c r="M701" s="39" t="n">
        <f aca="false">(('Business Case'!G11*$C701*'Business Case'!G12*$B701)-'Business Case'!G11*$C701*'Business Case'!G13*$D701-'Business Case'!G14*$E701)-MAX(0,(('Business Case'!G11*$C701*'Business Case'!G12*$B701)-'Business Case'!G11*$C701*'Business Case'!G13*$D701-'Business Case'!G14*$E701))*'Business Case'!$B$7-'Business Case'!$B$8*(('Business Case'!G11*$C701*'Business Case'!G12*$B701)-('Business Case'!F11*$C701*'Business Case'!F12*$B701))-'Business Case'!G15*$F701+'Business Case'!$B$8*('Business Case'!G11*$C701*'Business Case'!G12*$B701)</f>
        <v>863623319.378732</v>
      </c>
      <c r="N701" s="39" t="n">
        <f aca="false">IF(COUNT('Business Case'!B11:G11)=0,"",H701+NPV(G701,I701:M701))</f>
        <v>-742712562.002442</v>
      </c>
      <c r="P701" s="40" t="n">
        <f aca="true">RAND()</f>
        <v>0.58876071680989</v>
      </c>
      <c r="Q701" s="40" t="n">
        <f aca="true">RAND()</f>
        <v>0.546246055535888</v>
      </c>
      <c r="R701" s="40" t="n">
        <f aca="true">RAND()</f>
        <v>0.985952768366716</v>
      </c>
      <c r="S701" s="40" t="n">
        <f aca="true">RAND()</f>
        <v>0.346687143348027</v>
      </c>
      <c r="T701" s="40" t="n">
        <f aca="true">RAND()</f>
        <v>0.874615362973364</v>
      </c>
      <c r="U701" s="40" t="n">
        <f aca="true">RAND()</f>
        <v>0.905005320975181</v>
      </c>
    </row>
    <row r="702" customFormat="false" ht="15" hidden="false" customHeight="false" outlineLevel="0" collapsed="false">
      <c r="A702" s="36" t="n">
        <v>622</v>
      </c>
      <c r="B702" s="37" t="n">
        <f aca="false">1+IF($G$6=$E$6,$F$6,IF(P702&lt;($F$6-$E$6)/($G$6-$E$6),$E$6+SQRT(P702*($G$6-$E$6)*($F$6-$E$6)),$G$6-SQRT((1-P702)*($G$6-$E$6)*($G$6-$F$6))))</f>
        <v>0.956970452058711</v>
      </c>
      <c r="C702" s="37" t="n">
        <f aca="false">1+IF($G$7=$E$7,$F$7,IF(Q702&lt;($F$7-$E$7)/($G$7-$E$7),$E$7+SQRT(Q702*($G$7-$E$7)*($F$7-$E$7)),$G$7-SQRT((1-Q702)*($G$7-$E$7)*($G$7-$F$7))))</f>
        <v>0.997648159334117</v>
      </c>
      <c r="D702" s="37" t="n">
        <f aca="false">1+IF($G$8=$E$8,$F$8,IF(R702&lt;($F$8-$E$8)/($G$8-$E$8),$E$8+SQRT(R702*($G$8-$E$8)*($F$8-$E$8)),$G$8-SQRT((1-R702)*($G$8-$E$8)*($G$8-$F$8))))</f>
        <v>1.02565009589652</v>
      </c>
      <c r="E702" s="37" t="n">
        <f aca="false">1+IF($G$9=$E$9,$F$9,IF(S702&lt;($F$9-$E$9)/($G$9-$E$9),$E$9+SQRT(S702*($G$9-$E$9)*($F$9-$E$9)),$G$9-SQRT((1-S702)*($G$9-$E$9)*($G$9-$F$9))))</f>
        <v>1.02725259401644</v>
      </c>
      <c r="F702" s="37" t="n">
        <f aca="false">1+IF($G$10=$E$10,$F$10,IF(T702&lt;($F$10-$E$10)/($G$10-$E$10),$E$10+SQRT(T702*($G$10-$E$10)*($F$10-$E$10)),$G$10-SQRT((1-T702)*($G$10-$E$10)*($G$10-$F$10))))</f>
        <v>1.05743078847044</v>
      </c>
      <c r="G702" s="38" t="n">
        <f aca="false">IF($G$11=$E$11,$F$11,IF(U702&lt;($F$11-$E$11)/($G$11-$E$11),$E$11+SQRT(U702*($G$11-$E$11)*($F$11-$E$11)),$G$11-SQRT((1-U702)*($G$11-$E$11)*($G$11-$F$11))))</f>
        <v>0.105302861807411</v>
      </c>
      <c r="H702" s="39" t="n">
        <f aca="false">(('Business Case'!B11*$C702*'Business Case'!B12*$B702)-'Business Case'!B11*$C702*'Business Case'!B13*$D702-'Business Case'!B14*$E702)-MAX(0,(('Business Case'!B11*$C702*'Business Case'!B12*$B702)-'Business Case'!B11*$C702*'Business Case'!B13*$D702-'Business Case'!B14*$E702))*'Business Case'!$B$7-'Business Case'!$B$8*('Business Case'!B11*$C702*'Business Case'!B12*$B702)-'Business Case'!B15*$F702</f>
        <v>-2114861576.94089</v>
      </c>
      <c r="I702" s="39" t="n">
        <f aca="false">(('Business Case'!C11*$C702*'Business Case'!C12*$B702)-'Business Case'!C11*$C702*'Business Case'!C13*$D702-'Business Case'!C14*$E702)-MAX(0,(('Business Case'!C11*$C702*'Business Case'!C12*$B702)-'Business Case'!C11*$C702*'Business Case'!C13*$D702-'Business Case'!C14*$E702))*'Business Case'!$B$7-'Business Case'!$B$8*(('Business Case'!C11*$C702*'Business Case'!C12*$B702)-('Business Case'!B11*$C702*'Business Case'!B12*$B702))-'Business Case'!C15*$F702</f>
        <v>-43142769.6996415</v>
      </c>
      <c r="J702" s="39" t="n">
        <f aca="false">(('Business Case'!D11*$C702*'Business Case'!D12*$B702)-'Business Case'!D11*$C702*'Business Case'!D13*$D702-'Business Case'!D14*$E702)-MAX(0,(('Business Case'!D11*$C702*'Business Case'!D12*$B702)-'Business Case'!D11*$C702*'Business Case'!D13*$D702-'Business Case'!D14*$E702))*'Business Case'!$B$7-'Business Case'!$B$8*(('Business Case'!D11*$C702*'Business Case'!D12*$B702)-('Business Case'!C11*$C702*'Business Case'!C12*$B702))-'Business Case'!D15*$F702</f>
        <v>215025533.269036</v>
      </c>
      <c r="K702" s="39" t="n">
        <f aca="false">(('Business Case'!E11*$C702*'Business Case'!E12*$B702)-'Business Case'!E11*$C702*'Business Case'!E13*$D702-'Business Case'!E14*$E702)-MAX(0,(('Business Case'!E11*$C702*'Business Case'!E12*$B702)-'Business Case'!E11*$C702*'Business Case'!E13*$D702-'Business Case'!E14*$E702))*'Business Case'!$B$7-'Business Case'!$B$8*(('Business Case'!E11*$C702*'Business Case'!E12*$B702)-('Business Case'!D11*$C702*'Business Case'!D12*$B702))-'Business Case'!E15*$F702</f>
        <v>526065375.661236</v>
      </c>
      <c r="L702" s="39" t="n">
        <f aca="false">(('Business Case'!F11*$C702*'Business Case'!F12*$B702)-'Business Case'!F11*$C702*'Business Case'!F13*$D702-'Business Case'!F14*$E702)-MAX(0,(('Business Case'!F11*$C702*'Business Case'!F12*$B702)-'Business Case'!F11*$C702*'Business Case'!F13*$D702-'Business Case'!F14*$E702))*'Business Case'!$B$7-'Business Case'!$B$8*(('Business Case'!F11*$C702*'Business Case'!F12*$B702)-('Business Case'!E11*$C702*'Business Case'!E12*$B702))-'Business Case'!F15*$F702</f>
        <v>645116593.285553</v>
      </c>
      <c r="M702" s="39" t="n">
        <f aca="false">(('Business Case'!G11*$C702*'Business Case'!G12*$B702)-'Business Case'!G11*$C702*'Business Case'!G13*$D702-'Business Case'!G14*$E702)-MAX(0,(('Business Case'!G11*$C702*'Business Case'!G12*$B702)-'Business Case'!G11*$C702*'Business Case'!G13*$D702-'Business Case'!G14*$E702))*'Business Case'!$B$7-'Business Case'!$B$8*(('Business Case'!G11*$C702*'Business Case'!G12*$B702)-('Business Case'!F11*$C702*'Business Case'!F12*$B702))-'Business Case'!G15*$F702+'Business Case'!$B$8*('Business Case'!G11*$C702*'Business Case'!G12*$B702)</f>
        <v>826589734.776723</v>
      </c>
      <c r="N702" s="39" t="n">
        <f aca="false">IF(COUNT('Business Case'!B11:G11)=0,"",H702+NPV(G702,I702:M702))</f>
        <v>-655027869.86061</v>
      </c>
      <c r="P702" s="40" t="n">
        <f aca="true">RAND()</f>
        <v>0.142376492231819</v>
      </c>
      <c r="Q702" s="40" t="n">
        <f aca="true">RAND()</f>
        <v>0.558068498402348</v>
      </c>
      <c r="R702" s="40" t="n">
        <f aca="true">RAND()</f>
        <v>0.715969992686731</v>
      </c>
      <c r="S702" s="40" t="n">
        <f aca="true">RAND()</f>
        <v>0.647187661510866</v>
      </c>
      <c r="T702" s="40" t="n">
        <f aca="true">RAND()</f>
        <v>0.593480398476809</v>
      </c>
      <c r="U702" s="40" t="n">
        <f aca="true">RAND()</f>
        <v>0.639990214913217</v>
      </c>
    </row>
    <row r="703" customFormat="false" ht="15" hidden="false" customHeight="false" outlineLevel="0" collapsed="false">
      <c r="A703" s="36" t="n">
        <v>623</v>
      </c>
      <c r="B703" s="37" t="n">
        <f aca="false">1+IF($G$6=$E$6,$F$6,IF(P703&lt;($F$6-$E$6)/($G$6-$E$6),$E$6+SQRT(P703*($G$6-$E$6)*($F$6-$E$6)),$G$6-SQRT((1-P703)*($G$6-$E$6)*($G$6-$F$6))))</f>
        <v>1.00922675789073</v>
      </c>
      <c r="C703" s="37" t="n">
        <f aca="false">1+IF($G$7=$E$7,$F$7,IF(Q703&lt;($F$7-$E$7)/($G$7-$E$7),$E$7+SQRT(Q703*($G$7-$E$7)*($F$7-$E$7)),$G$7-SQRT((1-Q703)*($G$7-$E$7)*($G$7-$F$7))))</f>
        <v>1.02917030949377</v>
      </c>
      <c r="D703" s="37" t="n">
        <f aca="false">1+IF($G$8=$E$8,$F$8,IF(R703&lt;($F$8-$E$8)/($G$8-$E$8),$E$8+SQRT(R703*($G$8-$E$8)*($F$8-$E$8)),$G$8-SQRT((1-R703)*($G$8-$E$8)*($G$8-$F$8))))</f>
        <v>1.03267826924595</v>
      </c>
      <c r="E703" s="37" t="n">
        <f aca="false">1+IF($G$9=$E$9,$F$9,IF(S703&lt;($F$9-$E$9)/($G$9-$E$9),$E$9+SQRT(S703*($G$9-$E$9)*($F$9-$E$9)),$G$9-SQRT((1-S703)*($G$9-$E$9)*($G$9-$F$9))))</f>
        <v>1.03113602907812</v>
      </c>
      <c r="F703" s="37" t="n">
        <f aca="false">1+IF($G$10=$E$10,$F$10,IF(T703&lt;($F$10-$E$10)/($G$10-$E$10),$E$10+SQRT(T703*($G$10-$E$10)*($F$10-$E$10)),$G$10-SQRT((1-T703)*($G$10-$E$10)*($G$10-$F$10))))</f>
        <v>1.14471073419126</v>
      </c>
      <c r="G703" s="38" t="n">
        <f aca="false">IF($G$11=$E$11,$F$11,IF(U703&lt;($F$11-$E$11)/($G$11-$E$11),$E$11+SQRT(U703*($G$11-$E$11)*($F$11-$E$11)),$G$11-SQRT((1-U703)*($G$11-$E$11)*($G$11-$F$11))))</f>
        <v>0.0994708232412874</v>
      </c>
      <c r="H703" s="39" t="n">
        <f aca="false">(('Business Case'!B11*$C703*'Business Case'!B12*$B703)-'Business Case'!B11*$C703*'Business Case'!B13*$D703-'Business Case'!B14*$E703)-MAX(0,(('Business Case'!B11*$C703*'Business Case'!B12*$B703)-'Business Case'!B11*$C703*'Business Case'!B13*$D703-'Business Case'!B14*$E703))*'Business Case'!$B$7-'Business Case'!$B$8*('Business Case'!B11*$C703*'Business Case'!B12*$B703)-'Business Case'!B15*$F703</f>
        <v>-2289421468.38252</v>
      </c>
      <c r="I703" s="39" t="n">
        <f aca="false">(('Business Case'!C11*$C703*'Business Case'!C12*$B703)-'Business Case'!C11*$C703*'Business Case'!C13*$D703-'Business Case'!C14*$E703)-MAX(0,(('Business Case'!C11*$C703*'Business Case'!C12*$B703)-'Business Case'!C11*$C703*'Business Case'!C13*$D703-'Business Case'!C14*$E703))*'Business Case'!$B$7-'Business Case'!$B$8*(('Business Case'!C11*$C703*'Business Case'!C12*$B703)-('Business Case'!B11*$C703*'Business Case'!B12*$B703))-'Business Case'!C15*$F703</f>
        <v>-8270164.07147494</v>
      </c>
      <c r="J703" s="39" t="n">
        <f aca="false">(('Business Case'!D11*$C703*'Business Case'!D12*$B703)-'Business Case'!D11*$C703*'Business Case'!D13*$D703-'Business Case'!D14*$E703)-MAX(0,(('Business Case'!D11*$C703*'Business Case'!D12*$B703)-'Business Case'!D11*$C703*'Business Case'!D13*$D703-'Business Case'!D14*$E703))*'Business Case'!$B$7-'Business Case'!$B$8*(('Business Case'!D11*$C703*'Business Case'!D12*$B703)-('Business Case'!C11*$C703*'Business Case'!C12*$B703))-'Business Case'!D15*$F703</f>
        <v>298402745.184647</v>
      </c>
      <c r="K703" s="39" t="n">
        <f aca="false">(('Business Case'!E11*$C703*'Business Case'!E12*$B703)-'Business Case'!E11*$C703*'Business Case'!E13*$D703-'Business Case'!E14*$E703)-MAX(0,(('Business Case'!E11*$C703*'Business Case'!E12*$B703)-'Business Case'!E11*$C703*'Business Case'!E13*$D703-'Business Case'!E14*$E703))*'Business Case'!$B$7-'Business Case'!$B$8*(('Business Case'!E11*$C703*'Business Case'!E12*$B703)-('Business Case'!D11*$C703*'Business Case'!D12*$B703))-'Business Case'!E15*$F703</f>
        <v>662311191.150332</v>
      </c>
      <c r="L703" s="39" t="n">
        <f aca="false">(('Business Case'!F11*$C703*'Business Case'!F12*$B703)-'Business Case'!F11*$C703*'Business Case'!F13*$D703-'Business Case'!F14*$E703)-MAX(0,(('Business Case'!F11*$C703*'Business Case'!F12*$B703)-'Business Case'!F11*$C703*'Business Case'!F13*$D703-'Business Case'!F14*$E703))*'Business Case'!$B$7-'Business Case'!$B$8*(('Business Case'!F11*$C703*'Business Case'!F12*$B703)-('Business Case'!E11*$C703*'Business Case'!E12*$B703))-'Business Case'!F15*$F703</f>
        <v>800431798.618081</v>
      </c>
      <c r="M703" s="39" t="n">
        <f aca="false">(('Business Case'!G11*$C703*'Business Case'!G12*$B703)-'Business Case'!G11*$C703*'Business Case'!G13*$D703-'Business Case'!G14*$E703)-MAX(0,(('Business Case'!G11*$C703*'Business Case'!G12*$B703)-'Business Case'!G11*$C703*'Business Case'!G13*$D703-'Business Case'!G14*$E703))*'Business Case'!$B$7-'Business Case'!$B$8*(('Business Case'!G11*$C703*'Business Case'!G12*$B703)-('Business Case'!F11*$C703*'Business Case'!F12*$B703))-'Business Case'!G15*$F703+'Business Case'!$B$8*('Business Case'!G11*$C703*'Business Case'!G12*$B703)</f>
        <v>997861472.721143</v>
      </c>
      <c r="N703" s="39" t="n">
        <f aca="false">IF(COUNT('Business Case'!B11:G11)=0,"",H703+NPV(G703,I703:M703))</f>
        <v>-382924164.453163</v>
      </c>
      <c r="P703" s="40" t="n">
        <f aca="true">RAND()</f>
        <v>0.80270991043417</v>
      </c>
      <c r="Q703" s="40" t="n">
        <f aca="true">RAND()</f>
        <v>0.721908302707971</v>
      </c>
      <c r="R703" s="40" t="n">
        <f aca="true">RAND()</f>
        <v>0.784678249850116</v>
      </c>
      <c r="S703" s="40" t="n">
        <f aca="true">RAND()</f>
        <v>0.683850233924675</v>
      </c>
      <c r="T703" s="40" t="n">
        <f aca="true">RAND()</f>
        <v>0.938861941726614</v>
      </c>
      <c r="U703" s="40" t="n">
        <f aca="true">RAND()</f>
        <v>0.29898830955903</v>
      </c>
    </row>
    <row r="704" customFormat="false" ht="15" hidden="false" customHeight="false" outlineLevel="0" collapsed="false">
      <c r="A704" s="36" t="n">
        <v>624</v>
      </c>
      <c r="B704" s="37" t="n">
        <f aca="false">1+IF($G$6=$E$6,$F$6,IF(P704&lt;($F$6-$E$6)/($G$6-$E$6),$E$6+SQRT(P704*($G$6-$E$6)*($F$6-$E$6)),$G$6-SQRT((1-P704)*($G$6-$E$6)*($G$6-$F$6))))</f>
        <v>0.985063373517912</v>
      </c>
      <c r="C704" s="37" t="n">
        <f aca="false">1+IF($G$7=$E$7,$F$7,IF(Q704&lt;($F$7-$E$7)/($G$7-$E$7),$E$7+SQRT(Q704*($G$7-$E$7)*($F$7-$E$7)),$G$7-SQRT((1-Q704)*($G$7-$E$7)*($G$7-$F$7))))</f>
        <v>0.99782715286827</v>
      </c>
      <c r="D704" s="37" t="n">
        <f aca="false">1+IF($G$8=$E$8,$F$8,IF(R704&lt;($F$8-$E$8)/($G$8-$E$8),$E$8+SQRT(R704*($G$8-$E$8)*($F$8-$E$8)),$G$8-SQRT((1-R704)*($G$8-$E$8)*($G$8-$F$8))))</f>
        <v>1.03430799008834</v>
      </c>
      <c r="E704" s="37" t="n">
        <f aca="false">1+IF($G$9=$E$9,$F$9,IF(S704&lt;($F$9-$E$9)/($G$9-$E$9),$E$9+SQRT(S704*($G$9-$E$9)*($F$9-$E$9)),$G$9-SQRT((1-S704)*($G$9-$E$9)*($G$9-$F$9))))</f>
        <v>0.99029563577434</v>
      </c>
      <c r="F704" s="37" t="n">
        <f aca="false">1+IF($G$10=$E$10,$F$10,IF(T704&lt;($F$10-$E$10)/($G$10-$E$10),$E$10+SQRT(T704*($G$10-$E$10)*($F$10-$E$10)),$G$10-SQRT((1-T704)*($G$10-$E$10)*($G$10-$F$10))))</f>
        <v>1.00935893074562</v>
      </c>
      <c r="G704" s="38" t="n">
        <f aca="false">IF($G$11=$E$11,$F$11,IF(U704&lt;($F$11-$E$11)/($G$11-$E$11),$E$11+SQRT(U704*($G$11-$E$11)*($F$11-$E$11)),$G$11-SQRT((1-U704)*($G$11-$E$11)*($G$11-$F$11))))</f>
        <v>0.104200355322104</v>
      </c>
      <c r="H704" s="39" t="n">
        <f aca="false">(('Business Case'!B11*$C704*'Business Case'!B12*$B704)-'Business Case'!B11*$C704*'Business Case'!B13*$D704-'Business Case'!B14*$E704)-MAX(0,(('Business Case'!B11*$C704*'Business Case'!B12*$B704)-'Business Case'!B11*$C704*'Business Case'!B13*$D704-'Business Case'!B14*$E704))*'Business Case'!$B$7-'Business Case'!$B$8*('Business Case'!B11*$C704*'Business Case'!B12*$B704)-'Business Case'!B15*$F704</f>
        <v>-2018717861.49124</v>
      </c>
      <c r="I704" s="39" t="n">
        <f aca="false">(('Business Case'!C11*$C704*'Business Case'!C12*$B704)-'Business Case'!C11*$C704*'Business Case'!C13*$D704-'Business Case'!C14*$E704)-MAX(0,(('Business Case'!C11*$C704*'Business Case'!C12*$B704)-'Business Case'!C11*$C704*'Business Case'!C13*$D704-'Business Case'!C14*$E704))*'Business Case'!$B$7-'Business Case'!$B$8*(('Business Case'!C11*$C704*'Business Case'!C12*$B704)-('Business Case'!B11*$C704*'Business Case'!B12*$B704))-'Business Case'!C15*$F704</f>
        <v>-15958428.4070665</v>
      </c>
      <c r="J704" s="39" t="n">
        <f aca="false">(('Business Case'!D11*$C704*'Business Case'!D12*$B704)-'Business Case'!D11*$C704*'Business Case'!D13*$D704-'Business Case'!D14*$E704)-MAX(0,(('Business Case'!D11*$C704*'Business Case'!D12*$B704)-'Business Case'!D11*$C704*'Business Case'!D13*$D704-'Business Case'!D14*$E704))*'Business Case'!$B$7-'Business Case'!$B$8*(('Business Case'!D11*$C704*'Business Case'!D12*$B704)-('Business Case'!C11*$C704*'Business Case'!C12*$B704))-'Business Case'!D15*$F704</f>
        <v>260793803.022912</v>
      </c>
      <c r="K704" s="39" t="n">
        <f aca="false">(('Business Case'!E11*$C704*'Business Case'!E12*$B704)-'Business Case'!E11*$C704*'Business Case'!E13*$D704-'Business Case'!E14*$E704)-MAX(0,(('Business Case'!E11*$C704*'Business Case'!E12*$B704)-'Business Case'!E11*$C704*'Business Case'!E13*$D704-'Business Case'!E14*$E704))*'Business Case'!$B$7-'Business Case'!$B$8*(('Business Case'!E11*$C704*'Business Case'!E12*$B704)-('Business Case'!D11*$C704*'Business Case'!D12*$B704))-'Business Case'!E15*$F704</f>
        <v>588013980.990171</v>
      </c>
      <c r="L704" s="39" t="n">
        <f aca="false">(('Business Case'!F11*$C704*'Business Case'!F12*$B704)-'Business Case'!F11*$C704*'Business Case'!F13*$D704-'Business Case'!F14*$E704)-MAX(0,(('Business Case'!F11*$C704*'Business Case'!F12*$B704)-'Business Case'!F11*$C704*'Business Case'!F13*$D704-'Business Case'!F14*$E704))*'Business Case'!$B$7-'Business Case'!$B$8*(('Business Case'!F11*$C704*'Business Case'!F12*$B704)-('Business Case'!E11*$C704*'Business Case'!E12*$B704))-'Business Case'!F15*$F704</f>
        <v>714234543.037078</v>
      </c>
      <c r="M704" s="39" t="n">
        <f aca="false">(('Business Case'!G11*$C704*'Business Case'!G12*$B704)-'Business Case'!G11*$C704*'Business Case'!G13*$D704-'Business Case'!G14*$E704)-MAX(0,(('Business Case'!G11*$C704*'Business Case'!G12*$B704)-'Business Case'!G11*$C704*'Business Case'!G13*$D704-'Business Case'!G14*$E704))*'Business Case'!$B$7-'Business Case'!$B$8*(('Business Case'!G11*$C704*'Business Case'!G12*$B704)-('Business Case'!F11*$C704*'Business Case'!F12*$B704))-'Business Case'!G15*$F704+'Business Case'!$B$8*('Business Case'!G11*$C704*'Business Case'!G12*$B704)</f>
        <v>901068543.340106</v>
      </c>
      <c r="N704" s="39" t="n">
        <f aca="false">IF(COUNT('Business Case'!B11:G11)=0,"",H704+NPV(G704,I704:M704))</f>
        <v>-353130680.915968</v>
      </c>
      <c r="P704" s="40" t="n">
        <f aca="true">RAND()</f>
        <v>0.440962768076178</v>
      </c>
      <c r="Q704" s="40" t="n">
        <f aca="true">RAND()</f>
        <v>0.559079748742368</v>
      </c>
      <c r="R704" s="40" t="n">
        <f aca="true">RAND()</f>
        <v>0.799253868291633</v>
      </c>
      <c r="S704" s="40" t="n">
        <f aca="true">RAND()</f>
        <v>0.216498434994438</v>
      </c>
      <c r="T704" s="40" t="n">
        <f aca="true">RAND()</f>
        <v>0.273119654270952</v>
      </c>
      <c r="U704" s="40" t="n">
        <f aca="true">RAND()</f>
        <v>0.583952046753717</v>
      </c>
    </row>
    <row r="705" customFormat="false" ht="15" hidden="false" customHeight="false" outlineLevel="0" collapsed="false">
      <c r="A705" s="36" t="n">
        <v>625</v>
      </c>
      <c r="B705" s="37" t="n">
        <f aca="false">1+IF($G$6=$E$6,$F$6,IF(P705&lt;($F$6-$E$6)/($G$6-$E$6),$E$6+SQRT(P705*($G$6-$E$6)*($F$6-$E$6)),$G$6-SQRT((1-P705)*($G$6-$E$6)*($G$6-$F$6))))</f>
        <v>1.00185882333683</v>
      </c>
      <c r="C705" s="37" t="n">
        <f aca="false">1+IF($G$7=$E$7,$F$7,IF(Q705&lt;($F$7-$E$7)/($G$7-$E$7),$E$7+SQRT(Q705*($G$7-$E$7)*($F$7-$E$7)),$G$7-SQRT((1-Q705)*($G$7-$E$7)*($G$7-$F$7))))</f>
        <v>1.11560557676187</v>
      </c>
      <c r="D705" s="37" t="n">
        <f aca="false">1+IF($G$8=$E$8,$F$8,IF(R705&lt;($F$8-$E$8)/($G$8-$E$8),$E$8+SQRT(R705*($G$8-$E$8)*($F$8-$E$8)),$G$8-SQRT((1-R705)*($G$8-$E$8)*($G$8-$F$8))))</f>
        <v>1.00485224846166</v>
      </c>
      <c r="E705" s="37" t="n">
        <f aca="false">1+IF($G$9=$E$9,$F$9,IF(S705&lt;($F$9-$E$9)/($G$9-$E$9),$E$9+SQRT(S705*($G$9-$E$9)*($F$9-$E$9)),$G$9-SQRT((1-S705)*($G$9-$E$9)*($G$9-$F$9))))</f>
        <v>1.02830992521565</v>
      </c>
      <c r="F705" s="37" t="n">
        <f aca="false">1+IF($G$10=$E$10,$F$10,IF(T705&lt;($F$10-$E$10)/($G$10-$E$10),$E$10+SQRT(T705*($G$10-$E$10)*($F$10-$E$10)),$G$10-SQRT((1-T705)*($G$10-$E$10)*($G$10-$F$10))))</f>
        <v>0.970073553851883</v>
      </c>
      <c r="G705" s="38" t="n">
        <f aca="false">IF($G$11=$E$11,$F$11,IF(U705&lt;($F$11-$E$11)/($G$11-$E$11),$E$11+SQRT(U705*($G$11-$E$11)*($F$11-$E$11)),$G$11-SQRT((1-U705)*($G$11-$E$11)*($G$11-$F$11))))</f>
        <v>0.107226028479413</v>
      </c>
      <c r="H705" s="39" t="n">
        <f aca="false">(('Business Case'!B11*$C705*'Business Case'!B12*$B705)-'Business Case'!B11*$C705*'Business Case'!B13*$D705-'Business Case'!B14*$E705)-MAX(0,(('Business Case'!B11*$C705*'Business Case'!B12*$B705)-'Business Case'!B11*$C705*'Business Case'!B13*$D705-'Business Case'!B14*$E705))*'Business Case'!$B$7-'Business Case'!$B$8*('Business Case'!B11*$C705*'Business Case'!B12*$B705)-'Business Case'!B15*$F705</f>
        <v>-1940147107.70377</v>
      </c>
      <c r="I705" s="39" t="n">
        <f aca="false">(('Business Case'!C11*$C705*'Business Case'!C12*$B705)-'Business Case'!C11*$C705*'Business Case'!C13*$D705-'Business Case'!C14*$E705)-MAX(0,(('Business Case'!C11*$C705*'Business Case'!C12*$B705)-'Business Case'!C11*$C705*'Business Case'!C13*$D705-'Business Case'!C14*$E705))*'Business Case'!$B$7-'Business Case'!$B$8*(('Business Case'!C11*$C705*'Business Case'!C12*$B705)-('Business Case'!B11*$C705*'Business Case'!B12*$B705))-'Business Case'!C15*$F705</f>
        <v>40414360.7465887</v>
      </c>
      <c r="J705" s="39" t="n">
        <f aca="false">(('Business Case'!D11*$C705*'Business Case'!D12*$B705)-'Business Case'!D11*$C705*'Business Case'!D13*$D705-'Business Case'!D14*$E705)-MAX(0,(('Business Case'!D11*$C705*'Business Case'!D12*$B705)-'Business Case'!D11*$C705*'Business Case'!D13*$D705-'Business Case'!D14*$E705))*'Business Case'!$B$7-'Business Case'!$B$8*(('Business Case'!D11*$C705*'Business Case'!D12*$B705)-('Business Case'!C11*$C705*'Business Case'!C12*$B705))-'Business Case'!D15*$F705</f>
        <v>382002242.660578</v>
      </c>
      <c r="K705" s="39" t="n">
        <f aca="false">(('Business Case'!E11*$C705*'Business Case'!E12*$B705)-'Business Case'!E11*$C705*'Business Case'!E13*$D705-'Business Case'!E14*$E705)-MAX(0,(('Business Case'!E11*$C705*'Business Case'!E12*$B705)-'Business Case'!E11*$C705*'Business Case'!E13*$D705-'Business Case'!E14*$E705))*'Business Case'!$B$7-'Business Case'!$B$8*(('Business Case'!E11*$C705*'Business Case'!E12*$B705)-('Business Case'!D11*$C705*'Business Case'!D12*$B705))-'Business Case'!E15*$F705</f>
        <v>772093802.267162</v>
      </c>
      <c r="L705" s="39" t="n">
        <f aca="false">(('Business Case'!F11*$C705*'Business Case'!F12*$B705)-'Business Case'!F11*$C705*'Business Case'!F13*$D705-'Business Case'!F14*$E705)-MAX(0,(('Business Case'!F11*$C705*'Business Case'!F12*$B705)-'Business Case'!F11*$C705*'Business Case'!F13*$D705-'Business Case'!F14*$E705))*'Business Case'!$B$7-'Business Case'!$B$8*(('Business Case'!F11*$C705*'Business Case'!F12*$B705)-('Business Case'!E11*$C705*'Business Case'!E12*$B705))-'Business Case'!F15*$F705</f>
        <v>924583425.849523</v>
      </c>
      <c r="M705" s="39" t="n">
        <f aca="false">(('Business Case'!G11*$C705*'Business Case'!G12*$B705)-'Business Case'!G11*$C705*'Business Case'!G13*$D705-'Business Case'!G14*$E705)-MAX(0,(('Business Case'!G11*$C705*'Business Case'!G12*$B705)-'Business Case'!G11*$C705*'Business Case'!G13*$D705-'Business Case'!G14*$E705))*'Business Case'!$B$7-'Business Case'!$B$8*(('Business Case'!G11*$C705*'Business Case'!G12*$B705)-('Business Case'!F11*$C705*'Business Case'!F12*$B705))-'Business Case'!G15*$F705+'Business Case'!$B$8*('Business Case'!G11*$C705*'Business Case'!G12*$B705)</f>
        <v>1137031905.37686</v>
      </c>
      <c r="N705" s="39" t="n">
        <f aca="false">IF(COUNT('Business Case'!B11:G11)=0,"",H705+NPV(G705,I705:M705))</f>
        <v>275199060.50444</v>
      </c>
      <c r="P705" s="40" t="n">
        <f aca="true">RAND()</f>
        <v>0.696927217239396</v>
      </c>
      <c r="Q705" s="40" t="n">
        <f aca="true">RAND()</f>
        <v>0.977467117145068</v>
      </c>
      <c r="R705" s="40" t="n">
        <f aca="true">RAND()</f>
        <v>0.457001484493463</v>
      </c>
      <c r="S705" s="40" t="n">
        <f aca="true">RAND()</f>
        <v>0.657368878494296</v>
      </c>
      <c r="T705" s="40" t="n">
        <f aca="true">RAND()</f>
        <v>0.0322358051395551</v>
      </c>
      <c r="U705" s="40" t="n">
        <f aca="true">RAND()</f>
        <v>0.728042752652059</v>
      </c>
    </row>
    <row r="706" customFormat="false" ht="15" hidden="false" customHeight="false" outlineLevel="0" collapsed="false">
      <c r="A706" s="36" t="n">
        <v>626</v>
      </c>
      <c r="B706" s="37" t="n">
        <f aca="false">1+IF($G$6=$E$6,$F$6,IF(P706&lt;($F$6-$E$6)/($G$6-$E$6),$E$6+SQRT(P706*($G$6-$E$6)*($F$6-$E$6)),$G$6-SQRT((1-P706)*($G$6-$E$6)*($G$6-$F$6))))</f>
        <v>0.977687876655912</v>
      </c>
      <c r="C706" s="37" t="n">
        <f aca="false">1+IF($G$7=$E$7,$F$7,IF(Q706&lt;($F$7-$E$7)/($G$7-$E$7),$E$7+SQRT(Q706*($G$7-$E$7)*($F$7-$E$7)),$G$7-SQRT((1-Q706)*($G$7-$E$7)*($G$7-$F$7))))</f>
        <v>1.03981894219938</v>
      </c>
      <c r="D706" s="37" t="n">
        <f aca="false">1+IF($G$8=$E$8,$F$8,IF(R706&lt;($F$8-$E$8)/($G$8-$E$8),$E$8+SQRT(R706*($G$8-$E$8)*($F$8-$E$8)),$G$8-SQRT((1-R706)*($G$8-$E$8)*($G$8-$F$8))))</f>
        <v>0.985200199797638</v>
      </c>
      <c r="E706" s="37" t="n">
        <f aca="false">1+IF($G$9=$E$9,$F$9,IF(S706&lt;($F$9-$E$9)/($G$9-$E$9),$E$9+SQRT(S706*($G$9-$E$9)*($F$9-$E$9)),$G$9-SQRT((1-S706)*($G$9-$E$9)*($G$9-$F$9))))</f>
        <v>0.990673246243701</v>
      </c>
      <c r="F706" s="37" t="n">
        <f aca="false">1+IF($G$10=$E$10,$F$10,IF(T706&lt;($F$10-$E$10)/($G$10-$E$10),$E$10+SQRT(T706*($G$10-$E$10)*($F$10-$E$10)),$G$10-SQRT((1-T706)*($G$10-$E$10)*($G$10-$F$10))))</f>
        <v>1.00673346490352</v>
      </c>
      <c r="G706" s="38" t="n">
        <f aca="false">IF($G$11=$E$11,$F$11,IF(U706&lt;($F$11-$E$11)/($G$11-$E$11),$E$11+SQRT(U706*($G$11-$E$11)*($F$11-$E$11)),$G$11-SQRT((1-U706)*($G$11-$E$11)*($G$11-$F$11))))</f>
        <v>0.103179608260377</v>
      </c>
      <c r="H706" s="39" t="n">
        <f aca="false">(('Business Case'!B11*$C706*'Business Case'!B12*$B706)-'Business Case'!B11*$C706*'Business Case'!B13*$D706-'Business Case'!B14*$E706)-MAX(0,(('Business Case'!B11*$C706*'Business Case'!B12*$B706)-'Business Case'!B11*$C706*'Business Case'!B13*$D706-'Business Case'!B14*$E706))*'Business Case'!$B$7-'Business Case'!$B$8*('Business Case'!B11*$C706*'Business Case'!B12*$B706)-'Business Case'!B15*$F706</f>
        <v>-2013466929.80704</v>
      </c>
      <c r="I706" s="39" t="n">
        <f aca="false">(('Business Case'!C11*$C706*'Business Case'!C12*$B706)-'Business Case'!C11*$C706*'Business Case'!C13*$D706-'Business Case'!C14*$E706)-MAX(0,(('Business Case'!C11*$C706*'Business Case'!C12*$B706)-'Business Case'!C11*$C706*'Business Case'!C13*$D706-'Business Case'!C14*$E706))*'Business Case'!$B$7-'Business Case'!$B$8*(('Business Case'!C11*$C706*'Business Case'!C12*$B706)-('Business Case'!B11*$C706*'Business Case'!B12*$B706))-'Business Case'!C15*$F706</f>
        <v>14008947.615589</v>
      </c>
      <c r="J706" s="39" t="n">
        <f aca="false">(('Business Case'!D11*$C706*'Business Case'!D12*$B706)-'Business Case'!D11*$C706*'Business Case'!D13*$D706-'Business Case'!D14*$E706)-MAX(0,(('Business Case'!D11*$C706*'Business Case'!D12*$B706)-'Business Case'!D11*$C706*'Business Case'!D13*$D706-'Business Case'!D14*$E706))*'Business Case'!$B$7-'Business Case'!$B$8*(('Business Case'!D11*$C706*'Business Case'!D12*$B706)-('Business Case'!C11*$C706*'Business Case'!C12*$B706))-'Business Case'!D15*$F706</f>
        <v>322266473.830278</v>
      </c>
      <c r="K706" s="39" t="n">
        <f aca="false">(('Business Case'!E11*$C706*'Business Case'!E12*$B706)-'Business Case'!E11*$C706*'Business Case'!E13*$D706-'Business Case'!E14*$E706)-MAX(0,(('Business Case'!E11*$C706*'Business Case'!E12*$B706)-'Business Case'!E11*$C706*'Business Case'!E13*$D706-'Business Case'!E14*$E706))*'Business Case'!$B$7-'Business Case'!$B$8*(('Business Case'!E11*$C706*'Business Case'!E12*$B706)-('Business Case'!D11*$C706*'Business Case'!D12*$B706))-'Business Case'!E15*$F706</f>
        <v>680860673.290142</v>
      </c>
      <c r="L706" s="39" t="n">
        <f aca="false">(('Business Case'!F11*$C706*'Business Case'!F12*$B706)-'Business Case'!F11*$C706*'Business Case'!F13*$D706-'Business Case'!F14*$E706)-MAX(0,(('Business Case'!F11*$C706*'Business Case'!F12*$B706)-'Business Case'!F11*$C706*'Business Case'!F13*$D706-'Business Case'!F14*$E706))*'Business Case'!$B$7-'Business Case'!$B$8*(('Business Case'!F11*$C706*'Business Case'!F12*$B706)-('Business Case'!E11*$C706*'Business Case'!E12*$B706))-'Business Case'!F15*$F706</f>
        <v>818747513.023634</v>
      </c>
      <c r="M706" s="39" t="n">
        <f aca="false">(('Business Case'!G11*$C706*'Business Case'!G12*$B706)-'Business Case'!G11*$C706*'Business Case'!G13*$D706-'Business Case'!G14*$E706)-MAX(0,(('Business Case'!G11*$C706*'Business Case'!G12*$B706)-'Business Case'!G11*$C706*'Business Case'!G13*$D706-'Business Case'!G14*$E706))*'Business Case'!$B$7-'Business Case'!$B$8*(('Business Case'!G11*$C706*'Business Case'!G12*$B706)-('Business Case'!F11*$C706*'Business Case'!F12*$B706))-'Business Case'!G15*$F706+'Business Case'!$B$8*('Business Case'!G11*$C706*'Business Case'!G12*$B706)</f>
        <v>1011986333.49758</v>
      </c>
      <c r="N706" s="39" t="n">
        <f aca="false">IF(COUNT('Business Case'!B11:G11)=0,"",H706+NPV(G706,I706:M706))</f>
        <v>-56678273.7370846</v>
      </c>
      <c r="P706" s="40" t="n">
        <f aca="true">RAND()</f>
        <v>0.346655324277886</v>
      </c>
      <c r="Q706" s="40" t="n">
        <f aca="true">RAND()</f>
        <v>0.768764466703538</v>
      </c>
      <c r="R706" s="40" t="n">
        <f aca="true">RAND()</f>
        <v>0.190623702429786</v>
      </c>
      <c r="S706" s="40" t="n">
        <f aca="true">RAND()</f>
        <v>0.220575061333436</v>
      </c>
      <c r="T706" s="40" t="n">
        <f aca="true">RAND()</f>
        <v>0.252960928236007</v>
      </c>
      <c r="U706" s="40" t="n">
        <f aca="true">RAND()</f>
        <v>0.528457369542704</v>
      </c>
    </row>
    <row r="707" customFormat="false" ht="15" hidden="false" customHeight="false" outlineLevel="0" collapsed="false">
      <c r="A707" s="36" t="n">
        <v>627</v>
      </c>
      <c r="B707" s="37" t="n">
        <f aca="false">1+IF($G$6=$E$6,$F$6,IF(P707&lt;($F$6-$E$6)/($G$6-$E$6),$E$6+SQRT(P707*($G$6-$E$6)*($F$6-$E$6)),$G$6-SQRT((1-P707)*($G$6-$E$6)*($G$6-$F$6))))</f>
        <v>0.986502107681827</v>
      </c>
      <c r="C707" s="37" t="n">
        <f aca="false">1+IF($G$7=$E$7,$F$7,IF(Q707&lt;($F$7-$E$7)/($G$7-$E$7),$E$7+SQRT(Q707*($G$7-$E$7)*($F$7-$E$7)),$G$7-SQRT((1-Q707)*($G$7-$E$7)*($G$7-$F$7))))</f>
        <v>0.989364278769208</v>
      </c>
      <c r="D707" s="37" t="n">
        <f aca="false">1+IF($G$8=$E$8,$F$8,IF(R707&lt;($F$8-$E$8)/($G$8-$E$8),$E$8+SQRT(R707*($G$8-$E$8)*($F$8-$E$8)),$G$8-SQRT((1-R707)*($G$8-$E$8)*($G$8-$F$8))))</f>
        <v>0.982602366475274</v>
      </c>
      <c r="E707" s="37" t="n">
        <f aca="false">1+IF($G$9=$E$9,$F$9,IF(S707&lt;($F$9-$E$9)/($G$9-$E$9),$E$9+SQRT(S707*($G$9-$E$9)*($F$9-$E$9)),$G$9-SQRT((1-S707)*($G$9-$E$9)*($G$9-$F$9))))</f>
        <v>1.03304708558777</v>
      </c>
      <c r="F707" s="37" t="n">
        <f aca="false">1+IF($G$10=$E$10,$F$10,IF(T707&lt;($F$10-$E$10)/($G$10-$E$10),$E$10+SQRT(T707*($G$10-$E$10)*($F$10-$E$10)),$G$10-SQRT((1-T707)*($G$10-$E$10)*($G$10-$F$10))))</f>
        <v>1.04144619033207</v>
      </c>
      <c r="G707" s="38" t="n">
        <f aca="false">IF($G$11=$E$11,$F$11,IF(U707&lt;($F$11-$E$11)/($G$11-$E$11),$E$11+SQRT(U707*($G$11-$E$11)*($F$11-$E$11)),$G$11-SQRT((1-U707)*($G$11-$E$11)*($G$11-$F$11))))</f>
        <v>0.111619363623635</v>
      </c>
      <c r="H707" s="39" t="n">
        <f aca="false">(('Business Case'!B11*$C707*'Business Case'!B12*$B707)-'Business Case'!B11*$C707*'Business Case'!B13*$D707-'Business Case'!B14*$E707)-MAX(0,(('Business Case'!B11*$C707*'Business Case'!B12*$B707)-'Business Case'!B11*$C707*'Business Case'!B13*$D707-'Business Case'!B14*$E707))*'Business Case'!$B$7-'Business Case'!$B$8*('Business Case'!B11*$C707*'Business Case'!B12*$B707)-'Business Case'!B15*$F707</f>
        <v>-2082892380.66414</v>
      </c>
      <c r="I707" s="39" t="n">
        <f aca="false">(('Business Case'!C11*$C707*'Business Case'!C12*$B707)-'Business Case'!C11*$C707*'Business Case'!C13*$D707-'Business Case'!C14*$E707)-MAX(0,(('Business Case'!C11*$C707*'Business Case'!C12*$B707)-'Business Case'!C11*$C707*'Business Case'!C13*$D707-'Business Case'!C14*$E707))*'Business Case'!$B$7-'Business Case'!$B$8*(('Business Case'!C11*$C707*'Business Case'!C12*$B707)-('Business Case'!B11*$C707*'Business Case'!B12*$B707))-'Business Case'!C15*$F707</f>
        <v>118259.636224449</v>
      </c>
      <c r="J707" s="39" t="n">
        <f aca="false">(('Business Case'!D11*$C707*'Business Case'!D12*$B707)-'Business Case'!D11*$C707*'Business Case'!D13*$D707-'Business Case'!D14*$E707)-MAX(0,(('Business Case'!D11*$C707*'Business Case'!D12*$B707)-'Business Case'!D11*$C707*'Business Case'!D13*$D707-'Business Case'!D14*$E707))*'Business Case'!$B$7-'Business Case'!$B$8*(('Business Case'!D11*$C707*'Business Case'!D12*$B707)-('Business Case'!C11*$C707*'Business Case'!C12*$B707))-'Business Case'!D15*$F707</f>
        <v>301876789.490921</v>
      </c>
      <c r="K707" s="39" t="n">
        <f aca="false">(('Business Case'!E11*$C707*'Business Case'!E12*$B707)-'Business Case'!E11*$C707*'Business Case'!E13*$D707-'Business Case'!E14*$E707)-MAX(0,(('Business Case'!E11*$C707*'Business Case'!E12*$B707)-'Business Case'!E11*$C707*'Business Case'!E13*$D707-'Business Case'!E14*$E707))*'Business Case'!$B$7-'Business Case'!$B$8*(('Business Case'!E11*$C707*'Business Case'!E12*$B707)-('Business Case'!D11*$C707*'Business Case'!D12*$B707))-'Business Case'!E15*$F707</f>
        <v>655707628.862222</v>
      </c>
      <c r="L707" s="39" t="n">
        <f aca="false">(('Business Case'!F11*$C707*'Business Case'!F12*$B707)-'Business Case'!F11*$C707*'Business Case'!F13*$D707-'Business Case'!F14*$E707)-MAX(0,(('Business Case'!F11*$C707*'Business Case'!F12*$B707)-'Business Case'!F11*$C707*'Business Case'!F13*$D707-'Business Case'!F14*$E707))*'Business Case'!$B$7-'Business Case'!$B$8*(('Business Case'!F11*$C707*'Business Case'!F12*$B707)-('Business Case'!E11*$C707*'Business Case'!E12*$B707))-'Business Case'!F15*$F707</f>
        <v>790024709.223578</v>
      </c>
      <c r="M707" s="39" t="n">
        <f aca="false">(('Business Case'!G11*$C707*'Business Case'!G12*$B707)-'Business Case'!G11*$C707*'Business Case'!G13*$D707-'Business Case'!G14*$E707)-MAX(0,(('Business Case'!G11*$C707*'Business Case'!G12*$B707)-'Business Case'!G11*$C707*'Business Case'!G13*$D707-'Business Case'!G14*$E707))*'Business Case'!$B$7-'Business Case'!$B$8*(('Business Case'!G11*$C707*'Business Case'!G12*$B707)-('Business Case'!F11*$C707*'Business Case'!F12*$B707))-'Business Case'!G15*$F707+'Business Case'!$B$8*('Business Case'!G11*$C707*'Business Case'!G12*$B707)</f>
        <v>975544679.810757</v>
      </c>
      <c r="N707" s="39" t="n">
        <f aca="false">IF(COUNT('Business Case'!B11:G11)=0,"",H707+NPV(G707,I707:M707))</f>
        <v>-269012274.421598</v>
      </c>
      <c r="P707" s="40" t="n">
        <f aca="true">RAND()</f>
        <v>0.460680242304719</v>
      </c>
      <c r="Q707" s="40" t="n">
        <f aca="true">RAND()</f>
        <v>0.512269001054034</v>
      </c>
      <c r="R707" s="40" t="n">
        <f aca="true">RAND()</f>
        <v>0.163525276890469</v>
      </c>
      <c r="S707" s="40" t="n">
        <f aca="true">RAND()</f>
        <v>0.701153816780535</v>
      </c>
      <c r="T707" s="40" t="n">
        <f aca="true">RAND()</f>
        <v>0.497213788795709</v>
      </c>
      <c r="U707" s="40" t="n">
        <f aca="true">RAND()</f>
        <v>0.882941556545232</v>
      </c>
    </row>
    <row r="708" customFormat="false" ht="15" hidden="false" customHeight="false" outlineLevel="0" collapsed="false">
      <c r="A708" s="36" t="n">
        <v>628</v>
      </c>
      <c r="B708" s="37" t="n">
        <f aca="false">1+IF($G$6=$E$6,$F$6,IF(P708&lt;($F$6-$E$6)/($G$6-$E$6),$E$6+SQRT(P708*($G$6-$E$6)*($F$6-$E$6)),$G$6-SQRT((1-P708)*($G$6-$E$6)*($G$6-$F$6))))</f>
        <v>0.996993673661864</v>
      </c>
      <c r="C708" s="37" t="n">
        <f aca="false">1+IF($G$7=$E$7,$F$7,IF(Q708&lt;($F$7-$E$7)/($G$7-$E$7),$E$7+SQRT(Q708*($G$7-$E$7)*($F$7-$E$7)),$G$7-SQRT((1-Q708)*($G$7-$E$7)*($G$7-$F$7))))</f>
        <v>1.00000376608388</v>
      </c>
      <c r="D708" s="37" t="n">
        <f aca="false">1+IF($G$8=$E$8,$F$8,IF(R708&lt;($F$8-$E$8)/($G$8-$E$8),$E$8+SQRT(R708*($G$8-$E$8)*($F$8-$E$8)),$G$8-SQRT((1-R708)*($G$8-$E$8)*($G$8-$F$8))))</f>
        <v>1.00152452451326</v>
      </c>
      <c r="E708" s="37" t="n">
        <f aca="false">1+IF($G$9=$E$9,$F$9,IF(S708&lt;($F$9-$E$9)/($G$9-$E$9),$E$9+SQRT(S708*($G$9-$E$9)*($F$9-$E$9)),$G$9-SQRT((1-S708)*($G$9-$E$9)*($G$9-$F$9))))</f>
        <v>0.999246968355718</v>
      </c>
      <c r="F708" s="37" t="n">
        <f aca="false">1+IF($G$10=$E$10,$F$10,IF(T708&lt;($F$10-$E$10)/($G$10-$E$10),$E$10+SQRT(T708*($G$10-$E$10)*($F$10-$E$10)),$G$10-SQRT((1-T708)*($G$10-$E$10)*($G$10-$F$10))))</f>
        <v>1.10217619489781</v>
      </c>
      <c r="G708" s="38" t="n">
        <f aca="false">IF($G$11=$E$11,$F$11,IF(U708&lt;($F$11-$E$11)/($G$11-$E$11),$E$11+SQRT(U708*($G$11-$E$11)*($F$11-$E$11)),$G$11-SQRT((1-U708)*($G$11-$E$11)*($G$11-$F$11))))</f>
        <v>0.102694949545533</v>
      </c>
      <c r="H708" s="39" t="n">
        <f aca="false">(('Business Case'!B11*$C708*'Business Case'!B12*$B708)-'Business Case'!B11*$C708*'Business Case'!B13*$D708-'Business Case'!B14*$E708)-MAX(0,(('Business Case'!B11*$C708*'Business Case'!B12*$B708)-'Business Case'!B11*$C708*'Business Case'!B13*$D708-'Business Case'!B14*$E708))*'Business Case'!$B$7-'Business Case'!$B$8*('Business Case'!B11*$C708*'Business Case'!B12*$B708)-'Business Case'!B15*$F708</f>
        <v>-2204352389.79563</v>
      </c>
      <c r="I708" s="39" t="n">
        <f aca="false">(('Business Case'!C11*$C708*'Business Case'!C12*$B708)-'Business Case'!C11*$C708*'Business Case'!C13*$D708-'Business Case'!C14*$E708)-MAX(0,(('Business Case'!C11*$C708*'Business Case'!C12*$B708)-'Business Case'!C11*$C708*'Business Case'!C13*$D708-'Business Case'!C14*$E708))*'Business Case'!$B$7-'Business Case'!$B$8*(('Business Case'!C11*$C708*'Business Case'!C12*$B708)-('Business Case'!B11*$C708*'Business Case'!B12*$B708))-'Business Case'!C15*$F708</f>
        <v>-84572.8472888172</v>
      </c>
      <c r="J708" s="39" t="n">
        <f aca="false">(('Business Case'!D11*$C708*'Business Case'!D12*$B708)-'Business Case'!D11*$C708*'Business Case'!D13*$D708-'Business Case'!D14*$E708)-MAX(0,(('Business Case'!D11*$C708*'Business Case'!D12*$B708)-'Business Case'!D11*$C708*'Business Case'!D13*$D708-'Business Case'!D14*$E708))*'Business Case'!$B$7-'Business Case'!$B$8*(('Business Case'!D11*$C708*'Business Case'!D12*$B708)-('Business Case'!C11*$C708*'Business Case'!C12*$B708))-'Business Case'!D15*$F708</f>
        <v>303825739.38487</v>
      </c>
      <c r="K708" s="39" t="n">
        <f aca="false">(('Business Case'!E11*$C708*'Business Case'!E12*$B708)-'Business Case'!E11*$C708*'Business Case'!E13*$D708-'Business Case'!E14*$E708)-MAX(0,(('Business Case'!E11*$C708*'Business Case'!E12*$B708)-'Business Case'!E11*$C708*'Business Case'!E13*$D708-'Business Case'!E14*$E708))*'Business Case'!$B$7-'Business Case'!$B$8*(('Business Case'!E11*$C708*'Business Case'!E12*$B708)-('Business Case'!D11*$C708*'Business Case'!D12*$B708))-'Business Case'!E15*$F708</f>
        <v>662844861.36192</v>
      </c>
      <c r="L708" s="39" t="n">
        <f aca="false">(('Business Case'!F11*$C708*'Business Case'!F12*$B708)-'Business Case'!F11*$C708*'Business Case'!F13*$D708-'Business Case'!F14*$E708)-MAX(0,(('Business Case'!F11*$C708*'Business Case'!F12*$B708)-'Business Case'!F11*$C708*'Business Case'!F13*$D708-'Business Case'!F14*$E708))*'Business Case'!$B$7-'Business Case'!$B$8*(('Business Case'!F11*$C708*'Business Case'!F12*$B708)-('Business Case'!E11*$C708*'Business Case'!E12*$B708))-'Business Case'!F15*$F708</f>
        <v>798604529.898961</v>
      </c>
      <c r="M708" s="39" t="n">
        <f aca="false">(('Business Case'!G11*$C708*'Business Case'!G12*$B708)-'Business Case'!G11*$C708*'Business Case'!G13*$D708-'Business Case'!G14*$E708)-MAX(0,(('Business Case'!G11*$C708*'Business Case'!G12*$B708)-'Business Case'!G11*$C708*'Business Case'!G13*$D708-'Business Case'!G14*$E708))*'Business Case'!$B$7-'Business Case'!$B$8*(('Business Case'!G11*$C708*'Business Case'!G12*$B708)-('Business Case'!F11*$C708*'Business Case'!F12*$B708))-'Business Case'!G15*$F708+'Business Case'!$B$8*('Business Case'!G11*$C708*'Business Case'!G12*$B708)</f>
        <v>988113801.093732</v>
      </c>
      <c r="N708" s="39" t="n">
        <f aca="false">IF(COUNT('Business Case'!B11:G11)=0,"",H708+NPV(G708,I708:M708))</f>
        <v>-313971571.966969</v>
      </c>
      <c r="P708" s="40" t="n">
        <f aca="true">RAND()</f>
        <v>0.617502685828079</v>
      </c>
      <c r="Q708" s="40" t="n">
        <f aca="true">RAND()</f>
        <v>0.57145009163774</v>
      </c>
      <c r="R708" s="40" t="n">
        <f aca="true">RAND()</f>
        <v>0.407846129531778</v>
      </c>
      <c r="S708" s="40" t="n">
        <f aca="true">RAND()</f>
        <v>0.323368518963875</v>
      </c>
      <c r="T708" s="40" t="n">
        <f aca="true">RAND()</f>
        <v>0.808610063106593</v>
      </c>
      <c r="U708" s="40" t="n">
        <f aca="true">RAND()</f>
        <v>0.500892047947241</v>
      </c>
    </row>
    <row r="709" customFormat="false" ht="15" hidden="false" customHeight="false" outlineLevel="0" collapsed="false">
      <c r="A709" s="36" t="n">
        <v>629</v>
      </c>
      <c r="B709" s="37" t="n">
        <f aca="false">1+IF($G$6=$E$6,$F$6,IF(P709&lt;($F$6-$E$6)/($G$6-$E$6),$E$6+SQRT(P709*($G$6-$E$6)*($F$6-$E$6)),$G$6-SQRT((1-P709)*($G$6-$E$6)*($G$6-$F$6))))</f>
        <v>0.989221997408135</v>
      </c>
      <c r="C709" s="37" t="n">
        <f aca="false">1+IF($G$7=$E$7,$F$7,IF(Q709&lt;($F$7-$E$7)/($G$7-$E$7),$E$7+SQRT(Q709*($G$7-$E$7)*($F$7-$E$7)),$G$7-SQRT((1-Q709)*($G$7-$E$7)*($G$7-$F$7))))</f>
        <v>1.00302469696822</v>
      </c>
      <c r="D709" s="37" t="n">
        <f aca="false">1+IF($G$8=$E$8,$F$8,IF(R709&lt;($F$8-$E$8)/($G$8-$E$8),$E$8+SQRT(R709*($G$8-$E$8)*($F$8-$E$8)),$G$8-SQRT((1-R709)*($G$8-$E$8)*($G$8-$F$8))))</f>
        <v>0.999576868595605</v>
      </c>
      <c r="E709" s="37" t="n">
        <f aca="false">1+IF($G$9=$E$9,$F$9,IF(S709&lt;($F$9-$E$9)/($G$9-$E$9),$E$9+SQRT(S709*($G$9-$E$9)*($F$9-$E$9)),$G$9-SQRT((1-S709)*($G$9-$E$9)*($G$9-$F$9))))</f>
        <v>1.00534480409936</v>
      </c>
      <c r="F709" s="37" t="n">
        <f aca="false">1+IF($G$10=$E$10,$F$10,IF(T709&lt;($F$10-$E$10)/($G$10-$E$10),$E$10+SQRT(T709*($G$10-$E$10)*($F$10-$E$10)),$G$10-SQRT((1-T709)*($G$10-$E$10)*($G$10-$F$10))))</f>
        <v>1.0248807080629</v>
      </c>
      <c r="G709" s="38" t="n">
        <f aca="false">IF($G$11=$E$11,$F$11,IF(U709&lt;($F$11-$E$11)/($G$11-$E$11),$E$11+SQRT(U709*($G$11-$E$11)*($F$11-$E$11)),$G$11-SQRT((1-U709)*($G$11-$E$11)*($G$11-$F$11))))</f>
        <v>0.102862493976294</v>
      </c>
      <c r="H709" s="39" t="n">
        <f aca="false">(('Business Case'!B11*$C709*'Business Case'!B12*$B709)-'Business Case'!B11*$C709*'Business Case'!B13*$D709-'Business Case'!B14*$E709)-MAX(0,(('Business Case'!B11*$C709*'Business Case'!B12*$B709)-'Business Case'!B11*$C709*'Business Case'!B13*$D709-'Business Case'!B14*$E709))*'Business Case'!$B$7-'Business Case'!$B$8*('Business Case'!B11*$C709*'Business Case'!B12*$B709)-'Business Case'!B15*$F709</f>
        <v>-2049761416.12581</v>
      </c>
      <c r="I709" s="39" t="n">
        <f aca="false">(('Business Case'!C11*$C709*'Business Case'!C12*$B709)-'Business Case'!C11*$C709*'Business Case'!C13*$D709-'Business Case'!C14*$E709)-MAX(0,(('Business Case'!C11*$C709*'Business Case'!C12*$B709)-'Business Case'!C11*$C709*'Business Case'!C13*$D709-'Business Case'!C14*$E709))*'Business Case'!$B$7-'Business Case'!$B$8*(('Business Case'!C11*$C709*'Business Case'!C12*$B709)-('Business Case'!B11*$C709*'Business Case'!B12*$B709))-'Business Case'!C15*$F709</f>
        <v>2559163.69466019</v>
      </c>
      <c r="J709" s="39" t="n">
        <f aca="false">(('Business Case'!D11*$C709*'Business Case'!D12*$B709)-'Business Case'!D11*$C709*'Business Case'!D13*$D709-'Business Case'!D14*$E709)-MAX(0,(('Business Case'!D11*$C709*'Business Case'!D12*$B709)-'Business Case'!D11*$C709*'Business Case'!D13*$D709-'Business Case'!D14*$E709))*'Business Case'!$B$7-'Business Case'!$B$8*(('Business Case'!D11*$C709*'Business Case'!D12*$B709)-('Business Case'!C11*$C709*'Business Case'!C12*$B709))-'Business Case'!D15*$F709</f>
        <v>302002807.981069</v>
      </c>
      <c r="K709" s="39" t="n">
        <f aca="false">(('Business Case'!E11*$C709*'Business Case'!E12*$B709)-'Business Case'!E11*$C709*'Business Case'!E13*$D709-'Business Case'!E14*$E709)-MAX(0,(('Business Case'!E11*$C709*'Business Case'!E12*$B709)-'Business Case'!E11*$C709*'Business Case'!E13*$D709-'Business Case'!E14*$E709))*'Business Case'!$B$7-'Business Case'!$B$8*(('Business Case'!E11*$C709*'Business Case'!E12*$B709)-('Business Case'!D11*$C709*'Business Case'!D12*$B709))-'Business Case'!E15*$F709</f>
        <v>652690487.670624</v>
      </c>
      <c r="L709" s="39" t="n">
        <f aca="false">(('Business Case'!F11*$C709*'Business Case'!F12*$B709)-'Business Case'!F11*$C709*'Business Case'!F13*$D709-'Business Case'!F14*$E709)-MAX(0,(('Business Case'!F11*$C709*'Business Case'!F12*$B709)-'Business Case'!F11*$C709*'Business Case'!F13*$D709-'Business Case'!F14*$E709))*'Business Case'!$B$7-'Business Case'!$B$8*(('Business Case'!F11*$C709*'Business Case'!F12*$B709)-('Business Case'!E11*$C709*'Business Case'!E12*$B709))-'Business Case'!F15*$F709</f>
        <v>786795954.861113</v>
      </c>
      <c r="M709" s="39" t="n">
        <f aca="false">(('Business Case'!G11*$C709*'Business Case'!G12*$B709)-'Business Case'!G11*$C709*'Business Case'!G13*$D709-'Business Case'!G14*$E709)-MAX(0,(('Business Case'!G11*$C709*'Business Case'!G12*$B709)-'Business Case'!G11*$C709*'Business Case'!G13*$D709-'Business Case'!G14*$E709))*'Business Case'!$B$7-'Business Case'!$B$8*(('Business Case'!G11*$C709*'Business Case'!G12*$B709)-('Business Case'!F11*$C709*'Business Case'!F12*$B709))-'Business Case'!G15*$F709+'Business Case'!$B$8*('Business Case'!G11*$C709*'Business Case'!G12*$B709)</f>
        <v>975396009.883719</v>
      </c>
      <c r="N709" s="39" t="n">
        <f aca="false">IF(COUNT('Business Case'!B11:G11)=0,"",H709+NPV(G709,I709:M709))</f>
        <v>-182918430.749024</v>
      </c>
      <c r="P709" s="40" t="n">
        <f aca="true">RAND()</f>
        <v>0.499133846372067</v>
      </c>
      <c r="Q709" s="40" t="n">
        <f aca="true">RAND()</f>
        <v>0.588538291404096</v>
      </c>
      <c r="R709" s="40" t="n">
        <f aca="true">RAND()</f>
        <v>0.378133215345522</v>
      </c>
      <c r="S709" s="40" t="n">
        <f aca="true">RAND()</f>
        <v>0.402692925934139</v>
      </c>
      <c r="T709" s="40" t="n">
        <f aca="true">RAND()</f>
        <v>0.386664671829006</v>
      </c>
      <c r="U709" s="40" t="n">
        <f aca="true">RAND()</f>
        <v>0.510509812145736</v>
      </c>
    </row>
    <row r="710" customFormat="false" ht="15" hidden="false" customHeight="false" outlineLevel="0" collapsed="false">
      <c r="A710" s="36" t="n">
        <v>630</v>
      </c>
      <c r="B710" s="37" t="n">
        <f aca="false">1+IF($G$6=$E$6,$F$6,IF(P710&lt;($F$6-$E$6)/($G$6-$E$6),$E$6+SQRT(P710*($G$6-$E$6)*($F$6-$E$6)),$G$6-SQRT((1-P710)*($G$6-$E$6)*($G$6-$F$6))))</f>
        <v>0.958548252095073</v>
      </c>
      <c r="C710" s="37" t="n">
        <f aca="false">1+IF($G$7=$E$7,$F$7,IF(Q710&lt;($F$7-$E$7)/($G$7-$E$7),$E$7+SQRT(Q710*($G$7-$E$7)*($F$7-$E$7)),$G$7-SQRT((1-Q710)*($G$7-$E$7)*($G$7-$F$7))))</f>
        <v>0.980208947018697</v>
      </c>
      <c r="D710" s="37" t="n">
        <f aca="false">1+IF($G$8=$E$8,$F$8,IF(R710&lt;($F$8-$E$8)/($G$8-$E$8),$E$8+SQRT(R710*($G$8-$E$8)*($F$8-$E$8)),$G$8-SQRT((1-R710)*($G$8-$E$8)*($G$8-$F$8))))</f>
        <v>1.01839191344315</v>
      </c>
      <c r="E710" s="37" t="n">
        <f aca="false">1+IF($G$9=$E$9,$F$9,IF(S710&lt;($F$9-$E$9)/($G$9-$E$9),$E$9+SQRT(S710*($G$9-$E$9)*($F$9-$E$9)),$G$9-SQRT((1-S710)*($G$9-$E$9)*($G$9-$F$9))))</f>
        <v>0.972825428533704</v>
      </c>
      <c r="F710" s="37" t="n">
        <f aca="false">1+IF($G$10=$E$10,$F$10,IF(T710&lt;($F$10-$E$10)/($G$10-$E$10),$E$10+SQRT(T710*($G$10-$E$10)*($F$10-$E$10)),$G$10-SQRT((1-T710)*($G$10-$E$10)*($G$10-$F$10))))</f>
        <v>1.09516198020109</v>
      </c>
      <c r="G710" s="38" t="n">
        <f aca="false">IF($G$11=$E$11,$F$11,IF(U710&lt;($F$11-$E$11)/($G$11-$E$11),$E$11+SQRT(U710*($G$11-$E$11)*($F$11-$E$11)),$G$11-SQRT((1-U710)*($G$11-$E$11)*($G$11-$F$11))))</f>
        <v>0.105680369722519</v>
      </c>
      <c r="H710" s="39" t="n">
        <f aca="false">(('Business Case'!B11*$C710*'Business Case'!B12*$B710)-'Business Case'!B11*$C710*'Business Case'!B13*$D710-'Business Case'!B14*$E710)-MAX(0,(('Business Case'!B11*$C710*'Business Case'!B12*$B710)-'Business Case'!B11*$C710*'Business Case'!B13*$D710-'Business Case'!B14*$E710))*'Business Case'!$B$7-'Business Case'!$B$8*('Business Case'!B11*$C710*'Business Case'!B12*$B710)-'Business Case'!B15*$F710</f>
        <v>-2190323960.40219</v>
      </c>
      <c r="I710" s="39" t="n">
        <f aca="false">(('Business Case'!C11*$C710*'Business Case'!C12*$B710)-'Business Case'!C11*$C710*'Business Case'!C13*$D710-'Business Case'!C14*$E710)-MAX(0,(('Business Case'!C11*$C710*'Business Case'!C12*$B710)-'Business Case'!C11*$C710*'Business Case'!C13*$D710-'Business Case'!C14*$E710))*'Business Case'!$B$7-'Business Case'!$B$8*(('Business Case'!C11*$C710*'Business Case'!C12*$B710)-('Business Case'!B11*$C710*'Business Case'!B12*$B710))-'Business Case'!C15*$F710</f>
        <v>-37995409.5792235</v>
      </c>
      <c r="J710" s="39" t="n">
        <f aca="false">(('Business Case'!D11*$C710*'Business Case'!D12*$B710)-'Business Case'!D11*$C710*'Business Case'!D13*$D710-'Business Case'!D14*$E710)-MAX(0,(('Business Case'!D11*$C710*'Business Case'!D12*$B710)-'Business Case'!D11*$C710*'Business Case'!D13*$D710-'Business Case'!D14*$E710))*'Business Case'!$B$7-'Business Case'!$B$8*(('Business Case'!D11*$C710*'Business Case'!D12*$B710)-('Business Case'!C11*$C710*'Business Case'!C12*$B710))-'Business Case'!D15*$F710</f>
        <v>220568856.17584</v>
      </c>
      <c r="K710" s="39" t="n">
        <f aca="false">(('Business Case'!E11*$C710*'Business Case'!E12*$B710)-'Business Case'!E11*$C710*'Business Case'!E13*$D710-'Business Case'!E14*$E710)-MAX(0,(('Business Case'!E11*$C710*'Business Case'!E12*$B710)-'Business Case'!E11*$C710*'Business Case'!E13*$D710-'Business Case'!E14*$E710))*'Business Case'!$B$7-'Business Case'!$B$8*(('Business Case'!E11*$C710*'Business Case'!E12*$B710)-('Business Case'!D11*$C710*'Business Case'!D12*$B710))-'Business Case'!E15*$F710</f>
        <v>533891220.940959</v>
      </c>
      <c r="L710" s="39" t="n">
        <f aca="false">(('Business Case'!F11*$C710*'Business Case'!F12*$B710)-'Business Case'!F11*$C710*'Business Case'!F13*$D710-'Business Case'!F14*$E710)-MAX(0,(('Business Case'!F11*$C710*'Business Case'!F12*$B710)-'Business Case'!F11*$C710*'Business Case'!F13*$D710-'Business Case'!F14*$E710))*'Business Case'!$B$7-'Business Case'!$B$8*(('Business Case'!F11*$C710*'Business Case'!F12*$B710)-('Business Case'!E11*$C710*'Business Case'!E12*$B710))-'Business Case'!F15*$F710</f>
        <v>652551110.44377</v>
      </c>
      <c r="M710" s="39" t="n">
        <f aca="false">(('Business Case'!G11*$C710*'Business Case'!G12*$B710)-'Business Case'!G11*$C710*'Business Case'!G13*$D710-'Business Case'!G14*$E710)-MAX(0,(('Business Case'!G11*$C710*'Business Case'!G12*$B710)-'Business Case'!G11*$C710*'Business Case'!G13*$D710-'Business Case'!G14*$E710))*'Business Case'!$B$7-'Business Case'!$B$8*(('Business Case'!G11*$C710*'Business Case'!G12*$B710)-('Business Case'!F11*$C710*'Business Case'!F12*$B710))-'Business Case'!G15*$F710+'Business Case'!$B$8*('Business Case'!G11*$C710*'Business Case'!G12*$B710)</f>
        <v>831146015.491616</v>
      </c>
      <c r="N710" s="39" t="n">
        <f aca="false">IF(COUNT('Business Case'!B11:G11)=0,"",H710+NPV(G710,I710:M710))</f>
        <v>-709730069.68666</v>
      </c>
      <c r="P710" s="40" t="n">
        <f aca="true">RAND()</f>
        <v>0.154788306206801</v>
      </c>
      <c r="Q710" s="40" t="n">
        <f aca="true">RAND()</f>
        <v>0.463932351222677</v>
      </c>
      <c r="R710" s="40" t="n">
        <f aca="true">RAND()</f>
        <v>0.635042660654149</v>
      </c>
      <c r="S710" s="40" t="n">
        <f aca="true">RAND()</f>
        <v>0.0694666916996272</v>
      </c>
      <c r="T710" s="40" t="n">
        <f aca="true">RAND()</f>
        <v>0.780179792092887</v>
      </c>
      <c r="U710" s="40" t="n">
        <f aca="true">RAND()</f>
        <v>0.658246981193745</v>
      </c>
    </row>
    <row r="711" customFormat="false" ht="15" hidden="false" customHeight="false" outlineLevel="0" collapsed="false">
      <c r="A711" s="36" t="n">
        <v>631</v>
      </c>
      <c r="B711" s="37" t="n">
        <f aca="false">1+IF($G$6=$E$6,$F$6,IF(P711&lt;($F$6-$E$6)/($G$6-$E$6),$E$6+SQRT(P711*($G$6-$E$6)*($F$6-$E$6)),$G$6-SQRT((1-P711)*($G$6-$E$6)*($G$6-$F$6))))</f>
        <v>0.989370995812856</v>
      </c>
      <c r="C711" s="37" t="n">
        <f aca="false">1+IF($G$7=$E$7,$F$7,IF(Q711&lt;($F$7-$E$7)/($G$7-$E$7),$E$7+SQRT(Q711*($G$7-$E$7)*($F$7-$E$7)),$G$7-SQRT((1-Q711)*($G$7-$E$7)*($G$7-$F$7))))</f>
        <v>0.922626088332986</v>
      </c>
      <c r="D711" s="37" t="n">
        <f aca="false">1+IF($G$8=$E$8,$F$8,IF(R711&lt;($F$8-$E$8)/($G$8-$E$8),$E$8+SQRT(R711*($G$8-$E$8)*($F$8-$E$8)),$G$8-SQRT((1-R711)*($G$8-$E$8)*($G$8-$F$8))))</f>
        <v>0.996914726968217</v>
      </c>
      <c r="E711" s="37" t="n">
        <f aca="false">1+IF($G$9=$E$9,$F$9,IF(S711&lt;($F$9-$E$9)/($G$9-$E$9),$E$9+SQRT(S711*($G$9-$E$9)*($F$9-$E$9)),$G$9-SQRT((1-S711)*($G$9-$E$9)*($G$9-$F$9))))</f>
        <v>1.02054965320389</v>
      </c>
      <c r="F711" s="37" t="n">
        <f aca="false">1+IF($G$10=$E$10,$F$10,IF(T711&lt;($F$10-$E$10)/($G$10-$E$10),$E$10+SQRT(T711*($G$10-$E$10)*($F$10-$E$10)),$G$10-SQRT((1-T711)*($G$10-$E$10)*($G$10-$F$10))))</f>
        <v>0.985167390170312</v>
      </c>
      <c r="G711" s="38" t="n">
        <f aca="false">IF($G$11=$E$11,$F$11,IF(U711&lt;($F$11-$E$11)/($G$11-$E$11),$E$11+SQRT(U711*($G$11-$E$11)*($F$11-$E$11)),$G$11-SQRT((1-U711)*($G$11-$E$11)*($G$11-$F$11))))</f>
        <v>0.102344937673693</v>
      </c>
      <c r="H711" s="39" t="n">
        <f aca="false">(('Business Case'!B11*$C711*'Business Case'!B12*$B711)-'Business Case'!B11*$C711*'Business Case'!B13*$D711-'Business Case'!B14*$E711)-MAX(0,(('Business Case'!B11*$C711*'Business Case'!B12*$B711)-'Business Case'!B11*$C711*'Business Case'!B13*$D711-'Business Case'!B14*$E711))*'Business Case'!$B$7-'Business Case'!$B$8*('Business Case'!B11*$C711*'Business Case'!B12*$B711)-'Business Case'!B15*$F711</f>
        <v>-1970334780.34062</v>
      </c>
      <c r="I711" s="39" t="n">
        <f aca="false">(('Business Case'!C11*$C711*'Business Case'!C12*$B711)-'Business Case'!C11*$C711*'Business Case'!C13*$D711-'Business Case'!C14*$E711)-MAX(0,(('Business Case'!C11*$C711*'Business Case'!C12*$B711)-'Business Case'!C11*$C711*'Business Case'!C13*$D711-'Business Case'!C14*$E711))*'Business Case'!$B$7-'Business Case'!$B$8*(('Business Case'!C11*$C711*'Business Case'!C12*$B711)-('Business Case'!B11*$C711*'Business Case'!B12*$B711))-'Business Case'!C15*$F711</f>
        <v>-14148114.9162807</v>
      </c>
      <c r="J711" s="39" t="n">
        <f aca="false">(('Business Case'!D11*$C711*'Business Case'!D12*$B711)-'Business Case'!D11*$C711*'Business Case'!D13*$D711-'Business Case'!D14*$E711)-MAX(0,(('Business Case'!D11*$C711*'Business Case'!D12*$B711)-'Business Case'!D11*$C711*'Business Case'!D13*$D711-'Business Case'!D14*$E711))*'Business Case'!$B$7-'Business Case'!$B$8*(('Business Case'!D11*$C711*'Business Case'!D12*$B711)-('Business Case'!C11*$C711*'Business Case'!C12*$B711))-'Business Case'!D15*$F711</f>
        <v>262663232.323779</v>
      </c>
      <c r="K711" s="39" t="n">
        <f aca="false">(('Business Case'!E11*$C711*'Business Case'!E12*$B711)-'Business Case'!E11*$C711*'Business Case'!E13*$D711-'Business Case'!E14*$E711)-MAX(0,(('Business Case'!E11*$C711*'Business Case'!E12*$B711)-'Business Case'!E11*$C711*'Business Case'!E13*$D711-'Business Case'!E14*$E711))*'Business Case'!$B$7-'Business Case'!$B$8*(('Business Case'!E11*$C711*'Business Case'!E12*$B711)-('Business Case'!D11*$C711*'Business Case'!D12*$B711))-'Business Case'!E15*$F711</f>
        <v>588732949.072353</v>
      </c>
      <c r="L711" s="39" t="n">
        <f aca="false">(('Business Case'!F11*$C711*'Business Case'!F12*$B711)-'Business Case'!F11*$C711*'Business Case'!F13*$D711-'Business Case'!F14*$E711)-MAX(0,(('Business Case'!F11*$C711*'Business Case'!F12*$B711)-'Business Case'!F11*$C711*'Business Case'!F13*$D711-'Business Case'!F14*$E711))*'Business Case'!$B$7-'Business Case'!$B$8*(('Business Case'!F11*$C711*'Business Case'!F12*$B711)-('Business Case'!E11*$C711*'Business Case'!E12*$B711))-'Business Case'!F15*$F711</f>
        <v>712550439.788184</v>
      </c>
      <c r="M711" s="39" t="n">
        <f aca="false">(('Business Case'!G11*$C711*'Business Case'!G12*$B711)-'Business Case'!G11*$C711*'Business Case'!G13*$D711-'Business Case'!G14*$E711)-MAX(0,(('Business Case'!G11*$C711*'Business Case'!G12*$B711)-'Business Case'!G11*$C711*'Business Case'!G13*$D711-'Business Case'!G14*$E711))*'Business Case'!$B$7-'Business Case'!$B$8*(('Business Case'!G11*$C711*'Business Case'!G12*$B711)-('Business Case'!F11*$C711*'Business Case'!F12*$B711))-'Business Case'!G15*$F711+'Business Case'!$B$8*('Business Case'!G11*$C711*'Business Case'!G12*$B711)</f>
        <v>886059168.785142</v>
      </c>
      <c r="N711" s="39" t="n">
        <f aca="false">IF(COUNT('Business Case'!B11:G11)=0,"",H711+NPV(G711,I711:M711))</f>
        <v>-300608078.089728</v>
      </c>
      <c r="P711" s="40" t="n">
        <f aca="true">RAND()</f>
        <v>0.501284902090348</v>
      </c>
      <c r="Q711" s="40" t="n">
        <f aca="true">RAND()</f>
        <v>0.21481653628356</v>
      </c>
      <c r="R711" s="40" t="n">
        <f aca="true">RAND()</f>
        <v>0.338614093308049</v>
      </c>
      <c r="S711" s="40" t="n">
        <f aca="true">RAND()</f>
        <v>0.579176159598508</v>
      </c>
      <c r="T711" s="40" t="n">
        <f aca="true">RAND()</f>
        <v>0.0989396265112758</v>
      </c>
      <c r="U711" s="40" t="n">
        <f aca="true">RAND()</f>
        <v>0.480497957090352</v>
      </c>
    </row>
    <row r="712" customFormat="false" ht="15" hidden="false" customHeight="false" outlineLevel="0" collapsed="false">
      <c r="A712" s="36" t="n">
        <v>632</v>
      </c>
      <c r="B712" s="37" t="n">
        <f aca="false">1+IF($G$6=$E$6,$F$6,IF(P712&lt;($F$6-$E$6)/($G$6-$E$6),$E$6+SQRT(P712*($G$6-$E$6)*($F$6-$E$6)),$G$6-SQRT((1-P712)*($G$6-$E$6)*($G$6-$F$6))))</f>
        <v>1.01833852450394</v>
      </c>
      <c r="C712" s="37" t="n">
        <f aca="false">1+IF($G$7=$E$7,$F$7,IF(Q712&lt;($F$7-$E$7)/($G$7-$E$7),$E$7+SQRT(Q712*($G$7-$E$7)*($F$7-$E$7)),$G$7-SQRT((1-Q712)*($G$7-$E$7)*($G$7-$F$7))))</f>
        <v>1.03356633900911</v>
      </c>
      <c r="D712" s="37" t="n">
        <f aca="false">1+IF($G$8=$E$8,$F$8,IF(R712&lt;($F$8-$E$8)/($G$8-$E$8),$E$8+SQRT(R712*($G$8-$E$8)*($F$8-$E$8)),$G$8-SQRT((1-R712)*($G$8-$E$8)*($G$8-$F$8))))</f>
        <v>0.999231964629852</v>
      </c>
      <c r="E712" s="37" t="n">
        <f aca="false">1+IF($G$9=$E$9,$F$9,IF(S712&lt;($F$9-$E$9)/($G$9-$E$9),$E$9+SQRT(S712*($G$9-$E$9)*($F$9-$E$9)),$G$9-SQRT((1-S712)*($G$9-$E$9)*($G$9-$F$9))))</f>
        <v>1.02523397440095</v>
      </c>
      <c r="F712" s="37" t="n">
        <f aca="false">1+IF($G$10=$E$10,$F$10,IF(T712&lt;($F$10-$E$10)/($G$10-$E$10),$E$10+SQRT(T712*($G$10-$E$10)*($F$10-$E$10)),$G$10-SQRT((1-T712)*($G$10-$E$10)*($G$10-$F$10))))</f>
        <v>0.988338646886865</v>
      </c>
      <c r="G712" s="38" t="n">
        <f aca="false">IF($G$11=$E$11,$F$11,IF(U712&lt;($F$11-$E$11)/($G$11-$E$11),$E$11+SQRT(U712*($G$11-$E$11)*($F$11-$E$11)),$G$11-SQRT((1-U712)*($G$11-$E$11)*($G$11-$F$11))))</f>
        <v>0.103367860403087</v>
      </c>
      <c r="H712" s="39" t="n">
        <f aca="false">(('Business Case'!B11*$C712*'Business Case'!B12*$B712)-'Business Case'!B11*$C712*'Business Case'!B13*$D712-'Business Case'!B14*$E712)-MAX(0,(('Business Case'!B11*$C712*'Business Case'!B12*$B712)-'Business Case'!B11*$C712*'Business Case'!B13*$D712-'Business Case'!B14*$E712))*'Business Case'!$B$7-'Business Case'!$B$8*('Business Case'!B11*$C712*'Business Case'!B12*$B712)-'Business Case'!B15*$F712</f>
        <v>-1976677293.77373</v>
      </c>
      <c r="I712" s="39" t="n">
        <f aca="false">(('Business Case'!C11*$C712*'Business Case'!C12*$B712)-'Business Case'!C11*$C712*'Business Case'!C13*$D712-'Business Case'!C14*$E712)-MAX(0,(('Business Case'!C11*$C712*'Business Case'!C12*$B712)-'Business Case'!C11*$C712*'Business Case'!C13*$D712-'Business Case'!C14*$E712))*'Business Case'!$B$7-'Business Case'!$B$8*(('Business Case'!C11*$C712*'Business Case'!C12*$B712)-('Business Case'!B11*$C712*'Business Case'!B12*$B712))-'Business Case'!C15*$F712</f>
        <v>34208301.2907949</v>
      </c>
      <c r="J712" s="39" t="n">
        <f aca="false">(('Business Case'!D11*$C712*'Business Case'!D12*$B712)-'Business Case'!D11*$C712*'Business Case'!D13*$D712-'Business Case'!D14*$E712)-MAX(0,(('Business Case'!D11*$C712*'Business Case'!D12*$B712)-'Business Case'!D11*$C712*'Business Case'!D13*$D712-'Business Case'!D14*$E712))*'Business Case'!$B$7-'Business Case'!$B$8*(('Business Case'!D11*$C712*'Business Case'!D12*$B712)-('Business Case'!C11*$C712*'Business Case'!C12*$B712))-'Business Case'!D15*$F712</f>
        <v>367601397.036249</v>
      </c>
      <c r="K712" s="39" t="n">
        <f aca="false">(('Business Case'!E11*$C712*'Business Case'!E12*$B712)-'Business Case'!E11*$C712*'Business Case'!E13*$D712-'Business Case'!E14*$E712)-MAX(0,(('Business Case'!E11*$C712*'Business Case'!E12*$B712)-'Business Case'!E11*$C712*'Business Case'!E13*$D712-'Business Case'!E14*$E712))*'Business Case'!$B$7-'Business Case'!$B$8*(('Business Case'!E11*$C712*'Business Case'!E12*$B712)-('Business Case'!D11*$C712*'Business Case'!D12*$B712))-'Business Case'!E15*$F712</f>
        <v>750411425.126047</v>
      </c>
      <c r="L712" s="39" t="n">
        <f aca="false">(('Business Case'!F11*$C712*'Business Case'!F12*$B712)-'Business Case'!F11*$C712*'Business Case'!F13*$D712-'Business Case'!F14*$E712)-MAX(0,(('Business Case'!F11*$C712*'Business Case'!F12*$B712)-'Business Case'!F11*$C712*'Business Case'!F13*$D712-'Business Case'!F14*$E712))*'Business Case'!$B$7-'Business Case'!$B$8*(('Business Case'!F11*$C712*'Business Case'!F12*$B712)-('Business Case'!E11*$C712*'Business Case'!E12*$B712))-'Business Case'!F15*$F712</f>
        <v>897917562.778637</v>
      </c>
      <c r="M712" s="39" t="n">
        <f aca="false">(('Business Case'!G11*$C712*'Business Case'!G12*$B712)-'Business Case'!G11*$C712*'Business Case'!G13*$D712-'Business Case'!G14*$E712)-MAX(0,(('Business Case'!G11*$C712*'Business Case'!G12*$B712)-'Business Case'!G11*$C712*'Business Case'!G13*$D712-'Business Case'!G14*$E712))*'Business Case'!$B$7-'Business Case'!$B$8*(('Business Case'!G11*$C712*'Business Case'!G12*$B712)-('Business Case'!F11*$C712*'Business Case'!F12*$B712))-'Business Case'!G15*$F712+'Business Case'!$B$8*('Business Case'!G11*$C712*'Business Case'!G12*$B712)</f>
        <v>1097980644.33455</v>
      </c>
      <c r="N712" s="39" t="n">
        <f aca="false">IF(COUNT('Business Case'!B11:G11)=0,"",H712+NPV(G712,I712:M712))</f>
        <v>192179701.950229</v>
      </c>
      <c r="P712" s="40" t="n">
        <f aca="true">RAND()</f>
        <v>0.902245933194499</v>
      </c>
      <c r="Q712" s="40" t="n">
        <f aca="true">RAND()</f>
        <v>0.741775287395394</v>
      </c>
      <c r="R712" s="40" t="n">
        <f aca="true">RAND()</f>
        <v>0.37289020635616</v>
      </c>
      <c r="S712" s="40" t="n">
        <f aca="true">RAND()</f>
        <v>0.627336094408151</v>
      </c>
      <c r="T712" s="40" t="n">
        <f aca="true">RAND()</f>
        <v>0.117588147609257</v>
      </c>
      <c r="U712" s="40" t="n">
        <f aca="true">RAND()</f>
        <v>0.538953220714676</v>
      </c>
    </row>
    <row r="713" customFormat="false" ht="15" hidden="false" customHeight="false" outlineLevel="0" collapsed="false">
      <c r="A713" s="36" t="n">
        <v>633</v>
      </c>
      <c r="B713" s="37" t="n">
        <f aca="false">1+IF($G$6=$E$6,$F$6,IF(P713&lt;($F$6-$E$6)/($G$6-$E$6),$E$6+SQRT(P713*($G$6-$E$6)*($F$6-$E$6)),$G$6-SQRT((1-P713)*($G$6-$E$6)*($G$6-$F$6))))</f>
        <v>0.945460902448646</v>
      </c>
      <c r="C713" s="37" t="n">
        <f aca="false">1+IF($G$7=$E$7,$F$7,IF(Q713&lt;($F$7-$E$7)/($G$7-$E$7),$E$7+SQRT(Q713*($G$7-$E$7)*($F$7-$E$7)),$G$7-SQRT((1-Q713)*($G$7-$E$7)*($G$7-$F$7))))</f>
        <v>1.01921949902111</v>
      </c>
      <c r="D713" s="37" t="n">
        <f aca="false">1+IF($G$8=$E$8,$F$8,IF(R713&lt;($F$8-$E$8)/($G$8-$E$8),$E$8+SQRT(R713*($G$8-$E$8)*($F$8-$E$8)),$G$8-SQRT((1-R713)*($G$8-$E$8)*($G$8-$F$8))))</f>
        <v>0.987536532761065</v>
      </c>
      <c r="E713" s="37" t="n">
        <f aca="false">1+IF($G$9=$E$9,$F$9,IF(S713&lt;($F$9-$E$9)/($G$9-$E$9),$E$9+SQRT(S713*($G$9-$E$9)*($F$9-$E$9)),$G$9-SQRT((1-S713)*($G$9-$E$9)*($G$9-$F$9))))</f>
        <v>0.996796107341477</v>
      </c>
      <c r="F713" s="37" t="n">
        <f aca="false">1+IF($G$10=$E$10,$F$10,IF(T713&lt;($F$10-$E$10)/($G$10-$E$10),$E$10+SQRT(T713*($G$10-$E$10)*($F$10-$E$10)),$G$10-SQRT((1-T713)*($G$10-$E$10)*($G$10-$F$10))))</f>
        <v>0.979979828857267</v>
      </c>
      <c r="G713" s="38" t="n">
        <f aca="false">IF($G$11=$E$11,$F$11,IF(U713&lt;($F$11-$E$11)/($G$11-$E$11),$E$11+SQRT(U713*($G$11-$E$11)*($F$11-$E$11)),$G$11-SQRT((1-U713)*($G$11-$E$11)*($G$11-$F$11))))</f>
        <v>0.10259671241782</v>
      </c>
      <c r="H713" s="39" t="n">
        <f aca="false">(('Business Case'!B11*$C713*'Business Case'!B12*$B713)-'Business Case'!B11*$C713*'Business Case'!B13*$D713-'Business Case'!B14*$E713)-MAX(0,(('Business Case'!B11*$C713*'Business Case'!B12*$B713)-'Business Case'!B11*$C713*'Business Case'!B13*$D713-'Business Case'!B14*$E713))*'Business Case'!$B$7-'Business Case'!$B$8*('Business Case'!B11*$C713*'Business Case'!B12*$B713)-'Business Case'!B15*$F713</f>
        <v>-1959959657.71453</v>
      </c>
      <c r="I713" s="39" t="n">
        <f aca="false">(('Business Case'!C11*$C713*'Business Case'!C12*$B713)-'Business Case'!C11*$C713*'Business Case'!C13*$D713-'Business Case'!C14*$E713)-MAX(0,(('Business Case'!C11*$C713*'Business Case'!C12*$B713)-'Business Case'!C11*$C713*'Business Case'!C13*$D713-'Business Case'!C14*$E713))*'Business Case'!$B$7-'Business Case'!$B$8*(('Business Case'!C11*$C713*'Business Case'!C12*$B713)-('Business Case'!B11*$C713*'Business Case'!B12*$B713))-'Business Case'!C15*$F713</f>
        <v>-15668860.6500668</v>
      </c>
      <c r="J713" s="39" t="n">
        <f aca="false">(('Business Case'!D11*$C713*'Business Case'!D12*$B713)-'Business Case'!D11*$C713*'Business Case'!D13*$D713-'Business Case'!D14*$E713)-MAX(0,(('Business Case'!D11*$C713*'Business Case'!D12*$B713)-'Business Case'!D11*$C713*'Business Case'!D13*$D713-'Business Case'!D14*$E713))*'Business Case'!$B$7-'Business Case'!$B$8*(('Business Case'!D11*$C713*'Business Case'!D12*$B713)-('Business Case'!C11*$C713*'Business Case'!C12*$B713))-'Business Case'!D15*$F713</f>
        <v>258359360.64114</v>
      </c>
      <c r="K713" s="39" t="n">
        <f aca="false">(('Business Case'!E11*$C713*'Business Case'!E12*$B713)-'Business Case'!E11*$C713*'Business Case'!E13*$D713-'Business Case'!E14*$E713)-MAX(0,(('Business Case'!E11*$C713*'Business Case'!E12*$B713)-'Business Case'!E11*$C713*'Business Case'!E13*$D713-'Business Case'!E14*$E713))*'Business Case'!$B$7-'Business Case'!$B$8*(('Business Case'!E11*$C713*'Business Case'!E12*$B713)-('Business Case'!D11*$C713*'Business Case'!D12*$B713))-'Business Case'!E15*$F713</f>
        <v>581386573.375211</v>
      </c>
      <c r="L713" s="39" t="n">
        <f aca="false">(('Business Case'!F11*$C713*'Business Case'!F12*$B713)-'Business Case'!F11*$C713*'Business Case'!F13*$D713-'Business Case'!F14*$E713)-MAX(0,(('Business Case'!F11*$C713*'Business Case'!F12*$B713)-'Business Case'!F11*$C713*'Business Case'!F13*$D713-'Business Case'!F14*$E713))*'Business Case'!$B$7-'Business Case'!$B$8*(('Business Case'!F11*$C713*'Business Case'!F12*$B713)-('Business Case'!E11*$C713*'Business Case'!E12*$B713))-'Business Case'!F15*$F713</f>
        <v>706032442.200006</v>
      </c>
      <c r="M713" s="39" t="n">
        <f aca="false">(('Business Case'!G11*$C713*'Business Case'!G12*$B713)-'Business Case'!G11*$C713*'Business Case'!G13*$D713-'Business Case'!G14*$E713)-MAX(0,(('Business Case'!G11*$C713*'Business Case'!G12*$B713)-'Business Case'!G11*$C713*'Business Case'!G13*$D713-'Business Case'!G14*$E713))*'Business Case'!$B$7-'Business Case'!$B$8*(('Business Case'!G11*$C713*'Business Case'!G12*$B713)-('Business Case'!F11*$C713*'Business Case'!F12*$B713))-'Business Case'!G15*$F713+'Business Case'!$B$8*('Business Case'!G11*$C713*'Business Case'!G12*$B713)</f>
        <v>889199648.369167</v>
      </c>
      <c r="N713" s="39" t="n">
        <f aca="false">IF(COUNT('Business Case'!B11:G11)=0,"",H713+NPV(G713,I713:M713))</f>
        <v>-304574479.341063</v>
      </c>
      <c r="P713" s="40" t="n">
        <f aca="true">RAND()</f>
        <v>0.0675268284895259</v>
      </c>
      <c r="Q713" s="40" t="n">
        <f aca="true">RAND()</f>
        <v>0.674218296451633</v>
      </c>
      <c r="R713" s="40" t="n">
        <f aca="true">RAND()</f>
        <v>0.216767891034235</v>
      </c>
      <c r="S713" s="40" t="n">
        <f aca="true">RAND()</f>
        <v>0.291983421642005</v>
      </c>
      <c r="T713" s="40" t="n">
        <f aca="true">RAND()</f>
        <v>0.0719032110648816</v>
      </c>
      <c r="U713" s="40" t="n">
        <f aca="true">RAND()</f>
        <v>0.495209302219914</v>
      </c>
    </row>
    <row r="714" customFormat="false" ht="15" hidden="false" customHeight="false" outlineLevel="0" collapsed="false">
      <c r="A714" s="36" t="n">
        <v>634</v>
      </c>
      <c r="B714" s="37" t="n">
        <f aca="false">1+IF($G$6=$E$6,$F$6,IF(P714&lt;($F$6-$E$6)/($G$6-$E$6),$E$6+SQRT(P714*($G$6-$E$6)*($F$6-$E$6)),$G$6-SQRT((1-P714)*($G$6-$E$6)*($G$6-$F$6))))</f>
        <v>1.01771509896374</v>
      </c>
      <c r="C714" s="37" t="n">
        <f aca="false">1+IF($G$7=$E$7,$F$7,IF(Q714&lt;($F$7-$E$7)/($G$7-$E$7),$E$7+SQRT(Q714*($G$7-$E$7)*($F$7-$E$7)),$G$7-SQRT((1-Q714)*($G$7-$E$7)*($G$7-$F$7))))</f>
        <v>0.950197839746772</v>
      </c>
      <c r="D714" s="37" t="n">
        <f aca="false">1+IF($G$8=$E$8,$F$8,IF(R714&lt;($F$8-$E$8)/($G$8-$E$8),$E$8+SQRT(R714*($G$8-$E$8)*($F$8-$E$8)),$G$8-SQRT((1-R714)*($G$8-$E$8)*($G$8-$F$8))))</f>
        <v>1.03936653146912</v>
      </c>
      <c r="E714" s="37" t="n">
        <f aca="false">1+IF($G$9=$E$9,$F$9,IF(S714&lt;($F$9-$E$9)/($G$9-$E$9),$E$9+SQRT(S714*($G$9-$E$9)*($F$9-$E$9)),$G$9-SQRT((1-S714)*($G$9-$E$9)*($G$9-$F$9))))</f>
        <v>1.05792443445698</v>
      </c>
      <c r="F714" s="37" t="n">
        <f aca="false">1+IF($G$10=$E$10,$F$10,IF(T714&lt;($F$10-$E$10)/($G$10-$E$10),$E$10+SQRT(T714*($G$10-$E$10)*($F$10-$E$10)),$G$10-SQRT((1-T714)*($G$10-$E$10)*($G$10-$F$10))))</f>
        <v>0.990051398054738</v>
      </c>
      <c r="G714" s="38" t="n">
        <f aca="false">IF($G$11=$E$11,$F$11,IF(U714&lt;($F$11-$E$11)/($G$11-$E$11),$E$11+SQRT(U714*($G$11-$E$11)*($F$11-$E$11)),$G$11-SQRT((1-U714)*($G$11-$E$11)*($G$11-$F$11))))</f>
        <v>0.106566200633244</v>
      </c>
      <c r="H714" s="39" t="n">
        <f aca="false">(('Business Case'!B11*$C714*'Business Case'!B12*$B714)-'Business Case'!B11*$C714*'Business Case'!B13*$D714-'Business Case'!B14*$E714)-MAX(0,(('Business Case'!B11*$C714*'Business Case'!B12*$B714)-'Business Case'!B11*$C714*'Business Case'!B13*$D714-'Business Case'!B14*$E714))*'Business Case'!$B$7-'Business Case'!$B$8*('Business Case'!B11*$C714*'Business Case'!B12*$B714)-'Business Case'!B15*$F714</f>
        <v>-1980102796.10948</v>
      </c>
      <c r="I714" s="39" t="n">
        <f aca="false">(('Business Case'!C11*$C714*'Business Case'!C12*$B714)-'Business Case'!C11*$C714*'Business Case'!C13*$D714-'Business Case'!C14*$E714)-MAX(0,(('Business Case'!C11*$C714*'Business Case'!C12*$B714)-'Business Case'!C11*$C714*'Business Case'!C13*$D714-'Business Case'!C14*$E714))*'Business Case'!$B$7-'Business Case'!$B$8*(('Business Case'!C11*$C714*'Business Case'!C12*$B714)-('Business Case'!B11*$C714*'Business Case'!B12*$B714))-'Business Case'!C15*$F714</f>
        <v>-13079259.3178114</v>
      </c>
      <c r="J714" s="39" t="n">
        <f aca="false">(('Business Case'!D11*$C714*'Business Case'!D12*$B714)-'Business Case'!D11*$C714*'Business Case'!D13*$D714-'Business Case'!D14*$E714)-MAX(0,(('Business Case'!D11*$C714*'Business Case'!D12*$B714)-'Business Case'!D11*$C714*'Business Case'!D13*$D714-'Business Case'!D14*$E714))*'Business Case'!$B$7-'Business Case'!$B$8*(('Business Case'!D11*$C714*'Business Case'!D12*$B714)-('Business Case'!C11*$C714*'Business Case'!C12*$B714))-'Business Case'!D15*$F714</f>
        <v>273414346.642148</v>
      </c>
      <c r="K714" s="39" t="n">
        <f aca="false">(('Business Case'!E11*$C714*'Business Case'!E12*$B714)-'Business Case'!E11*$C714*'Business Case'!E13*$D714-'Business Case'!E14*$E714)-MAX(0,(('Business Case'!E11*$C714*'Business Case'!E12*$B714)-'Business Case'!E11*$C714*'Business Case'!E13*$D714-'Business Case'!E14*$E714))*'Business Case'!$B$7-'Business Case'!$B$8*(('Business Case'!E11*$C714*'Business Case'!E12*$B714)-('Business Case'!D11*$C714*'Business Case'!D12*$B714))-'Business Case'!E15*$F714</f>
        <v>609410522.504845</v>
      </c>
      <c r="L714" s="39" t="n">
        <f aca="false">(('Business Case'!F11*$C714*'Business Case'!F12*$B714)-'Business Case'!F11*$C714*'Business Case'!F13*$D714-'Business Case'!F14*$E714)-MAX(0,(('Business Case'!F11*$C714*'Business Case'!F12*$B714)-'Business Case'!F11*$C714*'Business Case'!F13*$D714-'Business Case'!F14*$E714))*'Business Case'!$B$7-'Business Case'!$B$8*(('Business Case'!F11*$C714*'Business Case'!F12*$B714)-('Business Case'!E11*$C714*'Business Case'!E12*$B714))-'Business Case'!F15*$F714</f>
        <v>738328971.753175</v>
      </c>
      <c r="M714" s="39" t="n">
        <f aca="false">(('Business Case'!G11*$C714*'Business Case'!G12*$B714)-'Business Case'!G11*$C714*'Business Case'!G13*$D714-'Business Case'!G14*$E714)-MAX(0,(('Business Case'!G11*$C714*'Business Case'!G12*$B714)-'Business Case'!G11*$C714*'Business Case'!G13*$D714-'Business Case'!G14*$E714))*'Business Case'!$B$7-'Business Case'!$B$8*(('Business Case'!G11*$C714*'Business Case'!G12*$B714)-('Business Case'!F11*$C714*'Business Case'!F12*$B714))-'Business Case'!G15*$F714+'Business Case'!$B$8*('Business Case'!G11*$C714*'Business Case'!G12*$B714)</f>
        <v>922142165.02573</v>
      </c>
      <c r="N714" s="39" t="n">
        <f aca="false">IF(COUNT('Business Case'!B11:G11)=0,"",H714+NPV(G714,I714:M714))</f>
        <v>-270661664.66562</v>
      </c>
      <c r="P714" s="40" t="n">
        <f aca="true">RAND()</f>
        <v>0.896538163709223</v>
      </c>
      <c r="Q714" s="40" t="n">
        <f aca="true">RAND()</f>
        <v>0.322277015208528</v>
      </c>
      <c r="R714" s="40" t="n">
        <f aca="true">RAND()</f>
        <v>0.841242426456721</v>
      </c>
      <c r="S714" s="40" t="n">
        <f aca="true">RAND()</f>
        <v>0.881976452282312</v>
      </c>
      <c r="T714" s="40" t="n">
        <f aca="true">RAND()</f>
        <v>0.128329158891128</v>
      </c>
      <c r="U714" s="40" t="n">
        <f aca="true">RAND()</f>
        <v>0.699221724289583</v>
      </c>
    </row>
    <row r="715" customFormat="false" ht="15" hidden="false" customHeight="false" outlineLevel="0" collapsed="false">
      <c r="A715" s="36" t="n">
        <v>635</v>
      </c>
      <c r="B715" s="37" t="n">
        <f aca="false">1+IF($G$6=$E$6,$F$6,IF(P715&lt;($F$6-$E$6)/($G$6-$E$6),$E$6+SQRT(P715*($G$6-$E$6)*($F$6-$E$6)),$G$6-SQRT((1-P715)*($G$6-$E$6)*($G$6-$F$6))))</f>
        <v>0.996591830029329</v>
      </c>
      <c r="C715" s="37" t="n">
        <f aca="false">1+IF($G$7=$E$7,$F$7,IF(Q715&lt;($F$7-$E$7)/($G$7-$E$7),$E$7+SQRT(Q715*($G$7-$E$7)*($F$7-$E$7)),$G$7-SQRT((1-Q715)*($G$7-$E$7)*($G$7-$F$7))))</f>
        <v>1.02835873080136</v>
      </c>
      <c r="D715" s="37" t="n">
        <f aca="false">1+IF($G$8=$E$8,$F$8,IF(R715&lt;($F$8-$E$8)/($G$8-$E$8),$E$8+SQRT(R715*($G$8-$E$8)*($F$8-$E$8)),$G$8-SQRT((1-R715)*($G$8-$E$8)*($G$8-$F$8))))</f>
        <v>1.06731202752422</v>
      </c>
      <c r="E715" s="37" t="n">
        <f aca="false">1+IF($G$9=$E$9,$F$9,IF(S715&lt;($F$9-$E$9)/($G$9-$E$9),$E$9+SQRT(S715*($G$9-$E$9)*($F$9-$E$9)),$G$9-SQRT((1-S715)*($G$9-$E$9)*($G$9-$F$9))))</f>
        <v>0.976351704285658</v>
      </c>
      <c r="F715" s="37" t="n">
        <f aca="false">1+IF($G$10=$E$10,$F$10,IF(T715&lt;($F$10-$E$10)/($G$10-$E$10),$E$10+SQRT(T715*($G$10-$E$10)*($F$10-$E$10)),$G$10-SQRT((1-T715)*($G$10-$E$10)*($G$10-$F$10))))</f>
        <v>1.05785663042181</v>
      </c>
      <c r="G715" s="38" t="n">
        <f aca="false">IF($G$11=$E$11,$F$11,IF(U715&lt;($F$11-$E$11)/($G$11-$E$11),$E$11+SQRT(U715*($G$11-$E$11)*($F$11-$E$11)),$G$11-SQRT((1-U715)*($G$11-$E$11)*($G$11-$F$11))))</f>
        <v>0.0936719862470261</v>
      </c>
      <c r="H715" s="39" t="n">
        <f aca="false">(('Business Case'!B11*$C715*'Business Case'!B12*$B715)-'Business Case'!B11*$C715*'Business Case'!B13*$D715-'Business Case'!B14*$E715)-MAX(0,(('Business Case'!B11*$C715*'Business Case'!B12*$B715)-'Business Case'!B11*$C715*'Business Case'!B13*$D715-'Business Case'!B14*$E715))*'Business Case'!$B$7-'Business Case'!$B$8*('Business Case'!B11*$C715*'Business Case'!B12*$B715)-'Business Case'!B15*$F715</f>
        <v>-2115713260.84362</v>
      </c>
      <c r="I715" s="39" t="n">
        <f aca="false">(('Business Case'!C11*$C715*'Business Case'!C12*$B715)-'Business Case'!C11*$C715*'Business Case'!C13*$D715-'Business Case'!C14*$E715)-MAX(0,(('Business Case'!C11*$C715*'Business Case'!C12*$B715)-'Business Case'!C11*$C715*'Business Case'!C13*$D715-'Business Case'!C14*$E715))*'Business Case'!$B$7-'Business Case'!$B$8*(('Business Case'!C11*$C715*'Business Case'!C12*$B715)-('Business Case'!B11*$C715*'Business Case'!B12*$B715))-'Business Case'!C15*$F715</f>
        <v>-20195131.0613619</v>
      </c>
      <c r="J715" s="39" t="n">
        <f aca="false">(('Business Case'!D11*$C715*'Business Case'!D12*$B715)-'Business Case'!D11*$C715*'Business Case'!D13*$D715-'Business Case'!D14*$E715)-MAX(0,(('Business Case'!D11*$C715*'Business Case'!D12*$B715)-'Business Case'!D11*$C715*'Business Case'!D13*$D715-'Business Case'!D14*$E715))*'Business Case'!$B$7-'Business Case'!$B$8*(('Business Case'!D11*$C715*'Business Case'!D12*$B715)-('Business Case'!C11*$C715*'Business Case'!C12*$B715))-'Business Case'!D15*$F715</f>
        <v>257361039.935075</v>
      </c>
      <c r="K715" s="39" t="n">
        <f aca="false">(('Business Case'!E11*$C715*'Business Case'!E12*$B715)-'Business Case'!E11*$C715*'Business Case'!E13*$D715-'Business Case'!E14*$E715)-MAX(0,(('Business Case'!E11*$C715*'Business Case'!E12*$B715)-'Business Case'!E11*$C715*'Business Case'!E13*$D715-'Business Case'!E14*$E715))*'Business Case'!$B$7-'Business Case'!$B$8*(('Business Case'!E11*$C715*'Business Case'!E12*$B715)-('Business Case'!D11*$C715*'Business Case'!D12*$B715))-'Business Case'!E15*$F715</f>
        <v>587810042.452602</v>
      </c>
      <c r="L715" s="39" t="n">
        <f aca="false">(('Business Case'!F11*$C715*'Business Case'!F12*$B715)-'Business Case'!F11*$C715*'Business Case'!F13*$D715-'Business Case'!F14*$E715)-MAX(0,(('Business Case'!F11*$C715*'Business Case'!F12*$B715)-'Business Case'!F11*$C715*'Business Case'!F13*$D715-'Business Case'!F14*$E715))*'Business Case'!$B$7-'Business Case'!$B$8*(('Business Case'!F11*$C715*'Business Case'!F12*$B715)-('Business Case'!E11*$C715*'Business Case'!E12*$B715))-'Business Case'!F15*$F715</f>
        <v>715747717.228879</v>
      </c>
      <c r="M715" s="39" t="n">
        <f aca="false">(('Business Case'!G11*$C715*'Business Case'!G12*$B715)-'Business Case'!G11*$C715*'Business Case'!G13*$D715-'Business Case'!G14*$E715)-MAX(0,(('Business Case'!G11*$C715*'Business Case'!G12*$B715)-'Business Case'!G11*$C715*'Business Case'!G13*$D715-'Business Case'!G14*$E715))*'Business Case'!$B$7-'Business Case'!$B$8*(('Business Case'!G11*$C715*'Business Case'!G12*$B715)-('Business Case'!F11*$C715*'Business Case'!F12*$B715))-'Business Case'!G15*$F715+'Business Case'!$B$8*('Business Case'!G11*$C715*'Business Case'!G12*$B715)</f>
        <v>910551948.33827</v>
      </c>
      <c r="N715" s="39" t="n">
        <f aca="false">IF(COUNT('Business Case'!B11:G11)=0,"",H715+NPV(G715,I715:M715))</f>
        <v>-387468213.763319</v>
      </c>
      <c r="P715" s="40" t="n">
        <f aca="true">RAND()</f>
        <v>0.611073794504338</v>
      </c>
      <c r="Q715" s="40" t="n">
        <f aca="true">RAND()</f>
        <v>0.718160031004658</v>
      </c>
      <c r="R715" s="40" t="n">
        <f aca="true">RAND()</f>
        <v>0.984520707159012</v>
      </c>
      <c r="S715" s="40" t="n">
        <f aca="true">RAND()</f>
        <v>0.0925883091678335</v>
      </c>
      <c r="T715" s="40" t="n">
        <f aca="true">RAND()</f>
        <v>0.595905249699149</v>
      </c>
      <c r="U715" s="40" t="n">
        <f aca="true">RAND()</f>
        <v>0.0449449433278296</v>
      </c>
    </row>
    <row r="716" customFormat="false" ht="15" hidden="false" customHeight="false" outlineLevel="0" collapsed="false">
      <c r="A716" s="36" t="n">
        <v>636</v>
      </c>
      <c r="B716" s="37" t="n">
        <f aca="false">1+IF($G$6=$E$6,$F$6,IF(P716&lt;($F$6-$E$6)/($G$6-$E$6),$E$6+SQRT(P716*($G$6-$E$6)*($F$6-$E$6)),$G$6-SQRT((1-P716)*($G$6-$E$6)*($G$6-$F$6))))</f>
        <v>0.968730576088086</v>
      </c>
      <c r="C716" s="37" t="n">
        <f aca="false">1+IF($G$7=$E$7,$F$7,IF(Q716&lt;($F$7-$E$7)/($G$7-$E$7),$E$7+SQRT(Q716*($G$7-$E$7)*($F$7-$E$7)),$G$7-SQRT((1-Q716)*($G$7-$E$7)*($G$7-$F$7))))</f>
        <v>1.08417918323089</v>
      </c>
      <c r="D716" s="37" t="n">
        <f aca="false">1+IF($G$8=$E$8,$F$8,IF(R716&lt;($F$8-$E$8)/($G$8-$E$8),$E$8+SQRT(R716*($G$8-$E$8)*($F$8-$E$8)),$G$8-SQRT((1-R716)*($G$8-$E$8)*($G$8-$F$8))))</f>
        <v>0.986564734589598</v>
      </c>
      <c r="E716" s="37" t="n">
        <f aca="false">1+IF($G$9=$E$9,$F$9,IF(S716&lt;($F$9-$E$9)/($G$9-$E$9),$E$9+SQRT(S716*($G$9-$E$9)*($F$9-$E$9)),$G$9-SQRT((1-S716)*($G$9-$E$9)*($G$9-$F$9))))</f>
        <v>1.07878635175679</v>
      </c>
      <c r="F716" s="37" t="n">
        <f aca="false">1+IF($G$10=$E$10,$F$10,IF(T716&lt;($F$10-$E$10)/($G$10-$E$10),$E$10+SQRT(T716*($G$10-$E$10)*($F$10-$E$10)),$G$10-SQRT((1-T716)*($G$10-$E$10)*($G$10-$F$10))))</f>
        <v>1.10246032638761</v>
      </c>
      <c r="G716" s="38" t="n">
        <f aca="false">IF($G$11=$E$11,$F$11,IF(U716&lt;($F$11-$E$11)/($G$11-$E$11),$E$11+SQRT(U716*($G$11-$E$11)*($F$11-$E$11)),$G$11-SQRT((1-U716)*($G$11-$E$11)*($G$11-$F$11))))</f>
        <v>0.101953512771541</v>
      </c>
      <c r="H716" s="39" t="n">
        <f aca="false">(('Business Case'!B11*$C716*'Business Case'!B12*$B716)-'Business Case'!B11*$C716*'Business Case'!B13*$D716-'Business Case'!B14*$E716)-MAX(0,(('Business Case'!B11*$C716*'Business Case'!B12*$B716)-'Business Case'!B11*$C716*'Business Case'!B13*$D716-'Business Case'!B14*$E716))*'Business Case'!$B$7-'Business Case'!$B$8*('Business Case'!B11*$C716*'Business Case'!B12*$B716)-'Business Case'!B15*$F716</f>
        <v>-2204920652.77521</v>
      </c>
      <c r="I716" s="39" t="n">
        <f aca="false">(('Business Case'!C11*$C716*'Business Case'!C12*$B716)-'Business Case'!C11*$C716*'Business Case'!C13*$D716-'Business Case'!C14*$E716)-MAX(0,(('Business Case'!C11*$C716*'Business Case'!C12*$B716)-'Business Case'!C11*$C716*'Business Case'!C13*$D716-'Business Case'!C14*$E716))*'Business Case'!$B$7-'Business Case'!$B$8*(('Business Case'!C11*$C716*'Business Case'!C12*$B716)-('Business Case'!B11*$C716*'Business Case'!B12*$B716))-'Business Case'!C15*$F716</f>
        <v>-5399186.40438013</v>
      </c>
      <c r="J716" s="39" t="n">
        <f aca="false">(('Business Case'!D11*$C716*'Business Case'!D12*$B716)-'Business Case'!D11*$C716*'Business Case'!D13*$D716-'Business Case'!D14*$E716)-MAX(0,(('Business Case'!D11*$C716*'Business Case'!D12*$B716)-'Business Case'!D11*$C716*'Business Case'!D13*$D716-'Business Case'!D14*$E716))*'Business Case'!$B$7-'Business Case'!$B$8*(('Business Case'!D11*$C716*'Business Case'!D12*$B716)-('Business Case'!C11*$C716*'Business Case'!C12*$B716))-'Business Case'!D15*$F716</f>
        <v>307297465.933061</v>
      </c>
      <c r="K716" s="39" t="n">
        <f aca="false">(('Business Case'!E11*$C716*'Business Case'!E12*$B716)-'Business Case'!E11*$C716*'Business Case'!E13*$D716-'Business Case'!E14*$E716)-MAX(0,(('Business Case'!E11*$C716*'Business Case'!E12*$B716)-'Business Case'!E11*$C716*'Business Case'!E13*$D716-'Business Case'!E14*$E716))*'Business Case'!$B$7-'Business Case'!$B$8*(('Business Case'!E11*$C716*'Business Case'!E12*$B716)-('Business Case'!D11*$C716*'Business Case'!D12*$B716))-'Business Case'!E15*$F716</f>
        <v>675117134.589883</v>
      </c>
      <c r="L716" s="39" t="n">
        <f aca="false">(('Business Case'!F11*$C716*'Business Case'!F12*$B716)-'Business Case'!F11*$C716*'Business Case'!F13*$D716-'Business Case'!F14*$E716)-MAX(0,(('Business Case'!F11*$C716*'Business Case'!F12*$B716)-'Business Case'!F11*$C716*'Business Case'!F13*$D716-'Business Case'!F14*$E716))*'Business Case'!$B$7-'Business Case'!$B$8*(('Business Case'!F11*$C716*'Business Case'!F12*$B716)-('Business Case'!E11*$C716*'Business Case'!E12*$B716))-'Business Case'!F15*$F716</f>
        <v>815646943.291194</v>
      </c>
      <c r="M716" s="39" t="n">
        <f aca="false">(('Business Case'!G11*$C716*'Business Case'!G12*$B716)-'Business Case'!G11*$C716*'Business Case'!G13*$D716-'Business Case'!G14*$E716)-MAX(0,(('Business Case'!G11*$C716*'Business Case'!G12*$B716)-'Business Case'!G11*$C716*'Business Case'!G13*$D716-'Business Case'!G14*$E716))*'Business Case'!$B$7-'Business Case'!$B$8*(('Business Case'!G11*$C716*'Business Case'!G12*$B716)-('Business Case'!F11*$C716*'Business Case'!F12*$B716))-'Business Case'!G15*$F716+'Business Case'!$B$8*('Business Case'!G11*$C716*'Business Case'!G12*$B716)</f>
        <v>1015283695.19643</v>
      </c>
      <c r="N716" s="39" t="n">
        <f aca="false">IF(COUNT('Business Case'!B11:G11)=0,"",H716+NPV(G716,I716:M716))</f>
        <v>-274221319.124033</v>
      </c>
      <c r="P716" s="40" t="n">
        <f aca="true">RAND()</f>
        <v>0.247361358945493</v>
      </c>
      <c r="Q716" s="40" t="n">
        <f aca="true">RAND()</f>
        <v>0.917478477711385</v>
      </c>
      <c r="R716" s="40" t="n">
        <f aca="true">RAND()</f>
        <v>0.205689202401187</v>
      </c>
      <c r="S716" s="40" t="n">
        <f aca="true">RAND()</f>
        <v>0.969998741880878</v>
      </c>
      <c r="T716" s="40" t="n">
        <f aca="true">RAND()</f>
        <v>0.809720241431756</v>
      </c>
      <c r="U716" s="40" t="n">
        <f aca="true">RAND()</f>
        <v>0.457207164521769</v>
      </c>
    </row>
    <row r="717" customFormat="false" ht="15" hidden="false" customHeight="false" outlineLevel="0" collapsed="false">
      <c r="A717" s="36" t="n">
        <v>637</v>
      </c>
      <c r="B717" s="37" t="n">
        <f aca="false">1+IF($G$6=$E$6,$F$6,IF(P717&lt;($F$6-$E$6)/($G$6-$E$6),$E$6+SQRT(P717*($G$6-$E$6)*($F$6-$E$6)),$G$6-SQRT((1-P717)*($G$6-$E$6)*($G$6-$F$6))))</f>
        <v>1.00796018044146</v>
      </c>
      <c r="C717" s="37" t="n">
        <f aca="false">1+IF($G$7=$E$7,$F$7,IF(Q717&lt;($F$7-$E$7)/($G$7-$E$7),$E$7+SQRT(Q717*($G$7-$E$7)*($F$7-$E$7)),$G$7-SQRT((1-Q717)*($G$7-$E$7)*($G$7-$F$7))))</f>
        <v>0.833081030408196</v>
      </c>
      <c r="D717" s="37" t="n">
        <f aca="false">1+IF($G$8=$E$8,$F$8,IF(R717&lt;($F$8-$E$8)/($G$8-$E$8),$E$8+SQRT(R717*($G$8-$E$8)*($F$8-$E$8)),$G$8-SQRT((1-R717)*($G$8-$E$8)*($G$8-$F$8))))</f>
        <v>1.00707972380128</v>
      </c>
      <c r="E717" s="37" t="n">
        <f aca="false">1+IF($G$9=$E$9,$F$9,IF(S717&lt;($F$9-$E$9)/($G$9-$E$9),$E$9+SQRT(S717*($G$9-$E$9)*($F$9-$E$9)),$G$9-SQRT((1-S717)*($G$9-$E$9)*($G$9-$F$9))))</f>
        <v>1.05071771778372</v>
      </c>
      <c r="F717" s="37" t="n">
        <f aca="false">1+IF($G$10=$E$10,$F$10,IF(T717&lt;($F$10-$E$10)/($G$10-$E$10),$E$10+SQRT(T717*($G$10-$E$10)*($F$10-$E$10)),$G$10-SQRT((1-T717)*($G$10-$E$10)*($G$10-$F$10))))</f>
        <v>1.12362556247454</v>
      </c>
      <c r="G717" s="38" t="n">
        <f aca="false">IF($G$11=$E$11,$F$11,IF(U717&lt;($F$11-$E$11)/($G$11-$E$11),$E$11+SQRT(U717*($G$11-$E$11)*($F$11-$E$11)),$G$11-SQRT((1-U717)*($G$11-$E$11)*($G$11-$F$11))))</f>
        <v>0.0989498900172869</v>
      </c>
      <c r="H717" s="39" t="n">
        <f aca="false">(('Business Case'!B11*$C717*'Business Case'!B12*$B717)-'Business Case'!B11*$C717*'Business Case'!B13*$D717-'Business Case'!B14*$E717)-MAX(0,(('Business Case'!B11*$C717*'Business Case'!B12*$B717)-'Business Case'!B11*$C717*'Business Case'!B13*$D717-'Business Case'!B14*$E717))*'Business Case'!$B$7-'Business Case'!$B$8*('Business Case'!B11*$C717*'Business Case'!B12*$B717)-'Business Case'!B15*$F717</f>
        <v>-2247251124.94909</v>
      </c>
      <c r="I717" s="39" t="n">
        <f aca="false">(('Business Case'!C11*$C717*'Business Case'!C12*$B717)-'Business Case'!C11*$C717*'Business Case'!C13*$D717-'Business Case'!C14*$E717)-MAX(0,(('Business Case'!C11*$C717*'Business Case'!C12*$B717)-'Business Case'!C11*$C717*'Business Case'!C13*$D717-'Business Case'!C14*$E717))*'Business Case'!$B$7-'Business Case'!$B$8*(('Business Case'!C11*$C717*'Business Case'!C12*$B717)-('Business Case'!B11*$C717*'Business Case'!B12*$B717))-'Business Case'!C15*$F717</f>
        <v>-47010447.3688183</v>
      </c>
      <c r="J717" s="39" t="n">
        <f aca="false">(('Business Case'!D11*$C717*'Business Case'!D12*$B717)-'Business Case'!D11*$C717*'Business Case'!D13*$D717-'Business Case'!D14*$E717)-MAX(0,(('Business Case'!D11*$C717*'Business Case'!D12*$B717)-'Business Case'!D11*$C717*'Business Case'!D13*$D717-'Business Case'!D14*$E717))*'Business Case'!$B$7-'Business Case'!$B$8*(('Business Case'!D11*$C717*'Business Case'!D12*$B717)-('Business Case'!C11*$C717*'Business Case'!C12*$B717))-'Business Case'!D15*$F717</f>
        <v>211284417.275842</v>
      </c>
      <c r="K717" s="39" t="n">
        <f aca="false">(('Business Case'!E11*$C717*'Business Case'!E12*$B717)-'Business Case'!E11*$C717*'Business Case'!E13*$D717-'Business Case'!E14*$E717)-MAX(0,(('Business Case'!E11*$C717*'Business Case'!E12*$B717)-'Business Case'!E11*$C717*'Business Case'!E13*$D717-'Business Case'!E14*$E717))*'Business Case'!$B$7-'Business Case'!$B$8*(('Business Case'!E11*$C717*'Business Case'!E12*$B717)-('Business Case'!D11*$C717*'Business Case'!D12*$B717))-'Business Case'!E15*$F717</f>
        <v>525760560.044229</v>
      </c>
      <c r="L717" s="39" t="n">
        <f aca="false">(('Business Case'!F11*$C717*'Business Case'!F12*$B717)-'Business Case'!F11*$C717*'Business Case'!F13*$D717-'Business Case'!F14*$E717)-MAX(0,(('Business Case'!F11*$C717*'Business Case'!F12*$B717)-'Business Case'!F11*$C717*'Business Case'!F13*$D717-'Business Case'!F14*$E717))*'Business Case'!$B$7-'Business Case'!$B$8*(('Business Case'!F11*$C717*'Business Case'!F12*$B717)-('Business Case'!E11*$C717*'Business Case'!E12*$B717))-'Business Case'!F15*$F717</f>
        <v>640879312.457234</v>
      </c>
      <c r="M717" s="39" t="n">
        <f aca="false">(('Business Case'!G11*$C717*'Business Case'!G12*$B717)-'Business Case'!G11*$C717*'Business Case'!G13*$D717-'Business Case'!G14*$E717)-MAX(0,(('Business Case'!G11*$C717*'Business Case'!G12*$B717)-'Business Case'!G11*$C717*'Business Case'!G13*$D717-'Business Case'!G14*$E717))*'Business Case'!$B$7-'Business Case'!$B$8*(('Business Case'!G11*$C717*'Business Case'!G12*$B717)-('Business Case'!F11*$C717*'Business Case'!F12*$B717))-'Business Case'!G15*$F717+'Business Case'!$B$8*('Business Case'!G11*$C717*'Business Case'!G12*$B717)</f>
        <v>800491865.546888</v>
      </c>
      <c r="N717" s="39" t="n">
        <f aca="false">IF(COUNT('Business Case'!B11:G11)=0,"",H717+NPV(G717,I717:M717))</f>
        <v>-780108030.389247</v>
      </c>
      <c r="P717" s="40" t="n">
        <f aca="true">RAND()</f>
        <v>0.786135408886748</v>
      </c>
      <c r="Q717" s="40" t="n">
        <f aca="true">RAND()</f>
        <v>0.0156336367552567</v>
      </c>
      <c r="R717" s="40" t="n">
        <f aca="true">RAND()</f>
        <v>0.488714742221393</v>
      </c>
      <c r="S717" s="40" t="n">
        <f aca="true">RAND()</f>
        <v>0.838083777303683</v>
      </c>
      <c r="T717" s="40" t="n">
        <f aca="true">RAND()</f>
        <v>0.883338905853407</v>
      </c>
      <c r="U717" s="40" t="n">
        <f aca="true">RAND()</f>
        <v>0.267001771071772</v>
      </c>
    </row>
    <row r="718" customFormat="false" ht="15" hidden="false" customHeight="false" outlineLevel="0" collapsed="false">
      <c r="A718" s="36" t="n">
        <v>638</v>
      </c>
      <c r="B718" s="37" t="n">
        <f aca="false">1+IF($G$6=$E$6,$F$6,IF(P718&lt;($F$6-$E$6)/($G$6-$E$6),$E$6+SQRT(P718*($G$6-$E$6)*($F$6-$E$6)),$G$6-SQRT((1-P718)*($G$6-$E$6)*($G$6-$F$6))))</f>
        <v>0.970945555919966</v>
      </c>
      <c r="C718" s="37" t="n">
        <f aca="false">1+IF($G$7=$E$7,$F$7,IF(Q718&lt;($F$7-$E$7)/($G$7-$E$7),$E$7+SQRT(Q718*($G$7-$E$7)*($F$7-$E$7)),$G$7-SQRT((1-Q718)*($G$7-$E$7)*($G$7-$F$7))))</f>
        <v>1.04977872940506</v>
      </c>
      <c r="D718" s="37" t="n">
        <f aca="false">1+IF($G$8=$E$8,$F$8,IF(R718&lt;($F$8-$E$8)/($G$8-$E$8),$E$8+SQRT(R718*($G$8-$E$8)*($F$8-$E$8)),$G$8-SQRT((1-R718)*($G$8-$E$8)*($G$8-$F$8))))</f>
        <v>1.03449843973325</v>
      </c>
      <c r="E718" s="37" t="n">
        <f aca="false">1+IF($G$9=$E$9,$F$9,IF(S718&lt;($F$9-$E$9)/($G$9-$E$9),$E$9+SQRT(S718*($G$9-$E$9)*($F$9-$E$9)),$G$9-SQRT((1-S718)*($G$9-$E$9)*($G$9-$F$9))))</f>
        <v>1.00035264468369</v>
      </c>
      <c r="F718" s="37" t="n">
        <f aca="false">1+IF($G$10=$E$10,$F$10,IF(T718&lt;($F$10-$E$10)/($G$10-$E$10),$E$10+SQRT(T718*($G$10-$E$10)*($F$10-$E$10)),$G$10-SQRT((1-T718)*($G$10-$E$10)*($G$10-$F$10))))</f>
        <v>0.998941974847883</v>
      </c>
      <c r="G718" s="38" t="n">
        <f aca="false">IF($G$11=$E$11,$F$11,IF(U718&lt;($F$11-$E$11)/($G$11-$E$11),$E$11+SQRT(U718*($G$11-$E$11)*($F$11-$E$11)),$G$11-SQRT((1-U718)*($G$11-$E$11)*($G$11-$F$11))))</f>
        <v>0.110114399576896</v>
      </c>
      <c r="H718" s="39" t="n">
        <f aca="false">(('Business Case'!B11*$C718*'Business Case'!B12*$B718)-'Business Case'!B11*$C718*'Business Case'!B13*$D718-'Business Case'!B14*$E718)-MAX(0,(('Business Case'!B11*$C718*'Business Case'!B12*$B718)-'Business Case'!B11*$C718*'Business Case'!B13*$D718-'Business Case'!B14*$E718))*'Business Case'!$B$7-'Business Case'!$B$8*('Business Case'!B11*$C718*'Business Case'!B12*$B718)-'Business Case'!B15*$F718</f>
        <v>-1997883949.69577</v>
      </c>
      <c r="I718" s="39" t="n">
        <f aca="false">(('Business Case'!C11*$C718*'Business Case'!C12*$B718)-'Business Case'!C11*$C718*'Business Case'!C13*$D718-'Business Case'!C14*$E718)-MAX(0,(('Business Case'!C11*$C718*'Business Case'!C12*$B718)-'Business Case'!C11*$C718*'Business Case'!C13*$D718-'Business Case'!C14*$E718))*'Business Case'!$B$7-'Business Case'!$B$8*(('Business Case'!C11*$C718*'Business Case'!C12*$B718)-('Business Case'!B11*$C718*'Business Case'!B12*$B718))-'Business Case'!C15*$F718</f>
        <v>-16063933.9413883</v>
      </c>
      <c r="J718" s="39" t="n">
        <f aca="false">(('Business Case'!D11*$C718*'Business Case'!D12*$B718)-'Business Case'!D11*$C718*'Business Case'!D13*$D718-'Business Case'!D14*$E718)-MAX(0,(('Business Case'!D11*$C718*'Business Case'!D12*$B718)-'Business Case'!D11*$C718*'Business Case'!D13*$D718-'Business Case'!D14*$E718))*'Business Case'!$B$7-'Business Case'!$B$8*(('Business Case'!D11*$C718*'Business Case'!D12*$B718)-('Business Case'!C11*$C718*'Business Case'!C12*$B718))-'Business Case'!D15*$F718</f>
        <v>262855846.782098</v>
      </c>
      <c r="K718" s="39" t="n">
        <f aca="false">(('Business Case'!E11*$C718*'Business Case'!E12*$B718)-'Business Case'!E11*$C718*'Business Case'!E13*$D718-'Business Case'!E14*$E718)-MAX(0,(('Business Case'!E11*$C718*'Business Case'!E12*$B718)-'Business Case'!E11*$C718*'Business Case'!E13*$D718-'Business Case'!E14*$E718))*'Business Case'!$B$7-'Business Case'!$B$8*(('Business Case'!E11*$C718*'Business Case'!E12*$B718)-('Business Case'!D11*$C718*'Business Case'!D12*$B718))-'Business Case'!E15*$F718</f>
        <v>591722726.247978</v>
      </c>
      <c r="L718" s="39" t="n">
        <f aca="false">(('Business Case'!F11*$C718*'Business Case'!F12*$B718)-'Business Case'!F11*$C718*'Business Case'!F13*$D718-'Business Case'!F14*$E718)-MAX(0,(('Business Case'!F11*$C718*'Business Case'!F12*$B718)-'Business Case'!F11*$C718*'Business Case'!F13*$D718-'Business Case'!F14*$E718))*'Business Case'!$B$7-'Business Case'!$B$8*(('Business Case'!F11*$C718*'Business Case'!F12*$B718)-('Business Case'!E11*$C718*'Business Case'!E12*$B718))-'Business Case'!F15*$F718</f>
        <v>719922233.893184</v>
      </c>
      <c r="M718" s="39" t="n">
        <f aca="false">(('Business Case'!G11*$C718*'Business Case'!G12*$B718)-'Business Case'!G11*$C718*'Business Case'!G13*$D718-'Business Case'!G14*$E718)-MAX(0,(('Business Case'!G11*$C718*'Business Case'!G12*$B718)-'Business Case'!G11*$C718*'Business Case'!G13*$D718-'Business Case'!G14*$E718))*'Business Case'!$B$7-'Business Case'!$B$8*(('Business Case'!G11*$C718*'Business Case'!G12*$B718)-('Business Case'!F11*$C718*'Business Case'!F12*$B718))-'Business Case'!G15*$F718+'Business Case'!$B$8*('Business Case'!G11*$C718*'Business Case'!G12*$B718)</f>
        <v>913666594.615424</v>
      </c>
      <c r="N718" s="39" t="n">
        <f aca="false">IF(COUNT('Business Case'!B11:G11)=0,"",H718+NPV(G718,I718:M718))</f>
        <v>-350552975.938521</v>
      </c>
      <c r="P718" s="40" t="n">
        <f aca="true">RAND()</f>
        <v>0.270359340416079</v>
      </c>
      <c r="Q718" s="40" t="n">
        <f aca="true">RAND()</f>
        <v>0.808679941339732</v>
      </c>
      <c r="R718" s="40" t="n">
        <f aca="true">RAND()</f>
        <v>0.800923847431832</v>
      </c>
      <c r="S718" s="40" t="n">
        <f aca="true">RAND()</f>
        <v>0.33802697189767</v>
      </c>
      <c r="T718" s="40" t="n">
        <f aca="true">RAND()</f>
        <v>0.191625352160865</v>
      </c>
      <c r="U718" s="40" t="n">
        <f aca="true">RAND()</f>
        <v>0.837124840457877</v>
      </c>
    </row>
    <row r="719" customFormat="false" ht="15" hidden="false" customHeight="false" outlineLevel="0" collapsed="false">
      <c r="A719" s="36" t="n">
        <v>639</v>
      </c>
      <c r="B719" s="37" t="n">
        <f aca="false">1+IF($G$6=$E$6,$F$6,IF(P719&lt;($F$6-$E$6)/($G$6-$E$6),$E$6+SQRT(P719*($G$6-$E$6)*($F$6-$E$6)),$G$6-SQRT((1-P719)*($G$6-$E$6)*($G$6-$F$6))))</f>
        <v>0.985606777062561</v>
      </c>
      <c r="C719" s="37" t="n">
        <f aca="false">1+IF($G$7=$E$7,$F$7,IF(Q719&lt;($F$7-$E$7)/($G$7-$E$7),$E$7+SQRT(Q719*($G$7-$E$7)*($F$7-$E$7)),$G$7-SQRT((1-Q719)*($G$7-$E$7)*($G$7-$F$7))))</f>
        <v>0.936505642307114</v>
      </c>
      <c r="D719" s="37" t="n">
        <f aca="false">1+IF($G$8=$E$8,$F$8,IF(R719&lt;($F$8-$E$8)/($G$8-$E$8),$E$8+SQRT(R719*($G$8-$E$8)*($F$8-$E$8)),$G$8-SQRT((1-R719)*($G$8-$E$8)*($G$8-$F$8))))</f>
        <v>1.05534539765359</v>
      </c>
      <c r="E719" s="37" t="n">
        <f aca="false">1+IF($G$9=$E$9,$F$9,IF(S719&lt;($F$9-$E$9)/($G$9-$E$9),$E$9+SQRT(S719*($G$9-$E$9)*($F$9-$E$9)),$G$9-SQRT((1-S719)*($G$9-$E$9)*($G$9-$F$9))))</f>
        <v>0.964279143248491</v>
      </c>
      <c r="F719" s="37" t="n">
        <f aca="false">1+IF($G$10=$E$10,$F$10,IF(T719&lt;($F$10-$E$10)/($G$10-$E$10),$E$10+SQRT(T719*($G$10-$E$10)*($F$10-$E$10)),$G$10-SQRT((1-T719)*($G$10-$E$10)*($G$10-$F$10))))</f>
        <v>1.03968291755145</v>
      </c>
      <c r="G719" s="38" t="n">
        <f aca="false">IF($G$11=$E$11,$F$11,IF(U719&lt;($F$11-$E$11)/($G$11-$E$11),$E$11+SQRT(U719*($G$11-$E$11)*($F$11-$E$11)),$G$11-SQRT((1-U719)*($G$11-$E$11)*($G$11-$F$11))))</f>
        <v>0.0999766090768291</v>
      </c>
      <c r="H719" s="39" t="n">
        <f aca="false">(('Business Case'!B11*$C719*'Business Case'!B12*$B719)-'Business Case'!B11*$C719*'Business Case'!B13*$D719-'Business Case'!B14*$E719)-MAX(0,(('Business Case'!B11*$C719*'Business Case'!B12*$B719)-'Business Case'!B11*$C719*'Business Case'!B13*$D719-'Business Case'!B14*$E719))*'Business Case'!$B$7-'Business Case'!$B$8*('Business Case'!B11*$C719*'Business Case'!B12*$B719)-'Business Case'!B15*$F719</f>
        <v>-2079365835.10289</v>
      </c>
      <c r="I719" s="39" t="n">
        <f aca="false">(('Business Case'!C11*$C719*'Business Case'!C12*$B719)-'Business Case'!C11*$C719*'Business Case'!C13*$D719-'Business Case'!C14*$E719)-MAX(0,(('Business Case'!C11*$C719*'Business Case'!C12*$B719)-'Business Case'!C11*$C719*'Business Case'!C13*$D719-'Business Case'!C14*$E719))*'Business Case'!$B$7-'Business Case'!$B$8*(('Business Case'!C11*$C719*'Business Case'!C12*$B719)-('Business Case'!B11*$C719*'Business Case'!B12*$B719))-'Business Case'!C15*$F719</f>
        <v>-38862901.5503785</v>
      </c>
      <c r="J719" s="39" t="n">
        <f aca="false">(('Business Case'!D11*$C719*'Business Case'!D12*$B719)-'Business Case'!D11*$C719*'Business Case'!D13*$D719-'Business Case'!D14*$E719)-MAX(0,(('Business Case'!D11*$C719*'Business Case'!D12*$B719)-'Business Case'!D11*$C719*'Business Case'!D13*$D719-'Business Case'!D14*$E719))*'Business Case'!$B$7-'Business Case'!$B$8*(('Business Case'!D11*$C719*'Business Case'!D12*$B719)-('Business Case'!C11*$C719*'Business Case'!C12*$B719))-'Business Case'!D15*$F719</f>
        <v>211212666.621464</v>
      </c>
      <c r="K719" s="39" t="n">
        <f aca="false">(('Business Case'!E11*$C719*'Business Case'!E12*$B719)-'Business Case'!E11*$C719*'Business Case'!E13*$D719-'Business Case'!E14*$E719)-MAX(0,(('Business Case'!E11*$C719*'Business Case'!E12*$B719)-'Business Case'!E11*$C719*'Business Case'!E13*$D719-'Business Case'!E14*$E719))*'Business Case'!$B$7-'Business Case'!$B$8*(('Business Case'!E11*$C719*'Business Case'!E12*$B719)-('Business Case'!D11*$C719*'Business Case'!D12*$B719))-'Business Case'!E15*$F719</f>
        <v>513272380.670878</v>
      </c>
      <c r="L719" s="39" t="n">
        <f aca="false">(('Business Case'!F11*$C719*'Business Case'!F12*$B719)-'Business Case'!F11*$C719*'Business Case'!F13*$D719-'Business Case'!F14*$E719)-MAX(0,(('Business Case'!F11*$C719*'Business Case'!F12*$B719)-'Business Case'!F11*$C719*'Business Case'!F13*$D719-'Business Case'!F14*$E719))*'Business Case'!$B$7-'Business Case'!$B$8*(('Business Case'!F11*$C719*'Business Case'!F12*$B719)-('Business Case'!E11*$C719*'Business Case'!E12*$B719))-'Business Case'!F15*$F719</f>
        <v>628530692.59292</v>
      </c>
      <c r="M719" s="39" t="n">
        <f aca="false">(('Business Case'!G11*$C719*'Business Case'!G12*$B719)-'Business Case'!G11*$C719*'Business Case'!G13*$D719-'Business Case'!G14*$E719)-MAX(0,(('Business Case'!G11*$C719*'Business Case'!G12*$B719)-'Business Case'!G11*$C719*'Business Case'!G13*$D719-'Business Case'!G14*$E719))*'Business Case'!$B$7-'Business Case'!$B$8*(('Business Case'!G11*$C719*'Business Case'!G12*$B719)-('Business Case'!F11*$C719*'Business Case'!F12*$B719))-'Business Case'!G15*$F719+'Business Case'!$B$8*('Business Case'!G11*$C719*'Business Case'!G12*$B719)</f>
        <v>803979533.182436</v>
      </c>
      <c r="N719" s="39" t="n">
        <f aca="false">IF(COUNT('Business Case'!B11:G11)=0,"",H719+NPV(G719,I719:M719))</f>
        <v>-625886859.158744</v>
      </c>
      <c r="P719" s="40" t="n">
        <f aca="true">RAND()</f>
        <v>0.448359291305892</v>
      </c>
      <c r="Q719" s="40" t="n">
        <f aca="true">RAND()</f>
        <v>0.266197005452538</v>
      </c>
      <c r="R719" s="40" t="n">
        <f aca="true">RAND()</f>
        <v>0.941552940686593</v>
      </c>
      <c r="S719" s="40" t="n">
        <f aca="true">RAND()</f>
        <v>0.0271858575881224</v>
      </c>
      <c r="T719" s="40" t="n">
        <f aca="true">RAND()</f>
        <v>0.485968661503667</v>
      </c>
      <c r="U719" s="40" t="n">
        <f aca="true">RAND()</f>
        <v>0.331775762239563</v>
      </c>
    </row>
    <row r="720" customFormat="false" ht="15" hidden="false" customHeight="false" outlineLevel="0" collapsed="false">
      <c r="A720" s="36" t="n">
        <v>640</v>
      </c>
      <c r="B720" s="37" t="n">
        <f aca="false">1+IF($G$6=$E$6,$F$6,IF(P720&lt;($F$6-$E$6)/($G$6-$E$6),$E$6+SQRT(P720*($G$6-$E$6)*($F$6-$E$6)),$G$6-SQRT((1-P720)*($G$6-$E$6)*($G$6-$F$6))))</f>
        <v>0.974998367228329</v>
      </c>
      <c r="C720" s="37" t="n">
        <f aca="false">1+IF($G$7=$E$7,$F$7,IF(Q720&lt;($F$7-$E$7)/($G$7-$E$7),$E$7+SQRT(Q720*($G$7-$E$7)*($F$7-$E$7)),$G$7-SQRT((1-Q720)*($G$7-$E$7)*($G$7-$F$7))))</f>
        <v>0.904817993599716</v>
      </c>
      <c r="D720" s="37" t="n">
        <f aca="false">1+IF($G$8=$E$8,$F$8,IF(R720&lt;($F$8-$E$8)/($G$8-$E$8),$E$8+SQRT(R720*($G$8-$E$8)*($F$8-$E$8)),$G$8-SQRT((1-R720)*($G$8-$E$8)*($G$8-$F$8))))</f>
        <v>1.04929933674746</v>
      </c>
      <c r="E720" s="37" t="n">
        <f aca="false">1+IF($G$9=$E$9,$F$9,IF(S720&lt;($F$9-$E$9)/($G$9-$E$9),$E$9+SQRT(S720*($G$9-$E$9)*($F$9-$E$9)),$G$9-SQRT((1-S720)*($G$9-$E$9)*($G$9-$F$9))))</f>
        <v>1.04760992082854</v>
      </c>
      <c r="F720" s="37" t="n">
        <f aca="false">1+IF($G$10=$E$10,$F$10,IF(T720&lt;($F$10-$E$10)/($G$10-$E$10),$E$10+SQRT(T720*($G$10-$E$10)*($F$10-$E$10)),$G$10-SQRT((1-T720)*($G$10-$E$10)*($G$10-$F$10))))</f>
        <v>1.07138501264286</v>
      </c>
      <c r="G720" s="38" t="n">
        <f aca="false">IF($G$11=$E$11,$F$11,IF(U720&lt;($F$11-$E$11)/($G$11-$E$11),$E$11+SQRT(U720*($G$11-$E$11)*($F$11-$E$11)),$G$11-SQRT((1-U720)*($G$11-$E$11)*($G$11-$F$11))))</f>
        <v>0.102456675915512</v>
      </c>
      <c r="H720" s="39" t="n">
        <f aca="false">(('Business Case'!B11*$C720*'Business Case'!B12*$B720)-'Business Case'!B11*$C720*'Business Case'!B13*$D720-'Business Case'!B14*$E720)-MAX(0,(('Business Case'!B11*$C720*'Business Case'!B12*$B720)-'Business Case'!B11*$C720*'Business Case'!B13*$D720-'Business Case'!B14*$E720))*'Business Case'!$B$7-'Business Case'!$B$8*('Business Case'!B11*$C720*'Business Case'!B12*$B720)-'Business Case'!B15*$F720</f>
        <v>-2142770025.28571</v>
      </c>
      <c r="I720" s="39" t="n">
        <f aca="false">(('Business Case'!C11*$C720*'Business Case'!C12*$B720)-'Business Case'!C11*$C720*'Business Case'!C13*$D720-'Business Case'!C14*$E720)-MAX(0,(('Business Case'!C11*$C720*'Business Case'!C12*$B720)-'Business Case'!C11*$C720*'Business Case'!C13*$D720-'Business Case'!C14*$E720))*'Business Case'!$B$7-'Business Case'!$B$8*(('Business Case'!C11*$C720*'Business Case'!C12*$B720)-('Business Case'!B11*$C720*'Business Case'!B12*$B720))-'Business Case'!C15*$F720</f>
        <v>-65289184.9247882</v>
      </c>
      <c r="J720" s="39" t="n">
        <f aca="false">(('Business Case'!D11*$C720*'Business Case'!D12*$B720)-'Business Case'!D11*$C720*'Business Case'!D13*$D720-'Business Case'!D14*$E720)-MAX(0,(('Business Case'!D11*$C720*'Business Case'!D12*$B720)-'Business Case'!D11*$C720*'Business Case'!D13*$D720-'Business Case'!D14*$E720))*'Business Case'!$B$7-'Business Case'!$B$8*(('Business Case'!D11*$C720*'Business Case'!D12*$B720)-('Business Case'!C11*$C720*'Business Case'!C12*$B720))-'Business Case'!D15*$F720</f>
        <v>171263306.238629</v>
      </c>
      <c r="K720" s="39" t="n">
        <f aca="false">(('Business Case'!E11*$C720*'Business Case'!E12*$B720)-'Business Case'!E11*$C720*'Business Case'!E13*$D720-'Business Case'!E14*$E720)-MAX(0,(('Business Case'!E11*$C720*'Business Case'!E12*$B720)-'Business Case'!E11*$C720*'Business Case'!E13*$D720-'Business Case'!E14*$E720))*'Business Case'!$B$7-'Business Case'!$B$8*(('Business Case'!E11*$C720*'Business Case'!E12*$B720)-('Business Case'!D11*$C720*'Business Case'!D12*$B720))-'Business Case'!E15*$F720</f>
        <v>461385048.034188</v>
      </c>
      <c r="L720" s="39" t="n">
        <f aca="false">(('Business Case'!F11*$C720*'Business Case'!F12*$B720)-'Business Case'!F11*$C720*'Business Case'!F13*$D720-'Business Case'!F14*$E720)-MAX(0,(('Business Case'!F11*$C720*'Business Case'!F12*$B720)-'Business Case'!F11*$C720*'Business Case'!F13*$D720-'Business Case'!F14*$E720))*'Business Case'!$B$7-'Business Case'!$B$8*(('Business Case'!F11*$C720*'Business Case'!F12*$B720)-('Business Case'!E11*$C720*'Business Case'!E12*$B720))-'Business Case'!F15*$F720</f>
        <v>570724574.476727</v>
      </c>
      <c r="M720" s="39" t="n">
        <f aca="false">(('Business Case'!G11*$C720*'Business Case'!G12*$B720)-'Business Case'!G11*$C720*'Business Case'!G13*$D720-'Business Case'!G14*$E720)-MAX(0,(('Business Case'!G11*$C720*'Business Case'!G12*$B720)-'Business Case'!G11*$C720*'Business Case'!G13*$D720-'Business Case'!G14*$E720))*'Business Case'!$B$7-'Business Case'!$B$8*(('Business Case'!G11*$C720*'Business Case'!G12*$B720)-('Business Case'!F11*$C720*'Business Case'!F12*$B720))-'Business Case'!G15*$F720+'Business Case'!$B$8*('Business Case'!G11*$C720*'Business Case'!G12*$B720)</f>
        <v>738412402.777761</v>
      </c>
      <c r="N720" s="39" t="n">
        <f aca="false">IF(COUNT('Business Case'!B11:G11)=0,"",H720+NPV(G720,I720:M720))</f>
        <v>-876988707.889043</v>
      </c>
      <c r="P720" s="40" t="n">
        <f aca="true">RAND()</f>
        <v>0.3150854581023</v>
      </c>
      <c r="Q720" s="40" t="n">
        <f aca="true">RAND()</f>
        <v>0.156954454032431</v>
      </c>
      <c r="R720" s="40" t="n">
        <f aca="true">RAND()</f>
        <v>0.909372045755187</v>
      </c>
      <c r="S720" s="40" t="n">
        <f aca="true">RAND()</f>
        <v>0.817018640293908</v>
      </c>
      <c r="T720" s="40" t="n">
        <f aca="true">RAND()</f>
        <v>0.669163700542442</v>
      </c>
      <c r="U720" s="40" t="n">
        <f aca="true">RAND()</f>
        <v>0.487052966777722</v>
      </c>
    </row>
    <row r="721" customFormat="false" ht="15" hidden="false" customHeight="false" outlineLevel="0" collapsed="false">
      <c r="A721" s="36" t="n">
        <v>641</v>
      </c>
      <c r="B721" s="37" t="n">
        <f aca="false">1+IF($G$6=$E$6,$F$6,IF(P721&lt;($F$6-$E$6)/($G$6-$E$6),$E$6+SQRT(P721*($G$6-$E$6)*($F$6-$E$6)),$G$6-SQRT((1-P721)*($G$6-$E$6)*($G$6-$F$6))))</f>
        <v>1.01249402547632</v>
      </c>
      <c r="C721" s="37" t="n">
        <f aca="false">1+IF($G$7=$E$7,$F$7,IF(Q721&lt;($F$7-$E$7)/($G$7-$E$7),$E$7+SQRT(Q721*($G$7-$E$7)*($F$7-$E$7)),$G$7-SQRT((1-Q721)*($G$7-$E$7)*($G$7-$F$7))))</f>
        <v>0.851072467317243</v>
      </c>
      <c r="D721" s="37" t="n">
        <f aca="false">1+IF($G$8=$E$8,$F$8,IF(R721&lt;($F$8-$E$8)/($G$8-$E$8),$E$8+SQRT(R721*($G$8-$E$8)*($F$8-$E$8)),$G$8-SQRT((1-R721)*($G$8-$E$8)*($G$8-$F$8))))</f>
        <v>1.0030868472546</v>
      </c>
      <c r="E721" s="37" t="n">
        <f aca="false">1+IF($G$9=$E$9,$F$9,IF(S721&lt;($F$9-$E$9)/($G$9-$E$9),$E$9+SQRT(S721*($G$9-$E$9)*($F$9-$E$9)),$G$9-SQRT((1-S721)*($G$9-$E$9)*($G$9-$F$9))))</f>
        <v>0.983361932221692</v>
      </c>
      <c r="F721" s="37" t="n">
        <f aca="false">1+IF($G$10=$E$10,$F$10,IF(T721&lt;($F$10-$E$10)/($G$10-$E$10),$E$10+SQRT(T721*($G$10-$E$10)*($F$10-$E$10)),$G$10-SQRT((1-T721)*($G$10-$E$10)*($G$10-$F$10))))</f>
        <v>1.14800356959693</v>
      </c>
      <c r="G721" s="38" t="n">
        <f aca="false">IF($G$11=$E$11,$F$11,IF(U721&lt;($F$11-$E$11)/($G$11-$E$11),$E$11+SQRT(U721*($G$11-$E$11)*($F$11-$E$11)),$G$11-SQRT((1-U721)*($G$11-$E$11)*($G$11-$F$11))))</f>
        <v>0.0981210337709016</v>
      </c>
      <c r="H721" s="39" t="n">
        <f aca="false">(('Business Case'!B11*$C721*'Business Case'!B12*$B721)-'Business Case'!B11*$C721*'Business Case'!B13*$D721-'Business Case'!B14*$E721)-MAX(0,(('Business Case'!B11*$C721*'Business Case'!B12*$B721)-'Business Case'!B11*$C721*'Business Case'!B13*$D721-'Business Case'!B14*$E721))*'Business Case'!$B$7-'Business Case'!$B$8*('Business Case'!B11*$C721*'Business Case'!B12*$B721)-'Business Case'!B15*$F721</f>
        <v>-2296007139.19387</v>
      </c>
      <c r="I721" s="39" t="n">
        <f aca="false">(('Business Case'!C11*$C721*'Business Case'!C12*$B721)-'Business Case'!C11*$C721*'Business Case'!C13*$D721-'Business Case'!C14*$E721)-MAX(0,(('Business Case'!C11*$C721*'Business Case'!C12*$B721)-'Business Case'!C11*$C721*'Business Case'!C13*$D721-'Business Case'!C14*$E721))*'Business Case'!$B$7-'Business Case'!$B$8*(('Business Case'!C11*$C721*'Business Case'!C12*$B721)-('Business Case'!B11*$C721*'Business Case'!B12*$B721))-'Business Case'!C15*$F721</f>
        <v>-30532066.4929319</v>
      </c>
      <c r="J721" s="39" t="n">
        <f aca="false">(('Business Case'!D11*$C721*'Business Case'!D12*$B721)-'Business Case'!D11*$C721*'Business Case'!D13*$D721-'Business Case'!D14*$E721)-MAX(0,(('Business Case'!D11*$C721*'Business Case'!D12*$B721)-'Business Case'!D11*$C721*'Business Case'!D13*$D721-'Business Case'!D14*$E721))*'Business Case'!$B$7-'Business Case'!$B$8*(('Business Case'!D11*$C721*'Business Case'!D12*$B721)-('Business Case'!C11*$C721*'Business Case'!C12*$B721))-'Business Case'!D15*$F721</f>
        <v>238241118.806726</v>
      </c>
      <c r="K721" s="39" t="n">
        <f aca="false">(('Business Case'!E11*$C721*'Business Case'!E12*$B721)-'Business Case'!E11*$C721*'Business Case'!E13*$D721-'Business Case'!E14*$E721)-MAX(0,(('Business Case'!E11*$C721*'Business Case'!E12*$B721)-'Business Case'!E11*$C721*'Business Case'!E13*$D721-'Business Case'!E14*$E721))*'Business Case'!$B$7-'Business Case'!$B$8*(('Business Case'!E11*$C721*'Business Case'!E12*$B721)-('Business Case'!D11*$C721*'Business Case'!D12*$B721))-'Business Case'!E15*$F721</f>
        <v>564414482.586231</v>
      </c>
      <c r="L721" s="39" t="n">
        <f aca="false">(('Business Case'!F11*$C721*'Business Case'!F12*$B721)-'Business Case'!F11*$C721*'Business Case'!F13*$D721-'Business Case'!F14*$E721)-MAX(0,(('Business Case'!F11*$C721*'Business Case'!F12*$B721)-'Business Case'!F11*$C721*'Business Case'!F13*$D721-'Business Case'!F14*$E721))*'Business Case'!$B$7-'Business Case'!$B$8*(('Business Case'!F11*$C721*'Business Case'!F12*$B721)-('Business Case'!E11*$C721*'Business Case'!E12*$B721))-'Business Case'!F15*$F721</f>
        <v>683786096.400099</v>
      </c>
      <c r="M721" s="39" t="n">
        <f aca="false">(('Business Case'!G11*$C721*'Business Case'!G12*$B721)-'Business Case'!G11*$C721*'Business Case'!G13*$D721-'Business Case'!G14*$E721)-MAX(0,(('Business Case'!G11*$C721*'Business Case'!G12*$B721)-'Business Case'!G11*$C721*'Business Case'!G13*$D721-'Business Case'!G14*$E721))*'Business Case'!$B$7-'Business Case'!$B$8*(('Business Case'!G11*$C721*'Business Case'!G12*$B721)-('Business Case'!F11*$C721*'Business Case'!F12*$B721))-'Business Case'!G15*$F721+'Business Case'!$B$8*('Business Case'!G11*$C721*'Business Case'!G12*$B721)</f>
        <v>847579132.66033</v>
      </c>
      <c r="N721" s="39" t="n">
        <f aca="false">IF(COUNT('Business Case'!B11:G11)=0,"",H721+NPV(G721,I721:M721))</f>
        <v>-698972000.830502</v>
      </c>
      <c r="P721" s="40" t="n">
        <f aca="true">RAND()</f>
        <v>0.842379451146341</v>
      </c>
      <c r="Q721" s="40" t="n">
        <f aca="true">RAND()</f>
        <v>0.0372628131124412</v>
      </c>
      <c r="R721" s="40" t="n">
        <f aca="true">RAND()</f>
        <v>0.431189128342595</v>
      </c>
      <c r="S721" s="40" t="n">
        <f aca="true">RAND()</f>
        <v>0.148402469541972</v>
      </c>
      <c r="T721" s="40" t="n">
        <f aca="true">RAND()</f>
        <v>0.945927424506784</v>
      </c>
      <c r="U721" s="40" t="n">
        <f aca="true">RAND()</f>
        <v>0.219837298360412</v>
      </c>
    </row>
    <row r="722" customFormat="false" ht="15" hidden="false" customHeight="false" outlineLevel="0" collapsed="false">
      <c r="A722" s="36" t="n">
        <v>642</v>
      </c>
      <c r="B722" s="37" t="n">
        <f aca="false">1+IF($G$6=$E$6,$F$6,IF(P722&lt;($F$6-$E$6)/($G$6-$E$6),$E$6+SQRT(P722*($G$6-$E$6)*($F$6-$E$6)),$G$6-SQRT((1-P722)*($G$6-$E$6)*($G$6-$F$6))))</f>
        <v>1.00607963343094</v>
      </c>
      <c r="C722" s="37" t="n">
        <f aca="false">1+IF($G$7=$E$7,$F$7,IF(Q722&lt;($F$7-$E$7)/($G$7-$E$7),$E$7+SQRT(Q722*($G$7-$E$7)*($F$7-$E$7)),$G$7-SQRT((1-Q722)*($G$7-$E$7)*($G$7-$F$7))))</f>
        <v>0.886963876902805</v>
      </c>
      <c r="D722" s="37" t="n">
        <f aca="false">1+IF($G$8=$E$8,$F$8,IF(R722&lt;($F$8-$E$8)/($G$8-$E$8),$E$8+SQRT(R722*($G$8-$E$8)*($F$8-$E$8)),$G$8-SQRT((1-R722)*($G$8-$E$8)*($G$8-$F$8))))</f>
        <v>1.06112135810865</v>
      </c>
      <c r="E722" s="37" t="n">
        <f aca="false">1+IF($G$9=$E$9,$F$9,IF(S722&lt;($F$9-$E$9)/($G$9-$E$9),$E$9+SQRT(S722*($G$9-$E$9)*($F$9-$E$9)),$G$9-SQRT((1-S722)*($G$9-$E$9)*($G$9-$F$9))))</f>
        <v>0.993880583039318</v>
      </c>
      <c r="F722" s="37" t="n">
        <f aca="false">1+IF($G$10=$E$10,$F$10,IF(T722&lt;($F$10-$E$10)/($G$10-$E$10),$E$10+SQRT(T722*($G$10-$E$10)*($F$10-$E$10)),$G$10-SQRT((1-T722)*($G$10-$E$10)*($G$10-$F$10))))</f>
        <v>1.0282231841404</v>
      </c>
      <c r="G722" s="38" t="n">
        <f aca="false">IF($G$11=$E$11,$F$11,IF(U722&lt;($F$11-$E$11)/($G$11-$E$11),$E$11+SQRT(U722*($G$11-$E$11)*($F$11-$E$11)),$G$11-SQRT((1-U722)*($G$11-$E$11)*($G$11-$F$11))))</f>
        <v>0.103918324854688</v>
      </c>
      <c r="H722" s="39" t="n">
        <f aca="false">(('Business Case'!B11*$C722*'Business Case'!B12*$B722)-'Business Case'!B11*$C722*'Business Case'!B13*$D722-'Business Case'!B14*$E722)-MAX(0,(('Business Case'!B11*$C722*'Business Case'!B12*$B722)-'Business Case'!B11*$C722*'Business Case'!B13*$D722-'Business Case'!B14*$E722))*'Business Case'!$B$7-'Business Case'!$B$8*('Business Case'!B11*$C722*'Business Case'!B12*$B722)-'Business Case'!B15*$F722</f>
        <v>-2056446368.2808</v>
      </c>
      <c r="I722" s="39" t="n">
        <f aca="false">(('Business Case'!C11*$C722*'Business Case'!C12*$B722)-'Business Case'!C11*$C722*'Business Case'!C13*$D722-'Business Case'!C14*$E722)-MAX(0,(('Business Case'!C11*$C722*'Business Case'!C12*$B722)-'Business Case'!C11*$C722*'Business Case'!C13*$D722-'Business Case'!C14*$E722))*'Business Case'!$B$7-'Business Case'!$B$8*(('Business Case'!C11*$C722*'Business Case'!C12*$B722)-('Business Case'!B11*$C722*'Business Case'!B12*$B722))-'Business Case'!C15*$F722</f>
        <v>-41314813.0753631</v>
      </c>
      <c r="J722" s="39" t="n">
        <f aca="false">(('Business Case'!D11*$C722*'Business Case'!D12*$B722)-'Business Case'!D11*$C722*'Business Case'!D13*$D722-'Business Case'!D14*$E722)-MAX(0,(('Business Case'!D11*$C722*'Business Case'!D12*$B722)-'Business Case'!D11*$C722*'Business Case'!D13*$D722-'Business Case'!D14*$E722))*'Business Case'!$B$7-'Business Case'!$B$8*(('Business Case'!D11*$C722*'Business Case'!D12*$B722)-('Business Case'!C11*$C722*'Business Case'!C12*$B722))-'Business Case'!D15*$F722</f>
        <v>207782261.356087</v>
      </c>
      <c r="K722" s="39" t="n">
        <f aca="false">(('Business Case'!E11*$C722*'Business Case'!E12*$B722)-'Business Case'!E11*$C722*'Business Case'!E13*$D722-'Business Case'!E14*$E722)-MAX(0,(('Business Case'!E11*$C722*'Business Case'!E12*$B722)-'Business Case'!E11*$C722*'Business Case'!E13*$D722-'Business Case'!E14*$E722))*'Business Case'!$B$7-'Business Case'!$B$8*(('Business Case'!E11*$C722*'Business Case'!E12*$B722)-('Business Case'!D11*$C722*'Business Case'!D12*$B722))-'Business Case'!E15*$F722</f>
        <v>508290494.994557</v>
      </c>
      <c r="L722" s="39" t="n">
        <f aca="false">(('Business Case'!F11*$C722*'Business Case'!F12*$B722)-'Business Case'!F11*$C722*'Business Case'!F13*$D722-'Business Case'!F14*$E722)-MAX(0,(('Business Case'!F11*$C722*'Business Case'!F12*$B722)-'Business Case'!F11*$C722*'Business Case'!F13*$D722-'Business Case'!F14*$E722))*'Business Case'!$B$7-'Business Case'!$B$8*(('Business Case'!F11*$C722*'Business Case'!F12*$B722)-('Business Case'!E11*$C722*'Business Case'!E12*$B722))-'Business Case'!F15*$F722</f>
        <v>622162686.594762</v>
      </c>
      <c r="M722" s="39" t="n">
        <f aca="false">(('Business Case'!G11*$C722*'Business Case'!G12*$B722)-'Business Case'!G11*$C722*'Business Case'!G13*$D722-'Business Case'!G14*$E722)-MAX(0,(('Business Case'!G11*$C722*'Business Case'!G12*$B722)-'Business Case'!G11*$C722*'Business Case'!G13*$D722-'Business Case'!G14*$E722))*'Business Case'!$B$7-'Business Case'!$B$8*(('Business Case'!G11*$C722*'Business Case'!G12*$B722)-('Business Case'!F11*$C722*'Business Case'!F12*$B722))-'Business Case'!G15*$F722+'Business Case'!$B$8*('Business Case'!G11*$C722*'Business Case'!G12*$B722)</f>
        <v>791781770.604896</v>
      </c>
      <c r="N722" s="39" t="n">
        <f aca="false">IF(COUNT('Business Case'!B11:G11)=0,"",H722+NPV(G722,I722:M722))</f>
        <v>-643618952.748475</v>
      </c>
      <c r="P722" s="40" t="n">
        <f aca="true">RAND()</f>
        <v>0.760293485795893</v>
      </c>
      <c r="Q722" s="40" t="n">
        <f aca="true">RAND()</f>
        <v>0.108038798370947</v>
      </c>
      <c r="R722" s="40" t="n">
        <f aca="true">RAND()</f>
        <v>0.965730469263277</v>
      </c>
      <c r="S722" s="40" t="n">
        <f aca="true">RAND()</f>
        <v>0.256734075716068</v>
      </c>
      <c r="T722" s="40" t="n">
        <f aca="true">RAND()</f>
        <v>0.409854510662749</v>
      </c>
      <c r="U722" s="40" t="n">
        <f aca="true">RAND()</f>
        <v>0.568966207534422</v>
      </c>
    </row>
    <row r="723" customFormat="false" ht="15" hidden="false" customHeight="false" outlineLevel="0" collapsed="false">
      <c r="A723" s="36" t="n">
        <v>643</v>
      </c>
      <c r="B723" s="37" t="n">
        <f aca="false">1+IF($G$6=$E$6,$F$6,IF(P723&lt;($F$6-$E$6)/($G$6-$E$6),$E$6+SQRT(P723*($G$6-$E$6)*($F$6-$E$6)),$G$6-SQRT((1-P723)*($G$6-$E$6)*($G$6-$F$6))))</f>
        <v>1.01113970138251</v>
      </c>
      <c r="C723" s="37" t="n">
        <f aca="false">1+IF($G$7=$E$7,$F$7,IF(Q723&lt;($F$7-$E$7)/($G$7-$E$7),$E$7+SQRT(Q723*($G$7-$E$7)*($F$7-$E$7)),$G$7-SQRT((1-Q723)*($G$7-$E$7)*($G$7-$F$7))))</f>
        <v>1.05201280566623</v>
      </c>
      <c r="D723" s="37" t="n">
        <f aca="false">1+IF($G$8=$E$8,$F$8,IF(R723&lt;($F$8-$E$8)/($G$8-$E$8),$E$8+SQRT(R723*($G$8-$E$8)*($F$8-$E$8)),$G$8-SQRT((1-R723)*($G$8-$E$8)*($G$8-$F$8))))</f>
        <v>1.04265489729656</v>
      </c>
      <c r="E723" s="37" t="n">
        <f aca="false">1+IF($G$9=$E$9,$F$9,IF(S723&lt;($F$9-$E$9)/($G$9-$E$9),$E$9+SQRT(S723*($G$9-$E$9)*($F$9-$E$9)),$G$9-SQRT((1-S723)*($G$9-$E$9)*($G$9-$F$9))))</f>
        <v>1.01003258742339</v>
      </c>
      <c r="F723" s="37" t="n">
        <f aca="false">1+IF($G$10=$E$10,$F$10,IF(T723&lt;($F$10-$E$10)/($G$10-$E$10),$E$10+SQRT(T723*($G$10-$E$10)*($F$10-$E$10)),$G$10-SQRT((1-T723)*($G$10-$E$10)*($G$10-$F$10))))</f>
        <v>1.07583448689043</v>
      </c>
      <c r="G723" s="38" t="n">
        <f aca="false">IF($G$11=$E$11,$F$11,IF(U723&lt;($F$11-$E$11)/($G$11-$E$11),$E$11+SQRT(U723*($G$11-$E$11)*($F$11-$E$11)),$G$11-SQRT((1-U723)*($G$11-$E$11)*($G$11-$F$11))))</f>
        <v>0.103323523342494</v>
      </c>
      <c r="H723" s="39" t="n">
        <f aca="false">(('Business Case'!B11*$C723*'Business Case'!B12*$B723)-'Business Case'!B11*$C723*'Business Case'!B13*$D723-'Business Case'!B14*$E723)-MAX(0,(('Business Case'!B11*$C723*'Business Case'!B12*$B723)-'Business Case'!B11*$C723*'Business Case'!B13*$D723-'Business Case'!B14*$E723))*'Business Case'!$B$7-'Business Case'!$B$8*('Business Case'!B11*$C723*'Business Case'!B12*$B723)-'Business Case'!B15*$F723</f>
        <v>-2151668973.78086</v>
      </c>
      <c r="I723" s="39" t="n">
        <f aca="false">(('Business Case'!C11*$C723*'Business Case'!C12*$B723)-'Business Case'!C11*$C723*'Business Case'!C13*$D723-'Business Case'!C14*$E723)-MAX(0,(('Business Case'!C11*$C723*'Business Case'!C12*$B723)-'Business Case'!C11*$C723*'Business Case'!C13*$D723-'Business Case'!C14*$E723))*'Business Case'!$B$7-'Business Case'!$B$8*(('Business Case'!C11*$C723*'Business Case'!C12*$B723)-('Business Case'!B11*$C723*'Business Case'!B12*$B723))-'Business Case'!C15*$F723</f>
        <v>3401044.68816102</v>
      </c>
      <c r="J723" s="39" t="n">
        <f aca="false">(('Business Case'!D11*$C723*'Business Case'!D12*$B723)-'Business Case'!D11*$C723*'Business Case'!D13*$D723-'Business Case'!D14*$E723)-MAX(0,(('Business Case'!D11*$C723*'Business Case'!D12*$B723)-'Business Case'!D11*$C723*'Business Case'!D13*$D723-'Business Case'!D14*$E723))*'Business Case'!$B$7-'Business Case'!$B$8*(('Business Case'!D11*$C723*'Business Case'!D12*$B723)-('Business Case'!C11*$C723*'Business Case'!C12*$B723))-'Business Case'!D15*$F723</f>
        <v>313156034.427644</v>
      </c>
      <c r="K723" s="39" t="n">
        <f aca="false">(('Business Case'!E11*$C723*'Business Case'!E12*$B723)-'Business Case'!E11*$C723*'Business Case'!E13*$D723-'Business Case'!E14*$E723)-MAX(0,(('Business Case'!E11*$C723*'Business Case'!E12*$B723)-'Business Case'!E11*$C723*'Business Case'!E13*$D723-'Business Case'!E14*$E723))*'Business Case'!$B$7-'Business Case'!$B$8*(('Business Case'!E11*$C723*'Business Case'!E12*$B723)-('Business Case'!D11*$C723*'Business Case'!D12*$B723))-'Business Case'!E15*$F723</f>
        <v>676702748.511648</v>
      </c>
      <c r="L723" s="39" t="n">
        <f aca="false">(('Business Case'!F11*$C723*'Business Case'!F12*$B723)-'Business Case'!F11*$C723*'Business Case'!F13*$D723-'Business Case'!F14*$E723)-MAX(0,(('Business Case'!F11*$C723*'Business Case'!F12*$B723)-'Business Case'!F11*$C723*'Business Case'!F13*$D723-'Business Case'!F14*$E723))*'Business Case'!$B$7-'Business Case'!$B$8*(('Business Case'!F11*$C723*'Business Case'!F12*$B723)-('Business Case'!E11*$C723*'Business Case'!E12*$B723))-'Business Case'!F15*$F723</f>
        <v>816716986.711924</v>
      </c>
      <c r="M723" s="39" t="n">
        <f aca="false">(('Business Case'!G11*$C723*'Business Case'!G12*$B723)-'Business Case'!G11*$C723*'Business Case'!G13*$D723-'Business Case'!G14*$E723)-MAX(0,(('Business Case'!G11*$C723*'Business Case'!G12*$B723)-'Business Case'!G11*$C723*'Business Case'!G13*$D723-'Business Case'!G14*$E723))*'Business Case'!$B$7-'Business Case'!$B$8*(('Business Case'!G11*$C723*'Business Case'!G12*$B723)-('Business Case'!F11*$C723*'Business Case'!F12*$B723))-'Business Case'!G15*$F723+'Business Case'!$B$8*('Business Case'!G11*$C723*'Business Case'!G12*$B723)</f>
        <v>1018911148.95772</v>
      </c>
      <c r="N723" s="39" t="n">
        <f aca="false">IF(COUNT('Business Case'!B11:G11)=0,"",H723+NPV(G723,I723:M723))</f>
        <v>-213170779.517905</v>
      </c>
      <c r="P723" s="40" t="n">
        <f aca="true">RAND()</f>
        <v>0.826475659106096</v>
      </c>
      <c r="Q723" s="40" t="n">
        <f aca="true">RAND()</f>
        <v>0.817114471363737</v>
      </c>
      <c r="R723" s="40" t="n">
        <f aca="true">RAND()</f>
        <v>0.865898394622078</v>
      </c>
      <c r="S723" s="40" t="n">
        <f aca="true">RAND()</f>
        <v>0.460390978284645</v>
      </c>
      <c r="T723" s="40" t="n">
        <f aca="true">RAND()</f>
        <v>0.691658507084753</v>
      </c>
      <c r="U723" s="40" t="n">
        <f aca="true">RAND()</f>
        <v>0.536491877152759</v>
      </c>
    </row>
    <row r="724" customFormat="false" ht="15" hidden="false" customHeight="false" outlineLevel="0" collapsed="false">
      <c r="A724" s="36" t="n">
        <v>644</v>
      </c>
      <c r="B724" s="37" t="n">
        <f aca="false">1+IF($G$6=$E$6,$F$6,IF(P724&lt;($F$6-$E$6)/($G$6-$E$6),$E$6+SQRT(P724*($G$6-$E$6)*($F$6-$E$6)),$G$6-SQRT((1-P724)*($G$6-$E$6)*($G$6-$F$6))))</f>
        <v>0.997541380339948</v>
      </c>
      <c r="C724" s="37" t="n">
        <f aca="false">1+IF($G$7=$E$7,$F$7,IF(Q724&lt;($F$7-$E$7)/($G$7-$E$7),$E$7+SQRT(Q724*($G$7-$E$7)*($F$7-$E$7)),$G$7-SQRT((1-Q724)*($G$7-$E$7)*($G$7-$F$7))))</f>
        <v>0.982015394180195</v>
      </c>
      <c r="D724" s="37" t="n">
        <f aca="false">1+IF($G$8=$E$8,$F$8,IF(R724&lt;($F$8-$E$8)/($G$8-$E$8),$E$8+SQRT(R724*($G$8-$E$8)*($F$8-$E$8)),$G$8-SQRT((1-R724)*($G$8-$E$8)*($G$8-$F$8))))</f>
        <v>1.04341763980094</v>
      </c>
      <c r="E724" s="37" t="n">
        <f aca="false">1+IF($G$9=$E$9,$F$9,IF(S724&lt;($F$9-$E$9)/($G$9-$E$9),$E$9+SQRT(S724*($G$9-$E$9)*($F$9-$E$9)),$G$9-SQRT((1-S724)*($G$9-$E$9)*($G$9-$F$9))))</f>
        <v>0.964583868904162</v>
      </c>
      <c r="F724" s="37" t="n">
        <f aca="false">1+IF($G$10=$E$10,$F$10,IF(T724&lt;($F$10-$E$10)/($G$10-$E$10),$E$10+SQRT(T724*($G$10-$E$10)*($F$10-$E$10)),$G$10-SQRT((1-T724)*($G$10-$E$10)*($G$10-$F$10))))</f>
        <v>1.02274347795813</v>
      </c>
      <c r="G724" s="38" t="n">
        <f aca="false">IF($G$11=$E$11,$F$11,IF(U724&lt;($F$11-$E$11)/($G$11-$E$11),$E$11+SQRT(U724*($G$11-$E$11)*($F$11-$E$11)),$G$11-SQRT((1-U724)*($G$11-$E$11)*($G$11-$F$11))))</f>
        <v>0.105603029493629</v>
      </c>
      <c r="H724" s="39" t="n">
        <f aca="false">(('Business Case'!B11*$C724*'Business Case'!B12*$B724)-'Business Case'!B11*$C724*'Business Case'!B13*$D724-'Business Case'!B14*$E724)-MAX(0,(('Business Case'!B11*$C724*'Business Case'!B12*$B724)-'Business Case'!B11*$C724*'Business Case'!B13*$D724-'Business Case'!B14*$E724))*'Business Case'!$B$7-'Business Case'!$B$8*('Business Case'!B11*$C724*'Business Case'!B12*$B724)-'Business Case'!B15*$F724</f>
        <v>-2045486955.91626</v>
      </c>
      <c r="I724" s="39" t="n">
        <f aca="false">(('Business Case'!C11*$C724*'Business Case'!C12*$B724)-'Business Case'!C11*$C724*'Business Case'!C13*$D724-'Business Case'!C14*$E724)-MAX(0,(('Business Case'!C11*$C724*'Business Case'!C12*$B724)-'Business Case'!C11*$C724*'Business Case'!C13*$D724-'Business Case'!C14*$E724))*'Business Case'!$B$7-'Business Case'!$B$8*(('Business Case'!C11*$C724*'Business Case'!C12*$B724)-('Business Case'!B11*$C724*'Business Case'!B12*$B724))-'Business Case'!C15*$F724</f>
        <v>-12396892.2588334</v>
      </c>
      <c r="J724" s="39" t="n">
        <f aca="false">(('Business Case'!D11*$C724*'Business Case'!D12*$B724)-'Business Case'!D11*$C724*'Business Case'!D13*$D724-'Business Case'!D14*$E724)-MAX(0,(('Business Case'!D11*$C724*'Business Case'!D12*$B724)-'Business Case'!D11*$C724*'Business Case'!D13*$D724-'Business Case'!D14*$E724))*'Business Case'!$B$7-'Business Case'!$B$8*(('Business Case'!D11*$C724*'Business Case'!D12*$B724)-('Business Case'!C11*$C724*'Business Case'!C12*$B724))-'Business Case'!D15*$F724</f>
        <v>265426904.852557</v>
      </c>
      <c r="K724" s="39" t="n">
        <f aca="false">(('Business Case'!E11*$C724*'Business Case'!E12*$B724)-'Business Case'!E11*$C724*'Business Case'!E13*$D724-'Business Case'!E14*$E724)-MAX(0,(('Business Case'!E11*$C724*'Business Case'!E12*$B724)-'Business Case'!E11*$C724*'Business Case'!E13*$D724-'Business Case'!E14*$E724))*'Business Case'!$B$7-'Business Case'!$B$8*(('Business Case'!E11*$C724*'Business Case'!E12*$B724)-('Business Case'!D11*$C724*'Business Case'!D12*$B724))-'Business Case'!E15*$F724</f>
        <v>594387875.861855</v>
      </c>
      <c r="L724" s="39" t="n">
        <f aca="false">(('Business Case'!F11*$C724*'Business Case'!F12*$B724)-'Business Case'!F11*$C724*'Business Case'!F13*$D724-'Business Case'!F14*$E724)-MAX(0,(('Business Case'!F11*$C724*'Business Case'!F12*$B724)-'Business Case'!F11*$C724*'Business Case'!F13*$D724-'Business Case'!F14*$E724))*'Business Case'!$B$7-'Business Case'!$B$8*(('Business Case'!F11*$C724*'Business Case'!F12*$B724)-('Business Case'!E11*$C724*'Business Case'!E12*$B724))-'Business Case'!F15*$F724</f>
        <v>720850818.50981</v>
      </c>
      <c r="M724" s="39" t="n">
        <f aca="false">(('Business Case'!G11*$C724*'Business Case'!G12*$B724)-'Business Case'!G11*$C724*'Business Case'!G13*$D724-'Business Case'!G14*$E724)-MAX(0,(('Business Case'!G11*$C724*'Business Case'!G12*$B724)-'Business Case'!G11*$C724*'Business Case'!G13*$D724-'Business Case'!G14*$E724))*'Business Case'!$B$7-'Business Case'!$B$8*(('Business Case'!G11*$C724*'Business Case'!G12*$B724)-('Business Case'!F11*$C724*'Business Case'!F12*$B724))-'Business Case'!G15*$F724+'Business Case'!$B$8*('Business Case'!G11*$C724*'Business Case'!G12*$B724)</f>
        <v>907053375.036018</v>
      </c>
      <c r="N724" s="39" t="n">
        <f aca="false">IF(COUNT('Business Case'!B11:G11)=0,"",H724+NPV(G724,I724:M724))</f>
        <v>-368211937.56669</v>
      </c>
      <c r="P724" s="40" t="n">
        <f aca="true">RAND()</f>
        <v>0.626319340106721</v>
      </c>
      <c r="Q724" s="40" t="n">
        <f aca="true">RAND()</f>
        <v>0.473280053122451</v>
      </c>
      <c r="R724" s="40" t="n">
        <f aca="true">RAND()</f>
        <v>0.871320280987111</v>
      </c>
      <c r="S724" s="40" t="n">
        <f aca="true">RAND()</f>
        <v>0.028358564295172</v>
      </c>
      <c r="T724" s="40" t="n">
        <f aca="true">RAND()</f>
        <v>0.371602507872414</v>
      </c>
      <c r="U724" s="40" t="n">
        <f aca="true">RAND()</f>
        <v>0.654545400397805</v>
      </c>
    </row>
    <row r="725" customFormat="false" ht="15" hidden="false" customHeight="false" outlineLevel="0" collapsed="false">
      <c r="A725" s="36" t="n">
        <v>645</v>
      </c>
      <c r="B725" s="37" t="n">
        <f aca="false">1+IF($G$6=$E$6,$F$6,IF(P725&lt;($F$6-$E$6)/($G$6-$E$6),$E$6+SQRT(P725*($G$6-$E$6)*($F$6-$E$6)),$G$6-SQRT((1-P725)*($G$6-$E$6)*($G$6-$F$6))))</f>
        <v>1.00667183907547</v>
      </c>
      <c r="C725" s="37" t="n">
        <f aca="false">1+IF($G$7=$E$7,$F$7,IF(Q725&lt;($F$7-$E$7)/($G$7-$E$7),$E$7+SQRT(Q725*($G$7-$E$7)*($F$7-$E$7)),$G$7-SQRT((1-Q725)*($G$7-$E$7)*($G$7-$F$7))))</f>
        <v>1.06786094933485</v>
      </c>
      <c r="D725" s="37" t="n">
        <f aca="false">1+IF($G$8=$E$8,$F$8,IF(R725&lt;($F$8-$E$8)/($G$8-$E$8),$E$8+SQRT(R725*($G$8-$E$8)*($F$8-$E$8)),$G$8-SQRT((1-R725)*($G$8-$E$8)*($G$8-$F$8))))</f>
        <v>1.02779129188751</v>
      </c>
      <c r="E725" s="37" t="n">
        <f aca="false">1+IF($G$9=$E$9,$F$9,IF(S725&lt;($F$9-$E$9)/($G$9-$E$9),$E$9+SQRT(S725*($G$9-$E$9)*($F$9-$E$9)),$G$9-SQRT((1-S725)*($G$9-$E$9)*($G$9-$F$9))))</f>
        <v>1.03891194710218</v>
      </c>
      <c r="F725" s="37" t="n">
        <f aca="false">1+IF($G$10=$E$10,$F$10,IF(T725&lt;($F$10-$E$10)/($G$10-$E$10),$E$10+SQRT(T725*($G$10-$E$10)*($F$10-$E$10)),$G$10-SQRT((1-T725)*($G$10-$E$10)*($G$10-$F$10))))</f>
        <v>1.06963636508448</v>
      </c>
      <c r="G725" s="38" t="n">
        <f aca="false">IF($G$11=$E$11,$F$11,IF(U725&lt;($F$11-$E$11)/($G$11-$E$11),$E$11+SQRT(U725*($G$11-$E$11)*($F$11-$E$11)),$G$11-SQRT((1-U725)*($G$11-$E$11)*($G$11-$F$11))))</f>
        <v>0.0917201943142443</v>
      </c>
      <c r="H725" s="39" t="n">
        <f aca="false">(('Business Case'!B11*$C725*'Business Case'!B12*$B725)-'Business Case'!B11*$C725*'Business Case'!B13*$D725-'Business Case'!B14*$E725)-MAX(0,(('Business Case'!B11*$C725*'Business Case'!B12*$B725)-'Business Case'!B11*$C725*'Business Case'!B13*$D725-'Business Case'!B14*$E725))*'Business Case'!$B$7-'Business Case'!$B$8*('Business Case'!B11*$C725*'Business Case'!B12*$B725)-'Business Case'!B15*$F725</f>
        <v>-2139272730.16896</v>
      </c>
      <c r="I725" s="39" t="n">
        <f aca="false">(('Business Case'!C11*$C725*'Business Case'!C12*$B725)-'Business Case'!C11*$C725*'Business Case'!C13*$D725-'Business Case'!C14*$E725)-MAX(0,(('Business Case'!C11*$C725*'Business Case'!C12*$B725)-'Business Case'!C11*$C725*'Business Case'!C13*$D725-'Business Case'!C14*$E725))*'Business Case'!$B$7-'Business Case'!$B$8*(('Business Case'!C11*$C725*'Business Case'!C12*$B725)-('Business Case'!B11*$C725*'Business Case'!B12*$B725))-'Business Case'!C15*$F725</f>
        <v>8214647.34787799</v>
      </c>
      <c r="J725" s="39" t="n">
        <f aca="false">(('Business Case'!D11*$C725*'Business Case'!D12*$B725)-'Business Case'!D11*$C725*'Business Case'!D13*$D725-'Business Case'!D14*$E725)-MAX(0,(('Business Case'!D11*$C725*'Business Case'!D12*$B725)-'Business Case'!D11*$C725*'Business Case'!D13*$D725-'Business Case'!D14*$E725))*'Business Case'!$B$7-'Business Case'!$B$8*(('Business Case'!D11*$C725*'Business Case'!D12*$B725)-('Business Case'!C11*$C725*'Business Case'!C12*$B725))-'Business Case'!D15*$F725</f>
        <v>326853460.773493</v>
      </c>
      <c r="K725" s="39" t="n">
        <f aca="false">(('Business Case'!E11*$C725*'Business Case'!E12*$B725)-'Business Case'!E11*$C725*'Business Case'!E13*$D725-'Business Case'!E14*$E725)-MAX(0,(('Business Case'!E11*$C725*'Business Case'!E12*$B725)-'Business Case'!E11*$C725*'Business Case'!E13*$D725-'Business Case'!E14*$E725))*'Business Case'!$B$7-'Business Case'!$B$8*(('Business Case'!E11*$C725*'Business Case'!E12*$B725)-('Business Case'!D11*$C725*'Business Case'!D12*$B725))-'Business Case'!E15*$F725</f>
        <v>698974092.453332</v>
      </c>
      <c r="L725" s="39" t="n">
        <f aca="false">(('Business Case'!F11*$C725*'Business Case'!F12*$B725)-'Business Case'!F11*$C725*'Business Case'!F13*$D725-'Business Case'!F14*$E725)-MAX(0,(('Business Case'!F11*$C725*'Business Case'!F12*$B725)-'Business Case'!F11*$C725*'Business Case'!F13*$D725-'Business Case'!F14*$E725))*'Business Case'!$B$7-'Business Case'!$B$8*(('Business Case'!F11*$C725*'Business Case'!F12*$B725)-('Business Case'!E11*$C725*'Business Case'!E12*$B725))-'Business Case'!F15*$F725</f>
        <v>842338530.722776</v>
      </c>
      <c r="M725" s="39" t="n">
        <f aca="false">(('Business Case'!G11*$C725*'Business Case'!G12*$B725)-'Business Case'!G11*$C725*'Business Case'!G13*$D725-'Business Case'!G14*$E725)-MAX(0,(('Business Case'!G11*$C725*'Business Case'!G12*$B725)-'Business Case'!G11*$C725*'Business Case'!G13*$D725-'Business Case'!G14*$E725))*'Business Case'!$B$7-'Business Case'!$B$8*(('Business Case'!G11*$C725*'Business Case'!G12*$B725)-('Business Case'!F11*$C725*'Business Case'!F12*$B725))-'Business Case'!G15*$F725+'Business Case'!$B$8*('Business Case'!G11*$C725*'Business Case'!G12*$B725)</f>
        <v>1046671783.25776</v>
      </c>
      <c r="N725" s="39" t="n">
        <f aca="false">IF(COUNT('Business Case'!B11:G11)=0,"",H725+NPV(G725,I725:M725))</f>
        <v>-52415531.609318</v>
      </c>
      <c r="P725" s="40" t="n">
        <f aca="true">RAND()</f>
        <v>0.768590351956003</v>
      </c>
      <c r="Q725" s="40" t="n">
        <f aca="true">RAND()</f>
        <v>0.871489073444344</v>
      </c>
      <c r="R725" s="40" t="n">
        <f aca="true">RAND()</f>
        <v>0.737908730502359</v>
      </c>
      <c r="S725" s="40" t="n">
        <f aca="true">RAND()</f>
        <v>0.751216652876904</v>
      </c>
      <c r="T725" s="40" t="n">
        <f aca="true">RAND()</f>
        <v>0.660106453832273</v>
      </c>
      <c r="U725" s="40" t="n">
        <f aca="true">RAND()</f>
        <v>0.0098635615958614</v>
      </c>
    </row>
    <row r="726" customFormat="false" ht="15" hidden="false" customHeight="false" outlineLevel="0" collapsed="false">
      <c r="A726" s="36" t="n">
        <v>646</v>
      </c>
      <c r="B726" s="37" t="n">
        <f aca="false">1+IF($G$6=$E$6,$F$6,IF(P726&lt;($F$6-$E$6)/($G$6-$E$6),$E$6+SQRT(P726*($G$6-$E$6)*($F$6-$E$6)),$G$6-SQRT((1-P726)*($G$6-$E$6)*($G$6-$F$6))))</f>
        <v>0.998173502368342</v>
      </c>
      <c r="C726" s="37" t="n">
        <f aca="false">1+IF($G$7=$E$7,$F$7,IF(Q726&lt;($F$7-$E$7)/($G$7-$E$7),$E$7+SQRT(Q726*($G$7-$E$7)*($F$7-$E$7)),$G$7-SQRT((1-Q726)*($G$7-$E$7)*($G$7-$F$7))))</f>
        <v>1.00029547003937</v>
      </c>
      <c r="D726" s="37" t="n">
        <f aca="false">1+IF($G$8=$E$8,$F$8,IF(R726&lt;($F$8-$E$8)/($G$8-$E$8),$E$8+SQRT(R726*($G$8-$E$8)*($F$8-$E$8)),$G$8-SQRT((1-R726)*($G$8-$E$8)*($G$8-$F$8))))</f>
        <v>0.995234380719022</v>
      </c>
      <c r="E726" s="37" t="n">
        <f aca="false">1+IF($G$9=$E$9,$F$9,IF(S726&lt;($F$9-$E$9)/($G$9-$E$9),$E$9+SQRT(S726*($G$9-$E$9)*($F$9-$E$9)),$G$9-SQRT((1-S726)*($G$9-$E$9)*($G$9-$F$9))))</f>
        <v>1.0518671425296</v>
      </c>
      <c r="F726" s="37" t="n">
        <f aca="false">1+IF($G$10=$E$10,$F$10,IF(T726&lt;($F$10-$E$10)/($G$10-$E$10),$E$10+SQRT(T726*($G$10-$E$10)*($F$10-$E$10)),$G$10-SQRT((1-T726)*($G$10-$E$10)*($G$10-$F$10))))</f>
        <v>1.05435409792936</v>
      </c>
      <c r="G726" s="38" t="n">
        <f aca="false">IF($G$11=$E$11,$F$11,IF(U726&lt;($F$11-$E$11)/($G$11-$E$11),$E$11+SQRT(U726*($G$11-$E$11)*($F$11-$E$11)),$G$11-SQRT((1-U726)*($G$11-$E$11)*($G$11-$F$11))))</f>
        <v>0.10324400506791</v>
      </c>
      <c r="H726" s="39" t="n">
        <f aca="false">(('Business Case'!B11*$C726*'Business Case'!B12*$B726)-'Business Case'!B11*$C726*'Business Case'!B13*$D726-'Business Case'!B14*$E726)-MAX(0,(('Business Case'!B11*$C726*'Business Case'!B12*$B726)-'Business Case'!B11*$C726*'Business Case'!B13*$D726-'Business Case'!B14*$E726))*'Business Case'!$B$7-'Business Case'!$B$8*('Business Case'!B11*$C726*'Business Case'!B12*$B726)-'Business Case'!B15*$F726</f>
        <v>-2108708195.85871</v>
      </c>
      <c r="I726" s="39" t="n">
        <f aca="false">(('Business Case'!C11*$C726*'Business Case'!C12*$B726)-'Business Case'!C11*$C726*'Business Case'!C13*$D726-'Business Case'!C14*$E726)-MAX(0,(('Business Case'!C11*$C726*'Business Case'!C12*$B726)-'Business Case'!C11*$C726*'Business Case'!C13*$D726-'Business Case'!C14*$E726))*'Business Case'!$B$7-'Business Case'!$B$8*(('Business Case'!C11*$C726*'Business Case'!C12*$B726)-('Business Case'!B11*$C726*'Business Case'!B12*$B726))-'Business Case'!C15*$F726</f>
        <v>1415094.75463556</v>
      </c>
      <c r="J726" s="39" t="n">
        <f aca="false">(('Business Case'!D11*$C726*'Business Case'!D12*$B726)-'Business Case'!D11*$C726*'Business Case'!D13*$D726-'Business Case'!D14*$E726)-MAX(0,(('Business Case'!D11*$C726*'Business Case'!D12*$B726)-'Business Case'!D11*$C726*'Business Case'!D13*$D726-'Business Case'!D14*$E726))*'Business Case'!$B$7-'Business Case'!$B$8*(('Business Case'!D11*$C726*'Business Case'!D12*$B726)-('Business Case'!C11*$C726*'Business Case'!C12*$B726))-'Business Case'!D15*$F726</f>
        <v>309601710.522763</v>
      </c>
      <c r="K726" s="39" t="n">
        <f aca="false">(('Business Case'!E11*$C726*'Business Case'!E12*$B726)-'Business Case'!E11*$C726*'Business Case'!E13*$D726-'Business Case'!E14*$E726)-MAX(0,(('Business Case'!E11*$C726*'Business Case'!E12*$B726)-'Business Case'!E11*$C726*'Business Case'!E13*$D726-'Business Case'!E14*$E726))*'Business Case'!$B$7-'Business Case'!$B$8*(('Business Case'!E11*$C726*'Business Case'!E12*$B726)-('Business Case'!D11*$C726*'Business Case'!D12*$B726))-'Business Case'!E15*$F726</f>
        <v>670506031.187358</v>
      </c>
      <c r="L726" s="39" t="n">
        <f aca="false">(('Business Case'!F11*$C726*'Business Case'!F12*$B726)-'Business Case'!F11*$C726*'Business Case'!F13*$D726-'Business Case'!F14*$E726)-MAX(0,(('Business Case'!F11*$C726*'Business Case'!F12*$B726)-'Business Case'!F11*$C726*'Business Case'!F13*$D726-'Business Case'!F14*$E726))*'Business Case'!$B$7-'Business Case'!$B$8*(('Business Case'!F11*$C726*'Business Case'!F12*$B726)-('Business Case'!E11*$C726*'Business Case'!E12*$B726))-'Business Case'!F15*$F726</f>
        <v>807741972.145299</v>
      </c>
      <c r="M726" s="39" t="n">
        <f aca="false">(('Business Case'!G11*$C726*'Business Case'!G12*$B726)-'Business Case'!G11*$C726*'Business Case'!G13*$D726-'Business Case'!G14*$E726)-MAX(0,(('Business Case'!G11*$C726*'Business Case'!G12*$B726)-'Business Case'!G11*$C726*'Business Case'!G13*$D726-'Business Case'!G14*$E726))*'Business Case'!$B$7-'Business Case'!$B$8*(('Business Case'!G11*$C726*'Business Case'!G12*$B726)-('Business Case'!F11*$C726*'Business Case'!F12*$B726))-'Business Case'!G15*$F726+'Business Case'!$B$8*('Business Case'!G11*$C726*'Business Case'!G12*$B726)</f>
        <v>997530851.83907</v>
      </c>
      <c r="N726" s="39" t="n">
        <f aca="false">IF(COUNT('Business Case'!B11:G11)=0,"",H726+NPV(G726,I726:M726))</f>
        <v>-198154975.381688</v>
      </c>
      <c r="P726" s="40" t="n">
        <f aca="true">RAND()</f>
        <v>0.63657254922221</v>
      </c>
      <c r="Q726" s="40" t="n">
        <f aca="true">RAND()</f>
        <v>0.573115308747945</v>
      </c>
      <c r="R726" s="40" t="n">
        <f aca="true">RAND()</f>
        <v>0.314792184466683</v>
      </c>
      <c r="S726" s="40" t="n">
        <f aca="true">RAND()</f>
        <v>0.845548535448948</v>
      </c>
      <c r="T726" s="40" t="n">
        <f aca="true">RAND()</f>
        <v>0.575745424200575</v>
      </c>
      <c r="U726" s="40" t="n">
        <f aca="true">RAND()</f>
        <v>0.53206105639296</v>
      </c>
    </row>
    <row r="727" customFormat="false" ht="15" hidden="false" customHeight="false" outlineLevel="0" collapsed="false">
      <c r="A727" s="36" t="n">
        <v>647</v>
      </c>
      <c r="B727" s="37" t="n">
        <f aca="false">1+IF($G$6=$E$6,$F$6,IF(P727&lt;($F$6-$E$6)/($G$6-$E$6),$E$6+SQRT(P727*($G$6-$E$6)*($F$6-$E$6)),$G$6-SQRT((1-P727)*($G$6-$E$6)*($G$6-$F$6))))</f>
        <v>0.995521219510065</v>
      </c>
      <c r="C727" s="37" t="n">
        <f aca="false">1+IF($G$7=$E$7,$F$7,IF(Q727&lt;($F$7-$E$7)/($G$7-$E$7),$E$7+SQRT(Q727*($G$7-$E$7)*($F$7-$E$7)),$G$7-SQRT((1-Q727)*($G$7-$E$7)*($G$7-$F$7))))</f>
        <v>1.00235757338007</v>
      </c>
      <c r="D727" s="37" t="n">
        <f aca="false">1+IF($G$8=$E$8,$F$8,IF(R727&lt;($F$8-$E$8)/($G$8-$E$8),$E$8+SQRT(R727*($G$8-$E$8)*($F$8-$E$8)),$G$8-SQRT((1-R727)*($G$8-$E$8)*($G$8-$F$8))))</f>
        <v>0.998984981783131</v>
      </c>
      <c r="E727" s="37" t="n">
        <f aca="false">1+IF($G$9=$E$9,$F$9,IF(S727&lt;($F$9-$E$9)/($G$9-$E$9),$E$9+SQRT(S727*($G$9-$E$9)*($F$9-$E$9)),$G$9-SQRT((1-S727)*($G$9-$E$9)*($G$9-$F$9))))</f>
        <v>1.02568163109841</v>
      </c>
      <c r="F727" s="37" t="n">
        <f aca="false">1+IF($G$10=$E$10,$F$10,IF(T727&lt;($F$10-$E$10)/($G$10-$E$10),$E$10+SQRT(T727*($G$10-$E$10)*($F$10-$E$10)),$G$10-SQRT((1-T727)*($G$10-$E$10)*($G$10-$F$10))))</f>
        <v>0.975955040307651</v>
      </c>
      <c r="G727" s="38" t="n">
        <f aca="false">IF($G$11=$E$11,$F$11,IF(U727&lt;($F$11-$E$11)/($G$11-$E$11),$E$11+SQRT(U727*($G$11-$E$11)*($F$11-$E$11)),$G$11-SQRT((1-U727)*($G$11-$E$11)*($G$11-$F$11))))</f>
        <v>0.0977844976038301</v>
      </c>
      <c r="H727" s="39" t="n">
        <f aca="false">(('Business Case'!B11*$C727*'Business Case'!B12*$B727)-'Business Case'!B11*$C727*'Business Case'!B13*$D727-'Business Case'!B14*$E727)-MAX(0,(('Business Case'!B11*$C727*'Business Case'!B12*$B727)-'Business Case'!B11*$C727*'Business Case'!B13*$D727-'Business Case'!B14*$E727))*'Business Case'!$B$7-'Business Case'!$B$8*('Business Case'!B11*$C727*'Business Case'!B12*$B727)-'Business Case'!B15*$F727</f>
        <v>-1951910080.6153</v>
      </c>
      <c r="I727" s="39" t="n">
        <f aca="false">(('Business Case'!C11*$C727*'Business Case'!C12*$B727)-'Business Case'!C11*$C727*'Business Case'!C13*$D727-'Business Case'!C14*$E727)-MAX(0,(('Business Case'!C11*$C727*'Business Case'!C12*$B727)-'Business Case'!C11*$C727*'Business Case'!C13*$D727-'Business Case'!C14*$E727))*'Business Case'!$B$7-'Business Case'!$B$8*(('Business Case'!C11*$C727*'Business Case'!C12*$B727)-('Business Case'!B11*$C727*'Business Case'!B12*$B727))-'Business Case'!C15*$F727</f>
        <v>9542952.98500682</v>
      </c>
      <c r="J727" s="39" t="n">
        <f aca="false">(('Business Case'!D11*$C727*'Business Case'!D12*$B727)-'Business Case'!D11*$C727*'Business Case'!D13*$D727-'Business Case'!D14*$E727)-MAX(0,(('Business Case'!D11*$C727*'Business Case'!D12*$B727)-'Business Case'!D11*$C727*'Business Case'!D13*$D727-'Business Case'!D14*$E727))*'Business Case'!$B$7-'Business Case'!$B$8*(('Business Case'!D11*$C727*'Business Case'!D12*$B727)-('Business Case'!C11*$C727*'Business Case'!C12*$B727))-'Business Case'!D15*$F727</f>
        <v>314262827.185056</v>
      </c>
      <c r="K727" s="39" t="n">
        <f aca="false">(('Business Case'!E11*$C727*'Business Case'!E12*$B727)-'Business Case'!E11*$C727*'Business Case'!E13*$D727-'Business Case'!E14*$E727)-MAX(0,(('Business Case'!E11*$C727*'Business Case'!E12*$B727)-'Business Case'!E11*$C727*'Business Case'!E13*$D727-'Business Case'!E14*$E727))*'Business Case'!$B$7-'Business Case'!$B$8*(('Business Case'!E11*$C727*'Business Case'!E12*$B727)-('Business Case'!D11*$C727*'Business Case'!D12*$B727))-'Business Case'!E15*$F727</f>
        <v>667780453.400488</v>
      </c>
      <c r="L727" s="39" t="n">
        <f aca="false">(('Business Case'!F11*$C727*'Business Case'!F12*$B727)-'Business Case'!F11*$C727*'Business Case'!F13*$D727-'Business Case'!F14*$E727)-MAX(0,(('Business Case'!F11*$C727*'Business Case'!F12*$B727)-'Business Case'!F11*$C727*'Business Case'!F13*$D727-'Business Case'!F14*$E727))*'Business Case'!$B$7-'Business Case'!$B$8*(('Business Case'!F11*$C727*'Business Case'!F12*$B727)-('Business Case'!E11*$C727*'Business Case'!E12*$B727))-'Business Case'!F15*$F727</f>
        <v>803840070.961893</v>
      </c>
      <c r="M727" s="39" t="n">
        <f aca="false">(('Business Case'!G11*$C727*'Business Case'!G12*$B727)-'Business Case'!G11*$C727*'Business Case'!G13*$D727-'Business Case'!G14*$E727)-MAX(0,(('Business Case'!G11*$C727*'Business Case'!G12*$B727)-'Business Case'!G11*$C727*'Business Case'!G13*$D727-'Business Case'!G14*$E727))*'Business Case'!$B$7-'Business Case'!$B$8*(('Business Case'!G11*$C727*'Business Case'!G12*$B727)-('Business Case'!F11*$C727*'Business Case'!F12*$B727))-'Business Case'!G15*$F727+'Business Case'!$B$8*('Business Case'!G11*$C727*'Business Case'!G12*$B727)</f>
        <v>993514864.84953</v>
      </c>
      <c r="N727" s="39" t="n">
        <f aca="false">IF(COUNT('Business Case'!B11:G11)=0,"",H727+NPV(G727,I727:M727))</f>
        <v>-1065498.07567501</v>
      </c>
      <c r="P727" s="40" t="n">
        <f aca="true">RAND()</f>
        <v>0.594109853779947</v>
      </c>
      <c r="Q727" s="40" t="n">
        <f aca="true">RAND()</f>
        <v>0.584794549748145</v>
      </c>
      <c r="R727" s="40" t="n">
        <f aca="true">RAND()</f>
        <v>0.369158221583642</v>
      </c>
      <c r="S727" s="40" t="n">
        <f aca="true">RAND()</f>
        <v>0.631785336253856</v>
      </c>
      <c r="T727" s="40" t="n">
        <f aca="true">RAND()</f>
        <v>0.0538931293897433</v>
      </c>
      <c r="U727" s="40" t="n">
        <f aca="true">RAND()</f>
        <v>0.20199467648012</v>
      </c>
    </row>
    <row r="728" customFormat="false" ht="15" hidden="false" customHeight="false" outlineLevel="0" collapsed="false">
      <c r="A728" s="36" t="n">
        <v>648</v>
      </c>
      <c r="B728" s="37" t="n">
        <f aca="false">1+IF($G$6=$E$6,$F$6,IF(P728&lt;($F$6-$E$6)/($G$6-$E$6),$E$6+SQRT(P728*($G$6-$E$6)*($F$6-$E$6)),$G$6-SQRT((1-P728)*($G$6-$E$6)*($G$6-$F$6))))</f>
        <v>1.00135970965147</v>
      </c>
      <c r="C728" s="37" t="n">
        <f aca="false">1+IF($G$7=$E$7,$F$7,IF(Q728&lt;($F$7-$E$7)/($G$7-$E$7),$E$7+SQRT(Q728*($G$7-$E$7)*($F$7-$E$7)),$G$7-SQRT((1-Q728)*($G$7-$E$7)*($G$7-$F$7))))</f>
        <v>0.946861965755907</v>
      </c>
      <c r="D728" s="37" t="n">
        <f aca="false">1+IF($G$8=$E$8,$F$8,IF(R728&lt;($F$8-$E$8)/($G$8-$E$8),$E$8+SQRT(R728*($G$8-$E$8)*($F$8-$E$8)),$G$8-SQRT((1-R728)*($G$8-$E$8)*($G$8-$F$8))))</f>
        <v>1.06658940182612</v>
      </c>
      <c r="E728" s="37" t="n">
        <f aca="false">1+IF($G$9=$E$9,$F$9,IF(S728&lt;($F$9-$E$9)/($G$9-$E$9),$E$9+SQRT(S728*($G$9-$E$9)*($F$9-$E$9)),$G$9-SQRT((1-S728)*($G$9-$E$9)*($G$9-$F$9))))</f>
        <v>0.991667689335396</v>
      </c>
      <c r="F728" s="37" t="n">
        <f aca="false">1+IF($G$10=$E$10,$F$10,IF(T728&lt;($F$10-$E$10)/($G$10-$E$10),$E$10+SQRT(T728*($G$10-$E$10)*($F$10-$E$10)),$G$10-SQRT((1-T728)*($G$10-$E$10)*($G$10-$F$10))))</f>
        <v>1.0572375183116</v>
      </c>
      <c r="G728" s="38" t="n">
        <f aca="false">IF($G$11=$E$11,$F$11,IF(U728&lt;($F$11-$E$11)/($G$11-$E$11),$E$11+SQRT(U728*($G$11-$E$11)*($F$11-$E$11)),$G$11-SQRT((1-U728)*($G$11-$E$11)*($G$11-$F$11))))</f>
        <v>0.110210741795089</v>
      </c>
      <c r="H728" s="39" t="n">
        <f aca="false">(('Business Case'!B11*$C728*'Business Case'!B12*$B728)-'Business Case'!B11*$C728*'Business Case'!B13*$D728-'Business Case'!B14*$E728)-MAX(0,(('Business Case'!B11*$C728*'Business Case'!B12*$B728)-'Business Case'!B11*$C728*'Business Case'!B13*$D728-'Business Case'!B14*$E728))*'Business Case'!$B$7-'Business Case'!$B$8*('Business Case'!B11*$C728*'Business Case'!B12*$B728)-'Business Case'!B15*$F728</f>
        <v>-2114475036.62319</v>
      </c>
      <c r="I728" s="39" t="n">
        <f aca="false">(('Business Case'!C11*$C728*'Business Case'!C12*$B728)-'Business Case'!C11*$C728*'Business Case'!C13*$D728-'Business Case'!C14*$E728)-MAX(0,(('Business Case'!C11*$C728*'Business Case'!C12*$B728)-'Business Case'!C11*$C728*'Business Case'!C13*$D728-'Business Case'!C14*$E728))*'Business Case'!$B$7-'Business Case'!$B$8*(('Business Case'!C11*$C728*'Business Case'!C12*$B728)-('Business Case'!B11*$C728*'Business Case'!B12*$B728))-'Business Case'!C15*$F728</f>
        <v>-36282950.1143598</v>
      </c>
      <c r="J728" s="39" t="n">
        <f aca="false">(('Business Case'!D11*$C728*'Business Case'!D12*$B728)-'Business Case'!D11*$C728*'Business Case'!D13*$D728-'Business Case'!D14*$E728)-MAX(0,(('Business Case'!D11*$C728*'Business Case'!D12*$B728)-'Business Case'!D11*$C728*'Business Case'!D13*$D728-'Business Case'!D14*$E728))*'Business Case'!$B$7-'Business Case'!$B$8*(('Business Case'!D11*$C728*'Business Case'!D12*$B728)-('Business Case'!C11*$C728*'Business Case'!C12*$B728))-'Business Case'!D15*$F728</f>
        <v>223325063.119922</v>
      </c>
      <c r="K728" s="39" t="n">
        <f aca="false">(('Business Case'!E11*$C728*'Business Case'!E12*$B728)-'Business Case'!E11*$C728*'Business Case'!E13*$D728-'Business Case'!E14*$E728)-MAX(0,(('Business Case'!E11*$C728*'Business Case'!E12*$B728)-'Business Case'!E11*$C728*'Business Case'!E13*$D728-'Business Case'!E14*$E728))*'Business Case'!$B$7-'Business Case'!$B$8*(('Business Case'!E11*$C728*'Business Case'!E12*$B728)-('Business Case'!D11*$C728*'Business Case'!D12*$B728))-'Business Case'!E15*$F728</f>
        <v>535794952.269784</v>
      </c>
      <c r="L728" s="39" t="n">
        <f aca="false">(('Business Case'!F11*$C728*'Business Case'!F12*$B728)-'Business Case'!F11*$C728*'Business Case'!F13*$D728-'Business Case'!F14*$E728)-MAX(0,(('Business Case'!F11*$C728*'Business Case'!F12*$B728)-'Business Case'!F11*$C728*'Business Case'!F13*$D728-'Business Case'!F14*$E728))*'Business Case'!$B$7-'Business Case'!$B$8*(('Business Case'!F11*$C728*'Business Case'!F12*$B728)-('Business Case'!E11*$C728*'Business Case'!E12*$B728))-'Business Case'!F15*$F728</f>
        <v>655099000.743871</v>
      </c>
      <c r="M728" s="39" t="n">
        <f aca="false">(('Business Case'!G11*$C728*'Business Case'!G12*$B728)-'Business Case'!G11*$C728*'Business Case'!G13*$D728-'Business Case'!G14*$E728)-MAX(0,(('Business Case'!G11*$C728*'Business Case'!G12*$B728)-'Business Case'!G11*$C728*'Business Case'!G13*$D728-'Business Case'!G14*$E728))*'Business Case'!$B$7-'Business Case'!$B$8*(('Business Case'!G11*$C728*'Business Case'!G12*$B728)-('Business Case'!F11*$C728*'Business Case'!F12*$B728))-'Business Case'!G15*$F728+'Business Case'!$B$8*('Business Case'!G11*$C728*'Business Case'!G12*$B728)</f>
        <v>835323243.088497</v>
      </c>
      <c r="N728" s="39" t="n">
        <f aca="false">IF(COUNT('Business Case'!B11:G11)=0,"",H728+NPV(G728,I728:M728))</f>
        <v>-647963943.484684</v>
      </c>
      <c r="P728" s="40" t="n">
        <f aca="true">RAND()</f>
        <v>0.688943325371108</v>
      </c>
      <c r="Q728" s="40" t="n">
        <f aca="true">RAND()</f>
        <v>0.308120528366987</v>
      </c>
      <c r="R728" s="40" t="n">
        <f aca="true">RAND()</f>
        <v>0.98270729390564</v>
      </c>
      <c r="S728" s="40" t="n">
        <f aca="true">RAND()</f>
        <v>0.231492844606809</v>
      </c>
      <c r="T728" s="40" t="n">
        <f aca="true">RAND()</f>
        <v>0.592377476443366</v>
      </c>
      <c r="U728" s="40" t="n">
        <f aca="true">RAND()</f>
        <v>0.84028403966263</v>
      </c>
    </row>
    <row r="729" customFormat="false" ht="15" hidden="false" customHeight="false" outlineLevel="0" collapsed="false">
      <c r="A729" s="36" t="n">
        <v>649</v>
      </c>
      <c r="B729" s="37" t="n">
        <f aca="false">1+IF($G$6=$E$6,$F$6,IF(P729&lt;($F$6-$E$6)/($G$6-$E$6),$E$6+SQRT(P729*($G$6-$E$6)*($F$6-$E$6)),$G$6-SQRT((1-P729)*($G$6-$E$6)*($G$6-$F$6))))</f>
        <v>0.983968524926886</v>
      </c>
      <c r="C729" s="37" t="n">
        <f aca="false">1+IF($G$7=$E$7,$F$7,IF(Q729&lt;($F$7-$E$7)/($G$7-$E$7),$E$7+SQRT(Q729*($G$7-$E$7)*($F$7-$E$7)),$G$7-SQRT((1-Q729)*($G$7-$E$7)*($G$7-$F$7))))</f>
        <v>1.10175765394779</v>
      </c>
      <c r="D729" s="37" t="n">
        <f aca="false">1+IF($G$8=$E$8,$F$8,IF(R729&lt;($F$8-$E$8)/($G$8-$E$8),$E$8+SQRT(R729*($G$8-$E$8)*($F$8-$E$8)),$G$8-SQRT((1-R729)*($G$8-$E$8)*($G$8-$F$8))))</f>
        <v>0.996979157875933</v>
      </c>
      <c r="E729" s="37" t="n">
        <f aca="false">1+IF($G$9=$E$9,$F$9,IF(S729&lt;($F$9-$E$9)/($G$9-$E$9),$E$9+SQRT(S729*($G$9-$E$9)*($F$9-$E$9)),$G$9-SQRT((1-S729)*($G$9-$E$9)*($G$9-$F$9))))</f>
        <v>0.97280983817529</v>
      </c>
      <c r="F729" s="37" t="n">
        <f aca="false">1+IF($G$10=$E$10,$F$10,IF(T729&lt;($F$10-$E$10)/($G$10-$E$10),$E$10+SQRT(T729*($G$10-$E$10)*($F$10-$E$10)),$G$10-SQRT((1-T729)*($G$10-$E$10)*($G$10-$F$10))))</f>
        <v>0.981893848543559</v>
      </c>
      <c r="G729" s="38" t="n">
        <f aca="false">IF($G$11=$E$11,$F$11,IF(U729&lt;($F$11-$E$11)/($G$11-$E$11),$E$11+SQRT(U729*($G$11-$E$11)*($F$11-$E$11)),$G$11-SQRT((1-U729)*($G$11-$E$11)*($G$11-$F$11))))</f>
        <v>0.107896759398356</v>
      </c>
      <c r="H729" s="39" t="n">
        <f aca="false">(('Business Case'!B11*$C729*'Business Case'!B12*$B729)-'Business Case'!B11*$C729*'Business Case'!B13*$D729-'Business Case'!B14*$E729)-MAX(0,(('Business Case'!B11*$C729*'Business Case'!B12*$B729)-'Business Case'!B11*$C729*'Business Case'!B13*$D729-'Business Case'!B14*$E729))*'Business Case'!$B$7-'Business Case'!$B$8*('Business Case'!B11*$C729*'Business Case'!B12*$B729)-'Business Case'!B15*$F729</f>
        <v>-1963787697.08712</v>
      </c>
      <c r="I729" s="39" t="n">
        <f aca="false">(('Business Case'!C11*$C729*'Business Case'!C12*$B729)-'Business Case'!C11*$C729*'Business Case'!C13*$D729-'Business Case'!C14*$E729)-MAX(0,(('Business Case'!C11*$C729*'Business Case'!C12*$B729)-'Business Case'!C11*$C729*'Business Case'!C13*$D729-'Business Case'!C14*$E729))*'Business Case'!$B$7-'Business Case'!$B$8*(('Business Case'!C11*$C729*'Business Case'!C12*$B729)-('Business Case'!B11*$C729*'Business Case'!B12*$B729))-'Business Case'!C15*$F729</f>
        <v>32921331.189608</v>
      </c>
      <c r="J729" s="39" t="n">
        <f aca="false">(('Business Case'!D11*$C729*'Business Case'!D12*$B729)-'Business Case'!D11*$C729*'Business Case'!D13*$D729-'Business Case'!D14*$E729)-MAX(0,(('Business Case'!D11*$C729*'Business Case'!D12*$B729)-'Business Case'!D11*$C729*'Business Case'!D13*$D729-'Business Case'!D14*$E729))*'Business Case'!$B$7-'Business Case'!$B$8*(('Business Case'!D11*$C729*'Business Case'!D12*$B729)-('Business Case'!C11*$C729*'Business Case'!C12*$B729))-'Business Case'!D15*$F729</f>
        <v>358565083.431785</v>
      </c>
      <c r="K729" s="39" t="n">
        <f aca="false">(('Business Case'!E11*$C729*'Business Case'!E12*$B729)-'Business Case'!E11*$C729*'Business Case'!E13*$D729-'Business Case'!E14*$E729)-MAX(0,(('Business Case'!E11*$C729*'Business Case'!E12*$B729)-'Business Case'!E11*$C729*'Business Case'!E13*$D729-'Business Case'!E14*$E729))*'Business Case'!$B$7-'Business Case'!$B$8*(('Business Case'!E11*$C729*'Business Case'!E12*$B729)-('Business Case'!D11*$C729*'Business Case'!D12*$B729))-'Business Case'!E15*$F729</f>
        <v>733303528.10114</v>
      </c>
      <c r="L729" s="39" t="n">
        <f aca="false">(('Business Case'!F11*$C729*'Business Case'!F12*$B729)-'Business Case'!F11*$C729*'Business Case'!F13*$D729-'Business Case'!F14*$E729)-MAX(0,(('Business Case'!F11*$C729*'Business Case'!F12*$B729)-'Business Case'!F11*$C729*'Business Case'!F13*$D729-'Business Case'!F14*$E729))*'Business Case'!$B$7-'Business Case'!$B$8*(('Business Case'!F11*$C729*'Business Case'!F12*$B729)-('Business Case'!E11*$C729*'Business Case'!E12*$B729))-'Business Case'!F15*$F729</f>
        <v>879317763.65499</v>
      </c>
      <c r="M729" s="39" t="n">
        <f aca="false">(('Business Case'!G11*$C729*'Business Case'!G12*$B729)-'Business Case'!G11*$C729*'Business Case'!G13*$D729-'Business Case'!G14*$E729)-MAX(0,(('Business Case'!G11*$C729*'Business Case'!G12*$B729)-'Business Case'!G11*$C729*'Business Case'!G13*$D729-'Business Case'!G14*$E729))*'Business Case'!$B$7-'Business Case'!$B$8*(('Business Case'!G11*$C729*'Business Case'!G12*$B729)-('Business Case'!F11*$C729*'Business Case'!F12*$B729))-'Business Case'!G15*$F729+'Business Case'!$B$8*('Business Case'!G11*$C729*'Business Case'!G12*$B729)</f>
        <v>1085382513.42384</v>
      </c>
      <c r="N729" s="39" t="n">
        <f aca="false">IF(COUNT('Business Case'!B11:G11)=0,"",H729+NPV(G729,I729:M729))</f>
        <v>131201502.887704</v>
      </c>
      <c r="P729" s="40" t="n">
        <f aca="true">RAND()</f>
        <v>0.426247102221002</v>
      </c>
      <c r="Q729" s="40" t="n">
        <f aca="true">RAND()</f>
        <v>0.955670019950079</v>
      </c>
      <c r="R729" s="40" t="n">
        <f aca="true">RAND()</f>
        <v>0.339544811497207</v>
      </c>
      <c r="S729" s="40" t="n">
        <f aca="true">RAND()</f>
        <v>0.0693718290110555</v>
      </c>
      <c r="T729" s="40" t="n">
        <f aca="true">RAND()</f>
        <v>0.0813774059935575</v>
      </c>
      <c r="U729" s="40" t="n">
        <f aca="true">RAND()</f>
        <v>0.755852611564536</v>
      </c>
    </row>
    <row r="730" customFormat="false" ht="15" hidden="false" customHeight="false" outlineLevel="0" collapsed="false">
      <c r="A730" s="36" t="n">
        <v>650</v>
      </c>
      <c r="B730" s="37" t="n">
        <f aca="false">1+IF($G$6=$E$6,$F$6,IF(P730&lt;($F$6-$E$6)/($G$6-$E$6),$E$6+SQRT(P730*($G$6-$E$6)*($F$6-$E$6)),$G$6-SQRT((1-P730)*($G$6-$E$6)*($G$6-$F$6))))</f>
        <v>0.981104858224569</v>
      </c>
      <c r="C730" s="37" t="n">
        <f aca="false">1+IF($G$7=$E$7,$F$7,IF(Q730&lt;($F$7-$E$7)/($G$7-$E$7),$E$7+SQRT(Q730*($G$7-$E$7)*($F$7-$E$7)),$G$7-SQRT((1-Q730)*($G$7-$E$7)*($G$7-$F$7))))</f>
        <v>1.07927459028185</v>
      </c>
      <c r="D730" s="37" t="n">
        <f aca="false">1+IF($G$8=$E$8,$F$8,IF(R730&lt;($F$8-$E$8)/($G$8-$E$8),$E$8+SQRT(R730*($G$8-$E$8)*($F$8-$E$8)),$G$8-SQRT((1-R730)*($G$8-$E$8)*($G$8-$F$8))))</f>
        <v>0.975924317259042</v>
      </c>
      <c r="E730" s="37" t="n">
        <f aca="false">1+IF($G$9=$E$9,$F$9,IF(S730&lt;($F$9-$E$9)/($G$9-$E$9),$E$9+SQRT(S730*($G$9-$E$9)*($F$9-$E$9)),$G$9-SQRT((1-S730)*($G$9-$E$9)*($G$9-$F$9))))</f>
        <v>1.06501297913197</v>
      </c>
      <c r="F730" s="37" t="n">
        <f aca="false">1+IF($G$10=$E$10,$F$10,IF(T730&lt;($F$10-$E$10)/($G$10-$E$10),$E$10+SQRT(T730*($G$10-$E$10)*($F$10-$E$10)),$G$10-SQRT((1-T730)*($G$10-$E$10)*($G$10-$F$10))))</f>
        <v>1.05460590628228</v>
      </c>
      <c r="G730" s="38" t="n">
        <f aca="false">IF($G$11=$E$11,$F$11,IF(U730&lt;($F$11-$E$11)/($G$11-$E$11),$E$11+SQRT(U730*($G$11-$E$11)*($F$11-$E$11)),$G$11-SQRT((1-U730)*($G$11-$E$11)*($G$11-$F$11))))</f>
        <v>0.103156371914103</v>
      </c>
      <c r="H730" s="39" t="n">
        <f aca="false">(('Business Case'!B11*$C730*'Business Case'!B12*$B730)-'Business Case'!B11*$C730*'Business Case'!B13*$D730-'Business Case'!B14*$E730)-MAX(0,(('Business Case'!B11*$C730*'Business Case'!B12*$B730)-'Business Case'!B11*$C730*'Business Case'!B13*$D730-'Business Case'!B14*$E730))*'Business Case'!$B$7-'Business Case'!$B$8*('Business Case'!B11*$C730*'Business Case'!B12*$B730)-'Business Case'!B15*$F730</f>
        <v>-2109211812.56456</v>
      </c>
      <c r="I730" s="39" t="n">
        <f aca="false">(('Business Case'!C11*$C730*'Business Case'!C12*$B730)-'Business Case'!C11*$C730*'Business Case'!C13*$D730-'Business Case'!C14*$E730)-MAX(0,(('Business Case'!C11*$C730*'Business Case'!C12*$B730)-'Business Case'!C11*$C730*'Business Case'!C13*$D730-'Business Case'!C14*$E730))*'Business Case'!$B$7-'Business Case'!$B$8*(('Business Case'!C11*$C730*'Business Case'!C12*$B730)-('Business Case'!B11*$C730*'Business Case'!B12*$B730))-'Business Case'!C15*$F730</f>
        <v>16301989.0019223</v>
      </c>
      <c r="J730" s="39" t="n">
        <f aca="false">(('Business Case'!D11*$C730*'Business Case'!D12*$B730)-'Business Case'!D11*$C730*'Business Case'!D13*$D730-'Business Case'!D14*$E730)-MAX(0,(('Business Case'!D11*$C730*'Business Case'!D12*$B730)-'Business Case'!D11*$C730*'Business Case'!D13*$D730-'Business Case'!D14*$E730))*'Business Case'!$B$7-'Business Case'!$B$8*(('Business Case'!D11*$C730*'Business Case'!D12*$B730)-('Business Case'!C11*$C730*'Business Case'!C12*$B730))-'Business Case'!D15*$F730</f>
        <v>344401833.499578</v>
      </c>
      <c r="K730" s="39" t="n">
        <f aca="false">(('Business Case'!E11*$C730*'Business Case'!E12*$B730)-'Business Case'!E11*$C730*'Business Case'!E13*$D730-'Business Case'!E14*$E730)-MAX(0,(('Business Case'!E11*$C730*'Business Case'!E12*$B730)-'Business Case'!E11*$C730*'Business Case'!E13*$D730-'Business Case'!E14*$E730))*'Business Case'!$B$7-'Business Case'!$B$8*(('Business Case'!E11*$C730*'Business Case'!E12*$B730)-('Business Case'!D11*$C730*'Business Case'!D12*$B730))-'Business Case'!E15*$F730</f>
        <v>725231973.311347</v>
      </c>
      <c r="L730" s="39" t="n">
        <f aca="false">(('Business Case'!F11*$C730*'Business Case'!F12*$B730)-'Business Case'!F11*$C730*'Business Case'!F13*$D730-'Business Case'!F14*$E730)-MAX(0,(('Business Case'!F11*$C730*'Business Case'!F12*$B730)-'Business Case'!F11*$C730*'Business Case'!F13*$D730-'Business Case'!F14*$E730))*'Business Case'!$B$7-'Business Case'!$B$8*(('Business Case'!F11*$C730*'Business Case'!F12*$B730)-('Business Case'!E11*$C730*'Business Case'!E12*$B730))-'Business Case'!F15*$F730</f>
        <v>871193534.300525</v>
      </c>
      <c r="M730" s="39" t="n">
        <f aca="false">(('Business Case'!G11*$C730*'Business Case'!G12*$B730)-'Business Case'!G11*$C730*'Business Case'!G13*$D730-'Business Case'!G14*$E730)-MAX(0,(('Business Case'!G11*$C730*'Business Case'!G12*$B730)-'Business Case'!G11*$C730*'Business Case'!G13*$D730-'Business Case'!G14*$E730))*'Business Case'!$B$7-'Business Case'!$B$8*(('Business Case'!G11*$C730*'Business Case'!G12*$B730)-('Business Case'!F11*$C730*'Business Case'!F12*$B730))-'Business Case'!G15*$F730+'Business Case'!$B$8*('Business Case'!G11*$C730*'Business Case'!G12*$B730)</f>
        <v>1072465738.16197</v>
      </c>
      <c r="N730" s="39" t="n">
        <f aca="false">IF(COUNT('Business Case'!B11:G11)=0,"",H730+NPV(G730,I730:M730))</f>
        <v>-26516722.7338514</v>
      </c>
      <c r="P730" s="40" t="n">
        <f aca="true">RAND()</f>
        <v>0.388937885275486</v>
      </c>
      <c r="Q730" s="40" t="n">
        <f aca="true">RAND()</f>
        <v>0.90472221752762</v>
      </c>
      <c r="R730" s="40" t="n">
        <f aca="true">RAND()</f>
        <v>0.103395419284226</v>
      </c>
      <c r="S730" s="40" t="n">
        <f aca="true">RAND()</f>
        <v>0.918393891385337</v>
      </c>
      <c r="T730" s="40" t="n">
        <f aca="true">RAND()</f>
        <v>0.577211150240051</v>
      </c>
      <c r="U730" s="40" t="n">
        <f aca="true">RAND()</f>
        <v>0.527153654839945</v>
      </c>
    </row>
    <row r="731" customFormat="false" ht="15" hidden="false" customHeight="false" outlineLevel="0" collapsed="false">
      <c r="A731" s="36" t="n">
        <v>651</v>
      </c>
      <c r="B731" s="37" t="n">
        <f aca="false">1+IF($G$6=$E$6,$F$6,IF(P731&lt;($F$6-$E$6)/($G$6-$E$6),$E$6+SQRT(P731*($G$6-$E$6)*($F$6-$E$6)),$G$6-SQRT((1-P731)*($G$6-$E$6)*($G$6-$F$6))))</f>
        <v>1.00830935084801</v>
      </c>
      <c r="C731" s="37" t="n">
        <f aca="false">1+IF($G$7=$E$7,$F$7,IF(Q731&lt;($F$7-$E$7)/($G$7-$E$7),$E$7+SQRT(Q731*($G$7-$E$7)*($F$7-$E$7)),$G$7-SQRT((1-Q731)*($G$7-$E$7)*($G$7-$F$7))))</f>
        <v>1.09341335600906</v>
      </c>
      <c r="D731" s="37" t="n">
        <f aca="false">1+IF($G$8=$E$8,$F$8,IF(R731&lt;($F$8-$E$8)/($G$8-$E$8),$E$8+SQRT(R731*($G$8-$E$8)*($F$8-$E$8)),$G$8-SQRT((1-R731)*($G$8-$E$8)*($G$8-$F$8))))</f>
        <v>0.991868609943384</v>
      </c>
      <c r="E731" s="37" t="n">
        <f aca="false">1+IF($G$9=$E$9,$F$9,IF(S731&lt;($F$9-$E$9)/($G$9-$E$9),$E$9+SQRT(S731*($G$9-$E$9)*($F$9-$E$9)),$G$9-SQRT((1-S731)*($G$9-$E$9)*($G$9-$F$9))))</f>
        <v>1.08982943638396</v>
      </c>
      <c r="F731" s="37" t="n">
        <f aca="false">1+IF($G$10=$E$10,$F$10,IF(T731&lt;($F$10-$E$10)/($G$10-$E$10),$E$10+SQRT(T731*($G$10-$E$10)*($F$10-$E$10)),$G$10-SQRT((1-T731)*($G$10-$E$10)*($G$10-$F$10))))</f>
        <v>1.12104541407651</v>
      </c>
      <c r="G731" s="38" t="n">
        <f aca="false">IF($G$11=$E$11,$F$11,IF(U731&lt;($F$11-$E$11)/($G$11-$E$11),$E$11+SQRT(U731*($G$11-$E$11)*($F$11-$E$11)),$G$11-SQRT((1-U731)*($G$11-$E$11)*($G$11-$F$11))))</f>
        <v>0.113462722322921</v>
      </c>
      <c r="H731" s="39" t="n">
        <f aca="false">(('Business Case'!B11*$C731*'Business Case'!B12*$B731)-'Business Case'!B11*$C731*'Business Case'!B13*$D731-'Business Case'!B14*$E731)-MAX(0,(('Business Case'!B11*$C731*'Business Case'!B12*$B731)-'Business Case'!B11*$C731*'Business Case'!B13*$D731-'Business Case'!B14*$E731))*'Business Case'!$B$7-'Business Case'!$B$8*('Business Case'!B11*$C731*'Business Case'!B12*$B731)-'Business Case'!B15*$F731</f>
        <v>-2242090828.15302</v>
      </c>
      <c r="I731" s="39" t="n">
        <f aca="false">(('Business Case'!C11*$C731*'Business Case'!C12*$B731)-'Business Case'!C11*$C731*'Business Case'!C13*$D731-'Business Case'!C14*$E731)-MAX(0,(('Business Case'!C11*$C731*'Business Case'!C12*$B731)-'Business Case'!C11*$C731*'Business Case'!C13*$D731-'Business Case'!C14*$E731))*'Business Case'!$B$7-'Business Case'!$B$8*(('Business Case'!C11*$C731*'Business Case'!C12*$B731)-('Business Case'!B11*$C731*'Business Case'!B12*$B731))-'Business Case'!C15*$F731</f>
        <v>23605457.786485</v>
      </c>
      <c r="J731" s="39" t="n">
        <f aca="false">(('Business Case'!D11*$C731*'Business Case'!D12*$B731)-'Business Case'!D11*$C731*'Business Case'!D13*$D731-'Business Case'!D14*$E731)-MAX(0,(('Business Case'!D11*$C731*'Business Case'!D12*$B731)-'Business Case'!D11*$C731*'Business Case'!D13*$D731-'Business Case'!D14*$E731))*'Business Case'!$B$7-'Business Case'!$B$8*(('Business Case'!D11*$C731*'Business Case'!D12*$B731)-('Business Case'!C11*$C731*'Business Case'!C12*$B731))-'Business Case'!D15*$F731</f>
        <v>371442746.391342</v>
      </c>
      <c r="K731" s="39" t="n">
        <f aca="false">(('Business Case'!E11*$C731*'Business Case'!E12*$B731)-'Business Case'!E11*$C731*'Business Case'!E13*$D731-'Business Case'!E14*$E731)-MAX(0,(('Business Case'!E11*$C731*'Business Case'!E12*$B731)-'Business Case'!E11*$C731*'Business Case'!E13*$D731-'Business Case'!E14*$E731))*'Business Case'!$B$7-'Business Case'!$B$8*(('Business Case'!E11*$C731*'Business Case'!E12*$B731)-('Business Case'!D11*$C731*'Business Case'!D12*$B731))-'Business Case'!E15*$F731</f>
        <v>775332305.700026</v>
      </c>
      <c r="L731" s="39" t="n">
        <f aca="false">(('Business Case'!F11*$C731*'Business Case'!F12*$B731)-'Business Case'!F11*$C731*'Business Case'!F13*$D731-'Business Case'!F14*$E731)-MAX(0,(('Business Case'!F11*$C731*'Business Case'!F12*$B731)-'Business Case'!F11*$C731*'Business Case'!F13*$D731-'Business Case'!F14*$E731))*'Business Case'!$B$7-'Business Case'!$B$8*(('Business Case'!F11*$C731*'Business Case'!F12*$B731)-('Business Case'!E11*$C731*'Business Case'!E12*$B731))-'Business Case'!F15*$F731</f>
        <v>929380430.939591</v>
      </c>
      <c r="M731" s="39" t="n">
        <f aca="false">(('Business Case'!G11*$C731*'Business Case'!G12*$B731)-'Business Case'!G11*$C731*'Business Case'!G13*$D731-'Business Case'!G14*$E731)-MAX(0,(('Business Case'!G11*$C731*'Business Case'!G12*$B731)-'Business Case'!G11*$C731*'Business Case'!G13*$D731-'Business Case'!G14*$E731))*'Business Case'!$B$7-'Business Case'!$B$8*(('Business Case'!G11*$C731*'Business Case'!G12*$B731)-('Business Case'!F11*$C731*'Business Case'!F12*$B731))-'Business Case'!G15*$F731+'Business Case'!$B$8*('Business Case'!G11*$C731*'Business Case'!G12*$B731)</f>
        <v>1138943423.98164</v>
      </c>
      <c r="N731" s="39" t="n">
        <f aca="false">IF(COUNT('Business Case'!B11:G11)=0,"",H731+NPV(G731,I731:M731))</f>
        <v>-89553774.3621426</v>
      </c>
      <c r="P731" s="40" t="n">
        <f aca="true">RAND()</f>
        <v>0.790771407567809</v>
      </c>
      <c r="Q731" s="40" t="n">
        <f aca="true">RAND()</f>
        <v>0.939008604225574</v>
      </c>
      <c r="R731" s="40" t="n">
        <f aca="true">RAND()</f>
        <v>0.269689307475579</v>
      </c>
      <c r="S731" s="40" t="n">
        <f aca="true">RAND()</f>
        <v>0.993103975715478</v>
      </c>
      <c r="T731" s="40" t="n">
        <f aca="true">RAND()</f>
        <v>0.87532346723301</v>
      </c>
      <c r="U731" s="40" t="n">
        <f aca="true">RAND()</f>
        <v>0.928773334287946</v>
      </c>
    </row>
    <row r="732" customFormat="false" ht="15" hidden="false" customHeight="false" outlineLevel="0" collapsed="false">
      <c r="A732" s="36" t="n">
        <v>652</v>
      </c>
      <c r="B732" s="37" t="n">
        <f aca="false">1+IF($G$6=$E$6,$F$6,IF(P732&lt;($F$6-$E$6)/($G$6-$E$6),$E$6+SQRT(P732*($G$6-$E$6)*($F$6-$E$6)),$G$6-SQRT((1-P732)*($G$6-$E$6)*($G$6-$F$6))))</f>
        <v>0.936649893927852</v>
      </c>
      <c r="C732" s="37" t="n">
        <f aca="false">1+IF($G$7=$E$7,$F$7,IF(Q732&lt;($F$7-$E$7)/($G$7-$E$7),$E$7+SQRT(Q732*($G$7-$E$7)*($F$7-$E$7)),$G$7-SQRT((1-Q732)*($G$7-$E$7)*($G$7-$F$7))))</f>
        <v>1.04597936978757</v>
      </c>
      <c r="D732" s="37" t="n">
        <f aca="false">1+IF($G$8=$E$8,$F$8,IF(R732&lt;($F$8-$E$8)/($G$8-$E$8),$E$8+SQRT(R732*($G$8-$E$8)*($F$8-$E$8)),$G$8-SQRT((1-R732)*($G$8-$E$8)*($G$8-$F$8))))</f>
        <v>0.995186731710502</v>
      </c>
      <c r="E732" s="37" t="n">
        <f aca="false">1+IF($G$9=$E$9,$F$9,IF(S732&lt;($F$9-$E$9)/($G$9-$E$9),$E$9+SQRT(S732*($G$9-$E$9)*($F$9-$E$9)),$G$9-SQRT((1-S732)*($G$9-$E$9)*($G$9-$F$9))))</f>
        <v>0.962911310205814</v>
      </c>
      <c r="F732" s="37" t="n">
        <f aca="false">1+IF($G$10=$E$10,$F$10,IF(T732&lt;($F$10-$E$10)/($G$10-$E$10),$E$10+SQRT(T732*($G$10-$E$10)*($F$10-$E$10)),$G$10-SQRT((1-T732)*($G$10-$E$10)*($G$10-$F$10))))</f>
        <v>1.01943426990349</v>
      </c>
      <c r="G732" s="38" t="n">
        <f aca="false">IF($G$11=$E$11,$F$11,IF(U732&lt;($F$11-$E$11)/($G$11-$E$11),$E$11+SQRT(U732*($G$11-$E$11)*($F$11-$E$11)),$G$11-SQRT((1-U732)*($G$11-$E$11)*($G$11-$F$11))))</f>
        <v>0.104652257781818</v>
      </c>
      <c r="H732" s="39" t="n">
        <f aca="false">(('Business Case'!B11*$C732*'Business Case'!B12*$B732)-'Business Case'!B11*$C732*'Business Case'!B13*$D732-'Business Case'!B14*$E732)-MAX(0,(('Business Case'!B11*$C732*'Business Case'!B12*$B732)-'Business Case'!B11*$C732*'Business Case'!B13*$D732-'Business Case'!B14*$E732))*'Business Case'!$B$7-'Business Case'!$B$8*('Business Case'!B11*$C732*'Business Case'!B12*$B732)-'Business Case'!B15*$F732</f>
        <v>-2038868539.80698</v>
      </c>
      <c r="I732" s="39" t="n">
        <f aca="false">(('Business Case'!C11*$C732*'Business Case'!C12*$B732)-'Business Case'!C11*$C732*'Business Case'!C13*$D732-'Business Case'!C14*$E732)-MAX(0,(('Business Case'!C11*$C732*'Business Case'!C12*$B732)-'Business Case'!C11*$C732*'Business Case'!C13*$D732-'Business Case'!C14*$E732))*'Business Case'!$B$7-'Business Case'!$B$8*(('Business Case'!C11*$C732*'Business Case'!C12*$B732)-('Business Case'!B11*$C732*'Business Case'!B12*$B732))-'Business Case'!C15*$F732</f>
        <v>-20080048.9718942</v>
      </c>
      <c r="J732" s="39" t="n">
        <f aca="false">(('Business Case'!D11*$C732*'Business Case'!D12*$B732)-'Business Case'!D11*$C732*'Business Case'!D13*$D732-'Business Case'!D14*$E732)-MAX(0,(('Business Case'!D11*$C732*'Business Case'!D12*$B732)-'Business Case'!D11*$C732*'Business Case'!D13*$D732-'Business Case'!D14*$E732))*'Business Case'!$B$7-'Business Case'!$B$8*(('Business Case'!D11*$C732*'Business Case'!D12*$B732)-('Business Case'!C11*$C732*'Business Case'!C12*$B732))-'Business Case'!D15*$F732</f>
        <v>249497818.942943</v>
      </c>
      <c r="K732" s="39" t="n">
        <f aca="false">(('Business Case'!E11*$C732*'Business Case'!E12*$B732)-'Business Case'!E11*$C732*'Business Case'!E13*$D732-'Business Case'!E14*$E732)-MAX(0,(('Business Case'!E11*$C732*'Business Case'!E12*$B732)-'Business Case'!E11*$C732*'Business Case'!E13*$D732-'Business Case'!E14*$E732))*'Business Case'!$B$7-'Business Case'!$B$8*(('Business Case'!E11*$C732*'Business Case'!E12*$B732)-('Business Case'!D11*$C732*'Business Case'!D12*$B732))-'Business Case'!E15*$F732</f>
        <v>570047400.352954</v>
      </c>
      <c r="L732" s="39" t="n">
        <f aca="false">(('Business Case'!F11*$C732*'Business Case'!F12*$B732)-'Business Case'!F11*$C732*'Business Case'!F13*$D732-'Business Case'!F14*$E732)-MAX(0,(('Business Case'!F11*$C732*'Business Case'!F12*$B732)-'Business Case'!F11*$C732*'Business Case'!F13*$D732-'Business Case'!F14*$E732))*'Business Case'!$B$7-'Business Case'!$B$8*(('Business Case'!F11*$C732*'Business Case'!F12*$B732)-('Business Case'!E11*$C732*'Business Case'!E12*$B732))-'Business Case'!F15*$F732</f>
        <v>693765690.714643</v>
      </c>
      <c r="M732" s="39" t="n">
        <f aca="false">(('Business Case'!G11*$C732*'Business Case'!G12*$B732)-'Business Case'!G11*$C732*'Business Case'!G13*$D732-'Business Case'!G14*$E732)-MAX(0,(('Business Case'!G11*$C732*'Business Case'!G12*$B732)-'Business Case'!G11*$C732*'Business Case'!G13*$D732-'Business Case'!G14*$E732))*'Business Case'!$B$7-'Business Case'!$B$8*(('Business Case'!G11*$C732*'Business Case'!G12*$B732)-('Business Case'!F11*$C732*'Business Case'!F12*$B732))-'Business Case'!G15*$F732+'Business Case'!$B$8*('Business Case'!G11*$C732*'Business Case'!G12*$B732)</f>
        <v>879990196.526732</v>
      </c>
      <c r="N732" s="39" t="n">
        <f aca="false">IF(COUNT('Business Case'!B11:G11)=0,"",H732+NPV(G732,I732:M732))</f>
        <v>-428771930.565732</v>
      </c>
      <c r="P732" s="40" t="n">
        <f aca="true">RAND()</f>
        <v>0.0288769758134079</v>
      </c>
      <c r="Q732" s="40" t="n">
        <f aca="true">RAND()</f>
        <v>0.793899209337324</v>
      </c>
      <c r="R732" s="40" t="n">
        <f aca="true">RAND()</f>
        <v>0.314129341950284</v>
      </c>
      <c r="S732" s="40" t="n">
        <f aca="true">RAND()</f>
        <v>0.0222269241640999</v>
      </c>
      <c r="T732" s="40" t="n">
        <f aca="true">RAND()</f>
        <v>0.3479203422943</v>
      </c>
      <c r="U732" s="40" t="n">
        <f aca="true">RAND()</f>
        <v>0.607411348007053</v>
      </c>
    </row>
    <row r="733" customFormat="false" ht="15" hidden="false" customHeight="false" outlineLevel="0" collapsed="false">
      <c r="A733" s="36" t="n">
        <v>653</v>
      </c>
      <c r="B733" s="37" t="n">
        <f aca="false">1+IF($G$6=$E$6,$F$6,IF(P733&lt;($F$6-$E$6)/($G$6-$E$6),$E$6+SQRT(P733*($G$6-$E$6)*($F$6-$E$6)),$G$6-SQRT((1-P733)*($G$6-$E$6)*($G$6-$F$6))))</f>
        <v>0.971568108734176</v>
      </c>
      <c r="C733" s="37" t="n">
        <f aca="false">1+IF($G$7=$E$7,$F$7,IF(Q733&lt;($F$7-$E$7)/($G$7-$E$7),$E$7+SQRT(Q733*($G$7-$E$7)*($F$7-$E$7)),$G$7-SQRT((1-Q733)*($G$7-$E$7)*($G$7-$F$7))))</f>
        <v>0.900509864915082</v>
      </c>
      <c r="D733" s="37" t="n">
        <f aca="false">1+IF($G$8=$E$8,$F$8,IF(R733&lt;($F$8-$E$8)/($G$8-$E$8),$E$8+SQRT(R733*($G$8-$E$8)*($F$8-$E$8)),$G$8-SQRT((1-R733)*($G$8-$E$8)*($G$8-$F$8))))</f>
        <v>0.989358769938435</v>
      </c>
      <c r="E733" s="37" t="n">
        <f aca="false">1+IF($G$9=$E$9,$F$9,IF(S733&lt;($F$9-$E$9)/($G$9-$E$9),$E$9+SQRT(S733*($G$9-$E$9)*($F$9-$E$9)),$G$9-SQRT((1-S733)*($G$9-$E$9)*($G$9-$F$9))))</f>
        <v>1.02238020580171</v>
      </c>
      <c r="F733" s="37" t="n">
        <f aca="false">1+IF($G$10=$E$10,$F$10,IF(T733&lt;($F$10-$E$10)/($G$10-$E$10),$E$10+SQRT(T733*($G$10-$E$10)*($F$10-$E$10)),$G$10-SQRT((1-T733)*($G$10-$E$10)*($G$10-$F$10))))</f>
        <v>1.03002479641381</v>
      </c>
      <c r="G733" s="38" t="n">
        <f aca="false">IF($G$11=$E$11,$F$11,IF(U733&lt;($F$11-$E$11)/($G$11-$E$11),$E$11+SQRT(U733*($G$11-$E$11)*($F$11-$E$11)),$G$11-SQRT((1-U733)*($G$11-$E$11)*($G$11-$F$11))))</f>
        <v>0.119797081936516</v>
      </c>
      <c r="H733" s="39" t="n">
        <f aca="false">(('Business Case'!B11*$C733*'Business Case'!B12*$B733)-'Business Case'!B11*$C733*'Business Case'!B13*$D733-'Business Case'!B14*$E733)-MAX(0,(('Business Case'!B11*$C733*'Business Case'!B12*$B733)-'Business Case'!B11*$C733*'Business Case'!B13*$D733-'Business Case'!B14*$E733))*'Business Case'!$B$7-'Business Case'!$B$8*('Business Case'!B11*$C733*'Business Case'!B12*$B733)-'Business Case'!B15*$F733</f>
        <v>-2060049592.82762</v>
      </c>
      <c r="I733" s="39" t="n">
        <f aca="false">(('Business Case'!C11*$C733*'Business Case'!C12*$B733)-'Business Case'!C11*$C733*'Business Case'!C13*$D733-'Business Case'!C14*$E733)-MAX(0,(('Business Case'!C11*$C733*'Business Case'!C12*$B733)-'Business Case'!C11*$C733*'Business Case'!C13*$D733-'Business Case'!C14*$E733))*'Business Case'!$B$7-'Business Case'!$B$8*(('Business Case'!C11*$C733*'Business Case'!C12*$B733)-('Business Case'!B11*$C733*'Business Case'!B12*$B733))-'Business Case'!C15*$F733</f>
        <v>-33212073.4033577</v>
      </c>
      <c r="J733" s="39" t="n">
        <f aca="false">(('Business Case'!D11*$C733*'Business Case'!D12*$B733)-'Business Case'!D11*$C733*'Business Case'!D13*$D733-'Business Case'!D14*$E733)-MAX(0,(('Business Case'!D11*$C733*'Business Case'!D12*$B733)-'Business Case'!D11*$C733*'Business Case'!D13*$D733-'Business Case'!D14*$E733))*'Business Case'!$B$7-'Business Case'!$B$8*(('Business Case'!D11*$C733*'Business Case'!D12*$B733)-('Business Case'!C11*$C733*'Business Case'!C12*$B733))-'Business Case'!D15*$F733</f>
        <v>227315959.683357</v>
      </c>
      <c r="K733" s="39" t="n">
        <f aca="false">(('Business Case'!E11*$C733*'Business Case'!E12*$B733)-'Business Case'!E11*$C733*'Business Case'!E13*$D733-'Business Case'!E14*$E733)-MAX(0,(('Business Case'!E11*$C733*'Business Case'!E12*$B733)-'Business Case'!E11*$C733*'Business Case'!E13*$D733-'Business Case'!E14*$E733))*'Business Case'!$B$7-'Business Case'!$B$8*(('Business Case'!E11*$C733*'Business Case'!E12*$B733)-('Business Case'!D11*$C733*'Business Case'!D12*$B733))-'Business Case'!E15*$F733</f>
        <v>539345232.590763</v>
      </c>
      <c r="L733" s="39" t="n">
        <f aca="false">(('Business Case'!F11*$C733*'Business Case'!F12*$B733)-'Business Case'!F11*$C733*'Business Case'!F13*$D733-'Business Case'!F14*$E733)-MAX(0,(('Business Case'!F11*$C733*'Business Case'!F12*$B733)-'Business Case'!F11*$C733*'Business Case'!F13*$D733-'Business Case'!F14*$E733))*'Business Case'!$B$7-'Business Case'!$B$8*(('Business Case'!F11*$C733*'Business Case'!F12*$B733)-('Business Case'!E11*$C733*'Business Case'!E12*$B733))-'Business Case'!F15*$F733</f>
        <v>656424684.67546</v>
      </c>
      <c r="M733" s="39" t="n">
        <f aca="false">(('Business Case'!G11*$C733*'Business Case'!G12*$B733)-'Business Case'!G11*$C733*'Business Case'!G13*$D733-'Business Case'!G14*$E733)-MAX(0,(('Business Case'!G11*$C733*'Business Case'!G12*$B733)-'Business Case'!G11*$C733*'Business Case'!G13*$D733-'Business Case'!G14*$E733))*'Business Case'!$B$7-'Business Case'!$B$8*(('Business Case'!G11*$C733*'Business Case'!G12*$B733)-('Business Case'!F11*$C733*'Business Case'!F12*$B733))-'Business Case'!G15*$F733+'Business Case'!$B$8*('Business Case'!G11*$C733*'Business Case'!G12*$B733)</f>
        <v>822726943.815651</v>
      </c>
      <c r="N733" s="39" t="n">
        <f aca="false">IF(COUNT('Business Case'!B11:G11)=0,"",H733+NPV(G733,I733:M733))</f>
        <v>-639591301.910243</v>
      </c>
      <c r="P733" s="40" t="n">
        <f aca="true">RAND()</f>
        <v>0.277007274835395</v>
      </c>
      <c r="Q733" s="40" t="n">
        <f aca="true">RAND()</f>
        <v>0.144317613503542</v>
      </c>
      <c r="R733" s="40" t="n">
        <f aca="true">RAND()</f>
        <v>0.238325041702563</v>
      </c>
      <c r="S733" s="40" t="n">
        <f aca="true">RAND()</f>
        <v>0.598344503241028</v>
      </c>
      <c r="T733" s="40" t="n">
        <f aca="true">RAND()</f>
        <v>0.422168603316653</v>
      </c>
      <c r="U733" s="40" t="n">
        <f aca="true">RAND()</f>
        <v>0.999931373765853</v>
      </c>
    </row>
    <row r="734" customFormat="false" ht="15" hidden="false" customHeight="false" outlineLevel="0" collapsed="false">
      <c r="A734" s="36" t="n">
        <v>654</v>
      </c>
      <c r="B734" s="37" t="n">
        <f aca="false">1+IF($G$6=$E$6,$F$6,IF(P734&lt;($F$6-$E$6)/($G$6-$E$6),$E$6+SQRT(P734*($G$6-$E$6)*($F$6-$E$6)),$G$6-SQRT((1-P734)*($G$6-$E$6)*($G$6-$F$6))))</f>
        <v>1.01338291518723</v>
      </c>
      <c r="C734" s="37" t="n">
        <f aca="false">1+IF($G$7=$E$7,$F$7,IF(Q734&lt;($F$7-$E$7)/($G$7-$E$7),$E$7+SQRT(Q734*($G$7-$E$7)*($F$7-$E$7)),$G$7-SQRT((1-Q734)*($G$7-$E$7)*($G$7-$F$7))))</f>
        <v>1.01052160768565</v>
      </c>
      <c r="D734" s="37" t="n">
        <f aca="false">1+IF($G$8=$E$8,$F$8,IF(R734&lt;($F$8-$E$8)/($G$8-$E$8),$E$8+SQRT(R734*($G$8-$E$8)*($F$8-$E$8)),$G$8-SQRT((1-R734)*($G$8-$E$8)*($G$8-$F$8))))</f>
        <v>0.967939203526849</v>
      </c>
      <c r="E734" s="37" t="n">
        <f aca="false">1+IF($G$9=$E$9,$F$9,IF(S734&lt;($F$9-$E$9)/($G$9-$E$9),$E$9+SQRT(S734*($G$9-$E$9)*($F$9-$E$9)),$G$9-SQRT((1-S734)*($G$9-$E$9)*($G$9-$F$9))))</f>
        <v>1.04677295331708</v>
      </c>
      <c r="F734" s="37" t="n">
        <f aca="false">1+IF($G$10=$E$10,$F$10,IF(T734&lt;($F$10-$E$10)/($G$10-$E$10),$E$10+SQRT(T734*($G$10-$E$10)*($F$10-$E$10)),$G$10-SQRT((1-T734)*($G$10-$E$10)*($G$10-$F$10))))</f>
        <v>1.02652592086171</v>
      </c>
      <c r="G734" s="38" t="n">
        <f aca="false">IF($G$11=$E$11,$F$11,IF(U734&lt;($F$11-$E$11)/($G$11-$E$11),$E$11+SQRT(U734*($G$11-$E$11)*($F$11-$E$11)),$G$11-SQRT((1-U734)*($G$11-$E$11)*($G$11-$F$11))))</f>
        <v>0.0964042904595837</v>
      </c>
      <c r="H734" s="39" t="n">
        <f aca="false">(('Business Case'!B11*$C734*'Business Case'!B12*$B734)-'Business Case'!B11*$C734*'Business Case'!B13*$D734-'Business Case'!B14*$E734)-MAX(0,(('Business Case'!B11*$C734*'Business Case'!B12*$B734)-'Business Case'!B11*$C734*'Business Case'!B13*$D734-'Business Case'!B14*$E734))*'Business Case'!$B$7-'Business Case'!$B$8*('Business Case'!B11*$C734*'Business Case'!B12*$B734)-'Business Case'!B15*$F734</f>
        <v>-2053051841.72341</v>
      </c>
      <c r="I734" s="39" t="n">
        <f aca="false">(('Business Case'!C11*$C734*'Business Case'!C12*$B734)-'Business Case'!C11*$C734*'Business Case'!C13*$D734-'Business Case'!C14*$E734)-MAX(0,(('Business Case'!C11*$C734*'Business Case'!C12*$B734)-'Business Case'!C11*$C734*'Business Case'!C13*$D734-'Business Case'!C14*$E734))*'Business Case'!$B$7-'Business Case'!$B$8*(('Business Case'!C11*$C734*'Business Case'!C12*$B734)-('Business Case'!B11*$C734*'Business Case'!B12*$B734))-'Business Case'!C15*$F734</f>
        <v>33455670.6889717</v>
      </c>
      <c r="J734" s="39" t="n">
        <f aca="false">(('Business Case'!D11*$C734*'Business Case'!D12*$B734)-'Business Case'!D11*$C734*'Business Case'!D13*$D734-'Business Case'!D14*$E734)-MAX(0,(('Business Case'!D11*$C734*'Business Case'!D12*$B734)-'Business Case'!D11*$C734*'Business Case'!D13*$D734-'Business Case'!D14*$E734))*'Business Case'!$B$7-'Business Case'!$B$8*(('Business Case'!D11*$C734*'Business Case'!D12*$B734)-('Business Case'!C11*$C734*'Business Case'!C12*$B734))-'Business Case'!D15*$F734</f>
        <v>371501557.470698</v>
      </c>
      <c r="K734" s="39" t="n">
        <f aca="false">(('Business Case'!E11*$C734*'Business Case'!E12*$B734)-'Business Case'!E11*$C734*'Business Case'!E13*$D734-'Business Case'!E14*$E734)-MAX(0,(('Business Case'!E11*$C734*'Business Case'!E12*$B734)-'Business Case'!E11*$C734*'Business Case'!E13*$D734-'Business Case'!E14*$E734))*'Business Case'!$B$7-'Business Case'!$B$8*(('Business Case'!E11*$C734*'Business Case'!E12*$B734)-('Business Case'!D11*$C734*'Business Case'!D12*$B734))-'Business Case'!E15*$F734</f>
        <v>760873740.29551</v>
      </c>
      <c r="L734" s="39" t="n">
        <f aca="false">(('Business Case'!F11*$C734*'Business Case'!F12*$B734)-'Business Case'!F11*$C734*'Business Case'!F13*$D734-'Business Case'!F14*$E734)-MAX(0,(('Business Case'!F11*$C734*'Business Case'!F12*$B734)-'Business Case'!F11*$C734*'Business Case'!F13*$D734-'Business Case'!F14*$E734))*'Business Case'!$B$7-'Business Case'!$B$8*(('Business Case'!F11*$C734*'Business Case'!F12*$B734)-('Business Case'!E11*$C734*'Business Case'!E12*$B734))-'Business Case'!F15*$F734</f>
        <v>908946709.252683</v>
      </c>
      <c r="M734" s="39" t="n">
        <f aca="false">(('Business Case'!G11*$C734*'Business Case'!G12*$B734)-'Business Case'!G11*$C734*'Business Case'!G13*$D734-'Business Case'!G14*$E734)-MAX(0,(('Business Case'!G11*$C734*'Business Case'!G12*$B734)-'Business Case'!G11*$C734*'Business Case'!G13*$D734-'Business Case'!G14*$E734))*'Business Case'!$B$7-'Business Case'!$B$8*(('Business Case'!G11*$C734*'Business Case'!G12*$B734)-('Business Case'!F11*$C734*'Business Case'!F12*$B734))-'Business Case'!G15*$F734+'Business Case'!$B$8*('Business Case'!G11*$C734*'Business Case'!G12*$B734)</f>
        <v>1103597246.08397</v>
      </c>
      <c r="N734" s="39" t="n">
        <f aca="false">IF(COUNT('Business Case'!B11:G11)=0,"",H734+NPV(G734,I734:M734))</f>
        <v>189368388.82484</v>
      </c>
      <c r="P734" s="40" t="n">
        <f aca="true">RAND()</f>
        <v>0.852402249181236</v>
      </c>
      <c r="Q734" s="40" t="n">
        <f aca="true">RAND()</f>
        <v>0.629443391950575</v>
      </c>
      <c r="R734" s="40" t="n">
        <f aca="true">RAND()</f>
        <v>0.0495100035658008</v>
      </c>
      <c r="S734" s="40" t="n">
        <f aca="true">RAND()</f>
        <v>0.811125433427585</v>
      </c>
      <c r="T734" s="40" t="n">
        <f aca="true">RAND()</f>
        <v>0.398134877342425</v>
      </c>
      <c r="U734" s="40" t="n">
        <f aca="true">RAND()</f>
        <v>0.136716454302382</v>
      </c>
    </row>
    <row r="735" customFormat="false" ht="15" hidden="false" customHeight="false" outlineLevel="0" collapsed="false">
      <c r="A735" s="36" t="n">
        <v>655</v>
      </c>
      <c r="B735" s="37" t="n">
        <f aca="false">1+IF($G$6=$E$6,$F$6,IF(P735&lt;($F$6-$E$6)/($G$6-$E$6),$E$6+SQRT(P735*($G$6-$E$6)*($F$6-$E$6)),$G$6-SQRT((1-P735)*($G$6-$E$6)*($G$6-$F$6))))</f>
        <v>0.983220694761288</v>
      </c>
      <c r="C735" s="37" t="n">
        <f aca="false">1+IF($G$7=$E$7,$F$7,IF(Q735&lt;($F$7-$E$7)/($G$7-$E$7),$E$7+SQRT(Q735*($G$7-$E$7)*($F$7-$E$7)),$G$7-SQRT((1-Q735)*($G$7-$E$7)*($G$7-$F$7))))</f>
        <v>1.02628931737603</v>
      </c>
      <c r="D735" s="37" t="n">
        <f aca="false">1+IF($G$8=$E$8,$F$8,IF(R735&lt;($F$8-$E$8)/($G$8-$E$8),$E$8+SQRT(R735*($G$8-$E$8)*($F$8-$E$8)),$G$8-SQRT((1-R735)*($G$8-$E$8)*($G$8-$F$8))))</f>
        <v>1.05325302576663</v>
      </c>
      <c r="E735" s="37" t="n">
        <f aca="false">1+IF($G$9=$E$9,$F$9,IF(S735&lt;($F$9-$E$9)/($G$9-$E$9),$E$9+SQRT(S735*($G$9-$E$9)*($F$9-$E$9)),$G$9-SQRT((1-S735)*($G$9-$E$9)*($G$9-$F$9))))</f>
        <v>0.982179740779492</v>
      </c>
      <c r="F735" s="37" t="n">
        <f aca="false">1+IF($G$10=$E$10,$F$10,IF(T735&lt;($F$10-$E$10)/($G$10-$E$10),$E$10+SQRT(T735*($G$10-$E$10)*($F$10-$E$10)),$G$10-SQRT((1-T735)*($G$10-$E$10)*($G$10-$F$10))))</f>
        <v>0.992015263908406</v>
      </c>
      <c r="G735" s="38" t="n">
        <f aca="false">IF($G$11=$E$11,$F$11,IF(U735&lt;($F$11-$E$11)/($G$11-$E$11),$E$11+SQRT(U735*($G$11-$E$11)*($F$11-$E$11)),$G$11-SQRT((1-U735)*($G$11-$E$11)*($G$11-$F$11))))</f>
        <v>0.100521568561332</v>
      </c>
      <c r="H735" s="39" t="n">
        <f aca="false">(('Business Case'!B11*$C735*'Business Case'!B12*$B735)-'Business Case'!B11*$C735*'Business Case'!B13*$D735-'Business Case'!B14*$E735)-MAX(0,(('Business Case'!B11*$C735*'Business Case'!B12*$B735)-'Business Case'!B11*$C735*'Business Case'!B13*$D735-'Business Case'!B14*$E735))*'Business Case'!$B$7-'Business Case'!$B$8*('Business Case'!B11*$C735*'Business Case'!B12*$B735)-'Business Case'!B15*$F735</f>
        <v>-1984030527.81681</v>
      </c>
      <c r="I735" s="39" t="n">
        <f aca="false">(('Business Case'!C11*$C735*'Business Case'!C12*$B735)-'Business Case'!C11*$C735*'Business Case'!C13*$D735-'Business Case'!C14*$E735)-MAX(0,(('Business Case'!C11*$C735*'Business Case'!C12*$B735)-'Business Case'!C11*$C735*'Business Case'!C13*$D735-'Business Case'!C14*$E735))*'Business Case'!$B$7-'Business Case'!$B$8*(('Business Case'!C11*$C735*'Business Case'!C12*$B735)-('Business Case'!B11*$C735*'Business Case'!B12*$B735))-'Business Case'!C15*$F735</f>
        <v>-18033535.5562113</v>
      </c>
      <c r="J735" s="39" t="n">
        <f aca="false">(('Business Case'!D11*$C735*'Business Case'!D12*$B735)-'Business Case'!D11*$C735*'Business Case'!D13*$D735-'Business Case'!D14*$E735)-MAX(0,(('Business Case'!D11*$C735*'Business Case'!D12*$B735)-'Business Case'!D11*$C735*'Business Case'!D13*$D735-'Business Case'!D14*$E735))*'Business Case'!$B$7-'Business Case'!$B$8*(('Business Case'!D11*$C735*'Business Case'!D12*$B735)-('Business Case'!C11*$C735*'Business Case'!C12*$B735))-'Business Case'!D15*$F735</f>
        <v>255110545.968097</v>
      </c>
      <c r="K735" s="39" t="n">
        <f aca="false">(('Business Case'!E11*$C735*'Business Case'!E12*$B735)-'Business Case'!E11*$C735*'Business Case'!E13*$D735-'Business Case'!E14*$E735)-MAX(0,(('Business Case'!E11*$C735*'Business Case'!E12*$B735)-'Business Case'!E11*$C735*'Business Case'!E13*$D735-'Business Case'!E14*$E735))*'Business Case'!$B$7-'Business Case'!$B$8*(('Business Case'!E11*$C735*'Business Case'!E12*$B735)-('Business Case'!D11*$C735*'Business Case'!D12*$B735))-'Business Case'!E15*$F735</f>
        <v>577855390.687825</v>
      </c>
      <c r="L735" s="39" t="n">
        <f aca="false">(('Business Case'!F11*$C735*'Business Case'!F12*$B735)-'Business Case'!F11*$C735*'Business Case'!F13*$D735-'Business Case'!F14*$E735)-MAX(0,(('Business Case'!F11*$C735*'Business Case'!F12*$B735)-'Business Case'!F11*$C735*'Business Case'!F13*$D735-'Business Case'!F14*$E735))*'Business Case'!$B$7-'Business Case'!$B$8*(('Business Case'!F11*$C735*'Business Case'!F12*$B735)-('Business Case'!E11*$C735*'Business Case'!E12*$B735))-'Business Case'!F15*$F735</f>
        <v>703776838.896485</v>
      </c>
      <c r="M735" s="39" t="n">
        <f aca="false">(('Business Case'!G11*$C735*'Business Case'!G12*$B735)-'Business Case'!G11*$C735*'Business Case'!G13*$D735-'Business Case'!G14*$E735)-MAX(0,(('Business Case'!G11*$C735*'Business Case'!G12*$B735)-'Business Case'!G11*$C735*'Business Case'!G13*$D735-'Business Case'!G14*$E735))*'Business Case'!$B$7-'Business Case'!$B$8*(('Business Case'!G11*$C735*'Business Case'!G12*$B735)-('Business Case'!F11*$C735*'Business Case'!F12*$B735))-'Business Case'!G15*$F735+'Business Case'!$B$8*('Business Case'!G11*$C735*'Business Case'!G12*$B735)</f>
        <v>895580654.582881</v>
      </c>
      <c r="N735" s="39" t="n">
        <f aca="false">IF(COUNT('Business Case'!B11:G11)=0,"",H735+NPV(G735,I735:M735))</f>
        <v>-321700083.960739</v>
      </c>
      <c r="P735" s="40" t="n">
        <f aca="true">RAND()</f>
        <v>0.416339192302077</v>
      </c>
      <c r="Q735" s="40" t="n">
        <f aca="true">RAND()</f>
        <v>0.708488895327821</v>
      </c>
      <c r="R735" s="40" t="n">
        <f aca="true">RAND()</f>
        <v>0.931211477823048</v>
      </c>
      <c r="S735" s="40" t="n">
        <f aca="true">RAND()</f>
        <v>0.138071428884705</v>
      </c>
      <c r="T735" s="40" t="n">
        <f aca="true">RAND()</f>
        <v>0.141222592103438</v>
      </c>
      <c r="U735" s="40" t="n">
        <f aca="true">RAND()</f>
        <v>0.367651181148537</v>
      </c>
    </row>
    <row r="736" customFormat="false" ht="15" hidden="false" customHeight="false" outlineLevel="0" collapsed="false">
      <c r="A736" s="36" t="n">
        <v>656</v>
      </c>
      <c r="B736" s="37" t="n">
        <f aca="false">1+IF($G$6=$E$6,$F$6,IF(P736&lt;($F$6-$E$6)/($G$6-$E$6),$E$6+SQRT(P736*($G$6-$E$6)*($F$6-$E$6)),$G$6-SQRT((1-P736)*($G$6-$E$6)*($G$6-$F$6))))</f>
        <v>0.996540443448255</v>
      </c>
      <c r="C736" s="37" t="n">
        <f aca="false">1+IF($G$7=$E$7,$F$7,IF(Q736&lt;($F$7-$E$7)/($G$7-$E$7),$E$7+SQRT(Q736*($G$7-$E$7)*($F$7-$E$7)),$G$7-SQRT((1-Q736)*($G$7-$E$7)*($G$7-$F$7))))</f>
        <v>1.02707726063811</v>
      </c>
      <c r="D736" s="37" t="n">
        <f aca="false">1+IF($G$8=$E$8,$F$8,IF(R736&lt;($F$8-$E$8)/($G$8-$E$8),$E$8+SQRT(R736*($G$8-$E$8)*($F$8-$E$8)),$G$8-SQRT((1-R736)*($G$8-$E$8)*($G$8-$F$8))))</f>
        <v>0.996210750264969</v>
      </c>
      <c r="E736" s="37" t="n">
        <f aca="false">1+IF($G$9=$E$9,$F$9,IF(S736&lt;($F$9-$E$9)/($G$9-$E$9),$E$9+SQRT(S736*($G$9-$E$9)*($F$9-$E$9)),$G$9-SQRT((1-S736)*($G$9-$E$9)*($G$9-$F$9))))</f>
        <v>0.971268352798583</v>
      </c>
      <c r="F736" s="37" t="n">
        <f aca="false">1+IF($G$10=$E$10,$F$10,IF(T736&lt;($F$10-$E$10)/($G$10-$E$10),$E$10+SQRT(T736*($G$10-$E$10)*($F$10-$E$10)),$G$10-SQRT((1-T736)*($G$10-$E$10)*($G$10-$F$10))))</f>
        <v>1.09297940901983</v>
      </c>
      <c r="G736" s="38" t="n">
        <f aca="false">IF($G$11=$E$11,$F$11,IF(U736&lt;($F$11-$E$11)/($G$11-$E$11),$E$11+SQRT(U736*($G$11-$E$11)*($F$11-$E$11)),$G$11-SQRT((1-U736)*($G$11-$E$11)*($G$11-$F$11))))</f>
        <v>0.104241576893964</v>
      </c>
      <c r="H736" s="39" t="n">
        <f aca="false">(('Business Case'!B11*$C736*'Business Case'!B12*$B736)-'Business Case'!B11*$C736*'Business Case'!B13*$D736-'Business Case'!B14*$E736)-MAX(0,(('Business Case'!B11*$C736*'Business Case'!B12*$B736)-'Business Case'!B11*$C736*'Business Case'!B13*$D736-'Business Case'!B14*$E736))*'Business Case'!$B$7-'Business Case'!$B$8*('Business Case'!B11*$C736*'Business Case'!B12*$B736)-'Business Case'!B15*$F736</f>
        <v>-2185958818.03966</v>
      </c>
      <c r="I736" s="39" t="n">
        <f aca="false">(('Business Case'!C11*$C736*'Business Case'!C12*$B736)-'Business Case'!C11*$C736*'Business Case'!C13*$D736-'Business Case'!C14*$E736)-MAX(0,(('Business Case'!C11*$C736*'Business Case'!C12*$B736)-'Business Case'!C11*$C736*'Business Case'!C13*$D736-'Business Case'!C14*$E736))*'Business Case'!$B$7-'Business Case'!$B$8*(('Business Case'!C11*$C736*'Business Case'!C12*$B736)-('Business Case'!B11*$C736*'Business Case'!B12*$B736))-'Business Case'!C15*$F736</f>
        <v>14079012.7044729</v>
      </c>
      <c r="J736" s="39" t="n">
        <f aca="false">(('Business Case'!D11*$C736*'Business Case'!D12*$B736)-'Business Case'!D11*$C736*'Business Case'!D13*$D736-'Business Case'!D14*$E736)-MAX(0,(('Business Case'!D11*$C736*'Business Case'!D12*$B736)-'Business Case'!D11*$C736*'Business Case'!D13*$D736-'Business Case'!D14*$E736))*'Business Case'!$B$7-'Business Case'!$B$8*(('Business Case'!D11*$C736*'Business Case'!D12*$B736)-('Business Case'!C11*$C736*'Business Case'!C12*$B736))-'Business Case'!D15*$F736</f>
        <v>328629811.730424</v>
      </c>
      <c r="K736" s="39" t="n">
        <f aca="false">(('Business Case'!E11*$C736*'Business Case'!E12*$B736)-'Business Case'!E11*$C736*'Business Case'!E13*$D736-'Business Case'!E14*$E736)-MAX(0,(('Business Case'!E11*$C736*'Business Case'!E12*$B736)-'Business Case'!E11*$C736*'Business Case'!E13*$D736-'Business Case'!E14*$E736))*'Business Case'!$B$7-'Business Case'!$B$8*(('Business Case'!E11*$C736*'Business Case'!E12*$B736)-('Business Case'!D11*$C736*'Business Case'!D12*$B736))-'Business Case'!E15*$F736</f>
        <v>697829581.207366</v>
      </c>
      <c r="L736" s="39" t="n">
        <f aca="false">(('Business Case'!F11*$C736*'Business Case'!F12*$B736)-'Business Case'!F11*$C736*'Business Case'!F13*$D736-'Business Case'!F14*$E736)-MAX(0,(('Business Case'!F11*$C736*'Business Case'!F12*$B736)-'Business Case'!F11*$C736*'Business Case'!F13*$D736-'Business Case'!F14*$E736))*'Business Case'!$B$7-'Business Case'!$B$8*(('Business Case'!F11*$C736*'Business Case'!F12*$B736)-('Business Case'!E11*$C736*'Business Case'!E12*$B736))-'Business Case'!F15*$F736</f>
        <v>838052837.983707</v>
      </c>
      <c r="M736" s="39" t="n">
        <f aca="false">(('Business Case'!G11*$C736*'Business Case'!G12*$B736)-'Business Case'!G11*$C736*'Business Case'!G13*$D736-'Business Case'!G14*$E736)-MAX(0,(('Business Case'!G11*$C736*'Business Case'!G12*$B736)-'Business Case'!G11*$C736*'Business Case'!G13*$D736-'Business Case'!G14*$E736))*'Business Case'!$B$7-'Business Case'!$B$8*(('Business Case'!G11*$C736*'Business Case'!G12*$B736)-('Business Case'!F11*$C736*'Business Case'!F12*$B736))-'Business Case'!G15*$F736+'Business Case'!$B$8*('Business Case'!G11*$C736*'Business Case'!G12*$B736)</f>
        <v>1032604285.37267</v>
      </c>
      <c r="N736" s="39" t="n">
        <f aca="false">IF(COUNT('Business Case'!B11:G11)=0,"",H736+NPV(G736,I736:M736))</f>
        <v>-192821975.225646</v>
      </c>
      <c r="P736" s="40" t="n">
        <f aca="true">RAND()</f>
        <v>0.610254112839114</v>
      </c>
      <c r="Q736" s="40" t="n">
        <f aca="true">RAND()</f>
        <v>0.712190479005103</v>
      </c>
      <c r="R736" s="40" t="n">
        <f aca="true">RAND()</f>
        <v>0.328528221546358</v>
      </c>
      <c r="S736" s="40" t="n">
        <f aca="true">RAND()</f>
        <v>0.0603123774353339</v>
      </c>
      <c r="T736" s="40" t="n">
        <f aca="true">RAND()</f>
        <v>0.770931862125112</v>
      </c>
      <c r="U736" s="40" t="n">
        <f aca="true">RAND()</f>
        <v>0.586120168685259</v>
      </c>
    </row>
    <row r="737" customFormat="false" ht="15" hidden="false" customHeight="false" outlineLevel="0" collapsed="false">
      <c r="A737" s="36" t="n">
        <v>657</v>
      </c>
      <c r="B737" s="37" t="n">
        <f aca="false">1+IF($G$6=$E$6,$F$6,IF(P737&lt;($F$6-$E$6)/($G$6-$E$6),$E$6+SQRT(P737*($G$6-$E$6)*($F$6-$E$6)),$G$6-SQRT((1-P737)*($G$6-$E$6)*($G$6-$F$6))))</f>
        <v>0.991200428537265</v>
      </c>
      <c r="C737" s="37" t="n">
        <f aca="false">1+IF($G$7=$E$7,$F$7,IF(Q737&lt;($F$7-$E$7)/($G$7-$E$7),$E$7+SQRT(Q737*($G$7-$E$7)*($F$7-$E$7)),$G$7-SQRT((1-Q737)*($G$7-$E$7)*($G$7-$F$7))))</f>
        <v>0.882240223616275</v>
      </c>
      <c r="D737" s="37" t="n">
        <f aca="false">1+IF($G$8=$E$8,$F$8,IF(R737&lt;($F$8-$E$8)/($G$8-$E$8),$E$8+SQRT(R737*($G$8-$E$8)*($F$8-$E$8)),$G$8-SQRT((1-R737)*($G$8-$E$8)*($G$8-$F$8))))</f>
        <v>0.999440759585808</v>
      </c>
      <c r="E737" s="37" t="n">
        <f aca="false">1+IF($G$9=$E$9,$F$9,IF(S737&lt;($F$9-$E$9)/($G$9-$E$9),$E$9+SQRT(S737*($G$9-$E$9)*($F$9-$E$9)),$G$9-SQRT((1-S737)*($G$9-$E$9)*($G$9-$F$9))))</f>
        <v>0.986178421470182</v>
      </c>
      <c r="F737" s="37" t="n">
        <f aca="false">1+IF($G$10=$E$10,$F$10,IF(T737&lt;($F$10-$E$10)/($G$10-$E$10),$E$10+SQRT(T737*($G$10-$E$10)*($F$10-$E$10)),$G$10-SQRT((1-T737)*($G$10-$E$10)*($G$10-$F$10))))</f>
        <v>0.999194156135019</v>
      </c>
      <c r="G737" s="38" t="n">
        <f aca="false">IF($G$11=$E$11,$F$11,IF(U737&lt;($F$11-$E$11)/($G$11-$E$11),$E$11+SQRT(U737*($G$11-$E$11)*($F$11-$E$11)),$G$11-SQRT((1-U737)*($G$11-$E$11)*($G$11-$F$11))))</f>
        <v>0.108348169067479</v>
      </c>
      <c r="H737" s="39" t="n">
        <f aca="false">(('Business Case'!B11*$C737*'Business Case'!B12*$B737)-'Business Case'!B11*$C737*'Business Case'!B13*$D737-'Business Case'!B14*$E737)-MAX(0,(('Business Case'!B11*$C737*'Business Case'!B12*$B737)-'Business Case'!B11*$C737*'Business Case'!B13*$D737-'Business Case'!B14*$E737))*'Business Case'!$B$7-'Business Case'!$B$8*('Business Case'!B11*$C737*'Business Case'!B12*$B737)-'Business Case'!B15*$F737</f>
        <v>-1998388312.27004</v>
      </c>
      <c r="I737" s="39" t="n">
        <f aca="false">(('Business Case'!C11*$C737*'Business Case'!C12*$B737)-'Business Case'!C11*$C737*'Business Case'!C13*$D737-'Business Case'!C14*$E737)-MAX(0,(('Business Case'!C11*$C737*'Business Case'!C12*$B737)-'Business Case'!C11*$C737*'Business Case'!C13*$D737-'Business Case'!C14*$E737))*'Business Case'!$B$7-'Business Case'!$B$8*(('Business Case'!C11*$C737*'Business Case'!C12*$B737)-('Business Case'!B11*$C737*'Business Case'!B12*$B737))-'Business Case'!C15*$F737</f>
        <v>-20611177.5641023</v>
      </c>
      <c r="J737" s="39" t="n">
        <f aca="false">(('Business Case'!D11*$C737*'Business Case'!D12*$B737)-'Business Case'!D11*$C737*'Business Case'!D13*$D737-'Business Case'!D14*$E737)-MAX(0,(('Business Case'!D11*$C737*'Business Case'!D12*$B737)-'Business Case'!D11*$C737*'Business Case'!D13*$D737-'Business Case'!D14*$E737))*'Business Case'!$B$7-'Business Case'!$B$8*(('Business Case'!D11*$C737*'Business Case'!D12*$B737)-('Business Case'!C11*$C737*'Business Case'!C12*$B737))-'Business Case'!D15*$F737</f>
        <v>244264513.877828</v>
      </c>
      <c r="K737" s="39" t="n">
        <f aca="false">(('Business Case'!E11*$C737*'Business Case'!E12*$B737)-'Business Case'!E11*$C737*'Business Case'!E13*$D737-'Business Case'!E14*$E737)-MAX(0,(('Business Case'!E11*$C737*'Business Case'!E12*$B737)-'Business Case'!E11*$C737*'Business Case'!E13*$D737-'Business Case'!E14*$E737))*'Business Case'!$B$7-'Business Case'!$B$8*(('Business Case'!E11*$C737*'Business Case'!E12*$B737)-('Business Case'!D11*$C737*'Business Case'!D12*$B737))-'Business Case'!E15*$F737</f>
        <v>559099913.126509</v>
      </c>
      <c r="L737" s="39" t="n">
        <f aca="false">(('Business Case'!F11*$C737*'Business Case'!F12*$B737)-'Business Case'!F11*$C737*'Business Case'!F13*$D737-'Business Case'!F14*$E737)-MAX(0,(('Business Case'!F11*$C737*'Business Case'!F12*$B737)-'Business Case'!F11*$C737*'Business Case'!F13*$D737-'Business Case'!F14*$E737))*'Business Case'!$B$7-'Business Case'!$B$8*(('Business Case'!F11*$C737*'Business Case'!F12*$B737)-('Business Case'!E11*$C737*'Business Case'!E12*$B737))-'Business Case'!F15*$F737</f>
        <v>677613731.513466</v>
      </c>
      <c r="M737" s="39" t="n">
        <f aca="false">(('Business Case'!G11*$C737*'Business Case'!G12*$B737)-'Business Case'!G11*$C737*'Business Case'!G13*$D737-'Business Case'!G14*$E737)-MAX(0,(('Business Case'!G11*$C737*'Business Case'!G12*$B737)-'Business Case'!G11*$C737*'Business Case'!G13*$D737-'Business Case'!G14*$E737))*'Business Case'!$B$7-'Business Case'!$B$8*(('Business Case'!G11*$C737*'Business Case'!G12*$B737)-('Business Case'!F11*$C737*'Business Case'!F12*$B737))-'Business Case'!G15*$F737+'Business Case'!$B$8*('Business Case'!G11*$C737*'Business Case'!G12*$B737)</f>
        <v>843834298.331524</v>
      </c>
      <c r="N737" s="39" t="n">
        <f aca="false">IF(COUNT('Business Case'!B11:G11)=0,"",H737+NPV(G737,I737:M737))</f>
        <v>-453953657.321434</v>
      </c>
      <c r="P737" s="40" t="n">
        <f aca="true">RAND()</f>
        <v>0.528073023321895</v>
      </c>
      <c r="Q737" s="40" t="n">
        <f aca="true">RAND()</f>
        <v>0.0966207768636419</v>
      </c>
      <c r="R737" s="40" t="n">
        <f aca="true">RAND()</f>
        <v>0.376059801295633</v>
      </c>
      <c r="S737" s="40" t="n">
        <f aca="true">RAND()</f>
        <v>0.174517090676553</v>
      </c>
      <c r="T737" s="40" t="n">
        <f aca="true">RAND()</f>
        <v>0.193605199826932</v>
      </c>
      <c r="U737" s="40" t="n">
        <f aca="true">RAND()</f>
        <v>0.77372472653325</v>
      </c>
    </row>
    <row r="738" customFormat="false" ht="15" hidden="false" customHeight="false" outlineLevel="0" collapsed="false">
      <c r="A738" s="36" t="n">
        <v>658</v>
      </c>
      <c r="B738" s="37" t="n">
        <f aca="false">1+IF($G$6=$E$6,$F$6,IF(P738&lt;($F$6-$E$6)/($G$6-$E$6),$E$6+SQRT(P738*($G$6-$E$6)*($F$6-$E$6)),$G$6-SQRT((1-P738)*($G$6-$E$6)*($G$6-$F$6))))</f>
        <v>1.01275276358259</v>
      </c>
      <c r="C738" s="37" t="n">
        <f aca="false">1+IF($G$7=$E$7,$F$7,IF(Q738&lt;($F$7-$E$7)/($G$7-$E$7),$E$7+SQRT(Q738*($G$7-$E$7)*($F$7-$E$7)),$G$7-SQRT((1-Q738)*($G$7-$E$7)*($G$7-$F$7))))</f>
        <v>0.938855701337059</v>
      </c>
      <c r="D738" s="37" t="n">
        <f aca="false">1+IF($G$8=$E$8,$F$8,IF(R738&lt;($F$8-$E$8)/($G$8-$E$8),$E$8+SQRT(R738*($G$8-$E$8)*($F$8-$E$8)),$G$8-SQRT((1-R738)*($G$8-$E$8)*($G$8-$F$8))))</f>
        <v>0.976192913577274</v>
      </c>
      <c r="E738" s="37" t="n">
        <f aca="false">1+IF($G$9=$E$9,$F$9,IF(S738&lt;($F$9-$E$9)/($G$9-$E$9),$E$9+SQRT(S738*($G$9-$E$9)*($F$9-$E$9)),$G$9-SQRT((1-S738)*($G$9-$E$9)*($G$9-$F$9))))</f>
        <v>1.0168421711106</v>
      </c>
      <c r="F738" s="37" t="n">
        <f aca="false">1+IF($G$10=$E$10,$F$10,IF(T738&lt;($F$10-$E$10)/($G$10-$E$10),$E$10+SQRT(T738*($G$10-$E$10)*($F$10-$E$10)),$G$10-SQRT((1-T738)*($G$10-$E$10)*($G$10-$F$10))))</f>
        <v>1.01073551429041</v>
      </c>
      <c r="G738" s="38" t="n">
        <f aca="false">IF($G$11=$E$11,$F$11,IF(U738&lt;($F$11-$E$11)/($G$11-$E$11),$E$11+SQRT(U738*($G$11-$E$11)*($F$11-$E$11)),$G$11-SQRT((1-U738)*($G$11-$E$11)*($G$11-$F$11))))</f>
        <v>0.102402884032701</v>
      </c>
      <c r="H738" s="39" t="n">
        <f aca="false">(('Business Case'!B11*$C738*'Business Case'!B12*$B738)-'Business Case'!B11*$C738*'Business Case'!B13*$D738-'Business Case'!B14*$E738)-MAX(0,(('Business Case'!B11*$C738*'Business Case'!B12*$B738)-'Business Case'!B11*$C738*'Business Case'!B13*$D738-'Business Case'!B14*$E738))*'Business Case'!$B$7-'Business Case'!$B$8*('Business Case'!B11*$C738*'Business Case'!B12*$B738)-'Business Case'!B15*$F738</f>
        <v>-2021471028.58083</v>
      </c>
      <c r="I738" s="39" t="n">
        <f aca="false">(('Business Case'!C11*$C738*'Business Case'!C12*$B738)-'Business Case'!C11*$C738*'Business Case'!C13*$D738-'Business Case'!C14*$E738)-MAX(0,(('Business Case'!C11*$C738*'Business Case'!C12*$B738)-'Business Case'!C11*$C738*'Business Case'!C13*$D738-'Business Case'!C14*$E738))*'Business Case'!$B$7-'Business Case'!$B$8*(('Business Case'!C11*$C738*'Business Case'!C12*$B738)-('Business Case'!B11*$C738*'Business Case'!B12*$B738))-'Business Case'!C15*$F738</f>
        <v>14660829.3978888</v>
      </c>
      <c r="J738" s="39" t="n">
        <f aca="false">(('Business Case'!D11*$C738*'Business Case'!D12*$B738)-'Business Case'!D11*$C738*'Business Case'!D13*$D738-'Business Case'!D14*$E738)-MAX(0,(('Business Case'!D11*$C738*'Business Case'!D12*$B738)-'Business Case'!D11*$C738*'Business Case'!D13*$D738-'Business Case'!D14*$E738))*'Business Case'!$B$7-'Business Case'!$B$8*(('Business Case'!D11*$C738*'Business Case'!D12*$B738)-('Business Case'!C11*$C738*'Business Case'!C12*$B738))-'Business Case'!D15*$F738</f>
        <v>324281127.082752</v>
      </c>
      <c r="K738" s="39" t="n">
        <f aca="false">(('Business Case'!E11*$C738*'Business Case'!E12*$B738)-'Business Case'!E11*$C738*'Business Case'!E13*$D738-'Business Case'!E14*$E738)-MAX(0,(('Business Case'!E11*$C738*'Business Case'!E12*$B738)-'Business Case'!E11*$C738*'Business Case'!E13*$D738-'Business Case'!E14*$E738))*'Business Case'!$B$7-'Business Case'!$B$8*(('Business Case'!E11*$C738*'Business Case'!E12*$B738)-('Business Case'!D11*$C738*'Business Case'!D12*$B738))-'Business Case'!E15*$F738</f>
        <v>684438200.482136</v>
      </c>
      <c r="L738" s="39" t="n">
        <f aca="false">(('Business Case'!F11*$C738*'Business Case'!F12*$B738)-'Business Case'!F11*$C738*'Business Case'!F13*$D738-'Business Case'!F14*$E738)-MAX(0,(('Business Case'!F11*$C738*'Business Case'!F12*$B738)-'Business Case'!F11*$C738*'Business Case'!F13*$D738-'Business Case'!F14*$E738))*'Business Case'!$B$7-'Business Case'!$B$8*(('Business Case'!F11*$C738*'Business Case'!F12*$B738)-('Business Case'!E11*$C738*'Business Case'!E12*$B738))-'Business Case'!F15*$F738</f>
        <v>820505606.461094</v>
      </c>
      <c r="M738" s="39" t="n">
        <f aca="false">(('Business Case'!G11*$C738*'Business Case'!G12*$B738)-'Business Case'!G11*$C738*'Business Case'!G13*$D738-'Business Case'!G14*$E738)-MAX(0,(('Business Case'!G11*$C738*'Business Case'!G12*$B738)-'Business Case'!G11*$C738*'Business Case'!G13*$D738-'Business Case'!G14*$E738))*'Business Case'!$B$7-'Business Case'!$B$8*(('Business Case'!G11*$C738*'Business Case'!G12*$B738)-('Business Case'!F11*$C738*'Business Case'!F12*$B738))-'Business Case'!G15*$F738+'Business Case'!$B$8*('Business Case'!G11*$C738*'Business Case'!G12*$B738)</f>
        <v>1001239126.92312</v>
      </c>
      <c r="N738" s="39" t="n">
        <f aca="false">IF(COUNT('Business Case'!B11:G11)=0,"",H738+NPV(G738,I738:M738))</f>
        <v>-59973867.7675347</v>
      </c>
      <c r="P738" s="40" t="n">
        <f aca="true">RAND()</f>
        <v>0.845330855752819</v>
      </c>
      <c r="Q738" s="40" t="n">
        <f aca="true">RAND()</f>
        <v>0.275441511340095</v>
      </c>
      <c r="R738" s="40" t="n">
        <f aca="true">RAND()</f>
        <v>0.105549034102549</v>
      </c>
      <c r="S738" s="40" t="n">
        <f aca="true">RAND()</f>
        <v>0.538985032960048</v>
      </c>
      <c r="T738" s="40" t="n">
        <f aca="true">RAND()</f>
        <v>0.283579088981715</v>
      </c>
      <c r="U738" s="40" t="n">
        <f aca="true">RAND()</f>
        <v>0.483902516055692</v>
      </c>
    </row>
    <row r="739" customFormat="false" ht="15" hidden="false" customHeight="false" outlineLevel="0" collapsed="false">
      <c r="A739" s="36" t="n">
        <v>659</v>
      </c>
      <c r="B739" s="37" t="n">
        <f aca="false">1+IF($G$6=$E$6,$F$6,IF(P739&lt;($F$6-$E$6)/($G$6-$E$6),$E$6+SQRT(P739*($G$6-$E$6)*($F$6-$E$6)),$G$6-SQRT((1-P739)*($G$6-$E$6)*($G$6-$F$6))))</f>
        <v>0.978162144082099</v>
      </c>
      <c r="C739" s="37" t="n">
        <f aca="false">1+IF($G$7=$E$7,$F$7,IF(Q739&lt;($F$7-$E$7)/($G$7-$E$7),$E$7+SQRT(Q739*($G$7-$E$7)*($F$7-$E$7)),$G$7-SQRT((1-Q739)*($G$7-$E$7)*($G$7-$F$7))))</f>
        <v>0.987253661996791</v>
      </c>
      <c r="D739" s="37" t="n">
        <f aca="false">1+IF($G$8=$E$8,$F$8,IF(R739&lt;($F$8-$E$8)/($G$8-$E$8),$E$8+SQRT(R739*($G$8-$E$8)*($F$8-$E$8)),$G$8-SQRT((1-R739)*($G$8-$E$8)*($G$8-$F$8))))</f>
        <v>1.02223572917993</v>
      </c>
      <c r="E739" s="37" t="n">
        <f aca="false">1+IF($G$9=$E$9,$F$9,IF(S739&lt;($F$9-$E$9)/($G$9-$E$9),$E$9+SQRT(S739*($G$9-$E$9)*($F$9-$E$9)),$G$9-SQRT((1-S739)*($G$9-$E$9)*($G$9-$F$9))))</f>
        <v>1.07601916039343</v>
      </c>
      <c r="F739" s="37" t="n">
        <f aca="false">1+IF($G$10=$E$10,$F$10,IF(T739&lt;($F$10-$E$10)/($G$10-$E$10),$E$10+SQRT(T739*($G$10-$E$10)*($F$10-$E$10)),$G$10-SQRT((1-T739)*($G$10-$E$10)*($G$10-$F$10))))</f>
        <v>1.002824790774</v>
      </c>
      <c r="G739" s="38" t="n">
        <f aca="false">IF($G$11=$E$11,$F$11,IF(U739&lt;($F$11-$E$11)/($G$11-$E$11),$E$11+SQRT(U739*($G$11-$E$11)*($F$11-$E$11)),$G$11-SQRT((1-U739)*($G$11-$E$11)*($G$11-$F$11))))</f>
        <v>0.0978574011058641</v>
      </c>
      <c r="H739" s="39" t="n">
        <f aca="false">(('Business Case'!B11*$C739*'Business Case'!B12*$B739)-'Business Case'!B11*$C739*'Business Case'!B13*$D739-'Business Case'!B14*$E739)-MAX(0,(('Business Case'!B11*$C739*'Business Case'!B12*$B739)-'Business Case'!B11*$C739*'Business Case'!B13*$D739-'Business Case'!B14*$E739))*'Business Case'!$B$7-'Business Case'!$B$8*('Business Case'!B11*$C739*'Business Case'!B12*$B739)-'Business Case'!B15*$F739</f>
        <v>-2005649581.54801</v>
      </c>
      <c r="I739" s="39" t="n">
        <f aca="false">(('Business Case'!C11*$C739*'Business Case'!C12*$B739)-'Business Case'!C11*$C739*'Business Case'!C13*$D739-'Business Case'!C14*$E739)-MAX(0,(('Business Case'!C11*$C739*'Business Case'!C12*$B739)-'Business Case'!C11*$C739*'Business Case'!C13*$D739-'Business Case'!C14*$E739))*'Business Case'!$B$7-'Business Case'!$B$8*(('Business Case'!C11*$C739*'Business Case'!C12*$B739)-('Business Case'!B11*$C739*'Business Case'!B12*$B739))-'Business Case'!C15*$F739</f>
        <v>-29013661.5183676</v>
      </c>
      <c r="J739" s="39" t="n">
        <f aca="false">(('Business Case'!D11*$C739*'Business Case'!D12*$B739)-'Business Case'!D11*$C739*'Business Case'!D13*$D739-'Business Case'!D14*$E739)-MAX(0,(('Business Case'!D11*$C739*'Business Case'!D12*$B739)-'Business Case'!D11*$C739*'Business Case'!D13*$D739-'Business Case'!D14*$E739))*'Business Case'!$B$7-'Business Case'!$B$8*(('Business Case'!D11*$C739*'Business Case'!D12*$B739)-('Business Case'!C11*$C739*'Business Case'!C12*$B739))-'Business Case'!D15*$F739</f>
        <v>245326665.839335</v>
      </c>
      <c r="K739" s="39" t="n">
        <f aca="false">(('Business Case'!E11*$C739*'Business Case'!E12*$B739)-'Business Case'!E11*$C739*'Business Case'!E13*$D739-'Business Case'!E14*$E739)-MAX(0,(('Business Case'!E11*$C739*'Business Case'!E12*$B739)-'Business Case'!E11*$C739*'Business Case'!E13*$D739-'Business Case'!E14*$E739))*'Business Case'!$B$7-'Business Case'!$B$8*(('Business Case'!E11*$C739*'Business Case'!E12*$B739)-('Business Case'!D11*$C739*'Business Case'!D12*$B739))-'Business Case'!E15*$F739</f>
        <v>569808232.735737</v>
      </c>
      <c r="L739" s="39" t="n">
        <f aca="false">(('Business Case'!F11*$C739*'Business Case'!F12*$B739)-'Business Case'!F11*$C739*'Business Case'!F13*$D739-'Business Case'!F14*$E739)-MAX(0,(('Business Case'!F11*$C739*'Business Case'!F12*$B739)-'Business Case'!F11*$C739*'Business Case'!F13*$D739-'Business Case'!F14*$E739))*'Business Case'!$B$7-'Business Case'!$B$8*(('Business Case'!F11*$C739*'Business Case'!F12*$B739)-('Business Case'!E11*$C739*'Business Case'!E12*$B739))-'Business Case'!F15*$F739</f>
        <v>694629398.648788</v>
      </c>
      <c r="M739" s="39" t="n">
        <f aca="false">(('Business Case'!G11*$C739*'Business Case'!G12*$B739)-'Business Case'!G11*$C739*'Business Case'!G13*$D739-'Business Case'!G14*$E739)-MAX(0,(('Business Case'!G11*$C739*'Business Case'!G12*$B739)-'Business Case'!G11*$C739*'Business Case'!G13*$D739-'Business Case'!G14*$E739))*'Business Case'!$B$7-'Business Case'!$B$8*(('Business Case'!G11*$C739*'Business Case'!G12*$B739)-('Business Case'!F11*$C739*'Business Case'!F12*$B739))-'Business Case'!G15*$F739+'Business Case'!$B$8*('Business Case'!G11*$C739*'Business Case'!G12*$B739)</f>
        <v>878188544.34811</v>
      </c>
      <c r="N739" s="39" t="n">
        <f aca="false">IF(COUNT('Business Case'!B11:G11)=0,"",H739+NPV(G739,I739:M739))</f>
        <v>-369135353.86264</v>
      </c>
      <c r="P739" s="40" t="n">
        <f aca="true">RAND()</f>
        <v>0.352378646273628</v>
      </c>
      <c r="Q739" s="40" t="n">
        <f aca="true">RAND()</f>
        <v>0.500913341874409</v>
      </c>
      <c r="R739" s="40" t="n">
        <f aca="true">RAND()</f>
        <v>0.679162405444738</v>
      </c>
      <c r="S739" s="40" t="n">
        <f aca="true">RAND()</f>
        <v>0.961661288784261</v>
      </c>
      <c r="T739" s="40" t="n">
        <f aca="true">RAND()</f>
        <v>0.222438737333694</v>
      </c>
      <c r="U739" s="40" t="n">
        <f aca="true">RAND()</f>
        <v>0.205795840461448</v>
      </c>
    </row>
    <row r="740" customFormat="false" ht="15" hidden="false" customHeight="false" outlineLevel="0" collapsed="false">
      <c r="A740" s="36" t="n">
        <v>660</v>
      </c>
      <c r="B740" s="37" t="n">
        <f aca="false">1+IF($G$6=$E$6,$F$6,IF(P740&lt;($F$6-$E$6)/($G$6-$E$6),$E$6+SQRT(P740*($G$6-$E$6)*($F$6-$E$6)),$G$6-SQRT((1-P740)*($G$6-$E$6)*($G$6-$F$6))))</f>
        <v>1.01516914987593</v>
      </c>
      <c r="C740" s="37" t="n">
        <f aca="false">1+IF($G$7=$E$7,$F$7,IF(Q740&lt;($F$7-$E$7)/($G$7-$E$7),$E$7+SQRT(Q740*($G$7-$E$7)*($F$7-$E$7)),$G$7-SQRT((1-Q740)*($G$7-$E$7)*($G$7-$F$7))))</f>
        <v>0.852418923655038</v>
      </c>
      <c r="D740" s="37" t="n">
        <f aca="false">1+IF($G$8=$E$8,$F$8,IF(R740&lt;($F$8-$E$8)/($G$8-$E$8),$E$8+SQRT(R740*($G$8-$E$8)*($F$8-$E$8)),$G$8-SQRT((1-R740)*($G$8-$E$8)*($G$8-$F$8))))</f>
        <v>0.985760495751097</v>
      </c>
      <c r="E740" s="37" t="n">
        <f aca="false">1+IF($G$9=$E$9,$F$9,IF(S740&lt;($F$9-$E$9)/($G$9-$E$9),$E$9+SQRT(S740*($G$9-$E$9)*($F$9-$E$9)),$G$9-SQRT((1-S740)*($G$9-$E$9)*($G$9-$F$9))))</f>
        <v>0.979462018158268</v>
      </c>
      <c r="F740" s="37" t="n">
        <f aca="false">1+IF($G$10=$E$10,$F$10,IF(T740&lt;($F$10-$E$10)/($G$10-$E$10),$E$10+SQRT(T740*($G$10-$E$10)*($F$10-$E$10)),$G$10-SQRT((1-T740)*($G$10-$E$10)*($G$10-$F$10))))</f>
        <v>1.11970561890447</v>
      </c>
      <c r="G740" s="38" t="n">
        <f aca="false">IF($G$11=$E$11,$F$11,IF(U740&lt;($F$11-$E$11)/($G$11-$E$11),$E$11+SQRT(U740*($G$11-$E$11)*($F$11-$E$11)),$G$11-SQRT((1-U740)*($G$11-$E$11)*($G$11-$F$11))))</f>
        <v>0.101239497672987</v>
      </c>
      <c r="H740" s="39" t="n">
        <f aca="false">(('Business Case'!B11*$C740*'Business Case'!B12*$B740)-'Business Case'!B11*$C740*'Business Case'!B13*$D740-'Business Case'!B14*$E740)-MAX(0,(('Business Case'!B11*$C740*'Business Case'!B12*$B740)-'Business Case'!B11*$C740*'Business Case'!B13*$D740-'Business Case'!B14*$E740))*'Business Case'!$B$7-'Business Case'!$B$8*('Business Case'!B11*$C740*'Business Case'!B12*$B740)-'Business Case'!B15*$F740</f>
        <v>-2239411237.80894</v>
      </c>
      <c r="I740" s="39" t="n">
        <f aca="false">(('Business Case'!C11*$C740*'Business Case'!C12*$B740)-'Business Case'!C11*$C740*'Business Case'!C13*$D740-'Business Case'!C14*$E740)-MAX(0,(('Business Case'!C11*$C740*'Business Case'!C12*$B740)-'Business Case'!C11*$C740*'Business Case'!C13*$D740-'Business Case'!C14*$E740))*'Business Case'!$B$7-'Business Case'!$B$8*(('Business Case'!C11*$C740*'Business Case'!C12*$B740)-('Business Case'!B11*$C740*'Business Case'!B12*$B740))-'Business Case'!C15*$F740</f>
        <v>-17482913.2873261</v>
      </c>
      <c r="J740" s="39" t="n">
        <f aca="false">(('Business Case'!D11*$C740*'Business Case'!D12*$B740)-'Business Case'!D11*$C740*'Business Case'!D13*$D740-'Business Case'!D14*$E740)-MAX(0,(('Business Case'!D11*$C740*'Business Case'!D12*$B740)-'Business Case'!D11*$C740*'Business Case'!D13*$D740-'Business Case'!D14*$E740))*'Business Case'!$B$7-'Business Case'!$B$8*(('Business Case'!D11*$C740*'Business Case'!D12*$B740)-('Business Case'!C11*$C740*'Business Case'!C12*$B740))-'Business Case'!D15*$F740</f>
        <v>261143946.886232</v>
      </c>
      <c r="K740" s="39" t="n">
        <f aca="false">(('Business Case'!E11*$C740*'Business Case'!E12*$B740)-'Business Case'!E11*$C740*'Business Case'!E13*$D740-'Business Case'!E14*$E740)-MAX(0,(('Business Case'!E11*$C740*'Business Case'!E12*$B740)-'Business Case'!E11*$C740*'Business Case'!E13*$D740-'Business Case'!E14*$E740))*'Business Case'!$B$7-'Business Case'!$B$8*(('Business Case'!E11*$C740*'Business Case'!E12*$B740)-('Business Case'!D11*$C740*'Business Case'!D12*$B740))-'Business Case'!E15*$F740</f>
        <v>595756088.005014</v>
      </c>
      <c r="L740" s="39" t="n">
        <f aca="false">(('Business Case'!F11*$C740*'Business Case'!F12*$B740)-'Business Case'!F11*$C740*'Business Case'!F13*$D740-'Business Case'!F14*$E740)-MAX(0,(('Business Case'!F11*$C740*'Business Case'!F12*$B740)-'Business Case'!F11*$C740*'Business Case'!F13*$D740-'Business Case'!F14*$E740))*'Business Case'!$B$7-'Business Case'!$B$8*(('Business Case'!F11*$C740*'Business Case'!F12*$B740)-('Business Case'!E11*$C740*'Business Case'!E12*$B740))-'Business Case'!F15*$F740</f>
        <v>718538183.121755</v>
      </c>
      <c r="M740" s="39" t="n">
        <f aca="false">(('Business Case'!G11*$C740*'Business Case'!G12*$B740)-'Business Case'!G11*$C740*'Business Case'!G13*$D740-'Business Case'!G14*$E740)-MAX(0,(('Business Case'!G11*$C740*'Business Case'!G12*$B740)-'Business Case'!G11*$C740*'Business Case'!G13*$D740-'Business Case'!G14*$E740))*'Business Case'!$B$7-'Business Case'!$B$8*(('Business Case'!G11*$C740*'Business Case'!G12*$B740)-('Business Case'!F11*$C740*'Business Case'!F12*$B740))-'Business Case'!G15*$F740+'Business Case'!$B$8*('Business Case'!G11*$C740*'Business Case'!G12*$B740)</f>
        <v>883023795.945637</v>
      </c>
      <c r="N740" s="39" t="n">
        <f aca="false">IF(COUNT('Business Case'!B11:G11)=0,"",H740+NPV(G740,I740:M740))</f>
        <v>-560085296.197854</v>
      </c>
      <c r="P740" s="40" t="n">
        <f aca="true">RAND()</f>
        <v>0.871547683774118</v>
      </c>
      <c r="Q740" s="40" t="n">
        <f aca="true">RAND()</f>
        <v>0.0392534793878958</v>
      </c>
      <c r="R740" s="40" t="n">
        <f aca="true">RAND()</f>
        <v>0.19674047020988</v>
      </c>
      <c r="S740" s="40" t="n">
        <f aca="true">RAND()</f>
        <v>0.115734735194417</v>
      </c>
      <c r="T740" s="40" t="n">
        <f aca="true">RAND()</f>
        <v>0.871056247289722</v>
      </c>
      <c r="U740" s="40" t="n">
        <f aca="true">RAND()</f>
        <v>0.413405920730217</v>
      </c>
    </row>
    <row r="741" customFormat="false" ht="15" hidden="false" customHeight="false" outlineLevel="0" collapsed="false">
      <c r="A741" s="36" t="n">
        <v>661</v>
      </c>
      <c r="B741" s="37" t="n">
        <f aca="false">1+IF($G$6=$E$6,$F$6,IF(P741&lt;($F$6-$E$6)/($G$6-$E$6),$E$6+SQRT(P741*($G$6-$E$6)*($F$6-$E$6)),$G$6-SQRT((1-P741)*($G$6-$E$6)*($G$6-$F$6))))</f>
        <v>0.999508070602637</v>
      </c>
      <c r="C741" s="37" t="n">
        <f aca="false">1+IF($G$7=$E$7,$F$7,IF(Q741&lt;($F$7-$E$7)/($G$7-$E$7),$E$7+SQRT(Q741*($G$7-$E$7)*($F$7-$E$7)),$G$7-SQRT((1-Q741)*($G$7-$E$7)*($G$7-$F$7))))</f>
        <v>0.937674370974344</v>
      </c>
      <c r="D741" s="37" t="n">
        <f aca="false">1+IF($G$8=$E$8,$F$8,IF(R741&lt;($F$8-$E$8)/($G$8-$E$8),$E$8+SQRT(R741*($G$8-$E$8)*($F$8-$E$8)),$G$8-SQRT((1-R741)*($G$8-$E$8)*($G$8-$F$8))))</f>
        <v>1.03071945359319</v>
      </c>
      <c r="E741" s="37" t="n">
        <f aca="false">1+IF($G$9=$E$9,$F$9,IF(S741&lt;($F$9-$E$9)/($G$9-$E$9),$E$9+SQRT(S741*($G$9-$E$9)*($F$9-$E$9)),$G$9-SQRT((1-S741)*($G$9-$E$9)*($G$9-$F$9))))</f>
        <v>0.983037251253298</v>
      </c>
      <c r="F741" s="37" t="n">
        <f aca="false">1+IF($G$10=$E$10,$F$10,IF(T741&lt;($F$10-$E$10)/($G$10-$E$10),$E$10+SQRT(T741*($G$10-$E$10)*($F$10-$E$10)),$G$10-SQRT((1-T741)*($G$10-$E$10)*($G$10-$F$10))))</f>
        <v>1.06897050577026</v>
      </c>
      <c r="G741" s="38" t="n">
        <f aca="false">IF($G$11=$E$11,$F$11,IF(U741&lt;($F$11-$E$11)/($G$11-$E$11),$E$11+SQRT(U741*($G$11-$E$11)*($F$11-$E$11)),$G$11-SQRT((1-U741)*($G$11-$E$11)*($G$11-$F$11))))</f>
        <v>0.107695229578635</v>
      </c>
      <c r="H741" s="39" t="n">
        <f aca="false">(('Business Case'!B11*$C741*'Business Case'!B12*$B741)-'Business Case'!B11*$C741*'Business Case'!B13*$D741-'Business Case'!B14*$E741)-MAX(0,(('Business Case'!B11*$C741*'Business Case'!B12*$B741)-'Business Case'!B11*$C741*'Business Case'!B13*$D741-'Business Case'!B14*$E741))*'Business Case'!$B$7-'Business Case'!$B$8*('Business Case'!B11*$C741*'Business Case'!B12*$B741)-'Business Case'!B15*$F741</f>
        <v>-2137941011.54051</v>
      </c>
      <c r="I741" s="39" t="n">
        <f aca="false">(('Business Case'!C11*$C741*'Business Case'!C12*$B741)-'Business Case'!C11*$C741*'Business Case'!C13*$D741-'Business Case'!C14*$E741)-MAX(0,(('Business Case'!C11*$C741*'Business Case'!C12*$B741)-'Business Case'!C11*$C741*'Business Case'!C13*$D741-'Business Case'!C14*$E741))*'Business Case'!$B$7-'Business Case'!$B$8*(('Business Case'!C11*$C741*'Business Case'!C12*$B741)-('Business Case'!B11*$C741*'Business Case'!B12*$B741))-'Business Case'!C15*$F741</f>
        <v>-22385105.3984486</v>
      </c>
      <c r="J741" s="39" t="n">
        <f aca="false">(('Business Case'!D11*$C741*'Business Case'!D12*$B741)-'Business Case'!D11*$C741*'Business Case'!D13*$D741-'Business Case'!D14*$E741)-MAX(0,(('Business Case'!D11*$C741*'Business Case'!D12*$B741)-'Business Case'!D11*$C741*'Business Case'!D13*$D741-'Business Case'!D14*$E741))*'Business Case'!$B$7-'Business Case'!$B$8*(('Business Case'!D11*$C741*'Business Case'!D12*$B741)-('Business Case'!C11*$C741*'Business Case'!C12*$B741))-'Business Case'!D15*$F741</f>
        <v>250499864.084203</v>
      </c>
      <c r="K741" s="39" t="n">
        <f aca="false">(('Business Case'!E11*$C741*'Business Case'!E12*$B741)-'Business Case'!E11*$C741*'Business Case'!E13*$D741-'Business Case'!E14*$E741)-MAX(0,(('Business Case'!E11*$C741*'Business Case'!E12*$B741)-'Business Case'!E11*$C741*'Business Case'!E13*$D741-'Business Case'!E14*$E741))*'Business Case'!$B$7-'Business Case'!$B$8*(('Business Case'!E11*$C741*'Business Case'!E12*$B741)-('Business Case'!D11*$C741*'Business Case'!D12*$B741))-'Business Case'!E15*$F741</f>
        <v>576833358.855368</v>
      </c>
      <c r="L741" s="39" t="n">
        <f aca="false">(('Business Case'!F11*$C741*'Business Case'!F12*$B741)-'Business Case'!F11*$C741*'Business Case'!F13*$D741-'Business Case'!F14*$E741)-MAX(0,(('Business Case'!F11*$C741*'Business Case'!F12*$B741)-'Business Case'!F11*$C741*'Business Case'!F13*$D741-'Business Case'!F14*$E741))*'Business Case'!$B$7-'Business Case'!$B$8*(('Business Case'!F11*$C741*'Business Case'!F12*$B741)-('Business Case'!E11*$C741*'Business Case'!E12*$B741))-'Business Case'!F15*$F741</f>
        <v>700185100.13349</v>
      </c>
      <c r="M741" s="39" t="n">
        <f aca="false">(('Business Case'!G11*$C741*'Business Case'!G12*$B741)-'Business Case'!G11*$C741*'Business Case'!G13*$D741-'Business Case'!G14*$E741)-MAX(0,(('Business Case'!G11*$C741*'Business Case'!G12*$B741)-'Business Case'!G11*$C741*'Business Case'!G13*$D741-'Business Case'!G14*$E741))*'Business Case'!$B$7-'Business Case'!$B$8*(('Business Case'!G11*$C741*'Business Case'!G12*$B741)-('Business Case'!F11*$C741*'Business Case'!F12*$B741))-'Business Case'!G15*$F741+'Business Case'!$B$8*('Business Case'!G11*$C741*'Business Case'!G12*$B741)</f>
        <v>878330566.444961</v>
      </c>
      <c r="N741" s="39" t="n">
        <f aca="false">IF(COUNT('Business Case'!B11:G11)=0,"",H741+NPV(G741,I741:M741))</f>
        <v>-537801511.039727</v>
      </c>
      <c r="P741" s="40" t="n">
        <f aca="true">RAND()</f>
        <v>0.658493051141029</v>
      </c>
      <c r="Q741" s="40" t="n">
        <f aca="true">RAND()</f>
        <v>0.270774748902589</v>
      </c>
      <c r="R741" s="40" t="n">
        <f aca="true">RAND()</f>
        <v>0.766483437100576</v>
      </c>
      <c r="S741" s="40" t="n">
        <f aca="true">RAND()</f>
        <v>0.145527996049803</v>
      </c>
      <c r="T741" s="40" t="n">
        <f aca="true">RAND()</f>
        <v>0.656625432837954</v>
      </c>
      <c r="U741" s="40" t="n">
        <f aca="true">RAND()</f>
        <v>0.747654374795847</v>
      </c>
    </row>
    <row r="742" customFormat="false" ht="15" hidden="false" customHeight="false" outlineLevel="0" collapsed="false">
      <c r="A742" s="36" t="n">
        <v>662</v>
      </c>
      <c r="B742" s="37" t="n">
        <f aca="false">1+IF($G$6=$E$6,$F$6,IF(P742&lt;($F$6-$E$6)/($G$6-$E$6),$E$6+SQRT(P742*($G$6-$E$6)*($F$6-$E$6)),$G$6-SQRT((1-P742)*($G$6-$E$6)*($G$6-$F$6))))</f>
        <v>1.01498790509685</v>
      </c>
      <c r="C742" s="37" t="n">
        <f aca="false">1+IF($G$7=$E$7,$F$7,IF(Q742&lt;($F$7-$E$7)/($G$7-$E$7),$E$7+SQRT(Q742*($G$7-$E$7)*($F$7-$E$7)),$G$7-SQRT((1-Q742)*($G$7-$E$7)*($G$7-$F$7))))</f>
        <v>1.06835351937074</v>
      </c>
      <c r="D742" s="37" t="n">
        <f aca="false">1+IF($G$8=$E$8,$F$8,IF(R742&lt;($F$8-$E$8)/($G$8-$E$8),$E$8+SQRT(R742*($G$8-$E$8)*($F$8-$E$8)),$G$8-SQRT((1-R742)*($G$8-$E$8)*($G$8-$F$8))))</f>
        <v>1.049189145428</v>
      </c>
      <c r="E742" s="37" t="n">
        <f aca="false">1+IF($G$9=$E$9,$F$9,IF(S742&lt;($F$9-$E$9)/($G$9-$E$9),$E$9+SQRT(S742*($G$9-$E$9)*($F$9-$E$9)),$G$9-SQRT((1-S742)*($G$9-$E$9)*($G$9-$F$9))))</f>
        <v>0.986709034816393</v>
      </c>
      <c r="F742" s="37" t="n">
        <f aca="false">1+IF($G$10=$E$10,$F$10,IF(T742&lt;($F$10-$E$10)/($G$10-$E$10),$E$10+SQRT(T742*($G$10-$E$10)*($F$10-$E$10)),$G$10-SQRT((1-T742)*($G$10-$E$10)*($G$10-$F$10))))</f>
        <v>1.06114624488034</v>
      </c>
      <c r="G742" s="38" t="n">
        <f aca="false">IF($G$11=$E$11,$F$11,IF(U742&lt;($F$11-$E$11)/($G$11-$E$11),$E$11+SQRT(U742*($G$11-$E$11)*($F$11-$E$11)),$G$11-SQRT((1-U742)*($G$11-$E$11)*($G$11-$F$11))))</f>
        <v>0.105620107055949</v>
      </c>
      <c r="H742" s="39" t="n">
        <f aca="false">(('Business Case'!B11*$C742*'Business Case'!B12*$B742)-'Business Case'!B11*$C742*'Business Case'!B13*$D742-'Business Case'!B14*$E742)-MAX(0,(('Business Case'!B11*$C742*'Business Case'!B12*$B742)-'Business Case'!B11*$C742*'Business Case'!B13*$D742-'Business Case'!B14*$E742))*'Business Case'!$B$7-'Business Case'!$B$8*('Business Case'!B11*$C742*'Business Case'!B12*$B742)-'Business Case'!B15*$F742</f>
        <v>-2122292489.76069</v>
      </c>
      <c r="I742" s="39" t="n">
        <f aca="false">(('Business Case'!C11*$C742*'Business Case'!C12*$B742)-'Business Case'!C11*$C742*'Business Case'!C13*$D742-'Business Case'!C14*$E742)-MAX(0,(('Business Case'!C11*$C742*'Business Case'!C12*$B742)-'Business Case'!C11*$C742*'Business Case'!C13*$D742-'Business Case'!C14*$E742))*'Business Case'!$B$7-'Business Case'!$B$8*(('Business Case'!C11*$C742*'Business Case'!C12*$B742)-('Business Case'!B11*$C742*'Business Case'!B12*$B742))-'Business Case'!C15*$F742</f>
        <v>11721924.7551479</v>
      </c>
      <c r="J742" s="39" t="n">
        <f aca="false">(('Business Case'!D11*$C742*'Business Case'!D12*$B742)-'Business Case'!D11*$C742*'Business Case'!D13*$D742-'Business Case'!D14*$E742)-MAX(0,(('Business Case'!D11*$C742*'Business Case'!D12*$B742)-'Business Case'!D11*$C742*'Business Case'!D13*$D742-'Business Case'!D14*$E742))*'Business Case'!$B$7-'Business Case'!$B$8*(('Business Case'!D11*$C742*'Business Case'!D12*$B742)-('Business Case'!C11*$C742*'Business Case'!C12*$B742))-'Business Case'!D15*$F742</f>
        <v>326082027.032642</v>
      </c>
      <c r="K742" s="39" t="n">
        <f aca="false">(('Business Case'!E11*$C742*'Business Case'!E12*$B742)-'Business Case'!E11*$C742*'Business Case'!E13*$D742-'Business Case'!E14*$E742)-MAX(0,(('Business Case'!E11*$C742*'Business Case'!E12*$B742)-'Business Case'!E11*$C742*'Business Case'!E13*$D742-'Business Case'!E14*$E742))*'Business Case'!$B$7-'Business Case'!$B$8*(('Business Case'!E11*$C742*'Business Case'!E12*$B742)-('Business Case'!D11*$C742*'Business Case'!D12*$B742))-'Business Case'!E15*$F742</f>
        <v>693499441.554154</v>
      </c>
      <c r="L742" s="39" t="n">
        <f aca="false">(('Business Case'!F11*$C742*'Business Case'!F12*$B742)-'Business Case'!F11*$C742*'Business Case'!F13*$D742-'Business Case'!F14*$E742)-MAX(0,(('Business Case'!F11*$C742*'Business Case'!F12*$B742)-'Business Case'!F11*$C742*'Business Case'!F13*$D742-'Business Case'!F14*$E742))*'Business Case'!$B$7-'Business Case'!$B$8*(('Business Case'!F11*$C742*'Business Case'!F12*$B742)-('Business Case'!E11*$C742*'Business Case'!E12*$B742))-'Business Case'!F15*$F742</f>
        <v>835761827.835599</v>
      </c>
      <c r="M742" s="39" t="n">
        <f aca="false">(('Business Case'!G11*$C742*'Business Case'!G12*$B742)-'Business Case'!G11*$C742*'Business Case'!G13*$D742-'Business Case'!G14*$E742)-MAX(0,(('Business Case'!G11*$C742*'Business Case'!G12*$B742)-'Business Case'!G11*$C742*'Business Case'!G13*$D742-'Business Case'!G14*$E742))*'Business Case'!$B$7-'Business Case'!$B$8*(('Business Case'!G11*$C742*'Business Case'!G12*$B742)-('Business Case'!F11*$C742*'Business Case'!F12*$B742))-'Business Case'!G15*$F742+'Business Case'!$B$8*('Business Case'!G11*$C742*'Business Case'!G12*$B742)</f>
        <v>1041878098.20814</v>
      </c>
      <c r="N742" s="39" t="n">
        <f aca="false">IF(COUNT('Business Case'!B11:G11)=0,"",H742+NPV(G742,I742:M742))</f>
        <v>-141836389.765164</v>
      </c>
      <c r="P742" s="40" t="n">
        <f aca="true">RAND()</f>
        <v>0.869665647615749</v>
      </c>
      <c r="Q742" s="40" t="n">
        <f aca="true">RAND()</f>
        <v>0.873025756206794</v>
      </c>
      <c r="R742" s="40" t="n">
        <f aca="true">RAND()</f>
        <v>0.908720311590685</v>
      </c>
      <c r="S742" s="40" t="n">
        <f aca="true">RAND()</f>
        <v>0.179673764953491</v>
      </c>
      <c r="T742" s="40" t="n">
        <f aca="true">RAND()</f>
        <v>0.614392693783411</v>
      </c>
      <c r="U742" s="40" t="n">
        <f aca="true">RAND()</f>
        <v>0.655364464862729</v>
      </c>
    </row>
    <row r="743" customFormat="false" ht="15" hidden="false" customHeight="false" outlineLevel="0" collapsed="false">
      <c r="A743" s="36" t="n">
        <v>663</v>
      </c>
      <c r="B743" s="37" t="n">
        <f aca="false">1+IF($G$6=$E$6,$F$6,IF(P743&lt;($F$6-$E$6)/($G$6-$E$6),$E$6+SQRT(P743*($G$6-$E$6)*($F$6-$E$6)),$G$6-SQRT((1-P743)*($G$6-$E$6)*($G$6-$F$6))))</f>
        <v>1.01244893780268</v>
      </c>
      <c r="C743" s="37" t="n">
        <f aca="false">1+IF($G$7=$E$7,$F$7,IF(Q743&lt;($F$7-$E$7)/($G$7-$E$7),$E$7+SQRT(Q743*($G$7-$E$7)*($F$7-$E$7)),$G$7-SQRT((1-Q743)*($G$7-$E$7)*($G$7-$F$7))))</f>
        <v>0.865299410684582</v>
      </c>
      <c r="D743" s="37" t="n">
        <f aca="false">1+IF($G$8=$E$8,$F$8,IF(R743&lt;($F$8-$E$8)/($G$8-$E$8),$E$8+SQRT(R743*($G$8-$E$8)*($F$8-$E$8)),$G$8-SQRT((1-R743)*($G$8-$E$8)*($G$8-$F$8))))</f>
        <v>0.976408260516252</v>
      </c>
      <c r="E743" s="37" t="n">
        <f aca="false">1+IF($G$9=$E$9,$F$9,IF(S743&lt;($F$9-$E$9)/($G$9-$E$9),$E$9+SQRT(S743*($G$9-$E$9)*($F$9-$E$9)),$G$9-SQRT((1-S743)*($G$9-$E$9)*($G$9-$F$9))))</f>
        <v>0.979162186192621</v>
      </c>
      <c r="F743" s="37" t="n">
        <f aca="false">1+IF($G$10=$E$10,$F$10,IF(T743&lt;($F$10-$E$10)/($G$10-$E$10),$E$10+SQRT(T743*($G$10-$E$10)*($F$10-$E$10)),$G$10-SQRT((1-T743)*($G$10-$E$10)*($G$10-$F$10))))</f>
        <v>1.03634961230536</v>
      </c>
      <c r="G743" s="38" t="n">
        <f aca="false">IF($G$11=$E$11,$F$11,IF(U743&lt;($F$11-$E$11)/($G$11-$E$11),$E$11+SQRT(U743*($G$11-$E$11)*($F$11-$E$11)),$G$11-SQRT((1-U743)*($G$11-$E$11)*($G$11-$F$11))))</f>
        <v>0.116333396918223</v>
      </c>
      <c r="H743" s="39" t="n">
        <f aca="false">(('Business Case'!B11*$C743*'Business Case'!B12*$B743)-'Business Case'!B11*$C743*'Business Case'!B13*$D743-'Business Case'!B14*$E743)-MAX(0,(('Business Case'!B11*$C743*'Business Case'!B12*$B743)-'Business Case'!B11*$C743*'Business Case'!B13*$D743-'Business Case'!B14*$E743))*'Business Case'!$B$7-'Business Case'!$B$8*('Business Case'!B11*$C743*'Business Case'!B12*$B743)-'Business Case'!B15*$F743</f>
        <v>-2072699224.61072</v>
      </c>
      <c r="I743" s="39" t="n">
        <f aca="false">(('Business Case'!C11*$C743*'Business Case'!C12*$B743)-'Business Case'!C11*$C743*'Business Case'!C13*$D743-'Business Case'!C14*$E743)-MAX(0,(('Business Case'!C11*$C743*'Business Case'!C12*$B743)-'Business Case'!C11*$C743*'Business Case'!C13*$D743-'Business Case'!C14*$E743))*'Business Case'!$B$7-'Business Case'!$B$8*(('Business Case'!C11*$C743*'Business Case'!C12*$B743)-('Business Case'!B11*$C743*'Business Case'!B12*$B743))-'Business Case'!C15*$F743</f>
        <v>-3235539.90339774</v>
      </c>
      <c r="J743" s="39" t="n">
        <f aca="false">(('Business Case'!D11*$C743*'Business Case'!D12*$B743)-'Business Case'!D11*$C743*'Business Case'!D13*$D743-'Business Case'!D14*$E743)-MAX(0,(('Business Case'!D11*$C743*'Business Case'!D12*$B743)-'Business Case'!D11*$C743*'Business Case'!D13*$D743-'Business Case'!D14*$E743))*'Business Case'!$B$7-'Business Case'!$B$8*(('Business Case'!D11*$C743*'Business Case'!D12*$B743)-('Business Case'!C11*$C743*'Business Case'!C12*$B743))-'Business Case'!D15*$F743</f>
        <v>281816289.265157</v>
      </c>
      <c r="K743" s="39" t="n">
        <f aca="false">(('Business Case'!E11*$C743*'Business Case'!E12*$B743)-'Business Case'!E11*$C743*'Business Case'!E13*$D743-'Business Case'!E14*$E743)-MAX(0,(('Business Case'!E11*$C743*'Business Case'!E12*$B743)-'Business Case'!E11*$C743*'Business Case'!E13*$D743-'Business Case'!E14*$E743))*'Business Case'!$B$7-'Business Case'!$B$8*(('Business Case'!E11*$C743*'Business Case'!E12*$B743)-('Business Case'!D11*$C743*'Business Case'!D12*$B743))-'Business Case'!E15*$F743</f>
        <v>618685599.048979</v>
      </c>
      <c r="L743" s="39" t="n">
        <f aca="false">(('Business Case'!F11*$C743*'Business Case'!F12*$B743)-'Business Case'!F11*$C743*'Business Case'!F13*$D743-'Business Case'!F14*$E743)-MAX(0,(('Business Case'!F11*$C743*'Business Case'!F12*$B743)-'Business Case'!F11*$C743*'Business Case'!F13*$D743-'Business Case'!F14*$E743))*'Business Case'!$B$7-'Business Case'!$B$8*(('Business Case'!F11*$C743*'Business Case'!F12*$B743)-('Business Case'!E11*$C743*'Business Case'!E12*$B743))-'Business Case'!F15*$F743</f>
        <v>743979905.415048</v>
      </c>
      <c r="M743" s="39" t="n">
        <f aca="false">(('Business Case'!G11*$C743*'Business Case'!G12*$B743)-'Business Case'!G11*$C743*'Business Case'!G13*$D743-'Business Case'!G14*$E743)-MAX(0,(('Business Case'!G11*$C743*'Business Case'!G12*$B743)-'Business Case'!G11*$C743*'Business Case'!G13*$D743-'Business Case'!G14*$E743))*'Business Case'!$B$7-'Business Case'!$B$8*(('Business Case'!G11*$C743*'Business Case'!G12*$B743)-('Business Case'!F11*$C743*'Business Case'!F12*$B743))-'Business Case'!G15*$F743+'Business Case'!$B$8*('Business Case'!G11*$C743*'Business Case'!G12*$B743)</f>
        <v>910503570.286075</v>
      </c>
      <c r="N743" s="39" t="n">
        <f aca="false">IF(COUNT('Business Case'!B11:G11)=0,"",H743+NPV(G743,I743:M743))</f>
        <v>-400495629.58095</v>
      </c>
      <c r="P743" s="40" t="n">
        <f aca="true">RAND()</f>
        <v>0.841862285791526</v>
      </c>
      <c r="Q743" s="40" t="n">
        <f aca="true">RAND()</f>
        <v>0.0609144719393381</v>
      </c>
      <c r="R743" s="40" t="n">
        <f aca="true">RAND()</f>
        <v>0.107291726691424</v>
      </c>
      <c r="S743" s="40" t="n">
        <f aca="true">RAND()</f>
        <v>0.11339108047108</v>
      </c>
      <c r="T743" s="40" t="n">
        <f aca="true">RAND()</f>
        <v>0.464371012147879</v>
      </c>
      <c r="U743" s="40" t="n">
        <f aca="true">RAND()</f>
        <v>0.977593369734509</v>
      </c>
    </row>
    <row r="744" customFormat="false" ht="15" hidden="false" customHeight="false" outlineLevel="0" collapsed="false">
      <c r="A744" s="36" t="n">
        <v>664</v>
      </c>
      <c r="B744" s="37" t="n">
        <f aca="false">1+IF($G$6=$E$6,$F$6,IF(P744&lt;($F$6-$E$6)/($G$6-$E$6),$E$6+SQRT(P744*($G$6-$E$6)*($F$6-$E$6)),$G$6-SQRT((1-P744)*($G$6-$E$6)*($G$6-$F$6))))</f>
        <v>1.01241092772333</v>
      </c>
      <c r="C744" s="37" t="n">
        <f aca="false">1+IF($G$7=$E$7,$F$7,IF(Q744&lt;($F$7-$E$7)/($G$7-$E$7),$E$7+SQRT(Q744*($G$7-$E$7)*($F$7-$E$7)),$G$7-SQRT((1-Q744)*($G$7-$E$7)*($G$7-$F$7))))</f>
        <v>0.953638010997789</v>
      </c>
      <c r="D744" s="37" t="n">
        <f aca="false">1+IF($G$8=$E$8,$F$8,IF(R744&lt;($F$8-$E$8)/($G$8-$E$8),$E$8+SQRT(R744*($G$8-$E$8)*($F$8-$E$8)),$G$8-SQRT((1-R744)*($G$8-$E$8)*($G$8-$F$8))))</f>
        <v>0.98298993938642</v>
      </c>
      <c r="E744" s="37" t="n">
        <f aca="false">1+IF($G$9=$E$9,$F$9,IF(S744&lt;($F$9-$E$9)/($G$9-$E$9),$E$9+SQRT(S744*($G$9-$E$9)*($F$9-$E$9)),$G$9-SQRT((1-S744)*($G$9-$E$9)*($G$9-$F$9))))</f>
        <v>1.00519911101329</v>
      </c>
      <c r="F744" s="37" t="n">
        <f aca="false">1+IF($G$10=$E$10,$F$10,IF(T744&lt;($F$10-$E$10)/($G$10-$E$10),$E$10+SQRT(T744*($G$10-$E$10)*($F$10-$E$10)),$G$10-SQRT((1-T744)*($G$10-$E$10)*($G$10-$F$10))))</f>
        <v>1.17030139400073</v>
      </c>
      <c r="G744" s="38" t="n">
        <f aca="false">IF($G$11=$E$11,$F$11,IF(U744&lt;($F$11-$E$11)/($G$11-$E$11),$E$11+SQRT(U744*($G$11-$E$11)*($F$11-$E$11)),$G$11-SQRT((1-U744)*($G$11-$E$11)*($G$11-$F$11))))</f>
        <v>0.101022442860673</v>
      </c>
      <c r="H744" s="39" t="n">
        <f aca="false">(('Business Case'!B11*$C744*'Business Case'!B12*$B744)-'Business Case'!B11*$C744*'Business Case'!B13*$D744-'Business Case'!B14*$E744)-MAX(0,(('Business Case'!B11*$C744*'Business Case'!B12*$B744)-'Business Case'!B11*$C744*'Business Case'!B13*$D744-'Business Case'!B14*$E744))*'Business Case'!$B$7-'Business Case'!$B$8*('Business Case'!B11*$C744*'Business Case'!B12*$B744)-'Business Case'!B15*$F744</f>
        <v>-2340602788.00146</v>
      </c>
      <c r="I744" s="39" t="n">
        <f aca="false">(('Business Case'!C11*$C744*'Business Case'!C12*$B744)-'Business Case'!C11*$C744*'Business Case'!C13*$D744-'Business Case'!C14*$E744)-MAX(0,(('Business Case'!C11*$C744*'Business Case'!C12*$B744)-'Business Case'!C11*$C744*'Business Case'!C13*$D744-'Business Case'!C14*$E744))*'Business Case'!$B$7-'Business Case'!$B$8*(('Business Case'!C11*$C744*'Business Case'!C12*$B744)-('Business Case'!B11*$C744*'Business Case'!B12*$B744))-'Business Case'!C15*$F744</f>
        <v>890453.848510549</v>
      </c>
      <c r="J744" s="39" t="n">
        <f aca="false">(('Business Case'!D11*$C744*'Business Case'!D12*$B744)-'Business Case'!D11*$C744*'Business Case'!D13*$D744-'Business Case'!D14*$E744)-MAX(0,(('Business Case'!D11*$C744*'Business Case'!D12*$B744)-'Business Case'!D11*$C744*'Business Case'!D13*$D744-'Business Case'!D14*$E744))*'Business Case'!$B$7-'Business Case'!$B$8*(('Business Case'!D11*$C744*'Business Case'!D12*$B744)-('Business Case'!C11*$C744*'Business Case'!C12*$B744))-'Business Case'!D15*$F744</f>
        <v>311800509.174413</v>
      </c>
      <c r="K744" s="39" t="n">
        <f aca="false">(('Business Case'!E11*$C744*'Business Case'!E12*$B744)-'Business Case'!E11*$C744*'Business Case'!E13*$D744-'Business Case'!E14*$E744)-MAX(0,(('Business Case'!E11*$C744*'Business Case'!E12*$B744)-'Business Case'!E11*$C744*'Business Case'!E13*$D744-'Business Case'!E14*$E744))*'Business Case'!$B$7-'Business Case'!$B$8*(('Business Case'!E11*$C744*'Business Case'!E12*$B744)-('Business Case'!D11*$C744*'Business Case'!D12*$B744))-'Business Case'!E15*$F744</f>
        <v>681225634.200352</v>
      </c>
      <c r="L744" s="39" t="n">
        <f aca="false">(('Business Case'!F11*$C744*'Business Case'!F12*$B744)-'Business Case'!F11*$C744*'Business Case'!F13*$D744-'Business Case'!F14*$E744)-MAX(0,(('Business Case'!F11*$C744*'Business Case'!F12*$B744)-'Business Case'!F11*$C744*'Business Case'!F13*$D744-'Business Case'!F14*$E744))*'Business Case'!$B$7-'Business Case'!$B$8*(('Business Case'!F11*$C744*'Business Case'!F12*$B744)-('Business Case'!E11*$C744*'Business Case'!E12*$B744))-'Business Case'!F15*$F744</f>
        <v>818229084.969807</v>
      </c>
      <c r="M744" s="39" t="n">
        <f aca="false">(('Business Case'!G11*$C744*'Business Case'!G12*$B744)-'Business Case'!G11*$C744*'Business Case'!G13*$D744-'Business Case'!G14*$E744)-MAX(0,(('Business Case'!G11*$C744*'Business Case'!G12*$B744)-'Business Case'!G11*$C744*'Business Case'!G13*$D744-'Business Case'!G14*$E744))*'Business Case'!$B$7-'Business Case'!$B$8*(('Business Case'!G11*$C744*'Business Case'!G12*$B744)-('Business Case'!F11*$C744*'Business Case'!F12*$B744))-'Business Case'!G15*$F744+'Business Case'!$B$8*('Business Case'!G11*$C744*'Business Case'!G12*$B744)</f>
        <v>1001746296.10432</v>
      </c>
      <c r="N744" s="39" t="n">
        <f aca="false">IF(COUNT('Business Case'!B11:G11)=0,"",H744+NPV(G744,I744:M744))</f>
        <v>-396284279.299819</v>
      </c>
      <c r="P744" s="40" t="n">
        <f aca="true">RAND()</f>
        <v>0.841425643940131</v>
      </c>
      <c r="Q744" s="40" t="n">
        <f aca="true">RAND()</f>
        <v>0.337209120333667</v>
      </c>
      <c r="R744" s="40" t="n">
        <f aca="true">RAND()</f>
        <v>0.167436323187645</v>
      </c>
      <c r="S744" s="40" t="n">
        <f aca="true">RAND()</f>
        <v>0.400852763155246</v>
      </c>
      <c r="T744" s="40" t="n">
        <f aca="true">RAND()</f>
        <v>0.982359856034004</v>
      </c>
      <c r="U744" s="40" t="n">
        <f aca="true">RAND()</f>
        <v>0.399753875039268</v>
      </c>
    </row>
    <row r="745" customFormat="false" ht="15" hidden="false" customHeight="false" outlineLevel="0" collapsed="false">
      <c r="A745" s="36" t="n">
        <v>665</v>
      </c>
      <c r="B745" s="37" t="n">
        <f aca="false">1+IF($G$6=$E$6,$F$6,IF(P745&lt;($F$6-$E$6)/($G$6-$E$6),$E$6+SQRT(P745*($G$6-$E$6)*($F$6-$E$6)),$G$6-SQRT((1-P745)*($G$6-$E$6)*($G$6-$F$6))))</f>
        <v>0.998705892531869</v>
      </c>
      <c r="C745" s="37" t="n">
        <f aca="false">1+IF($G$7=$E$7,$F$7,IF(Q745&lt;($F$7-$E$7)/($G$7-$E$7),$E$7+SQRT(Q745*($G$7-$E$7)*($F$7-$E$7)),$G$7-SQRT((1-Q745)*($G$7-$E$7)*($G$7-$F$7))))</f>
        <v>1.03695362187966</v>
      </c>
      <c r="D745" s="37" t="n">
        <f aca="false">1+IF($G$8=$E$8,$F$8,IF(R745&lt;($F$8-$E$8)/($G$8-$E$8),$E$8+SQRT(R745*($G$8-$E$8)*($F$8-$E$8)),$G$8-SQRT((1-R745)*($G$8-$E$8)*($G$8-$F$8))))</f>
        <v>0.974808982448744</v>
      </c>
      <c r="E745" s="37" t="n">
        <f aca="false">1+IF($G$9=$E$9,$F$9,IF(S745&lt;($F$9-$E$9)/($G$9-$E$9),$E$9+SQRT(S745*($G$9-$E$9)*($F$9-$E$9)),$G$9-SQRT((1-S745)*($G$9-$E$9)*($G$9-$F$9))))</f>
        <v>1.02262848701671</v>
      </c>
      <c r="F745" s="37" t="n">
        <f aca="false">1+IF($G$10=$E$10,$F$10,IF(T745&lt;($F$10-$E$10)/($G$10-$E$10),$E$10+SQRT(T745*($G$10-$E$10)*($F$10-$E$10)),$G$10-SQRT((1-T745)*($G$10-$E$10)*($G$10-$F$10))))</f>
        <v>1.07411288858541</v>
      </c>
      <c r="G745" s="38" t="n">
        <f aca="false">IF($G$11=$E$11,$F$11,IF(U745&lt;($F$11-$E$11)/($G$11-$E$11),$E$11+SQRT(U745*($G$11-$E$11)*($F$11-$E$11)),$G$11-SQRT((1-U745)*($G$11-$E$11)*($G$11-$F$11))))</f>
        <v>0.100204440871004</v>
      </c>
      <c r="H745" s="39" t="n">
        <f aca="false">(('Business Case'!B11*$C745*'Business Case'!B12*$B745)-'Business Case'!B11*$C745*'Business Case'!B13*$D745-'Business Case'!B14*$E745)-MAX(0,(('Business Case'!B11*$C745*'Business Case'!B12*$B745)-'Business Case'!B11*$C745*'Business Case'!B13*$D745-'Business Case'!B14*$E745))*'Business Case'!$B$7-'Business Case'!$B$8*('Business Case'!B11*$C745*'Business Case'!B12*$B745)-'Business Case'!B15*$F745</f>
        <v>-2148225777.17083</v>
      </c>
      <c r="I745" s="39" t="n">
        <f aca="false">(('Business Case'!C11*$C745*'Business Case'!C12*$B745)-'Business Case'!C11*$C745*'Business Case'!C13*$D745-'Business Case'!C14*$E745)-MAX(0,(('Business Case'!C11*$C745*'Business Case'!C12*$B745)-'Business Case'!C11*$C745*'Business Case'!C13*$D745-'Business Case'!C14*$E745))*'Business Case'!$B$7-'Business Case'!$B$8*(('Business Case'!C11*$C745*'Business Case'!C12*$B745)-('Business Case'!B11*$C745*'Business Case'!B12*$B745))-'Business Case'!C15*$F745</f>
        <v>24260403.8931322</v>
      </c>
      <c r="J745" s="39" t="n">
        <f aca="false">(('Business Case'!D11*$C745*'Business Case'!D12*$B745)-'Business Case'!D11*$C745*'Business Case'!D13*$D745-'Business Case'!D14*$E745)-MAX(0,(('Business Case'!D11*$C745*'Business Case'!D12*$B745)-'Business Case'!D11*$C745*'Business Case'!D13*$D745-'Business Case'!D14*$E745))*'Business Case'!$B$7-'Business Case'!$B$8*(('Business Case'!D11*$C745*'Business Case'!D12*$B745)-('Business Case'!C11*$C745*'Business Case'!C12*$B745))-'Business Case'!D15*$F745</f>
        <v>355035977.635371</v>
      </c>
      <c r="K745" s="39" t="n">
        <f aca="false">(('Business Case'!E11*$C745*'Business Case'!E12*$B745)-'Business Case'!E11*$C745*'Business Case'!E13*$D745-'Business Case'!E14*$E745)-MAX(0,(('Business Case'!E11*$C745*'Business Case'!E12*$B745)-'Business Case'!E11*$C745*'Business Case'!E13*$D745-'Business Case'!E14*$E745))*'Business Case'!$B$7-'Business Case'!$B$8*(('Business Case'!E11*$C745*'Business Case'!E12*$B745)-('Business Case'!D11*$C745*'Business Case'!D12*$B745))-'Business Case'!E15*$F745</f>
        <v>739517195.80688</v>
      </c>
      <c r="L745" s="39" t="n">
        <f aca="false">(('Business Case'!F11*$C745*'Business Case'!F12*$B745)-'Business Case'!F11*$C745*'Business Case'!F13*$D745-'Business Case'!F14*$E745)-MAX(0,(('Business Case'!F11*$C745*'Business Case'!F12*$B745)-'Business Case'!F11*$C745*'Business Case'!F13*$D745-'Business Case'!F14*$E745))*'Business Case'!$B$7-'Business Case'!$B$8*(('Business Case'!F11*$C745*'Business Case'!F12*$B745)-('Business Case'!E11*$C745*'Business Case'!E12*$B745))-'Business Case'!F15*$F745</f>
        <v>885566460.478819</v>
      </c>
      <c r="M745" s="39" t="n">
        <f aca="false">(('Business Case'!G11*$C745*'Business Case'!G12*$B745)-'Business Case'!G11*$C745*'Business Case'!G13*$D745-'Business Case'!G14*$E745)-MAX(0,(('Business Case'!G11*$C745*'Business Case'!G12*$B745)-'Business Case'!G11*$C745*'Business Case'!G13*$D745-'Business Case'!G14*$E745))*'Business Case'!$B$7-'Business Case'!$B$8*(('Business Case'!G11*$C745*'Business Case'!G12*$B745)-('Business Case'!F11*$C745*'Business Case'!F12*$B745))-'Business Case'!G15*$F745+'Business Case'!$B$8*('Business Case'!G11*$C745*'Business Case'!G12*$B745)</f>
        <v>1082415530.98038</v>
      </c>
      <c r="N745" s="39" t="n">
        <f aca="false">IF(COUNT('Business Case'!B11:G11)=0,"",H745+NPV(G745,I745:M745))</f>
        <v>-1690269.93790841</v>
      </c>
      <c r="P745" s="40" t="n">
        <f aca="true">RAND()</f>
        <v>0.645272658253975</v>
      </c>
      <c r="Q745" s="40" t="n">
        <f aca="true">RAND()</f>
        <v>0.756581264645209</v>
      </c>
      <c r="R745" s="40" t="n">
        <f aca="true">RAND()</f>
        <v>0.0946900938680131</v>
      </c>
      <c r="S745" s="40" t="n">
        <f aca="true">RAND()</f>
        <v>0.600909931911807</v>
      </c>
      <c r="T745" s="40" t="n">
        <f aca="true">RAND()</f>
        <v>0.683048703593836</v>
      </c>
      <c r="U745" s="40" t="n">
        <f aca="true">RAND()</f>
        <v>0.346893064617402</v>
      </c>
    </row>
    <row r="746" customFormat="false" ht="15" hidden="false" customHeight="false" outlineLevel="0" collapsed="false">
      <c r="A746" s="36" t="n">
        <v>666</v>
      </c>
      <c r="B746" s="37" t="n">
        <f aca="false">1+IF($G$6=$E$6,$F$6,IF(P746&lt;($F$6-$E$6)/($G$6-$E$6),$E$6+SQRT(P746*($G$6-$E$6)*($F$6-$E$6)),$G$6-SQRT((1-P746)*($G$6-$E$6)*($G$6-$F$6))))</f>
        <v>0.926583208265786</v>
      </c>
      <c r="C746" s="37" t="n">
        <f aca="false">1+IF($G$7=$E$7,$F$7,IF(Q746&lt;($F$7-$E$7)/($G$7-$E$7),$E$7+SQRT(Q746*($G$7-$E$7)*($F$7-$E$7)),$G$7-SQRT((1-Q746)*($G$7-$E$7)*($G$7-$F$7))))</f>
        <v>1.04876050132824</v>
      </c>
      <c r="D746" s="37" t="n">
        <f aca="false">1+IF($G$8=$E$8,$F$8,IF(R746&lt;($F$8-$E$8)/($G$8-$E$8),$E$8+SQRT(R746*($G$8-$E$8)*($F$8-$E$8)),$G$8-SQRT((1-R746)*($G$8-$E$8)*($G$8-$F$8))))</f>
        <v>0.988703025161152</v>
      </c>
      <c r="E746" s="37" t="n">
        <f aca="false">1+IF($G$9=$E$9,$F$9,IF(S746&lt;($F$9-$E$9)/($G$9-$E$9),$E$9+SQRT(S746*($G$9-$E$9)*($F$9-$E$9)),$G$9-SQRT((1-S746)*($G$9-$E$9)*($G$9-$F$9))))</f>
        <v>1.00376077372305</v>
      </c>
      <c r="F746" s="37" t="n">
        <f aca="false">1+IF($G$10=$E$10,$F$10,IF(T746&lt;($F$10-$E$10)/($G$10-$E$10),$E$10+SQRT(T746*($G$10-$E$10)*($F$10-$E$10)),$G$10-SQRT((1-T746)*($G$10-$E$10)*($G$10-$F$10))))</f>
        <v>1.0813963986604</v>
      </c>
      <c r="G746" s="38" t="n">
        <f aca="false">IF($G$11=$E$11,$F$11,IF(U746&lt;($F$11-$E$11)/($G$11-$E$11),$E$11+SQRT(U746*($G$11-$E$11)*($F$11-$E$11)),$G$11-SQRT((1-U746)*($G$11-$E$11)*($G$11-$F$11))))</f>
        <v>0.113557425964363</v>
      </c>
      <c r="H746" s="39" t="n">
        <f aca="false">(('Business Case'!B11*$C746*'Business Case'!B12*$B746)-'Business Case'!B11*$C746*'Business Case'!B13*$D746-'Business Case'!B14*$E746)-MAX(0,(('Business Case'!B11*$C746*'Business Case'!B12*$B746)-'Business Case'!B11*$C746*'Business Case'!B13*$D746-'Business Case'!B14*$E746))*'Business Case'!$B$7-'Business Case'!$B$8*('Business Case'!B11*$C746*'Business Case'!B12*$B746)-'Business Case'!B15*$F746</f>
        <v>-2162792797.3208</v>
      </c>
      <c r="I746" s="39" t="n">
        <f aca="false">(('Business Case'!C11*$C746*'Business Case'!C12*$B746)-'Business Case'!C11*$C746*'Business Case'!C13*$D746-'Business Case'!C14*$E746)-MAX(0,(('Business Case'!C11*$C746*'Business Case'!C12*$B746)-'Business Case'!C11*$C746*'Business Case'!C13*$D746-'Business Case'!C14*$E746))*'Business Case'!$B$7-'Business Case'!$B$8*(('Business Case'!C11*$C746*'Business Case'!C12*$B746)-('Business Case'!B11*$C746*'Business Case'!B12*$B746))-'Business Case'!C15*$F746</f>
        <v>-36122423.6797968</v>
      </c>
      <c r="J746" s="39" t="n">
        <f aca="false">(('Business Case'!D11*$C746*'Business Case'!D12*$B746)-'Business Case'!D11*$C746*'Business Case'!D13*$D746-'Business Case'!D14*$E746)-MAX(0,(('Business Case'!D11*$C746*'Business Case'!D12*$B746)-'Business Case'!D11*$C746*'Business Case'!D13*$D746-'Business Case'!D14*$E746))*'Business Case'!$B$7-'Business Case'!$B$8*(('Business Case'!D11*$C746*'Business Case'!D12*$B746)-('Business Case'!C11*$C746*'Business Case'!C12*$B746))-'Business Case'!D15*$F746</f>
        <v>229005813.551864</v>
      </c>
      <c r="K746" s="39" t="n">
        <f aca="false">(('Business Case'!E11*$C746*'Business Case'!E12*$B746)-'Business Case'!E11*$C746*'Business Case'!E13*$D746-'Business Case'!E14*$E746)-MAX(0,(('Business Case'!E11*$C746*'Business Case'!E12*$B746)-'Business Case'!E11*$C746*'Business Case'!E13*$D746-'Business Case'!E14*$E746))*'Business Case'!$B$7-'Business Case'!$B$8*(('Business Case'!E11*$C746*'Business Case'!E12*$B746)-('Business Case'!D11*$C746*'Business Case'!D12*$B746))-'Business Case'!E15*$F746</f>
        <v>548203870.716545</v>
      </c>
      <c r="L746" s="39" t="n">
        <f aca="false">(('Business Case'!F11*$C746*'Business Case'!F12*$B746)-'Business Case'!F11*$C746*'Business Case'!F13*$D746-'Business Case'!F14*$E746)-MAX(0,(('Business Case'!F11*$C746*'Business Case'!F12*$B746)-'Business Case'!F11*$C746*'Business Case'!F13*$D746-'Business Case'!F14*$E746))*'Business Case'!$B$7-'Business Case'!$B$8*(('Business Case'!F11*$C746*'Business Case'!F12*$B746)-('Business Case'!E11*$C746*'Business Case'!E12*$B746))-'Business Case'!F15*$F746</f>
        <v>670164109.141765</v>
      </c>
      <c r="M746" s="39" t="n">
        <f aca="false">(('Business Case'!G11*$C746*'Business Case'!G12*$B746)-'Business Case'!G11*$C746*'Business Case'!G13*$D746-'Business Case'!G14*$E746)-MAX(0,(('Business Case'!G11*$C746*'Business Case'!G12*$B746)-'Business Case'!G11*$C746*'Business Case'!G13*$D746-'Business Case'!G14*$E746))*'Business Case'!$B$7-'Business Case'!$B$8*(('Business Case'!G11*$C746*'Business Case'!G12*$B746)-('Business Case'!F11*$C746*'Business Case'!F12*$B746))-'Business Case'!G15*$F746+'Business Case'!$B$8*('Business Case'!G11*$C746*'Business Case'!G12*$B746)</f>
        <v>854876985.555767</v>
      </c>
      <c r="N746" s="39" t="n">
        <f aca="false">IF(COUNT('Business Case'!B11:G11)=0,"",H746+NPV(G746,I746:M746))</f>
        <v>-678418967.048316</v>
      </c>
      <c r="P746" s="40" t="n">
        <f aca="true">RAND()</f>
        <v>0.00451444073653252</v>
      </c>
      <c r="Q746" s="40" t="n">
        <f aca="true">RAND()</f>
        <v>0.804772645879837</v>
      </c>
      <c r="R746" s="40" t="n">
        <f aca="true">RAND()</f>
        <v>0.230449870249968</v>
      </c>
      <c r="S746" s="40" t="n">
        <f aca="true">RAND()</f>
        <v>0.382534088374228</v>
      </c>
      <c r="T746" s="40" t="n">
        <f aca="true">RAND()</f>
        <v>0.718663714985543</v>
      </c>
      <c r="U746" s="40" t="n">
        <f aca="true">RAND()</f>
        <v>0.93082206632556</v>
      </c>
    </row>
    <row r="747" customFormat="false" ht="15" hidden="false" customHeight="false" outlineLevel="0" collapsed="false">
      <c r="A747" s="36" t="n">
        <v>667</v>
      </c>
      <c r="B747" s="37" t="n">
        <f aca="false">1+IF($G$6=$E$6,$F$6,IF(P747&lt;($F$6-$E$6)/($G$6-$E$6),$E$6+SQRT(P747*($G$6-$E$6)*($F$6-$E$6)),$G$6-SQRT((1-P747)*($G$6-$E$6)*($G$6-$F$6))))</f>
        <v>0.990850668410846</v>
      </c>
      <c r="C747" s="37" t="n">
        <f aca="false">1+IF($G$7=$E$7,$F$7,IF(Q747&lt;($F$7-$E$7)/($G$7-$E$7),$E$7+SQRT(Q747*($G$7-$E$7)*($F$7-$E$7)),$G$7-SQRT((1-Q747)*($G$7-$E$7)*($G$7-$F$7))))</f>
        <v>1.03787650791202</v>
      </c>
      <c r="D747" s="37" t="n">
        <f aca="false">1+IF($G$8=$E$8,$F$8,IF(R747&lt;($F$8-$E$8)/($G$8-$E$8),$E$8+SQRT(R747*($G$8-$E$8)*($F$8-$E$8)),$G$8-SQRT((1-R747)*($G$8-$E$8)*($G$8-$F$8))))</f>
        <v>1.02922742104669</v>
      </c>
      <c r="E747" s="37" t="n">
        <f aca="false">1+IF($G$9=$E$9,$F$9,IF(S747&lt;($F$9-$E$9)/($G$9-$E$9),$E$9+SQRT(S747*($G$9-$E$9)*($F$9-$E$9)),$G$9-SQRT((1-S747)*($G$9-$E$9)*($G$9-$F$9))))</f>
        <v>0.967198726450573</v>
      </c>
      <c r="F747" s="37" t="n">
        <f aca="false">1+IF($G$10=$E$10,$F$10,IF(T747&lt;($F$10-$E$10)/($G$10-$E$10),$E$10+SQRT(T747*($G$10-$E$10)*($F$10-$E$10)),$G$10-SQRT((1-T747)*($G$10-$E$10)*($G$10-$F$10))))</f>
        <v>1.01215176718815</v>
      </c>
      <c r="G747" s="38" t="n">
        <f aca="false">IF($G$11=$E$11,$F$11,IF(U747&lt;($F$11-$E$11)/($G$11-$E$11),$E$11+SQRT(U747*($G$11-$E$11)*($F$11-$E$11)),$G$11-SQRT((1-U747)*($G$11-$E$11)*($G$11-$F$11))))</f>
        <v>0.111541568299492</v>
      </c>
      <c r="H747" s="39" t="n">
        <f aca="false">(('Business Case'!B11*$C747*'Business Case'!B12*$B747)-'Business Case'!B11*$C747*'Business Case'!B13*$D747-'Business Case'!B14*$E747)-MAX(0,(('Business Case'!B11*$C747*'Business Case'!B12*$B747)-'Business Case'!B11*$C747*'Business Case'!B13*$D747-'Business Case'!B14*$E747))*'Business Case'!$B$7-'Business Case'!$B$8*('Business Case'!B11*$C747*'Business Case'!B12*$B747)-'Business Case'!B15*$F747</f>
        <v>-2024303534.3763</v>
      </c>
      <c r="I747" s="39" t="n">
        <f aca="false">(('Business Case'!C11*$C747*'Business Case'!C12*$B747)-'Business Case'!C11*$C747*'Business Case'!C13*$D747-'Business Case'!C14*$E747)-MAX(0,(('Business Case'!C11*$C747*'Business Case'!C12*$B747)-'Business Case'!C11*$C747*'Business Case'!C13*$D747-'Business Case'!C14*$E747))*'Business Case'!$B$7-'Business Case'!$B$8*(('Business Case'!C11*$C747*'Business Case'!C12*$B747)-('Business Case'!B11*$C747*'Business Case'!B12*$B747))-'Business Case'!C15*$F747</f>
        <v>3417137.65399726</v>
      </c>
      <c r="J747" s="39" t="n">
        <f aca="false">(('Business Case'!D11*$C747*'Business Case'!D12*$B747)-'Business Case'!D11*$C747*'Business Case'!D13*$D747-'Business Case'!D14*$E747)-MAX(0,(('Business Case'!D11*$C747*'Business Case'!D12*$B747)-'Business Case'!D11*$C747*'Business Case'!D13*$D747-'Business Case'!D14*$E747))*'Business Case'!$B$7-'Business Case'!$B$8*(('Business Case'!D11*$C747*'Business Case'!D12*$B747)-('Business Case'!C11*$C747*'Business Case'!C12*$B747))-'Business Case'!D15*$F747</f>
        <v>298896362.869839</v>
      </c>
      <c r="K747" s="39" t="n">
        <f aca="false">(('Business Case'!E11*$C747*'Business Case'!E12*$B747)-'Business Case'!E11*$C747*'Business Case'!E13*$D747-'Business Case'!E14*$E747)-MAX(0,(('Business Case'!E11*$C747*'Business Case'!E12*$B747)-'Business Case'!E11*$C747*'Business Case'!E13*$D747-'Business Case'!E14*$E747))*'Business Case'!$B$7-'Business Case'!$B$8*(('Business Case'!E11*$C747*'Business Case'!E12*$B747)-('Business Case'!D11*$C747*'Business Case'!D12*$B747))-'Business Case'!E15*$F747</f>
        <v>644983176.445087</v>
      </c>
      <c r="L747" s="39" t="n">
        <f aca="false">(('Business Case'!F11*$C747*'Business Case'!F12*$B747)-'Business Case'!F11*$C747*'Business Case'!F13*$D747-'Business Case'!F14*$E747)-MAX(0,(('Business Case'!F11*$C747*'Business Case'!F12*$B747)-'Business Case'!F11*$C747*'Business Case'!F13*$D747-'Business Case'!F14*$E747))*'Business Case'!$B$7-'Business Case'!$B$8*(('Business Case'!F11*$C747*'Business Case'!F12*$B747)-('Business Case'!E11*$C747*'Business Case'!E12*$B747))-'Business Case'!F15*$F747</f>
        <v>779017086.144873</v>
      </c>
      <c r="M747" s="39" t="n">
        <f aca="false">(('Business Case'!G11*$C747*'Business Case'!G12*$B747)-'Business Case'!G11*$C747*'Business Case'!G13*$D747-'Business Case'!G14*$E747)-MAX(0,(('Business Case'!G11*$C747*'Business Case'!G12*$B747)-'Business Case'!G11*$C747*'Business Case'!G13*$D747-'Business Case'!G14*$E747))*'Business Case'!$B$7-'Business Case'!$B$8*(('Business Case'!G11*$C747*'Business Case'!G12*$B747)-('Business Case'!F11*$C747*'Business Case'!F12*$B747))-'Business Case'!G15*$F747+'Business Case'!$B$8*('Business Case'!G11*$C747*'Business Case'!G12*$B747)</f>
        <v>974491676.597983</v>
      </c>
      <c r="N747" s="39" t="n">
        <f aca="false">IF(COUNT('Business Case'!B11:G11)=0,"",H747+NPV(G747,I747:M747))</f>
        <v>-225027962.735407</v>
      </c>
      <c r="P747" s="40" t="n">
        <f aca="true">RAND()</f>
        <v>0.522897626485793</v>
      </c>
      <c r="Q747" s="40" t="n">
        <f aca="true">RAND()</f>
        <v>0.760539476609475</v>
      </c>
      <c r="R747" s="40" t="n">
        <f aca="true">RAND()</f>
        <v>0.752129348695133</v>
      </c>
      <c r="S747" s="40" t="n">
        <f aca="true">RAND()</f>
        <v>0.0394394922028858</v>
      </c>
      <c r="T747" s="40" t="n">
        <f aca="true">RAND()</f>
        <v>0.294260828589311</v>
      </c>
      <c r="U747" s="40" t="n">
        <f aca="true">RAND()</f>
        <v>0.880758221946413</v>
      </c>
    </row>
    <row r="748" customFormat="false" ht="15" hidden="false" customHeight="false" outlineLevel="0" collapsed="false">
      <c r="A748" s="36" t="n">
        <v>668</v>
      </c>
      <c r="B748" s="37" t="n">
        <f aca="false">1+IF($G$6=$E$6,$F$6,IF(P748&lt;($F$6-$E$6)/($G$6-$E$6),$E$6+SQRT(P748*($G$6-$E$6)*($F$6-$E$6)),$G$6-SQRT((1-P748)*($G$6-$E$6)*($G$6-$F$6))))</f>
        <v>1.02661449779198</v>
      </c>
      <c r="C748" s="37" t="n">
        <f aca="false">1+IF($G$7=$E$7,$F$7,IF(Q748&lt;($F$7-$E$7)/($G$7-$E$7),$E$7+SQRT(Q748*($G$7-$E$7)*($F$7-$E$7)),$G$7-SQRT((1-Q748)*($G$7-$E$7)*($G$7-$F$7))))</f>
        <v>1.06486835411073</v>
      </c>
      <c r="D748" s="37" t="n">
        <f aca="false">1+IF($G$8=$E$8,$F$8,IF(R748&lt;($F$8-$E$8)/($G$8-$E$8),$E$8+SQRT(R748*($G$8-$E$8)*($F$8-$E$8)),$G$8-SQRT((1-R748)*($G$8-$E$8)*($G$8-$F$8))))</f>
        <v>1.00784756247444</v>
      </c>
      <c r="E748" s="37" t="n">
        <f aca="false">1+IF($G$9=$E$9,$F$9,IF(S748&lt;($F$9-$E$9)/($G$9-$E$9),$E$9+SQRT(S748*($G$9-$E$9)*($F$9-$E$9)),$G$9-SQRT((1-S748)*($G$9-$E$9)*($G$9-$F$9))))</f>
        <v>0.983151931080817</v>
      </c>
      <c r="F748" s="37" t="n">
        <f aca="false">1+IF($G$10=$E$10,$F$10,IF(T748&lt;($F$10-$E$10)/($G$10-$E$10),$E$10+SQRT(T748*($G$10-$E$10)*($F$10-$E$10)),$G$10-SQRT((1-T748)*($G$10-$E$10)*($G$10-$F$10))))</f>
        <v>1.09321457821591</v>
      </c>
      <c r="G748" s="38" t="n">
        <f aca="false">IF($G$11=$E$11,$F$11,IF(U748&lt;($F$11-$E$11)/($G$11-$E$11),$E$11+SQRT(U748*($G$11-$E$11)*($F$11-$E$11)),$G$11-SQRT((1-U748)*($G$11-$E$11)*($G$11-$F$11))))</f>
        <v>0.0967780540533958</v>
      </c>
      <c r="H748" s="39" t="n">
        <f aca="false">(('Business Case'!B11*$C748*'Business Case'!B12*$B748)-'Business Case'!B11*$C748*'Business Case'!B13*$D748-'Business Case'!B14*$E748)-MAX(0,(('Business Case'!B11*$C748*'Business Case'!B12*$B748)-'Business Case'!B11*$C748*'Business Case'!B13*$D748-'Business Case'!B14*$E748))*'Business Case'!$B$7-'Business Case'!$B$8*('Business Case'!B11*$C748*'Business Case'!B12*$B748)-'Business Case'!B15*$F748</f>
        <v>-2186429156.43181</v>
      </c>
      <c r="I748" s="39" t="n">
        <f aca="false">(('Business Case'!C11*$C748*'Business Case'!C12*$B748)-'Business Case'!C11*$C748*'Business Case'!C13*$D748-'Business Case'!C14*$E748)-MAX(0,(('Business Case'!C11*$C748*'Business Case'!C12*$B748)-'Business Case'!C11*$C748*'Business Case'!C13*$D748-'Business Case'!C14*$E748))*'Business Case'!$B$7-'Business Case'!$B$8*(('Business Case'!C11*$C748*'Business Case'!C12*$B748)-('Business Case'!B11*$C748*'Business Case'!B12*$B748))-'Business Case'!C15*$F748</f>
        <v>40214158.7753959</v>
      </c>
      <c r="J748" s="39" t="n">
        <f aca="false">(('Business Case'!D11*$C748*'Business Case'!D12*$B748)-'Business Case'!D11*$C748*'Business Case'!D13*$D748-'Business Case'!D14*$E748)-MAX(0,(('Business Case'!D11*$C748*'Business Case'!D12*$B748)-'Business Case'!D11*$C748*'Business Case'!D13*$D748-'Business Case'!D14*$E748))*'Business Case'!$B$7-'Business Case'!$B$8*(('Business Case'!D11*$C748*'Business Case'!D12*$B748)-('Business Case'!C11*$C748*'Business Case'!C12*$B748))-'Business Case'!D15*$F748</f>
        <v>386225949.595221</v>
      </c>
      <c r="K748" s="39" t="n">
        <f aca="false">(('Business Case'!E11*$C748*'Business Case'!E12*$B748)-'Business Case'!E11*$C748*'Business Case'!E13*$D748-'Business Case'!E14*$E748)-MAX(0,(('Business Case'!E11*$C748*'Business Case'!E12*$B748)-'Business Case'!E11*$C748*'Business Case'!E13*$D748-'Business Case'!E14*$E748))*'Business Case'!$B$7-'Business Case'!$B$8*(('Business Case'!E11*$C748*'Business Case'!E12*$B748)-('Business Case'!D11*$C748*'Business Case'!D12*$B748))-'Business Case'!E15*$F748</f>
        <v>786898469.325841</v>
      </c>
      <c r="L748" s="39" t="n">
        <f aca="false">(('Business Case'!F11*$C748*'Business Case'!F12*$B748)-'Business Case'!F11*$C748*'Business Case'!F13*$D748-'Business Case'!F14*$E748)-MAX(0,(('Business Case'!F11*$C748*'Business Case'!F12*$B748)-'Business Case'!F11*$C748*'Business Case'!F13*$D748-'Business Case'!F14*$E748))*'Business Case'!$B$7-'Business Case'!$B$8*(('Business Case'!F11*$C748*'Business Case'!F12*$B748)-('Business Case'!E11*$C748*'Business Case'!E12*$B748))-'Business Case'!F15*$F748</f>
        <v>940017046.014547</v>
      </c>
      <c r="M748" s="39" t="n">
        <f aca="false">(('Business Case'!G11*$C748*'Business Case'!G12*$B748)-'Business Case'!G11*$C748*'Business Case'!G13*$D748-'Business Case'!G14*$E748)-MAX(0,(('Business Case'!G11*$C748*'Business Case'!G12*$B748)-'Business Case'!G11*$C748*'Business Case'!G13*$D748-'Business Case'!G14*$E748))*'Business Case'!$B$7-'Business Case'!$B$8*(('Business Case'!G11*$C748*'Business Case'!G12*$B748)-('Business Case'!F11*$C748*'Business Case'!F12*$B748))-'Business Case'!G15*$F748+'Business Case'!$B$8*('Business Case'!G11*$C748*'Business Case'!G12*$B748)</f>
        <v>1147814267.96608</v>
      </c>
      <c r="N748" s="39" t="n">
        <f aca="false">IF(COUNT('Business Case'!B11:G11)=0,"",H748+NPV(G748,I748:M748))</f>
        <v>140598127.616852</v>
      </c>
      <c r="P748" s="40" t="n">
        <f aca="true">RAND()</f>
        <v>0.962672568883122</v>
      </c>
      <c r="Q748" s="40" t="n">
        <f aca="true">RAND()</f>
        <v>0.861954340346347</v>
      </c>
      <c r="R748" s="40" t="n">
        <f aca="true">RAND()</f>
        <v>0.499425553761494</v>
      </c>
      <c r="S748" s="40" t="n">
        <f aca="true">RAND()</f>
        <v>0.146540071251635</v>
      </c>
      <c r="T748" s="40" t="n">
        <f aca="true">RAND()</f>
        <v>0.771937473887869</v>
      </c>
      <c r="U748" s="40" t="n">
        <f aca="true">RAND()</f>
        <v>0.15314005583585</v>
      </c>
    </row>
    <row r="749" customFormat="false" ht="15" hidden="false" customHeight="false" outlineLevel="0" collapsed="false">
      <c r="A749" s="36" t="n">
        <v>669</v>
      </c>
      <c r="B749" s="37" t="n">
        <f aca="false">1+IF($G$6=$E$6,$F$6,IF(P749&lt;($F$6-$E$6)/($G$6-$E$6),$E$6+SQRT(P749*($G$6-$E$6)*($F$6-$E$6)),$G$6-SQRT((1-P749)*($G$6-$E$6)*($G$6-$F$6))))</f>
        <v>1.01850449412236</v>
      </c>
      <c r="C749" s="37" t="n">
        <f aca="false">1+IF($G$7=$E$7,$F$7,IF(Q749&lt;($F$7-$E$7)/($G$7-$E$7),$E$7+SQRT(Q749*($G$7-$E$7)*($F$7-$E$7)),$G$7-SQRT((1-Q749)*($G$7-$E$7)*($G$7-$F$7))))</f>
        <v>1.10439522933894</v>
      </c>
      <c r="D749" s="37" t="n">
        <f aca="false">1+IF($G$8=$E$8,$F$8,IF(R749&lt;($F$8-$E$8)/($G$8-$E$8),$E$8+SQRT(R749*($G$8-$E$8)*($F$8-$E$8)),$G$8-SQRT((1-R749)*($G$8-$E$8)*($G$8-$F$8))))</f>
        <v>0.963622893874557</v>
      </c>
      <c r="E749" s="37" t="n">
        <f aca="false">1+IF($G$9=$E$9,$F$9,IF(S749&lt;($F$9-$E$9)/($G$9-$E$9),$E$9+SQRT(S749*($G$9-$E$9)*($F$9-$E$9)),$G$9-SQRT((1-S749)*($G$9-$E$9)*($G$9-$F$9))))</f>
        <v>1.04272516570016</v>
      </c>
      <c r="F749" s="37" t="n">
        <f aca="false">1+IF($G$10=$E$10,$F$10,IF(T749&lt;($F$10-$E$10)/($G$10-$E$10),$E$10+SQRT(T749*($G$10-$E$10)*($F$10-$E$10)),$G$10-SQRT((1-T749)*($G$10-$E$10)*($G$10-$F$10))))</f>
        <v>1.00053633856478</v>
      </c>
      <c r="G749" s="38" t="n">
        <f aca="false">IF($G$11=$E$11,$F$11,IF(U749&lt;($F$11-$E$11)/($G$11-$E$11),$E$11+SQRT(U749*($G$11-$E$11)*($F$11-$E$11)),$G$11-SQRT((1-U749)*($G$11-$E$11)*($G$11-$F$11))))</f>
        <v>0.111365812569271</v>
      </c>
      <c r="H749" s="39" t="n">
        <f aca="false">(('Business Case'!B11*$C749*'Business Case'!B12*$B749)-'Business Case'!B11*$C749*'Business Case'!B13*$D749-'Business Case'!B14*$E749)-MAX(0,(('Business Case'!B11*$C749*'Business Case'!B12*$B749)-'Business Case'!B11*$C749*'Business Case'!B13*$D749-'Business Case'!B14*$E749))*'Business Case'!$B$7-'Business Case'!$B$8*('Business Case'!B11*$C749*'Business Case'!B12*$B749)-'Business Case'!B15*$F749</f>
        <v>-2001072677.12955</v>
      </c>
      <c r="I749" s="39" t="n">
        <f aca="false">(('Business Case'!C11*$C749*'Business Case'!C12*$B749)-'Business Case'!C11*$C749*'Business Case'!C13*$D749-'Business Case'!C14*$E749)-MAX(0,(('Business Case'!C11*$C749*'Business Case'!C12*$B749)-'Business Case'!C11*$C749*'Business Case'!C13*$D749-'Business Case'!C14*$E749))*'Business Case'!$B$7-'Business Case'!$B$8*(('Business Case'!C11*$C749*'Business Case'!C12*$B749)-('Business Case'!B11*$C749*'Business Case'!B12*$B749))-'Business Case'!C15*$F749</f>
        <v>69881800.2222074</v>
      </c>
      <c r="J749" s="39" t="n">
        <f aca="false">(('Business Case'!D11*$C749*'Business Case'!D12*$B749)-'Business Case'!D11*$C749*'Business Case'!D13*$D749-'Business Case'!D14*$E749)-MAX(0,(('Business Case'!D11*$C749*'Business Case'!D12*$B749)-'Business Case'!D11*$C749*'Business Case'!D13*$D749-'Business Case'!D14*$E749))*'Business Case'!$B$7-'Business Case'!$B$8*(('Business Case'!D11*$C749*'Business Case'!D12*$B749)-('Business Case'!C11*$C749*'Business Case'!C12*$B749))-'Business Case'!D15*$F749</f>
        <v>446404018.049945</v>
      </c>
      <c r="K749" s="39" t="n">
        <f aca="false">(('Business Case'!E11*$C749*'Business Case'!E12*$B749)-'Business Case'!E11*$C749*'Business Case'!E13*$D749-'Business Case'!E14*$E749)-MAX(0,(('Business Case'!E11*$C749*'Business Case'!E12*$B749)-'Business Case'!E11*$C749*'Business Case'!E13*$D749-'Business Case'!E14*$E749))*'Business Case'!$B$7-'Business Case'!$B$8*(('Business Case'!E11*$C749*'Business Case'!E12*$B749)-('Business Case'!D11*$C749*'Business Case'!D12*$B749))-'Business Case'!E15*$F749</f>
        <v>872953052.80592</v>
      </c>
      <c r="L749" s="39" t="n">
        <f aca="false">(('Business Case'!F11*$C749*'Business Case'!F12*$B749)-'Business Case'!F11*$C749*'Business Case'!F13*$D749-'Business Case'!F14*$E749)-MAX(0,(('Business Case'!F11*$C749*'Business Case'!F12*$B749)-'Business Case'!F11*$C749*'Business Case'!F13*$D749-'Business Case'!F14*$E749))*'Business Case'!$B$7-'Business Case'!$B$8*(('Business Case'!F11*$C749*'Business Case'!F12*$B749)-('Business Case'!E11*$C749*'Business Case'!E12*$B749))-'Business Case'!F15*$F749</f>
        <v>1037334635.53949</v>
      </c>
      <c r="M749" s="39" t="n">
        <f aca="false">(('Business Case'!G11*$C749*'Business Case'!G12*$B749)-'Business Case'!G11*$C749*'Business Case'!G13*$D749-'Business Case'!G14*$E749)-MAX(0,(('Business Case'!G11*$C749*'Business Case'!G12*$B749)-'Business Case'!G11*$C749*'Business Case'!G13*$D749-'Business Case'!G14*$E749))*'Business Case'!$B$7-'Business Case'!$B$8*(('Business Case'!G11*$C749*'Business Case'!G12*$B749)-('Business Case'!F11*$C749*'Business Case'!F12*$B749))-'Business Case'!G15*$F749+'Business Case'!$B$8*('Business Case'!G11*$C749*'Business Case'!G12*$B749)</f>
        <v>1251142607.88995</v>
      </c>
      <c r="N749" s="39" t="n">
        <f aca="false">IF(COUNT('Business Case'!B11:G11)=0,"",H749+NPV(G749,I749:M749))</f>
        <v>477085977.646789</v>
      </c>
      <c r="P749" s="40" t="n">
        <f aca="true">RAND()</f>
        <v>0.903738172305099</v>
      </c>
      <c r="Q749" s="40" t="n">
        <f aca="true">RAND()</f>
        <v>0.960384855103843</v>
      </c>
      <c r="R749" s="40" t="n">
        <f aca="true">RAND()</f>
        <v>0.0285512673103734</v>
      </c>
      <c r="S749" s="40" t="n">
        <f aca="true">RAND()</f>
        <v>0.781306223728401</v>
      </c>
      <c r="T749" s="40" t="n">
        <f aca="true">RAND()</f>
        <v>0.204284955337096</v>
      </c>
      <c r="U749" s="40" t="n">
        <f aca="true">RAND()</f>
        <v>0.875751345685078</v>
      </c>
    </row>
    <row r="750" customFormat="false" ht="15" hidden="false" customHeight="false" outlineLevel="0" collapsed="false">
      <c r="A750" s="36" t="n">
        <v>670</v>
      </c>
      <c r="B750" s="37" t="n">
        <f aca="false">1+IF($G$6=$E$6,$F$6,IF(P750&lt;($F$6-$E$6)/($G$6-$E$6),$E$6+SQRT(P750*($G$6-$E$6)*($F$6-$E$6)),$G$6-SQRT((1-P750)*($G$6-$E$6)*($G$6-$F$6))))</f>
        <v>0.93542821857402</v>
      </c>
      <c r="C750" s="37" t="n">
        <f aca="false">1+IF($G$7=$E$7,$F$7,IF(Q750&lt;($F$7-$E$7)/($G$7-$E$7),$E$7+SQRT(Q750*($G$7-$E$7)*($F$7-$E$7)),$G$7-SQRT((1-Q750)*($G$7-$E$7)*($G$7-$F$7))))</f>
        <v>1.03534444965627</v>
      </c>
      <c r="D750" s="37" t="n">
        <f aca="false">1+IF($G$8=$E$8,$F$8,IF(R750&lt;($F$8-$E$8)/($G$8-$E$8),$E$8+SQRT(R750*($G$8-$E$8)*($F$8-$E$8)),$G$8-SQRT((1-R750)*($G$8-$E$8)*($G$8-$F$8))))</f>
        <v>1.01680752099377</v>
      </c>
      <c r="E750" s="37" t="n">
        <f aca="false">1+IF($G$9=$E$9,$F$9,IF(S750&lt;($F$9-$E$9)/($G$9-$E$9),$E$9+SQRT(S750*($G$9-$E$9)*($F$9-$E$9)),$G$9-SQRT((1-S750)*($G$9-$E$9)*($G$9-$F$9))))</f>
        <v>1.02642411276027</v>
      </c>
      <c r="F750" s="37" t="n">
        <f aca="false">1+IF($G$10=$E$10,$F$10,IF(T750&lt;($F$10-$E$10)/($G$10-$E$10),$E$10+SQRT(T750*($G$10-$E$10)*($F$10-$E$10)),$G$10-SQRT((1-T750)*($G$10-$E$10)*($G$10-$F$10))))</f>
        <v>0.978066780250479</v>
      </c>
      <c r="G750" s="38" t="n">
        <f aca="false">IF($G$11=$E$11,$F$11,IF(U750&lt;($F$11-$E$11)/($G$11-$E$11),$E$11+SQRT(U750*($G$11-$E$11)*($F$11-$E$11)),$G$11-SQRT((1-U750)*($G$11-$E$11)*($G$11-$F$11))))</f>
        <v>0.111573159983422</v>
      </c>
      <c r="H750" s="39" t="n">
        <f aca="false">(('Business Case'!B11*$C750*'Business Case'!B12*$B750)-'Business Case'!B11*$C750*'Business Case'!B13*$D750-'Business Case'!B14*$E750)-MAX(0,(('Business Case'!B11*$C750*'Business Case'!B12*$B750)-'Business Case'!B11*$C750*'Business Case'!B13*$D750-'Business Case'!B14*$E750))*'Business Case'!$B$7-'Business Case'!$B$8*('Business Case'!B11*$C750*'Business Case'!B12*$B750)-'Business Case'!B15*$F750</f>
        <v>-1956133560.50096</v>
      </c>
      <c r="I750" s="39" t="n">
        <f aca="false">(('Business Case'!C11*$C750*'Business Case'!C12*$B750)-'Business Case'!C11*$C750*'Business Case'!C13*$D750-'Business Case'!C14*$E750)-MAX(0,(('Business Case'!C11*$C750*'Business Case'!C12*$B750)-'Business Case'!C11*$C750*'Business Case'!C13*$D750-'Business Case'!C14*$E750))*'Business Case'!$B$7-'Business Case'!$B$8*(('Business Case'!C11*$C750*'Business Case'!C12*$B750)-('Business Case'!B11*$C750*'Business Case'!B12*$B750))-'Business Case'!C15*$F750</f>
        <v>-39629093.6402584</v>
      </c>
      <c r="J750" s="39" t="n">
        <f aca="false">(('Business Case'!D11*$C750*'Business Case'!D12*$B750)-'Business Case'!D11*$C750*'Business Case'!D13*$D750-'Business Case'!D14*$E750)-MAX(0,(('Business Case'!D11*$C750*'Business Case'!D12*$B750)-'Business Case'!D11*$C750*'Business Case'!D13*$D750-'Business Case'!D14*$E750))*'Business Case'!$B$7-'Business Case'!$B$8*(('Business Case'!D11*$C750*'Business Case'!D12*$B750)-('Business Case'!C11*$C750*'Business Case'!C12*$B750))-'Business Case'!D15*$F750</f>
        <v>214712542.648705</v>
      </c>
      <c r="K750" s="39" t="n">
        <f aca="false">(('Business Case'!E11*$C750*'Business Case'!E12*$B750)-'Business Case'!E11*$C750*'Business Case'!E13*$D750-'Business Case'!E14*$E750)-MAX(0,(('Business Case'!E11*$C750*'Business Case'!E12*$B750)-'Business Case'!E11*$C750*'Business Case'!E13*$D750-'Business Case'!E14*$E750))*'Business Case'!$B$7-'Business Case'!$B$8*(('Business Case'!E11*$C750*'Business Case'!E12*$B750)-('Business Case'!D11*$C750*'Business Case'!D12*$B750))-'Business Case'!E15*$F750</f>
        <v>517957517.950193</v>
      </c>
      <c r="L750" s="39" t="n">
        <f aca="false">(('Business Case'!F11*$C750*'Business Case'!F12*$B750)-'Business Case'!F11*$C750*'Business Case'!F13*$D750-'Business Case'!F14*$E750)-MAX(0,(('Business Case'!F11*$C750*'Business Case'!F12*$B750)-'Business Case'!F11*$C750*'Business Case'!F13*$D750-'Business Case'!F14*$E750))*'Business Case'!$B$7-'Business Case'!$B$8*(('Business Case'!F11*$C750*'Business Case'!F12*$B750)-('Business Case'!E11*$C750*'Business Case'!E12*$B750))-'Business Case'!F15*$F750</f>
        <v>636209092.092957</v>
      </c>
      <c r="M750" s="39" t="n">
        <f aca="false">(('Business Case'!G11*$C750*'Business Case'!G12*$B750)-'Business Case'!G11*$C750*'Business Case'!G13*$D750-'Business Case'!G14*$E750)-MAX(0,(('Business Case'!G11*$C750*'Business Case'!G12*$B750)-'Business Case'!G11*$C750*'Business Case'!G13*$D750-'Business Case'!G14*$E750))*'Business Case'!$B$7-'Business Case'!$B$8*(('Business Case'!G11*$C750*'Business Case'!G12*$B750)-('Business Case'!F11*$C750*'Business Case'!F12*$B750))-'Business Case'!G15*$F750+'Business Case'!$B$8*('Business Case'!G11*$C750*'Business Case'!G12*$B750)</f>
        <v>820299750.015058</v>
      </c>
      <c r="N750" s="39" t="n">
        <f aca="false">IF(COUNT('Business Case'!B11:G11)=0,"",H750+NPV(G750,I750:M750))</f>
        <v>-540795839.201815</v>
      </c>
      <c r="P750" s="40" t="n">
        <f aca="true">RAND()</f>
        <v>0.0247947842049718</v>
      </c>
      <c r="Q750" s="40" t="n">
        <f aca="true">RAND()</f>
        <v>0.749601995721459</v>
      </c>
      <c r="R750" s="40" t="n">
        <f aca="true">RAND()</f>
        <v>0.61602986510069</v>
      </c>
      <c r="S750" s="40" t="n">
        <f aca="true">RAND()</f>
        <v>0.639105921125788</v>
      </c>
      <c r="T750" s="40" t="n">
        <f aca="true">RAND()</f>
        <v>0.0630195322902963</v>
      </c>
      <c r="U750" s="40" t="n">
        <f aca="true">RAND()</f>
        <v>0.881647278891654</v>
      </c>
    </row>
    <row r="751" customFormat="false" ht="15" hidden="false" customHeight="false" outlineLevel="0" collapsed="false">
      <c r="A751" s="36" t="n">
        <v>671</v>
      </c>
      <c r="B751" s="37" t="n">
        <f aca="false">1+IF($G$6=$E$6,$F$6,IF(P751&lt;($F$6-$E$6)/($G$6-$E$6),$E$6+SQRT(P751*($G$6-$E$6)*($F$6-$E$6)),$G$6-SQRT((1-P751)*($G$6-$E$6)*($G$6-$F$6))))</f>
        <v>0.988547203806592</v>
      </c>
      <c r="C751" s="37" t="n">
        <f aca="false">1+IF($G$7=$E$7,$F$7,IF(Q751&lt;($F$7-$E$7)/($G$7-$E$7),$E$7+SQRT(Q751*($G$7-$E$7)*($F$7-$E$7)),$G$7-SQRT((1-Q751)*($G$7-$E$7)*($G$7-$F$7))))</f>
        <v>1.03953448132597</v>
      </c>
      <c r="D751" s="37" t="n">
        <f aca="false">1+IF($G$8=$E$8,$F$8,IF(R751&lt;($F$8-$E$8)/($G$8-$E$8),$E$8+SQRT(R751*($G$8-$E$8)*($F$8-$E$8)),$G$8-SQRT((1-R751)*($G$8-$E$8)*($G$8-$F$8))))</f>
        <v>1.03352173063425</v>
      </c>
      <c r="E751" s="37" t="n">
        <f aca="false">1+IF($G$9=$E$9,$F$9,IF(S751&lt;($F$9-$E$9)/($G$9-$E$9),$E$9+SQRT(S751*($G$9-$E$9)*($F$9-$E$9)),$G$9-SQRT((1-S751)*($G$9-$E$9)*($G$9-$F$9))))</f>
        <v>1.0491667280161</v>
      </c>
      <c r="F751" s="37" t="n">
        <f aca="false">1+IF($G$10=$E$10,$F$10,IF(T751&lt;($F$10-$E$10)/($G$10-$E$10),$E$10+SQRT(T751*($G$10-$E$10)*($F$10-$E$10)),$G$10-SQRT((1-T751)*($G$10-$E$10)*($G$10-$F$10))))</f>
        <v>1.04890297333371</v>
      </c>
      <c r="G751" s="38" t="n">
        <f aca="false">IF($G$11=$E$11,$F$11,IF(U751&lt;($F$11-$E$11)/($G$11-$E$11),$E$11+SQRT(U751*($G$11-$E$11)*($F$11-$E$11)),$G$11-SQRT((1-U751)*($G$11-$E$11)*($G$11-$F$11))))</f>
        <v>0.111662269977313</v>
      </c>
      <c r="H751" s="39" t="n">
        <f aca="false">(('Business Case'!B11*$C751*'Business Case'!B12*$B751)-'Business Case'!B11*$C751*'Business Case'!B13*$D751-'Business Case'!B14*$E751)-MAX(0,(('Business Case'!B11*$C751*'Business Case'!B12*$B751)-'Business Case'!B11*$C751*'Business Case'!B13*$D751-'Business Case'!B14*$E751))*'Business Case'!$B$7-'Business Case'!$B$8*('Business Case'!B11*$C751*'Business Case'!B12*$B751)-'Business Case'!B15*$F751</f>
        <v>-2097805946.66742</v>
      </c>
      <c r="I751" s="39" t="n">
        <f aca="false">(('Business Case'!C11*$C751*'Business Case'!C12*$B751)-'Business Case'!C11*$C751*'Business Case'!C13*$D751-'Business Case'!C14*$E751)-MAX(0,(('Business Case'!C11*$C751*'Business Case'!C12*$B751)-'Business Case'!C11*$C751*'Business Case'!C13*$D751-'Business Case'!C14*$E751))*'Business Case'!$B$7-'Business Case'!$B$8*(('Business Case'!C11*$C751*'Business Case'!C12*$B751)-('Business Case'!B11*$C751*'Business Case'!B12*$B751))-'Business Case'!C15*$F751</f>
        <v>-15649391.4819112</v>
      </c>
      <c r="J751" s="39" t="n">
        <f aca="false">(('Business Case'!D11*$C751*'Business Case'!D12*$B751)-'Business Case'!D11*$C751*'Business Case'!D13*$D751-'Business Case'!D14*$E751)-MAX(0,(('Business Case'!D11*$C751*'Business Case'!D12*$B751)-'Business Case'!D11*$C751*'Business Case'!D13*$D751-'Business Case'!D14*$E751))*'Business Case'!$B$7-'Business Case'!$B$8*(('Business Case'!D11*$C751*'Business Case'!D12*$B751)-('Business Case'!C11*$C751*'Business Case'!C12*$B751))-'Business Case'!D15*$F751</f>
        <v>276055305.516992</v>
      </c>
      <c r="K751" s="39" t="n">
        <f aca="false">(('Business Case'!E11*$C751*'Business Case'!E12*$B751)-'Business Case'!E11*$C751*'Business Case'!E13*$D751-'Business Case'!E14*$E751)-MAX(0,(('Business Case'!E11*$C751*'Business Case'!E12*$B751)-'Business Case'!E11*$C751*'Business Case'!E13*$D751-'Business Case'!E14*$E751))*'Business Case'!$B$7-'Business Case'!$B$8*(('Business Case'!E11*$C751*'Business Case'!E12*$B751)-('Business Case'!D11*$C751*'Business Case'!D12*$B751))-'Business Case'!E15*$F751</f>
        <v>620205151.18258</v>
      </c>
      <c r="L751" s="39" t="n">
        <f aca="false">(('Business Case'!F11*$C751*'Business Case'!F12*$B751)-'Business Case'!F11*$C751*'Business Case'!F13*$D751-'Business Case'!F14*$E751)-MAX(0,(('Business Case'!F11*$C751*'Business Case'!F12*$B751)-'Business Case'!F11*$C751*'Business Case'!F13*$D751-'Business Case'!F14*$E751))*'Business Case'!$B$7-'Business Case'!$B$8*(('Business Case'!F11*$C751*'Business Case'!F12*$B751)-('Business Case'!E11*$C751*'Business Case'!E12*$B751))-'Business Case'!F15*$F751</f>
        <v>752954905.13125</v>
      </c>
      <c r="M751" s="39" t="n">
        <f aca="false">(('Business Case'!G11*$C751*'Business Case'!G12*$B751)-'Business Case'!G11*$C751*'Business Case'!G13*$D751-'Business Case'!G14*$E751)-MAX(0,(('Business Case'!G11*$C751*'Business Case'!G12*$B751)-'Business Case'!G11*$C751*'Business Case'!G13*$D751-'Business Case'!G14*$E751))*'Business Case'!$B$7-'Business Case'!$B$8*(('Business Case'!G11*$C751*'Business Case'!G12*$B751)-('Business Case'!F11*$C751*'Business Case'!F12*$B751))-'Business Case'!G15*$F751+'Business Case'!$B$8*('Business Case'!G11*$C751*'Business Case'!G12*$B751)</f>
        <v>948286607.350944</v>
      </c>
      <c r="N751" s="39" t="n">
        <f aca="false">IF(COUNT('Business Case'!B11:G11)=0,"",H751+NPV(G751,I751:M751))</f>
        <v>-385441156.71399</v>
      </c>
      <c r="P751" s="40" t="n">
        <f aca="true">RAND()</f>
        <v>0.489449911427346</v>
      </c>
      <c r="Q751" s="40" t="n">
        <f aca="true">RAND()</f>
        <v>0.767568936839573</v>
      </c>
      <c r="R751" s="40" t="n">
        <f aca="true">RAND()</f>
        <v>0.792285622765878</v>
      </c>
      <c r="S751" s="40" t="n">
        <f aca="true">RAND()</f>
        <v>0.827731897294084</v>
      </c>
      <c r="T751" s="40" t="n">
        <f aca="true">RAND()</f>
        <v>0.543393770652138</v>
      </c>
      <c r="U751" s="40" t="n">
        <f aca="true">RAND()</f>
        <v>0.884137096781309</v>
      </c>
    </row>
    <row r="752" customFormat="false" ht="15" hidden="false" customHeight="false" outlineLevel="0" collapsed="false">
      <c r="A752" s="36" t="n">
        <v>672</v>
      </c>
      <c r="B752" s="37" t="n">
        <f aca="false">1+IF($G$6=$E$6,$F$6,IF(P752&lt;($F$6-$E$6)/($G$6-$E$6),$E$6+SQRT(P752*($G$6-$E$6)*($F$6-$E$6)),$G$6-SQRT((1-P752)*($G$6-$E$6)*($G$6-$F$6))))</f>
        <v>1.01635001009983</v>
      </c>
      <c r="C752" s="37" t="n">
        <f aca="false">1+IF($G$7=$E$7,$F$7,IF(Q752&lt;($F$7-$E$7)/($G$7-$E$7),$E$7+SQRT(Q752*($G$7-$E$7)*($F$7-$E$7)),$G$7-SQRT((1-Q752)*($G$7-$E$7)*($G$7-$F$7))))</f>
        <v>1.01362509542915</v>
      </c>
      <c r="D752" s="37" t="n">
        <f aca="false">1+IF($G$8=$E$8,$F$8,IF(R752&lt;($F$8-$E$8)/($G$8-$E$8),$E$8+SQRT(R752*($G$8-$E$8)*($F$8-$E$8)),$G$8-SQRT((1-R752)*($G$8-$E$8)*($G$8-$F$8))))</f>
        <v>1.04060620675825</v>
      </c>
      <c r="E752" s="37" t="n">
        <f aca="false">1+IF($G$9=$E$9,$F$9,IF(S752&lt;($F$9-$E$9)/($G$9-$E$9),$E$9+SQRT(S752*($G$9-$E$9)*($F$9-$E$9)),$G$9-SQRT((1-S752)*($G$9-$E$9)*($G$9-$F$9))))</f>
        <v>1.06321911917152</v>
      </c>
      <c r="F752" s="37" t="n">
        <f aca="false">1+IF($G$10=$E$10,$F$10,IF(T752&lt;($F$10-$E$10)/($G$10-$E$10),$E$10+SQRT(T752*($G$10-$E$10)*($F$10-$E$10)),$G$10-SQRT((1-T752)*($G$10-$E$10)*($G$10-$F$10))))</f>
        <v>1.05064797445947</v>
      </c>
      <c r="G752" s="38" t="n">
        <f aca="false">IF($G$11=$E$11,$F$11,IF(U752&lt;($F$11-$E$11)/($G$11-$E$11),$E$11+SQRT(U752*($G$11-$E$11)*($F$11-$E$11)),$G$11-SQRT((1-U752)*($G$11-$E$11)*($G$11-$F$11))))</f>
        <v>0.100500798734997</v>
      </c>
      <c r="H752" s="39" t="n">
        <f aca="false">(('Business Case'!B11*$C752*'Business Case'!B12*$B752)-'Business Case'!B11*$C752*'Business Case'!B13*$D752-'Business Case'!B14*$E752)-MAX(0,(('Business Case'!B11*$C752*'Business Case'!B12*$B752)-'Business Case'!B11*$C752*'Business Case'!B13*$D752-'Business Case'!B14*$E752))*'Business Case'!$B$7-'Business Case'!$B$8*('Business Case'!B11*$C752*'Business Case'!B12*$B752)-'Business Case'!B15*$F752</f>
        <v>-2101295948.91895</v>
      </c>
      <c r="I752" s="39" t="n">
        <f aca="false">(('Business Case'!C11*$C752*'Business Case'!C12*$B752)-'Business Case'!C11*$C752*'Business Case'!C13*$D752-'Business Case'!C14*$E752)-MAX(0,(('Business Case'!C11*$C752*'Business Case'!C12*$B752)-'Business Case'!C11*$C752*'Business Case'!C13*$D752-'Business Case'!C14*$E752))*'Business Case'!$B$7-'Business Case'!$B$8*(('Business Case'!C11*$C752*'Business Case'!C12*$B752)-('Business Case'!B11*$C752*'Business Case'!B12*$B752))-'Business Case'!C15*$F752</f>
        <v>-5819094.24771383</v>
      </c>
      <c r="J752" s="39" t="n">
        <f aca="false">(('Business Case'!D11*$C752*'Business Case'!D12*$B752)-'Business Case'!D11*$C752*'Business Case'!D13*$D752-'Business Case'!D14*$E752)-MAX(0,(('Business Case'!D11*$C752*'Business Case'!D12*$B752)-'Business Case'!D11*$C752*'Business Case'!D13*$D752-'Business Case'!D14*$E752))*'Business Case'!$B$7-'Business Case'!$B$8*(('Business Case'!D11*$C752*'Business Case'!D12*$B752)-('Business Case'!C11*$C752*'Business Case'!C12*$B752))-'Business Case'!D15*$F752</f>
        <v>298021825.587349</v>
      </c>
      <c r="K752" s="39" t="n">
        <f aca="false">(('Business Case'!E11*$C752*'Business Case'!E12*$B752)-'Business Case'!E11*$C752*'Business Case'!E13*$D752-'Business Case'!E14*$E752)-MAX(0,(('Business Case'!E11*$C752*'Business Case'!E12*$B752)-'Business Case'!E11*$C752*'Business Case'!E13*$D752-'Business Case'!E14*$E752))*'Business Case'!$B$7-'Business Case'!$B$8*(('Business Case'!E11*$C752*'Business Case'!E12*$B752)-('Business Case'!D11*$C752*'Business Case'!D12*$B752))-'Business Case'!E15*$F752</f>
        <v>654395144.145386</v>
      </c>
      <c r="L752" s="39" t="n">
        <f aca="false">(('Business Case'!F11*$C752*'Business Case'!F12*$B752)-'Business Case'!F11*$C752*'Business Case'!F13*$D752-'Business Case'!F14*$E752)-MAX(0,(('Business Case'!F11*$C752*'Business Case'!F12*$B752)-'Business Case'!F11*$C752*'Business Case'!F13*$D752-'Business Case'!F14*$E752))*'Business Case'!$B$7-'Business Case'!$B$8*(('Business Case'!F11*$C752*'Business Case'!F12*$B752)-('Business Case'!E11*$C752*'Business Case'!E12*$B752))-'Business Case'!F15*$F752</f>
        <v>791279089.350834</v>
      </c>
      <c r="M752" s="39" t="n">
        <f aca="false">(('Business Case'!G11*$C752*'Business Case'!G12*$B752)-'Business Case'!G11*$C752*'Business Case'!G13*$D752-'Business Case'!G14*$E752)-MAX(0,(('Business Case'!G11*$C752*'Business Case'!G12*$B752)-'Business Case'!G11*$C752*'Business Case'!G13*$D752-'Business Case'!G14*$E752))*'Business Case'!$B$7-'Business Case'!$B$8*(('Business Case'!G11*$C752*'Business Case'!G12*$B752)-('Business Case'!F11*$C752*'Business Case'!F12*$B752))-'Business Case'!G15*$F752+'Business Case'!$B$8*('Business Case'!G11*$C752*'Business Case'!G12*$B752)</f>
        <v>987099101.616515</v>
      </c>
      <c r="N752" s="39" t="n">
        <f aca="false">IF(COUNT('Business Case'!B11:G11)=0,"",H752+NPV(G752,I752:M752))</f>
        <v>-218534104.799705</v>
      </c>
      <c r="P752" s="40" t="n">
        <f aca="true">RAND()</f>
        <v>0.883474578692031</v>
      </c>
      <c r="Q752" s="40" t="n">
        <f aca="true">RAND()</f>
        <v>0.645750198157933</v>
      </c>
      <c r="R752" s="40" t="n">
        <f aca="true">RAND()</f>
        <v>0.850781639810209</v>
      </c>
      <c r="S752" s="40" t="n">
        <f aca="true">RAND()</f>
        <v>0.909811120365392</v>
      </c>
      <c r="T752" s="40" t="n">
        <f aca="true">RAND()</f>
        <v>0.553879449338836</v>
      </c>
      <c r="U752" s="40" t="n">
        <f aca="true">RAND()</f>
        <v>0.366301916711509</v>
      </c>
    </row>
    <row r="753" customFormat="false" ht="15" hidden="false" customHeight="false" outlineLevel="0" collapsed="false">
      <c r="A753" s="36" t="n">
        <v>673</v>
      </c>
      <c r="B753" s="37" t="n">
        <f aca="false">1+IF($G$6=$E$6,$F$6,IF(P753&lt;($F$6-$E$6)/($G$6-$E$6),$E$6+SQRT(P753*($G$6-$E$6)*($F$6-$E$6)),$G$6-SQRT((1-P753)*($G$6-$E$6)*($G$6-$F$6))))</f>
        <v>0.993867790752063</v>
      </c>
      <c r="C753" s="37" t="n">
        <f aca="false">1+IF($G$7=$E$7,$F$7,IF(Q753&lt;($F$7-$E$7)/($G$7-$E$7),$E$7+SQRT(Q753*($G$7-$E$7)*($F$7-$E$7)),$G$7-SQRT((1-Q753)*($G$7-$E$7)*($G$7-$F$7))))</f>
        <v>0.97689860838899</v>
      </c>
      <c r="D753" s="37" t="n">
        <f aca="false">1+IF($G$8=$E$8,$F$8,IF(R753&lt;($F$8-$E$8)/($G$8-$E$8),$E$8+SQRT(R753*($G$8-$E$8)*($F$8-$E$8)),$G$8-SQRT((1-R753)*($G$8-$E$8)*($G$8-$F$8))))</f>
        <v>1.03148569562515</v>
      </c>
      <c r="E753" s="37" t="n">
        <f aca="false">1+IF($G$9=$E$9,$F$9,IF(S753&lt;($F$9-$E$9)/($G$9-$E$9),$E$9+SQRT(S753*($G$9-$E$9)*($F$9-$E$9)),$G$9-SQRT((1-S753)*($G$9-$E$9)*($G$9-$F$9))))</f>
        <v>0.990704306615563</v>
      </c>
      <c r="F753" s="37" t="n">
        <f aca="false">1+IF($G$10=$E$10,$F$10,IF(T753&lt;($F$10-$E$10)/($G$10-$E$10),$E$10+SQRT(T753*($G$10-$E$10)*($F$10-$E$10)),$G$10-SQRT((1-T753)*($G$10-$E$10)*($G$10-$F$10))))</f>
        <v>1.15781201538095</v>
      </c>
      <c r="G753" s="38" t="n">
        <f aca="false">IF($G$11=$E$11,$F$11,IF(U753&lt;($F$11-$E$11)/($G$11-$E$11),$E$11+SQRT(U753*($G$11-$E$11)*($F$11-$E$11)),$G$11-SQRT((1-U753)*($G$11-$E$11)*($G$11-$F$11))))</f>
        <v>0.107891611106823</v>
      </c>
      <c r="H753" s="39" t="n">
        <f aca="false">(('Business Case'!B11*$C753*'Business Case'!B12*$B753)-'Business Case'!B11*$C753*'Business Case'!B13*$D753-'Business Case'!B14*$E753)-MAX(0,(('Business Case'!B11*$C753*'Business Case'!B12*$B753)-'Business Case'!B11*$C753*'Business Case'!B13*$D753-'Business Case'!B14*$E753))*'Business Case'!$B$7-'Business Case'!$B$8*('Business Case'!B11*$C753*'Business Case'!B12*$B753)-'Business Case'!B15*$F753</f>
        <v>-2315624030.7619</v>
      </c>
      <c r="I753" s="39" t="n">
        <f aca="false">(('Business Case'!C11*$C753*'Business Case'!C12*$B753)-'Business Case'!C11*$C753*'Business Case'!C13*$D753-'Business Case'!C14*$E753)-MAX(0,(('Business Case'!C11*$C753*'Business Case'!C12*$B753)-'Business Case'!C11*$C753*'Business Case'!C13*$D753-'Business Case'!C14*$E753))*'Business Case'!$B$7-'Business Case'!$B$8*(('Business Case'!C11*$C753*'Business Case'!C12*$B753)-('Business Case'!B11*$C753*'Business Case'!B12*$B753))-'Business Case'!C15*$F753</f>
        <v>-27587360.985205</v>
      </c>
      <c r="J753" s="39" t="n">
        <f aca="false">(('Business Case'!D11*$C753*'Business Case'!D12*$B753)-'Business Case'!D11*$C753*'Business Case'!D13*$D753-'Business Case'!D14*$E753)-MAX(0,(('Business Case'!D11*$C753*'Business Case'!D12*$B753)-'Business Case'!D11*$C753*'Business Case'!D13*$D753-'Business Case'!D14*$E753))*'Business Case'!$B$7-'Business Case'!$B$8*(('Business Case'!D11*$C753*'Business Case'!D12*$B753)-('Business Case'!C11*$C753*'Business Case'!C12*$B753))-'Business Case'!D15*$F753</f>
        <v>251816505.887378</v>
      </c>
      <c r="K753" s="39" t="n">
        <f aca="false">(('Business Case'!E11*$C753*'Business Case'!E12*$B753)-'Business Case'!E11*$C753*'Business Case'!E13*$D753-'Business Case'!E14*$E753)-MAX(0,(('Business Case'!E11*$C753*'Business Case'!E12*$B753)-'Business Case'!E11*$C753*'Business Case'!E13*$D753-'Business Case'!E14*$E753))*'Business Case'!$B$7-'Business Case'!$B$8*(('Business Case'!E11*$C753*'Business Case'!E12*$B753)-('Business Case'!D11*$C753*'Business Case'!D12*$B753))-'Business Case'!E15*$F753</f>
        <v>589110973.529008</v>
      </c>
      <c r="L753" s="39" t="n">
        <f aca="false">(('Business Case'!F11*$C753*'Business Case'!F12*$B753)-'Business Case'!F11*$C753*'Business Case'!F13*$D753-'Business Case'!F14*$E753)-MAX(0,(('Business Case'!F11*$C753*'Business Case'!F12*$B753)-'Business Case'!F11*$C753*'Business Case'!F13*$D753-'Business Case'!F14*$E753))*'Business Case'!$B$7-'Business Case'!$B$8*(('Business Case'!F11*$C753*'Business Case'!F12*$B753)-('Business Case'!E11*$C753*'Business Case'!E12*$B753))-'Business Case'!F15*$F753</f>
        <v>715800178.432509</v>
      </c>
      <c r="M753" s="39" t="n">
        <f aca="false">(('Business Case'!G11*$C753*'Business Case'!G12*$B753)-'Business Case'!G11*$C753*'Business Case'!G13*$D753-'Business Case'!G14*$E753)-MAX(0,(('Business Case'!G11*$C753*'Business Case'!G12*$B753)-'Business Case'!G11*$C753*'Business Case'!G13*$D753-'Business Case'!G14*$E753))*'Business Case'!$B$7-'Business Case'!$B$8*(('Business Case'!G11*$C753*'Business Case'!G12*$B753)-('Business Case'!F11*$C753*'Business Case'!F12*$B753))-'Business Case'!G15*$F753+'Business Case'!$B$8*('Business Case'!G11*$C753*'Business Case'!G12*$B753)</f>
        <v>900350382.802028</v>
      </c>
      <c r="N753" s="39" t="n">
        <f aca="false">IF(COUNT('Business Case'!B11:G11)=0,"",H753+NPV(G753,I753:M753))</f>
        <v>-687612418.35218</v>
      </c>
      <c r="P753" s="40" t="n">
        <f aca="true">RAND()</f>
        <v>0.568380261519856</v>
      </c>
      <c r="Q753" s="40" t="n">
        <f aca="true">RAND()</f>
        <v>0.447044537856589</v>
      </c>
      <c r="R753" s="40" t="n">
        <f aca="true">RAND()</f>
        <v>0.773688679906227</v>
      </c>
      <c r="S753" s="40" t="n">
        <f aca="true">RAND()</f>
        <v>0.220912076940506</v>
      </c>
      <c r="T753" s="40" t="n">
        <f aca="true">RAND()</f>
        <v>0.964403479075653</v>
      </c>
      <c r="U753" s="40" t="n">
        <f aca="true">RAND()</f>
        <v>0.755644864019314</v>
      </c>
    </row>
    <row r="754" customFormat="false" ht="15" hidden="false" customHeight="false" outlineLevel="0" collapsed="false">
      <c r="A754" s="36" t="n">
        <v>674</v>
      </c>
      <c r="B754" s="37" t="n">
        <f aca="false">1+IF($G$6=$E$6,$F$6,IF(P754&lt;($F$6-$E$6)/($G$6-$E$6),$E$6+SQRT(P754*($G$6-$E$6)*($F$6-$E$6)),$G$6-SQRT((1-P754)*($G$6-$E$6)*($G$6-$F$6))))</f>
        <v>0.968052135911006</v>
      </c>
      <c r="C754" s="37" t="n">
        <f aca="false">1+IF($G$7=$E$7,$F$7,IF(Q754&lt;($F$7-$E$7)/($G$7-$E$7),$E$7+SQRT(Q754*($G$7-$E$7)*($F$7-$E$7)),$G$7-SQRT((1-Q754)*($G$7-$E$7)*($G$7-$F$7))))</f>
        <v>1.00976114850665</v>
      </c>
      <c r="D754" s="37" t="n">
        <f aca="false">1+IF($G$8=$E$8,$F$8,IF(R754&lt;($F$8-$E$8)/($G$8-$E$8),$E$8+SQRT(R754*($G$8-$E$8)*($F$8-$E$8)),$G$8-SQRT((1-R754)*($G$8-$E$8)*($G$8-$F$8))))</f>
        <v>1.06390664660345</v>
      </c>
      <c r="E754" s="37" t="n">
        <f aca="false">1+IF($G$9=$E$9,$F$9,IF(S754&lt;($F$9-$E$9)/($G$9-$E$9),$E$9+SQRT(S754*($G$9-$E$9)*($F$9-$E$9)),$G$9-SQRT((1-S754)*($G$9-$E$9)*($G$9-$F$9))))</f>
        <v>1.00890850052112</v>
      </c>
      <c r="F754" s="37" t="n">
        <f aca="false">1+IF($G$10=$E$10,$F$10,IF(T754&lt;($F$10-$E$10)/($G$10-$E$10),$E$10+SQRT(T754*($G$10-$E$10)*($F$10-$E$10)),$G$10-SQRT((1-T754)*($G$10-$E$10)*($G$10-$F$10))))</f>
        <v>0.978851590730684</v>
      </c>
      <c r="G754" s="38" t="n">
        <f aca="false">IF($G$11=$E$11,$F$11,IF(U754&lt;($F$11-$E$11)/($G$11-$E$11),$E$11+SQRT(U754*($G$11-$E$11)*($F$11-$E$11)),$G$11-SQRT((1-U754)*($G$11-$E$11)*($G$11-$F$11))))</f>
        <v>0.100161688134347</v>
      </c>
      <c r="H754" s="39" t="n">
        <f aca="false">(('Business Case'!B11*$C754*'Business Case'!B12*$B754)-'Business Case'!B11*$C754*'Business Case'!B13*$D754-'Business Case'!B14*$E754)-MAX(0,(('Business Case'!B11*$C754*'Business Case'!B12*$B754)-'Business Case'!B11*$C754*'Business Case'!B13*$D754-'Business Case'!B14*$E754))*'Business Case'!$B$7-'Business Case'!$B$8*('Business Case'!B11*$C754*'Business Case'!B12*$B754)-'Business Case'!B15*$F754</f>
        <v>-1957703181.46137</v>
      </c>
      <c r="I754" s="39" t="n">
        <f aca="false">(('Business Case'!C11*$C754*'Business Case'!C12*$B754)-'Business Case'!C11*$C754*'Business Case'!C13*$D754-'Business Case'!C14*$E754)-MAX(0,(('Business Case'!C11*$C754*'Business Case'!C12*$B754)-'Business Case'!C11*$C754*'Business Case'!C13*$D754-'Business Case'!C14*$E754))*'Business Case'!$B$7-'Business Case'!$B$8*(('Business Case'!C11*$C754*'Business Case'!C12*$B754)-('Business Case'!B11*$C754*'Business Case'!B12*$B754))-'Business Case'!C15*$F754</f>
        <v>-41332920.1931324</v>
      </c>
      <c r="J754" s="39" t="n">
        <f aca="false">(('Business Case'!D11*$C754*'Business Case'!D12*$B754)-'Business Case'!D11*$C754*'Business Case'!D13*$D754-'Business Case'!D14*$E754)-MAX(0,(('Business Case'!D11*$C754*'Business Case'!D12*$B754)-'Business Case'!D11*$C754*'Business Case'!D13*$D754-'Business Case'!D14*$E754))*'Business Case'!$B$7-'Business Case'!$B$8*(('Business Case'!D11*$C754*'Business Case'!D12*$B754)-('Business Case'!C11*$C754*'Business Case'!C12*$B754))-'Business Case'!D15*$F754</f>
        <v>209359781.93279</v>
      </c>
      <c r="K754" s="39" t="n">
        <f aca="false">(('Business Case'!E11*$C754*'Business Case'!E12*$B754)-'Business Case'!E11*$C754*'Business Case'!E13*$D754-'Business Case'!E14*$E754)-MAX(0,(('Business Case'!E11*$C754*'Business Case'!E12*$B754)-'Business Case'!E11*$C754*'Business Case'!E13*$D754-'Business Case'!E14*$E754))*'Business Case'!$B$7-'Business Case'!$B$8*(('Business Case'!E11*$C754*'Business Case'!E12*$B754)-('Business Case'!D11*$C754*'Business Case'!D12*$B754))-'Business Case'!E15*$F754</f>
        <v>508995063.595246</v>
      </c>
      <c r="L754" s="39" t="n">
        <f aca="false">(('Business Case'!F11*$C754*'Business Case'!F12*$B754)-'Business Case'!F11*$C754*'Business Case'!F13*$D754-'Business Case'!F14*$E754)-MAX(0,(('Business Case'!F11*$C754*'Business Case'!F12*$B754)-'Business Case'!F11*$C754*'Business Case'!F13*$D754-'Business Case'!F14*$E754))*'Business Case'!$B$7-'Business Case'!$B$8*(('Business Case'!F11*$C754*'Business Case'!F12*$B754)-('Business Case'!E11*$C754*'Business Case'!E12*$B754))-'Business Case'!F15*$F754</f>
        <v>626341747.285143</v>
      </c>
      <c r="M754" s="39" t="n">
        <f aca="false">(('Business Case'!G11*$C754*'Business Case'!G12*$B754)-'Business Case'!G11*$C754*'Business Case'!G13*$D754-'Business Case'!G14*$E754)-MAX(0,(('Business Case'!G11*$C754*'Business Case'!G12*$B754)-'Business Case'!G11*$C754*'Business Case'!G13*$D754-'Business Case'!G14*$E754))*'Business Case'!$B$7-'Business Case'!$B$8*(('Business Case'!G11*$C754*'Business Case'!G12*$B754)-('Business Case'!F11*$C754*'Business Case'!F12*$B754))-'Business Case'!G15*$F754+'Business Case'!$B$8*('Business Case'!G11*$C754*'Business Case'!G12*$B754)</f>
        <v>812145220.348714</v>
      </c>
      <c r="N754" s="39" t="n">
        <f aca="false">IF(COUNT('Business Case'!B11:G11)=0,"",H754+NPV(G754,I754:M754))</f>
        <v>-508596104.282568</v>
      </c>
      <c r="P754" s="40" t="n">
        <f aca="true">RAND()</f>
        <v>0.24052164225102</v>
      </c>
      <c r="Q754" s="40" t="n">
        <f aca="true">RAND()</f>
        <v>0.62539170536814</v>
      </c>
      <c r="R754" s="40" t="n">
        <f aca="true">RAND()</f>
        <v>0.975096536197477</v>
      </c>
      <c r="S754" s="40" t="n">
        <f aca="true">RAND()</f>
        <v>0.446822581512621</v>
      </c>
      <c r="T754" s="40" t="n">
        <f aca="true">RAND()</f>
        <v>0.0665931430152699</v>
      </c>
      <c r="U754" s="40" t="n">
        <f aca="true">RAND()</f>
        <v>0.34406897053515</v>
      </c>
    </row>
    <row r="755" customFormat="false" ht="15" hidden="false" customHeight="false" outlineLevel="0" collapsed="false">
      <c r="A755" s="36" t="n">
        <v>675</v>
      </c>
      <c r="B755" s="37" t="n">
        <f aca="false">1+IF($G$6=$E$6,$F$6,IF(P755&lt;($F$6-$E$6)/($G$6-$E$6),$E$6+SQRT(P755*($G$6-$E$6)*($F$6-$E$6)),$G$6-SQRT((1-P755)*($G$6-$E$6)*($G$6-$F$6))))</f>
        <v>0.982527297375632</v>
      </c>
      <c r="C755" s="37" t="n">
        <f aca="false">1+IF($G$7=$E$7,$F$7,IF(Q755&lt;($F$7-$E$7)/($G$7-$E$7),$E$7+SQRT(Q755*($G$7-$E$7)*($F$7-$E$7)),$G$7-SQRT((1-Q755)*($G$7-$E$7)*($G$7-$F$7))))</f>
        <v>0.903995696834302</v>
      </c>
      <c r="D755" s="37" t="n">
        <f aca="false">1+IF($G$8=$E$8,$F$8,IF(R755&lt;($F$8-$E$8)/($G$8-$E$8),$E$8+SQRT(R755*($G$8-$E$8)*($F$8-$E$8)),$G$8-SQRT((1-R755)*($G$8-$E$8)*($G$8-$F$8))))</f>
        <v>1.01188037413103</v>
      </c>
      <c r="E755" s="37" t="n">
        <f aca="false">1+IF($G$9=$E$9,$F$9,IF(S755&lt;($F$9-$E$9)/($G$9-$E$9),$E$9+SQRT(S755*($G$9-$E$9)*($F$9-$E$9)),$G$9-SQRT((1-S755)*($G$9-$E$9)*($G$9-$F$9))))</f>
        <v>1.01577317922294</v>
      </c>
      <c r="F755" s="37" t="n">
        <f aca="false">1+IF($G$10=$E$10,$F$10,IF(T755&lt;($F$10-$E$10)/($G$10-$E$10),$E$10+SQRT(T755*($G$10-$E$10)*($F$10-$E$10)),$G$10-SQRT((1-T755)*($G$10-$E$10)*($G$10-$F$10))))</f>
        <v>1.03408033806227</v>
      </c>
      <c r="G755" s="38" t="n">
        <f aca="false">IF($G$11=$E$11,$F$11,IF(U755&lt;($F$11-$E$11)/($G$11-$E$11),$E$11+SQRT(U755*($G$11-$E$11)*($F$11-$E$11)),$G$11-SQRT((1-U755)*($G$11-$E$11)*($G$11-$F$11))))</f>
        <v>0.101238839048374</v>
      </c>
      <c r="H755" s="39" t="n">
        <f aca="false">(('Business Case'!B11*$C755*'Business Case'!B12*$B755)-'Business Case'!B11*$C755*'Business Case'!B13*$D755-'Business Case'!B14*$E755)-MAX(0,(('Business Case'!B11*$C755*'Business Case'!B12*$B755)-'Business Case'!B11*$C755*'Business Case'!B13*$D755-'Business Case'!B14*$E755))*'Business Case'!$B$7-'Business Case'!$B$8*('Business Case'!B11*$C755*'Business Case'!B12*$B755)-'Business Case'!B15*$F755</f>
        <v>-2068160676.12455</v>
      </c>
      <c r="I755" s="39" t="n">
        <f aca="false">(('Business Case'!C11*$C755*'Business Case'!C12*$B755)-'Business Case'!C11*$C755*'Business Case'!C13*$D755-'Business Case'!C14*$E755)-MAX(0,(('Business Case'!C11*$C755*'Business Case'!C12*$B755)-'Business Case'!C11*$C755*'Business Case'!C13*$D755-'Business Case'!C14*$E755))*'Business Case'!$B$7-'Business Case'!$B$8*(('Business Case'!C11*$C755*'Business Case'!C12*$B755)-('Business Case'!B11*$C755*'Business Case'!B12*$B755))-'Business Case'!C15*$F755</f>
        <v>-34666572.2893521</v>
      </c>
      <c r="J755" s="39" t="n">
        <f aca="false">(('Business Case'!D11*$C755*'Business Case'!D12*$B755)-'Business Case'!D11*$C755*'Business Case'!D13*$D755-'Business Case'!D14*$E755)-MAX(0,(('Business Case'!D11*$C755*'Business Case'!D12*$B755)-'Business Case'!D11*$C755*'Business Case'!D13*$D755-'Business Case'!D14*$E755))*'Business Case'!$B$7-'Business Case'!$B$8*(('Business Case'!D11*$C755*'Business Case'!D12*$B755)-('Business Case'!C11*$C755*'Business Case'!C12*$B755))-'Business Case'!D15*$F755</f>
        <v>224562146.581399</v>
      </c>
      <c r="K755" s="39" t="n">
        <f aca="false">(('Business Case'!E11*$C755*'Business Case'!E12*$B755)-'Business Case'!E11*$C755*'Business Case'!E13*$D755-'Business Case'!E14*$E755)-MAX(0,(('Business Case'!E11*$C755*'Business Case'!E12*$B755)-'Business Case'!E11*$C755*'Business Case'!E13*$D755-'Business Case'!E14*$E755))*'Business Case'!$B$7-'Business Case'!$B$8*(('Business Case'!E11*$C755*'Business Case'!E12*$B755)-('Business Case'!D11*$C755*'Business Case'!D12*$B755))-'Business Case'!E15*$F755</f>
        <v>535494882.355263</v>
      </c>
      <c r="L755" s="39" t="n">
        <f aca="false">(('Business Case'!F11*$C755*'Business Case'!F12*$B755)-'Business Case'!F11*$C755*'Business Case'!F13*$D755-'Business Case'!F14*$E755)-MAX(0,(('Business Case'!F11*$C755*'Business Case'!F12*$B755)-'Business Case'!F11*$C755*'Business Case'!F13*$D755-'Business Case'!F14*$E755))*'Business Case'!$B$7-'Business Case'!$B$8*(('Business Case'!F11*$C755*'Business Case'!F12*$B755)-('Business Case'!E11*$C755*'Business Case'!E12*$B755))-'Business Case'!F15*$F755</f>
        <v>652600662.82443</v>
      </c>
      <c r="M755" s="39" t="n">
        <f aca="false">(('Business Case'!G11*$C755*'Business Case'!G12*$B755)-'Business Case'!G11*$C755*'Business Case'!G13*$D755-'Business Case'!G14*$E755)-MAX(0,(('Business Case'!G11*$C755*'Business Case'!G12*$B755)-'Business Case'!G11*$C755*'Business Case'!G13*$D755-'Business Case'!G14*$E755))*'Business Case'!$B$7-'Business Case'!$B$8*(('Business Case'!G11*$C755*'Business Case'!G12*$B755)-('Business Case'!F11*$C755*'Business Case'!F12*$B755))-'Business Case'!G15*$F755+'Business Case'!$B$8*('Business Case'!G11*$C755*'Business Case'!G12*$B755)</f>
        <v>821429804.141801</v>
      </c>
      <c r="N755" s="39" t="n">
        <f aca="false">IF(COUNT('Business Case'!B11:G11)=0,"",H755+NPV(G755,I755:M755))</f>
        <v>-562586531.226236</v>
      </c>
      <c r="P755" s="40" t="n">
        <f aca="true">RAND()</f>
        <v>0.407256553864662</v>
      </c>
      <c r="Q755" s="40" t="n">
        <f aca="true">RAND()</f>
        <v>0.154501499429315</v>
      </c>
      <c r="R755" s="40" t="n">
        <f aca="true">RAND()</f>
        <v>0.553818901103019</v>
      </c>
      <c r="S755" s="40" t="n">
        <f aca="true">RAND()</f>
        <v>0.527056177452561</v>
      </c>
      <c r="T755" s="40" t="n">
        <f aca="true">RAND()</f>
        <v>0.449413315649418</v>
      </c>
      <c r="U755" s="40" t="n">
        <f aca="true">RAND()</f>
        <v>0.413364732911984</v>
      </c>
    </row>
    <row r="756" customFormat="false" ht="15" hidden="false" customHeight="false" outlineLevel="0" collapsed="false">
      <c r="A756" s="36" t="n">
        <v>676</v>
      </c>
      <c r="B756" s="37" t="n">
        <f aca="false">1+IF($G$6=$E$6,$F$6,IF(P756&lt;($F$6-$E$6)/($G$6-$E$6),$E$6+SQRT(P756*($G$6-$E$6)*($F$6-$E$6)),$G$6-SQRT((1-P756)*($G$6-$E$6)*($G$6-$F$6))))</f>
        <v>0.99491592010607</v>
      </c>
      <c r="C756" s="37" t="n">
        <f aca="false">1+IF($G$7=$E$7,$F$7,IF(Q756&lt;($F$7-$E$7)/($G$7-$E$7),$E$7+SQRT(Q756*($G$7-$E$7)*($F$7-$E$7)),$G$7-SQRT((1-Q756)*($G$7-$E$7)*($G$7-$F$7))))</f>
        <v>1.00977807736764</v>
      </c>
      <c r="D756" s="37" t="n">
        <f aca="false">1+IF($G$8=$E$8,$F$8,IF(R756&lt;($F$8-$E$8)/($G$8-$E$8),$E$8+SQRT(R756*($G$8-$E$8)*($F$8-$E$8)),$G$8-SQRT((1-R756)*($G$8-$E$8)*($G$8-$F$8))))</f>
        <v>1.00503757879389</v>
      </c>
      <c r="E756" s="37" t="n">
        <f aca="false">1+IF($G$9=$E$9,$F$9,IF(S756&lt;($F$9-$E$9)/($G$9-$E$9),$E$9+SQRT(S756*($G$9-$E$9)*($F$9-$E$9)),$G$9-SQRT((1-S756)*($G$9-$E$9)*($G$9-$F$9))))</f>
        <v>1.0628447928929</v>
      </c>
      <c r="F756" s="37" t="n">
        <f aca="false">1+IF($G$10=$E$10,$F$10,IF(T756&lt;($F$10-$E$10)/($G$10-$E$10),$E$10+SQRT(T756*($G$10-$E$10)*($F$10-$E$10)),$G$10-SQRT((1-T756)*($G$10-$E$10)*($G$10-$F$10))))</f>
        <v>1.09771606492854</v>
      </c>
      <c r="G756" s="38" t="n">
        <f aca="false">IF($G$11=$E$11,$F$11,IF(U756&lt;($F$11-$E$11)/($G$11-$E$11),$E$11+SQRT(U756*($G$11-$E$11)*($F$11-$E$11)),$G$11-SQRT((1-U756)*($G$11-$E$11)*($G$11-$F$11))))</f>
        <v>0.108560081520452</v>
      </c>
      <c r="H756" s="39" t="n">
        <f aca="false">(('Business Case'!B11*$C756*'Business Case'!B12*$B756)-'Business Case'!B11*$C756*'Business Case'!B13*$D756-'Business Case'!B14*$E756)-MAX(0,(('Business Case'!B11*$C756*'Business Case'!B12*$B756)-'Business Case'!B11*$C756*'Business Case'!B13*$D756-'Business Case'!B14*$E756))*'Business Case'!$B$7-'Business Case'!$B$8*('Business Case'!B11*$C756*'Business Case'!B12*$B756)-'Business Case'!B15*$F756</f>
        <v>-2195432129.85708</v>
      </c>
      <c r="I756" s="39" t="n">
        <f aca="false">(('Business Case'!C11*$C756*'Business Case'!C12*$B756)-'Business Case'!C11*$C756*'Business Case'!C13*$D756-'Business Case'!C14*$E756)-MAX(0,(('Business Case'!C11*$C756*'Business Case'!C12*$B756)-'Business Case'!C11*$C756*'Business Case'!C13*$D756-'Business Case'!C14*$E756))*'Business Case'!$B$7-'Business Case'!$B$8*(('Business Case'!C11*$C756*'Business Case'!C12*$B756)-('Business Case'!B11*$C756*'Business Case'!B12*$B756))-'Business Case'!C15*$F756</f>
        <v>-9642538.7868436</v>
      </c>
      <c r="J756" s="39" t="n">
        <f aca="false">(('Business Case'!D11*$C756*'Business Case'!D12*$B756)-'Business Case'!D11*$C756*'Business Case'!D13*$D756-'Business Case'!D14*$E756)-MAX(0,(('Business Case'!D11*$C756*'Business Case'!D12*$B756)-'Business Case'!D11*$C756*'Business Case'!D13*$D756-'Business Case'!D14*$E756))*'Business Case'!$B$7-'Business Case'!$B$8*(('Business Case'!D11*$C756*'Business Case'!D12*$B756)-('Business Case'!C11*$C756*'Business Case'!C12*$B756))-'Business Case'!D15*$F756</f>
        <v>293703818.200199</v>
      </c>
      <c r="K756" s="39" t="n">
        <f aca="false">(('Business Case'!E11*$C756*'Business Case'!E12*$B756)-'Business Case'!E11*$C756*'Business Case'!E13*$D756-'Business Case'!E14*$E756)-MAX(0,(('Business Case'!E11*$C756*'Business Case'!E12*$B756)-'Business Case'!E11*$C756*'Business Case'!E13*$D756-'Business Case'!E14*$E756))*'Business Case'!$B$7-'Business Case'!$B$8*(('Business Case'!E11*$C756*'Business Case'!E12*$B756)-('Business Case'!D11*$C756*'Business Case'!D12*$B756))-'Business Case'!E15*$F756</f>
        <v>651935978.433668</v>
      </c>
      <c r="L756" s="39" t="n">
        <f aca="false">(('Business Case'!F11*$C756*'Business Case'!F12*$B756)-'Business Case'!F11*$C756*'Business Case'!F13*$D756-'Business Case'!F14*$E756)-MAX(0,(('Business Case'!F11*$C756*'Business Case'!F12*$B756)-'Business Case'!F11*$C756*'Business Case'!F13*$D756-'Business Case'!F14*$E756))*'Business Case'!$B$7-'Business Case'!$B$8*(('Business Case'!F11*$C756*'Business Case'!F12*$B756)-('Business Case'!E11*$C756*'Business Case'!E12*$B756))-'Business Case'!F15*$F756</f>
        <v>787771937.250456</v>
      </c>
      <c r="M756" s="39" t="n">
        <f aca="false">(('Business Case'!G11*$C756*'Business Case'!G12*$B756)-'Business Case'!G11*$C756*'Business Case'!G13*$D756-'Business Case'!G14*$E756)-MAX(0,(('Business Case'!G11*$C756*'Business Case'!G12*$B756)-'Business Case'!G11*$C756*'Business Case'!G13*$D756-'Business Case'!G14*$E756))*'Business Case'!$B$7-'Business Case'!$B$8*(('Business Case'!G11*$C756*'Business Case'!G12*$B756)-('Business Case'!F11*$C756*'Business Case'!F12*$B756))-'Business Case'!G15*$F756+'Business Case'!$B$8*('Business Case'!G11*$C756*'Business Case'!G12*$B756)</f>
        <v>978734722.933213</v>
      </c>
      <c r="N756" s="39" t="n">
        <f aca="false">IF(COUNT('Business Case'!B11:G11)=0,"",H756+NPV(G756,I756:M756))</f>
        <v>-380339531.831496</v>
      </c>
      <c r="P756" s="40" t="n">
        <f aca="true">RAND()</f>
        <v>0.584624488056147</v>
      </c>
      <c r="Q756" s="40" t="n">
        <f aca="true">RAND()</f>
        <v>0.625482141205431</v>
      </c>
      <c r="R756" s="40" t="n">
        <f aca="true">RAND()</f>
        <v>0.45967648143439</v>
      </c>
      <c r="S756" s="40" t="n">
        <f aca="true">RAND()</f>
        <v>0.907966038988575</v>
      </c>
      <c r="T756" s="40" t="n">
        <f aca="true">RAND()</f>
        <v>0.790759932525947</v>
      </c>
      <c r="U756" s="40" t="n">
        <f aca="true">RAND()</f>
        <v>0.781880441968822</v>
      </c>
    </row>
    <row r="757" customFormat="false" ht="15" hidden="false" customHeight="false" outlineLevel="0" collapsed="false">
      <c r="A757" s="36" t="n">
        <v>677</v>
      </c>
      <c r="B757" s="37" t="n">
        <f aca="false">1+IF($G$6=$E$6,$F$6,IF(P757&lt;($F$6-$E$6)/($G$6-$E$6),$E$6+SQRT(P757*($G$6-$E$6)*($F$6-$E$6)),$G$6-SQRT((1-P757)*($G$6-$E$6)*($G$6-$F$6))))</f>
        <v>1.02486773575111</v>
      </c>
      <c r="C757" s="37" t="n">
        <f aca="false">1+IF($G$7=$E$7,$F$7,IF(Q757&lt;($F$7-$E$7)/($G$7-$E$7),$E$7+SQRT(Q757*($G$7-$E$7)*($F$7-$E$7)),$G$7-SQRT((1-Q757)*($G$7-$E$7)*($G$7-$F$7))))</f>
        <v>0.934908290186431</v>
      </c>
      <c r="D757" s="37" t="n">
        <f aca="false">1+IF($G$8=$E$8,$F$8,IF(R757&lt;($F$8-$E$8)/($G$8-$E$8),$E$8+SQRT(R757*($G$8-$E$8)*($F$8-$E$8)),$G$8-SQRT((1-R757)*($G$8-$E$8)*($G$8-$F$8))))</f>
        <v>1.00079803465322</v>
      </c>
      <c r="E757" s="37" t="n">
        <f aca="false">1+IF($G$9=$E$9,$F$9,IF(S757&lt;($F$9-$E$9)/($G$9-$E$9),$E$9+SQRT(S757*($G$9-$E$9)*($F$9-$E$9)),$G$9-SQRT((1-S757)*($G$9-$E$9)*($G$9-$F$9))))</f>
        <v>1.06061845813194</v>
      </c>
      <c r="F757" s="37" t="n">
        <f aca="false">1+IF($G$10=$E$10,$F$10,IF(T757&lt;($F$10-$E$10)/($G$10-$E$10),$E$10+SQRT(T757*($G$10-$E$10)*($F$10-$E$10)),$G$10-SQRT((1-T757)*($G$10-$E$10)*($G$10-$F$10))))</f>
        <v>1.03450337663705</v>
      </c>
      <c r="G757" s="38" t="n">
        <f aca="false">IF($G$11=$E$11,$F$11,IF(U757&lt;($F$11-$E$11)/($G$11-$E$11),$E$11+SQRT(U757*($G$11-$E$11)*($F$11-$E$11)),$G$11-SQRT((1-U757)*($G$11-$E$11)*($G$11-$F$11))))</f>
        <v>0.0917634276397236</v>
      </c>
      <c r="H757" s="39" t="n">
        <f aca="false">(('Business Case'!B11*$C757*'Business Case'!B12*$B757)-'Business Case'!B11*$C757*'Business Case'!B13*$D757-'Business Case'!B14*$E757)-MAX(0,(('Business Case'!B11*$C757*'Business Case'!B12*$B757)-'Business Case'!B11*$C757*'Business Case'!B13*$D757-'Business Case'!B14*$E757))*'Business Case'!$B$7-'Business Case'!$B$8*('Business Case'!B11*$C757*'Business Case'!B12*$B757)-'Business Case'!B15*$F757</f>
        <v>-2069006753.27411</v>
      </c>
      <c r="I757" s="39" t="n">
        <f aca="false">(('Business Case'!C11*$C757*'Business Case'!C12*$B757)-'Business Case'!C11*$C757*'Business Case'!C13*$D757-'Business Case'!C14*$E757)-MAX(0,(('Business Case'!C11*$C757*'Business Case'!C12*$B757)-'Business Case'!C11*$C757*'Business Case'!C13*$D757-'Business Case'!C14*$E757))*'Business Case'!$B$7-'Business Case'!$B$8*(('Business Case'!C11*$C757*'Business Case'!C12*$B757)-('Business Case'!B11*$C757*'Business Case'!B12*$B757))-'Business Case'!C15*$F757</f>
        <v>1878501.88735996</v>
      </c>
      <c r="J757" s="39" t="n">
        <f aca="false">(('Business Case'!D11*$C757*'Business Case'!D12*$B757)-'Business Case'!D11*$C757*'Business Case'!D13*$D757-'Business Case'!D14*$E757)-MAX(0,(('Business Case'!D11*$C757*'Business Case'!D12*$B757)-'Business Case'!D11*$C757*'Business Case'!D13*$D757-'Business Case'!D14*$E757))*'Business Case'!$B$7-'Business Case'!$B$8*(('Business Case'!D11*$C757*'Business Case'!D12*$B757)-('Business Case'!C11*$C757*'Business Case'!C12*$B757))-'Business Case'!D15*$F757</f>
        <v>307698162.8199</v>
      </c>
      <c r="K757" s="39" t="n">
        <f aca="false">(('Business Case'!E11*$C757*'Business Case'!E12*$B757)-'Business Case'!E11*$C757*'Business Case'!E13*$D757-'Business Case'!E14*$E757)-MAX(0,(('Business Case'!E11*$C757*'Business Case'!E12*$B757)-'Business Case'!E11*$C757*'Business Case'!E13*$D757-'Business Case'!E14*$E757))*'Business Case'!$B$7-'Business Case'!$B$8*(('Business Case'!E11*$C757*'Business Case'!E12*$B757)-('Business Case'!D11*$C757*'Business Case'!D12*$B757))-'Business Case'!E15*$F757</f>
        <v>665242992.584293</v>
      </c>
      <c r="L757" s="39" t="n">
        <f aca="false">(('Business Case'!F11*$C757*'Business Case'!F12*$B757)-'Business Case'!F11*$C757*'Business Case'!F13*$D757-'Business Case'!F14*$E757)-MAX(0,(('Business Case'!F11*$C757*'Business Case'!F12*$B757)-'Business Case'!F11*$C757*'Business Case'!F13*$D757-'Business Case'!F14*$E757))*'Business Case'!$B$7-'Business Case'!$B$8*(('Business Case'!F11*$C757*'Business Case'!F12*$B757)-('Business Case'!E11*$C757*'Business Case'!E12*$B757))-'Business Case'!F15*$F757</f>
        <v>800296797.318548</v>
      </c>
      <c r="M757" s="39" t="n">
        <f aca="false">(('Business Case'!G11*$C757*'Business Case'!G12*$B757)-'Business Case'!G11*$C757*'Business Case'!G13*$D757-'Business Case'!G14*$E757)-MAX(0,(('Business Case'!G11*$C757*'Business Case'!G12*$B757)-'Business Case'!G11*$C757*'Business Case'!G13*$D757-'Business Case'!G14*$E757))*'Business Case'!$B$7-'Business Case'!$B$8*(('Business Case'!G11*$C757*'Business Case'!G12*$B757)-('Business Case'!F11*$C757*'Business Case'!F12*$B757))-'Business Case'!G15*$F757+'Business Case'!$B$8*('Business Case'!G11*$C757*'Business Case'!G12*$B757)</f>
        <v>982423344.980626</v>
      </c>
      <c r="N757" s="39" t="n">
        <f aca="false">IF(COUNT('Business Case'!B11:G11)=0,"",H757+NPV(G757,I757:M757))</f>
        <v>-101270094.279771</v>
      </c>
      <c r="P757" s="40" t="n">
        <f aca="true">RAND()</f>
        <v>0.952294703896195</v>
      </c>
      <c r="Q757" s="40" t="n">
        <f aca="true">RAND()</f>
        <v>0.260003525157518</v>
      </c>
      <c r="R757" s="40" t="n">
        <f aca="true">RAND()</f>
        <v>0.396831604346878</v>
      </c>
      <c r="S757" s="40" t="n">
        <f aca="true">RAND()</f>
        <v>0.896606277339628</v>
      </c>
      <c r="T757" s="40" t="n">
        <f aca="true">RAND()</f>
        <v>0.452217353109259</v>
      </c>
      <c r="U757" s="40" t="n">
        <f aca="true">RAND()</f>
        <v>0.010365590135137</v>
      </c>
    </row>
    <row r="758" customFormat="false" ht="15" hidden="false" customHeight="false" outlineLevel="0" collapsed="false">
      <c r="A758" s="36" t="n">
        <v>678</v>
      </c>
      <c r="B758" s="37" t="n">
        <f aca="false">1+IF($G$6=$E$6,$F$6,IF(P758&lt;($F$6-$E$6)/($G$6-$E$6),$E$6+SQRT(P758*($G$6-$E$6)*($F$6-$E$6)),$G$6-SQRT((1-P758)*($G$6-$E$6)*($G$6-$F$6))))</f>
        <v>0.955264430908029</v>
      </c>
      <c r="C758" s="37" t="n">
        <f aca="false">1+IF($G$7=$E$7,$F$7,IF(Q758&lt;($F$7-$E$7)/($G$7-$E$7),$E$7+SQRT(Q758*($G$7-$E$7)*($F$7-$E$7)),$G$7-SQRT((1-Q758)*($G$7-$E$7)*($G$7-$F$7))))</f>
        <v>1.03474013726387</v>
      </c>
      <c r="D758" s="37" t="n">
        <f aca="false">1+IF($G$8=$E$8,$F$8,IF(R758&lt;($F$8-$E$8)/($G$8-$E$8),$E$8+SQRT(R758*($G$8-$E$8)*($F$8-$E$8)),$G$8-SQRT((1-R758)*($G$8-$E$8)*($G$8-$F$8))))</f>
        <v>1.01507281846796</v>
      </c>
      <c r="E758" s="37" t="n">
        <f aca="false">1+IF($G$9=$E$9,$F$9,IF(S758&lt;($F$9-$E$9)/($G$9-$E$9),$E$9+SQRT(S758*($G$9-$E$9)*($F$9-$E$9)),$G$9-SQRT((1-S758)*($G$9-$E$9)*($G$9-$F$9))))</f>
        <v>1.01565701067987</v>
      </c>
      <c r="F758" s="37" t="n">
        <f aca="false">1+IF($G$10=$E$10,$F$10,IF(T758&lt;($F$10-$E$10)/($G$10-$E$10),$E$10+SQRT(T758*($G$10-$E$10)*($F$10-$E$10)),$G$10-SQRT((1-T758)*($G$10-$E$10)*($G$10-$F$10))))</f>
        <v>1.02837626555052</v>
      </c>
      <c r="G758" s="38" t="n">
        <f aca="false">IF($G$11=$E$11,$F$11,IF(U758&lt;($F$11-$E$11)/($G$11-$E$11),$E$11+SQRT(U758*($G$11-$E$11)*($F$11-$E$11)),$G$11-SQRT((1-U758)*($G$11-$E$11)*($G$11-$F$11))))</f>
        <v>0.107314551622549</v>
      </c>
      <c r="H758" s="39" t="n">
        <f aca="false">(('Business Case'!B11*$C758*'Business Case'!B12*$B758)-'Business Case'!B11*$C758*'Business Case'!B13*$D758-'Business Case'!B14*$E758)-MAX(0,(('Business Case'!B11*$C758*'Business Case'!B12*$B758)-'Business Case'!B11*$C758*'Business Case'!B13*$D758-'Business Case'!B14*$E758))*'Business Case'!$B$7-'Business Case'!$B$8*('Business Case'!B11*$C758*'Business Case'!B12*$B758)-'Business Case'!B15*$F758</f>
        <v>-2056752531.10104</v>
      </c>
      <c r="I758" s="39" t="n">
        <f aca="false">(('Business Case'!C11*$C758*'Business Case'!C12*$B758)-'Business Case'!C11*$C758*'Business Case'!C13*$D758-'Business Case'!C14*$E758)-MAX(0,(('Business Case'!C11*$C758*'Business Case'!C12*$B758)-'Business Case'!C11*$C758*'Business Case'!C13*$D758-'Business Case'!C14*$E758))*'Business Case'!$B$7-'Business Case'!$B$8*(('Business Case'!C11*$C758*'Business Case'!C12*$B758)-('Business Case'!B11*$C758*'Business Case'!B12*$B758))-'Business Case'!C15*$F758</f>
        <v>-26581544.9571222</v>
      </c>
      <c r="J758" s="39" t="n">
        <f aca="false">(('Business Case'!D11*$C758*'Business Case'!D12*$B758)-'Business Case'!D11*$C758*'Business Case'!D13*$D758-'Business Case'!D14*$E758)-MAX(0,(('Business Case'!D11*$C758*'Business Case'!D12*$B758)-'Business Case'!D11*$C758*'Business Case'!D13*$D758-'Business Case'!D14*$E758))*'Business Case'!$B$7-'Business Case'!$B$8*(('Business Case'!D11*$C758*'Business Case'!D12*$B758)-('Business Case'!C11*$C758*'Business Case'!C12*$B758))-'Business Case'!D15*$F758</f>
        <v>245342234.802522</v>
      </c>
      <c r="K758" s="39" t="n">
        <f aca="false">(('Business Case'!E11*$C758*'Business Case'!E12*$B758)-'Business Case'!E11*$C758*'Business Case'!E13*$D758-'Business Case'!E14*$E758)-MAX(0,(('Business Case'!E11*$C758*'Business Case'!E12*$B758)-'Business Case'!E11*$C758*'Business Case'!E13*$D758-'Business Case'!E14*$E758))*'Business Case'!$B$7-'Business Case'!$B$8*(('Business Case'!E11*$C758*'Business Case'!E12*$B758)-('Business Case'!D11*$C758*'Business Case'!D12*$B758))-'Business Case'!E15*$F758</f>
        <v>568684827.839693</v>
      </c>
      <c r="L758" s="39" t="n">
        <f aca="false">(('Business Case'!F11*$C758*'Business Case'!F12*$B758)-'Business Case'!F11*$C758*'Business Case'!F13*$D758-'Business Case'!F14*$E758)-MAX(0,(('Business Case'!F11*$C758*'Business Case'!F12*$B758)-'Business Case'!F11*$C758*'Business Case'!F13*$D758-'Business Case'!F14*$E758))*'Business Case'!$B$7-'Business Case'!$B$8*(('Business Case'!F11*$C758*'Business Case'!F12*$B758)-('Business Case'!E11*$C758*'Business Case'!E12*$B758))-'Business Case'!F15*$F758</f>
        <v>693486935.254933</v>
      </c>
      <c r="M758" s="39" t="n">
        <f aca="false">(('Business Case'!G11*$C758*'Business Case'!G12*$B758)-'Business Case'!G11*$C758*'Business Case'!G13*$D758-'Business Case'!G14*$E758)-MAX(0,(('Business Case'!G11*$C758*'Business Case'!G12*$B758)-'Business Case'!G11*$C758*'Business Case'!G13*$D758-'Business Case'!G14*$E758))*'Business Case'!$B$7-'Business Case'!$B$8*(('Business Case'!G11*$C758*'Business Case'!G12*$B758)-('Business Case'!F11*$C758*'Business Case'!F12*$B758))-'Business Case'!G15*$F758+'Business Case'!$B$8*('Business Case'!G11*$C758*'Business Case'!G12*$B758)</f>
        <v>881371596.479404</v>
      </c>
      <c r="N758" s="39" t="n">
        <f aca="false">IF(COUNT('Business Case'!B11:G11)=0,"",H758+NPV(G758,I758:M758))</f>
        <v>-471122122.015464</v>
      </c>
      <c r="P758" s="40" t="n">
        <f aca="true">RAND()</f>
        <v>0.129539592423663</v>
      </c>
      <c r="Q758" s="40" t="n">
        <f aca="true">RAND()</f>
        <v>0.746955505562821</v>
      </c>
      <c r="R758" s="40" t="n">
        <f aca="true">RAND()</f>
        <v>0.594659720990906</v>
      </c>
      <c r="S758" s="40" t="n">
        <f aca="true">RAND()</f>
        <v>0.525750676836245</v>
      </c>
      <c r="T758" s="40" t="n">
        <f aca="true">RAND()</f>
        <v>0.410905875472296</v>
      </c>
      <c r="U758" s="40" t="n">
        <f aca="true">RAND()</f>
        <v>0.731798999105041</v>
      </c>
    </row>
    <row r="759" customFormat="false" ht="15" hidden="false" customHeight="false" outlineLevel="0" collapsed="false">
      <c r="A759" s="36" t="n">
        <v>679</v>
      </c>
      <c r="B759" s="37" t="n">
        <f aca="false">1+IF($G$6=$E$6,$F$6,IF(P759&lt;($F$6-$E$6)/($G$6-$E$6),$E$6+SQRT(P759*($G$6-$E$6)*($F$6-$E$6)),$G$6-SQRT((1-P759)*($G$6-$E$6)*($G$6-$F$6))))</f>
        <v>0.957904722681268</v>
      </c>
      <c r="C759" s="37" t="n">
        <f aca="false">1+IF($G$7=$E$7,$F$7,IF(Q759&lt;($F$7-$E$7)/($G$7-$E$7),$E$7+SQRT(Q759*($G$7-$E$7)*($F$7-$E$7)),$G$7-SQRT((1-Q759)*($G$7-$E$7)*($G$7-$F$7))))</f>
        <v>0.955716443619393</v>
      </c>
      <c r="D759" s="37" t="n">
        <f aca="false">1+IF($G$8=$E$8,$F$8,IF(R759&lt;($F$8-$E$8)/($G$8-$E$8),$E$8+SQRT(R759*($G$8-$E$8)*($F$8-$E$8)),$G$8-SQRT((1-R759)*($G$8-$E$8)*($G$8-$F$8))))</f>
        <v>1.0126112781388</v>
      </c>
      <c r="E759" s="37" t="n">
        <f aca="false">1+IF($G$9=$E$9,$F$9,IF(S759&lt;($F$9-$E$9)/($G$9-$E$9),$E$9+SQRT(S759*($G$9-$E$9)*($F$9-$E$9)),$G$9-SQRT((1-S759)*($G$9-$E$9)*($G$9-$F$9))))</f>
        <v>1.03117783906722</v>
      </c>
      <c r="F759" s="37" t="n">
        <f aca="false">1+IF($G$10=$E$10,$F$10,IF(T759&lt;($F$10-$E$10)/($G$10-$E$10),$E$10+SQRT(T759*($G$10-$E$10)*($F$10-$E$10)),$G$10-SQRT((1-T759)*($G$10-$E$10)*($G$10-$F$10))))</f>
        <v>1.02984365049218</v>
      </c>
      <c r="G759" s="38" t="n">
        <f aca="false">IF($G$11=$E$11,$F$11,IF(U759&lt;($F$11-$E$11)/($G$11-$E$11),$E$11+SQRT(U759*($G$11-$E$11)*($F$11-$E$11)),$G$11-SQRT((1-U759)*($G$11-$E$11)*($G$11-$F$11))))</f>
        <v>0.100503491089946</v>
      </c>
      <c r="H759" s="39" t="n">
        <f aca="false">(('Business Case'!B11*$C759*'Business Case'!B12*$B759)-'Business Case'!B11*$C759*'Business Case'!B13*$D759-'Business Case'!B14*$E759)-MAX(0,(('Business Case'!B11*$C759*'Business Case'!B12*$B759)-'Business Case'!B11*$C759*'Business Case'!B13*$D759-'Business Case'!B14*$E759))*'Business Case'!$B$7-'Business Case'!$B$8*('Business Case'!B11*$C759*'Business Case'!B12*$B759)-'Business Case'!B15*$F759</f>
        <v>-2059687300.98435</v>
      </c>
      <c r="I759" s="39" t="n">
        <f aca="false">(('Business Case'!C11*$C759*'Business Case'!C12*$B759)-'Business Case'!C11*$C759*'Business Case'!C13*$D759-'Business Case'!C14*$E759)-MAX(0,(('Business Case'!C11*$C759*'Business Case'!C12*$B759)-'Business Case'!C11*$C759*'Business Case'!C13*$D759-'Business Case'!C14*$E759))*'Business Case'!$B$7-'Business Case'!$B$8*(('Business Case'!C11*$C759*'Business Case'!C12*$B759)-('Business Case'!B11*$C759*'Business Case'!B12*$B759))-'Business Case'!C15*$F759</f>
        <v>-42648674.2077403</v>
      </c>
      <c r="J759" s="39" t="n">
        <f aca="false">(('Business Case'!D11*$C759*'Business Case'!D12*$B759)-'Business Case'!D11*$C759*'Business Case'!D13*$D759-'Business Case'!D14*$E759)-MAX(0,(('Business Case'!D11*$C759*'Business Case'!D12*$B759)-'Business Case'!D11*$C759*'Business Case'!D13*$D759-'Business Case'!D14*$E759))*'Business Case'!$B$7-'Business Case'!$B$8*(('Business Case'!D11*$C759*'Business Case'!D12*$B759)-('Business Case'!C11*$C759*'Business Case'!C12*$B759))-'Business Case'!D15*$F759</f>
        <v>211779263.036046</v>
      </c>
      <c r="K759" s="39" t="n">
        <f aca="false">(('Business Case'!E11*$C759*'Business Case'!E12*$B759)-'Business Case'!E11*$C759*'Business Case'!E13*$D759-'Business Case'!E14*$E759)-MAX(0,(('Business Case'!E11*$C759*'Business Case'!E12*$B759)-'Business Case'!E11*$C759*'Business Case'!E13*$D759-'Business Case'!E14*$E759))*'Business Case'!$B$7-'Business Case'!$B$8*(('Business Case'!E11*$C759*'Business Case'!E12*$B759)-('Business Case'!D11*$C759*'Business Case'!D12*$B759))-'Business Case'!E15*$F759</f>
        <v>517699382.80444</v>
      </c>
      <c r="L759" s="39" t="n">
        <f aca="false">(('Business Case'!F11*$C759*'Business Case'!F12*$B759)-'Business Case'!F11*$C759*'Business Case'!F13*$D759-'Business Case'!F14*$E759)-MAX(0,(('Business Case'!F11*$C759*'Business Case'!F12*$B759)-'Business Case'!F11*$C759*'Business Case'!F13*$D759-'Business Case'!F14*$E759))*'Business Case'!$B$7-'Business Case'!$B$8*(('Business Case'!F11*$C759*'Business Case'!F12*$B759)-('Business Case'!E11*$C759*'Business Case'!E12*$B759))-'Business Case'!F15*$F759</f>
        <v>634147867.010336</v>
      </c>
      <c r="M759" s="39" t="n">
        <f aca="false">(('Business Case'!G11*$C759*'Business Case'!G12*$B759)-'Business Case'!G11*$C759*'Business Case'!G13*$D759-'Business Case'!G14*$E759)-MAX(0,(('Business Case'!G11*$C759*'Business Case'!G12*$B759)-'Business Case'!G11*$C759*'Business Case'!G13*$D759-'Business Case'!G14*$E759))*'Business Case'!$B$7-'Business Case'!$B$8*(('Business Case'!G11*$C759*'Business Case'!G12*$B759)-('Business Case'!F11*$C759*'Business Case'!F12*$B759))-'Business Case'!G15*$F759+'Business Case'!$B$8*('Business Case'!G11*$C759*'Business Case'!G12*$B759)</f>
        <v>808163311.862488</v>
      </c>
      <c r="N759" s="39" t="n">
        <f aca="false">IF(COUNT('Business Case'!B11:G11)=0,"",H759+NPV(G759,I759:M759))</f>
        <v>-602157014.27088</v>
      </c>
      <c r="P759" s="40" t="n">
        <f aca="true">RAND()</f>
        <v>0.149663333494151</v>
      </c>
      <c r="Q759" s="40" t="n">
        <f aca="true">RAND()</f>
        <v>0.346394440192452</v>
      </c>
      <c r="R759" s="40" t="n">
        <f aca="true">RAND()</f>
        <v>0.563342323645604</v>
      </c>
      <c r="S759" s="40" t="n">
        <f aca="true">RAND()</f>
        <v>0.68423401096946</v>
      </c>
      <c r="T759" s="40" t="n">
        <f aca="true">RAND()</f>
        <v>0.420936334443431</v>
      </c>
      <c r="U759" s="40" t="n">
        <f aca="true">RAND()</f>
        <v>0.366476900533615</v>
      </c>
    </row>
    <row r="760" customFormat="false" ht="15" hidden="false" customHeight="false" outlineLevel="0" collapsed="false">
      <c r="A760" s="36" t="n">
        <v>680</v>
      </c>
      <c r="B760" s="37" t="n">
        <f aca="false">1+IF($G$6=$E$6,$F$6,IF(P760&lt;($F$6-$E$6)/($G$6-$E$6),$E$6+SQRT(P760*($G$6-$E$6)*($F$6-$E$6)),$G$6-SQRT((1-P760)*($G$6-$E$6)*($G$6-$F$6))))</f>
        <v>0.974411076161096</v>
      </c>
      <c r="C760" s="37" t="n">
        <f aca="false">1+IF($G$7=$E$7,$F$7,IF(Q760&lt;($F$7-$E$7)/($G$7-$E$7),$E$7+SQRT(Q760*($G$7-$E$7)*($F$7-$E$7)),$G$7-SQRT((1-Q760)*($G$7-$E$7)*($G$7-$F$7))))</f>
        <v>0.993195356264495</v>
      </c>
      <c r="D760" s="37" t="n">
        <f aca="false">1+IF($G$8=$E$8,$F$8,IF(R760&lt;($F$8-$E$8)/($G$8-$E$8),$E$8+SQRT(R760*($G$8-$E$8)*($F$8-$E$8)),$G$8-SQRT((1-R760)*($G$8-$E$8)*($G$8-$F$8))))</f>
        <v>1.03249125504144</v>
      </c>
      <c r="E760" s="37" t="n">
        <f aca="false">1+IF($G$9=$E$9,$F$9,IF(S760&lt;($F$9-$E$9)/($G$9-$E$9),$E$9+SQRT(S760*($G$9-$E$9)*($F$9-$E$9)),$G$9-SQRT((1-S760)*($G$9-$E$9)*($G$9-$F$9))))</f>
        <v>1.05570197664095</v>
      </c>
      <c r="F760" s="37" t="n">
        <f aca="false">1+IF($G$10=$E$10,$F$10,IF(T760&lt;($F$10-$E$10)/($G$10-$E$10),$E$10+SQRT(T760*($G$10-$E$10)*($F$10-$E$10)),$G$10-SQRT((1-T760)*($G$10-$E$10)*($G$10-$F$10))))</f>
        <v>0.973106202041101</v>
      </c>
      <c r="G760" s="38" t="n">
        <f aca="false">IF($G$11=$E$11,$F$11,IF(U760&lt;($F$11-$E$11)/($G$11-$E$11),$E$11+SQRT(U760*($G$11-$E$11)*($F$11-$E$11)),$G$11-SQRT((1-U760)*($G$11-$E$11)*($G$11-$F$11))))</f>
        <v>0.0998391435296181</v>
      </c>
      <c r="H760" s="39" t="n">
        <f aca="false">(('Business Case'!B11*$C760*'Business Case'!B12*$B760)-'Business Case'!B11*$C760*'Business Case'!B13*$D760-'Business Case'!B14*$E760)-MAX(0,(('Business Case'!B11*$C760*'Business Case'!B12*$B760)-'Business Case'!B11*$C760*'Business Case'!B13*$D760-'Business Case'!B14*$E760))*'Business Case'!$B$7-'Business Case'!$B$8*('Business Case'!B11*$C760*'Business Case'!B12*$B760)-'Business Case'!B15*$F760</f>
        <v>-1946212404.0822</v>
      </c>
      <c r="I760" s="39" t="n">
        <f aca="false">(('Business Case'!C11*$C760*'Business Case'!C12*$B760)-'Business Case'!C11*$C760*'Business Case'!C13*$D760-'Business Case'!C14*$E760)-MAX(0,(('Business Case'!C11*$C760*'Business Case'!C12*$B760)-'Business Case'!C11*$C760*'Business Case'!C13*$D760-'Business Case'!C14*$E760))*'Business Case'!$B$7-'Business Case'!$B$8*(('Business Case'!C11*$C760*'Business Case'!C12*$B760)-('Business Case'!B11*$C760*'Business Case'!B12*$B760))-'Business Case'!C15*$F760</f>
        <v>-29875538.7331766</v>
      </c>
      <c r="J760" s="39" t="n">
        <f aca="false">(('Business Case'!D11*$C760*'Business Case'!D12*$B760)-'Business Case'!D11*$C760*'Business Case'!D13*$D760-'Business Case'!D14*$E760)-MAX(0,(('Business Case'!D11*$C760*'Business Case'!D12*$B760)-'Business Case'!D11*$C760*'Business Case'!D13*$D760-'Business Case'!D14*$E760))*'Business Case'!$B$7-'Business Case'!$B$8*(('Business Case'!D11*$C760*'Business Case'!D12*$B760)-('Business Case'!C11*$C760*'Business Case'!C12*$B760))-'Business Case'!D15*$F760</f>
        <v>237850107.835816</v>
      </c>
      <c r="K760" s="39" t="n">
        <f aca="false">(('Business Case'!E11*$C760*'Business Case'!E12*$B760)-'Business Case'!E11*$C760*'Business Case'!E13*$D760-'Business Case'!E14*$E760)-MAX(0,(('Business Case'!E11*$C760*'Business Case'!E12*$B760)-'Business Case'!E11*$C760*'Business Case'!E13*$D760-'Business Case'!E14*$E760))*'Business Case'!$B$7-'Business Case'!$B$8*(('Business Case'!E11*$C760*'Business Case'!E12*$B760)-('Business Case'!D11*$C760*'Business Case'!D12*$B760))-'Business Case'!E15*$F760</f>
        <v>554231064.506865</v>
      </c>
      <c r="L760" s="39" t="n">
        <f aca="false">(('Business Case'!F11*$C760*'Business Case'!F12*$B760)-'Business Case'!F11*$C760*'Business Case'!F13*$D760-'Business Case'!F14*$E760)-MAX(0,(('Business Case'!F11*$C760*'Business Case'!F12*$B760)-'Business Case'!F11*$C760*'Business Case'!F13*$D760-'Business Case'!F14*$E760))*'Business Case'!$B$7-'Business Case'!$B$8*(('Business Case'!F11*$C760*'Business Case'!F12*$B760)-('Business Case'!E11*$C760*'Business Case'!E12*$B760))-'Business Case'!F15*$F760</f>
        <v>676919442.709674</v>
      </c>
      <c r="M760" s="39" t="n">
        <f aca="false">(('Business Case'!G11*$C760*'Business Case'!G12*$B760)-'Business Case'!G11*$C760*'Business Case'!G13*$D760-'Business Case'!G14*$E760)-MAX(0,(('Business Case'!G11*$C760*'Business Case'!G12*$B760)-'Business Case'!G11*$C760*'Business Case'!G13*$D760-'Business Case'!G14*$E760))*'Business Case'!$B$7-'Business Case'!$B$8*(('Business Case'!G11*$C760*'Business Case'!G12*$B760)-('Business Case'!F11*$C760*'Business Case'!F12*$B760))-'Business Case'!G15*$F760+'Business Case'!$B$8*('Business Case'!G11*$C760*'Business Case'!G12*$B760)</f>
        <v>860875170.781967</v>
      </c>
      <c r="N760" s="39" t="n">
        <f aca="false">IF(COUNT('Business Case'!B11:G11)=0,"",H760+NPV(G760,I760:M760))</f>
        <v>-362621003.450958</v>
      </c>
      <c r="P760" s="40" t="n">
        <f aca="true">RAND()</f>
        <v>0.308392209271729</v>
      </c>
      <c r="Q760" s="40" t="n">
        <f aca="true">RAND()</f>
        <v>0.533206366888072</v>
      </c>
      <c r="R760" s="40" t="n">
        <f aca="true">RAND()</f>
        <v>0.782972995429081</v>
      </c>
      <c r="S760" s="40" t="n">
        <f aca="true">RAND()</f>
        <v>0.869179008432068</v>
      </c>
      <c r="T760" s="40" t="n">
        <f aca="true">RAND()</f>
        <v>0.0427117258211344</v>
      </c>
      <c r="U760" s="40" t="n">
        <f aca="true">RAND()</f>
        <v>0.322695817988085</v>
      </c>
    </row>
    <row r="761" customFormat="false" ht="15" hidden="false" customHeight="false" outlineLevel="0" collapsed="false">
      <c r="A761" s="36" t="n">
        <v>681</v>
      </c>
      <c r="B761" s="37" t="n">
        <f aca="false">1+IF($G$6=$E$6,$F$6,IF(P761&lt;($F$6-$E$6)/($G$6-$E$6),$E$6+SQRT(P761*($G$6-$E$6)*($F$6-$E$6)),$G$6-SQRT((1-P761)*($G$6-$E$6)*($G$6-$F$6))))</f>
        <v>0.954781139024477</v>
      </c>
      <c r="C761" s="37" t="n">
        <f aca="false">1+IF($G$7=$E$7,$F$7,IF(Q761&lt;($F$7-$E$7)/($G$7-$E$7),$E$7+SQRT(Q761*($G$7-$E$7)*($F$7-$E$7)),$G$7-SQRT((1-Q761)*($G$7-$E$7)*($G$7-$F$7))))</f>
        <v>0.932183296769535</v>
      </c>
      <c r="D761" s="37" t="n">
        <f aca="false">1+IF($G$8=$E$8,$F$8,IF(R761&lt;($F$8-$E$8)/($G$8-$E$8),$E$8+SQRT(R761*($G$8-$E$8)*($F$8-$E$8)),$G$8-SQRT((1-R761)*($G$8-$E$8)*($G$8-$F$8))))</f>
        <v>1.01185972558618</v>
      </c>
      <c r="E761" s="37" t="n">
        <f aca="false">1+IF($G$9=$E$9,$F$9,IF(S761&lt;($F$9-$E$9)/($G$9-$E$9),$E$9+SQRT(S761*($G$9-$E$9)*($F$9-$E$9)),$G$9-SQRT((1-S761)*($G$9-$E$9)*($G$9-$F$9))))</f>
        <v>0.985001582556128</v>
      </c>
      <c r="F761" s="37" t="n">
        <f aca="false">1+IF($G$10=$E$10,$F$10,IF(T761&lt;($F$10-$E$10)/($G$10-$E$10),$E$10+SQRT(T761*($G$10-$E$10)*($F$10-$E$10)),$G$10-SQRT((1-T761)*($G$10-$E$10)*($G$10-$F$10))))</f>
        <v>1.00693266176389</v>
      </c>
      <c r="G761" s="38" t="n">
        <f aca="false">IF($G$11=$E$11,$F$11,IF(U761&lt;($F$11-$E$11)/($G$11-$E$11),$E$11+SQRT(U761*($G$11-$E$11)*($F$11-$E$11)),$G$11-SQRT((1-U761)*($G$11-$E$11)*($G$11-$F$11))))</f>
        <v>0.108955585785861</v>
      </c>
      <c r="H761" s="39" t="n">
        <f aca="false">(('Business Case'!B11*$C761*'Business Case'!B12*$B761)-'Business Case'!B11*$C761*'Business Case'!B13*$D761-'Business Case'!B14*$E761)-MAX(0,(('Business Case'!B11*$C761*'Business Case'!B12*$B761)-'Business Case'!B11*$C761*'Business Case'!B13*$D761-'Business Case'!B14*$E761))*'Business Case'!$B$7-'Business Case'!$B$8*('Business Case'!B11*$C761*'Business Case'!B12*$B761)-'Business Case'!B15*$F761</f>
        <v>-2013865323.52779</v>
      </c>
      <c r="I761" s="39" t="n">
        <f aca="false">(('Business Case'!C11*$C761*'Business Case'!C12*$B761)-'Business Case'!C11*$C761*'Business Case'!C13*$D761-'Business Case'!C14*$E761)-MAX(0,(('Business Case'!C11*$C761*'Business Case'!C12*$B761)-'Business Case'!C11*$C761*'Business Case'!C13*$D761-'Business Case'!C14*$E761))*'Business Case'!$B$7-'Business Case'!$B$8*(('Business Case'!C11*$C761*'Business Case'!C12*$B761)-('Business Case'!B11*$C761*'Business Case'!B12*$B761))-'Business Case'!C15*$F761</f>
        <v>-40762977.2594734</v>
      </c>
      <c r="J761" s="39" t="n">
        <f aca="false">(('Business Case'!D11*$C761*'Business Case'!D12*$B761)-'Business Case'!D11*$C761*'Business Case'!D13*$D761-'Business Case'!D14*$E761)-MAX(0,(('Business Case'!D11*$C761*'Business Case'!D12*$B761)-'Business Case'!D11*$C761*'Business Case'!D13*$D761-'Business Case'!D14*$E761))*'Business Case'!$B$7-'Business Case'!$B$8*(('Business Case'!D11*$C761*'Business Case'!D12*$B761)-('Business Case'!C11*$C761*'Business Case'!C12*$B761))-'Business Case'!D15*$F761</f>
        <v>205373745.285343</v>
      </c>
      <c r="K761" s="39" t="n">
        <f aca="false">(('Business Case'!E11*$C761*'Business Case'!E12*$B761)-'Business Case'!E11*$C761*'Business Case'!E13*$D761-'Business Case'!E14*$E761)-MAX(0,(('Business Case'!E11*$C761*'Business Case'!E12*$B761)-'Business Case'!E11*$C761*'Business Case'!E13*$D761-'Business Case'!E14*$E761))*'Business Case'!$B$7-'Business Case'!$B$8*(('Business Case'!E11*$C761*'Business Case'!E12*$B761)-('Business Case'!D11*$C761*'Business Case'!D12*$B761))-'Business Case'!E15*$F761</f>
        <v>501857100.918355</v>
      </c>
      <c r="L761" s="39" t="n">
        <f aca="false">(('Business Case'!F11*$C761*'Business Case'!F12*$B761)-'Business Case'!F11*$C761*'Business Case'!F13*$D761-'Business Case'!F14*$E761)-MAX(0,(('Business Case'!F11*$C761*'Business Case'!F12*$B761)-'Business Case'!F11*$C761*'Business Case'!F13*$D761-'Business Case'!F14*$E761))*'Business Case'!$B$7-'Business Case'!$B$8*(('Business Case'!F11*$C761*'Business Case'!F12*$B761)-('Business Case'!E11*$C761*'Business Case'!E12*$B761))-'Business Case'!F15*$F761</f>
        <v>614662147.492241</v>
      </c>
      <c r="M761" s="39" t="n">
        <f aca="false">(('Business Case'!G11*$C761*'Business Case'!G12*$B761)-'Business Case'!G11*$C761*'Business Case'!G13*$D761-'Business Case'!G14*$E761)-MAX(0,(('Business Case'!G11*$C761*'Business Case'!G12*$B761)-'Business Case'!G11*$C761*'Business Case'!G13*$D761-'Business Case'!G14*$E761))*'Business Case'!$B$7-'Business Case'!$B$8*(('Business Case'!G11*$C761*'Business Case'!G12*$B761)-('Business Case'!F11*$C761*'Business Case'!F12*$B761))-'Business Case'!G15*$F761+'Business Case'!$B$8*('Business Case'!G11*$C761*'Business Case'!G12*$B761)</f>
        <v>783839245.64978</v>
      </c>
      <c r="N761" s="39" t="n">
        <f aca="false">IF(COUNT('Business Case'!B11:G11)=0,"",H761+NPV(G761,I761:M761))</f>
        <v>-641842364.563959</v>
      </c>
      <c r="P761" s="40" t="n">
        <f aca="true">RAND()</f>
        <v>0.12601329498333</v>
      </c>
      <c r="Q761" s="40" t="n">
        <f aca="true">RAND()</f>
        <v>0.249606056355186</v>
      </c>
      <c r="R761" s="40" t="n">
        <f aca="true">RAND()</f>
        <v>0.553548365654754</v>
      </c>
      <c r="S761" s="40" t="n">
        <f aca="true">RAND()</f>
        <v>0.163348104191124</v>
      </c>
      <c r="T761" s="40" t="n">
        <f aca="true">RAND()</f>
        <v>0.254500058128491</v>
      </c>
      <c r="U761" s="40" t="n">
        <f aca="true">RAND()</f>
        <v>0.796701524444197</v>
      </c>
    </row>
    <row r="762" customFormat="false" ht="15" hidden="false" customHeight="false" outlineLevel="0" collapsed="false">
      <c r="A762" s="36" t="n">
        <v>682</v>
      </c>
      <c r="B762" s="37" t="n">
        <f aca="false">1+IF($G$6=$E$6,$F$6,IF(P762&lt;($F$6-$E$6)/($G$6-$E$6),$E$6+SQRT(P762*($G$6-$E$6)*($F$6-$E$6)),$G$6-SQRT((1-P762)*($G$6-$E$6)*($G$6-$F$6))))</f>
        <v>0.951095302981587</v>
      </c>
      <c r="C762" s="37" t="n">
        <f aca="false">1+IF($G$7=$E$7,$F$7,IF(Q762&lt;($F$7-$E$7)/($G$7-$E$7),$E$7+SQRT(Q762*($G$7-$E$7)*($F$7-$E$7)),$G$7-SQRT((1-Q762)*($G$7-$E$7)*($G$7-$F$7))))</f>
        <v>0.924874034865825</v>
      </c>
      <c r="D762" s="37" t="n">
        <f aca="false">1+IF($G$8=$E$8,$F$8,IF(R762&lt;($F$8-$E$8)/($G$8-$E$8),$E$8+SQRT(R762*($G$8-$E$8)*($F$8-$E$8)),$G$8-SQRT((1-R762)*($G$8-$E$8)*($G$8-$F$8))))</f>
        <v>0.978224718990115</v>
      </c>
      <c r="E762" s="37" t="n">
        <f aca="false">1+IF($G$9=$E$9,$F$9,IF(S762&lt;($F$9-$E$9)/($G$9-$E$9),$E$9+SQRT(S762*($G$9-$E$9)*($F$9-$E$9)),$G$9-SQRT((1-S762)*($G$9-$E$9)*($G$9-$F$9))))</f>
        <v>1.02267023140217</v>
      </c>
      <c r="F762" s="37" t="n">
        <f aca="false">1+IF($G$10=$E$10,$F$10,IF(T762&lt;($F$10-$E$10)/($G$10-$E$10),$E$10+SQRT(T762*($G$10-$E$10)*($F$10-$E$10)),$G$10-SQRT((1-T762)*($G$10-$E$10)*($G$10-$F$10))))</f>
        <v>1.08048748811977</v>
      </c>
      <c r="G762" s="38" t="n">
        <f aca="false">IF($G$11=$E$11,$F$11,IF(U762&lt;($F$11-$E$11)/($G$11-$E$11),$E$11+SQRT(U762*($G$11-$E$11)*($F$11-$E$11)),$G$11-SQRT((1-U762)*($G$11-$E$11)*($G$11-$F$11))))</f>
        <v>0.104585203872939</v>
      </c>
      <c r="H762" s="39" t="n">
        <f aca="false">(('Business Case'!B11*$C762*'Business Case'!B12*$B762)-'Business Case'!B11*$C762*'Business Case'!B13*$D762-'Business Case'!B14*$E762)-MAX(0,(('Business Case'!B11*$C762*'Business Case'!B12*$B762)-'Business Case'!B11*$C762*'Business Case'!B13*$D762-'Business Case'!B14*$E762))*'Business Case'!$B$7-'Business Case'!$B$8*('Business Case'!B11*$C762*'Business Case'!B12*$B762)-'Business Case'!B15*$F762</f>
        <v>-2160974976.23954</v>
      </c>
      <c r="I762" s="39" t="n">
        <f aca="false">(('Business Case'!C11*$C762*'Business Case'!C12*$B762)-'Business Case'!C11*$C762*'Business Case'!C13*$D762-'Business Case'!C14*$E762)-MAX(0,(('Business Case'!C11*$C762*'Business Case'!C12*$B762)-'Business Case'!C11*$C762*'Business Case'!C13*$D762-'Business Case'!C14*$E762))*'Business Case'!$B$7-'Business Case'!$B$8*(('Business Case'!C11*$C762*'Business Case'!C12*$B762)-('Business Case'!B11*$C762*'Business Case'!B12*$B762))-'Business Case'!C15*$F762</f>
        <v>-41733687.0670084</v>
      </c>
      <c r="J762" s="39" t="n">
        <f aca="false">(('Business Case'!D11*$C762*'Business Case'!D12*$B762)-'Business Case'!D11*$C762*'Business Case'!D13*$D762-'Business Case'!D14*$E762)-MAX(0,(('Business Case'!D11*$C762*'Business Case'!D12*$B762)-'Business Case'!D11*$C762*'Business Case'!D13*$D762-'Business Case'!D14*$E762))*'Business Case'!$B$7-'Business Case'!$B$8*(('Business Case'!D11*$C762*'Business Case'!D12*$B762)-('Business Case'!C11*$C762*'Business Case'!C12*$B762))-'Business Case'!D15*$F762</f>
        <v>215605792.868629</v>
      </c>
      <c r="K762" s="39" t="n">
        <f aca="false">(('Business Case'!E11*$C762*'Business Case'!E12*$B762)-'Business Case'!E11*$C762*'Business Case'!E13*$D762-'Business Case'!E14*$E762)-MAX(0,(('Business Case'!E11*$C762*'Business Case'!E12*$B762)-'Business Case'!E11*$C762*'Business Case'!E13*$D762-'Business Case'!E14*$E762))*'Business Case'!$B$7-'Business Case'!$B$8*(('Business Case'!E11*$C762*'Business Case'!E12*$B762)-('Business Case'!D11*$C762*'Business Case'!D12*$B762))-'Business Case'!E15*$F762</f>
        <v>526969647.210255</v>
      </c>
      <c r="L762" s="39" t="n">
        <f aca="false">(('Business Case'!F11*$C762*'Business Case'!F12*$B762)-'Business Case'!F11*$C762*'Business Case'!F13*$D762-'Business Case'!F14*$E762)-MAX(0,(('Business Case'!F11*$C762*'Business Case'!F12*$B762)-'Business Case'!F11*$C762*'Business Case'!F13*$D762-'Business Case'!F14*$E762))*'Business Case'!$B$7-'Business Case'!$B$8*(('Business Case'!F11*$C762*'Business Case'!F12*$B762)-('Business Case'!E11*$C762*'Business Case'!E12*$B762))-'Business Case'!F15*$F762</f>
        <v>643149948.045656</v>
      </c>
      <c r="M762" s="39" t="n">
        <f aca="false">(('Business Case'!G11*$C762*'Business Case'!G12*$B762)-'Business Case'!G11*$C762*'Business Case'!G13*$D762-'Business Case'!G14*$E762)-MAX(0,(('Business Case'!G11*$C762*'Business Case'!G12*$B762)-'Business Case'!G11*$C762*'Business Case'!G13*$D762-'Business Case'!G14*$E762))*'Business Case'!$B$7-'Business Case'!$B$8*(('Business Case'!G11*$C762*'Business Case'!G12*$B762)-('Business Case'!F11*$C762*'Business Case'!F12*$B762))-'Business Case'!G15*$F762+'Business Case'!$B$8*('Business Case'!G11*$C762*'Business Case'!G12*$B762)</f>
        <v>810352556.091687</v>
      </c>
      <c r="N762" s="39" t="n">
        <f aca="false">IF(COUNT('Business Case'!B11:G11)=0,"",H762+NPV(G762,I762:M762))</f>
        <v>-706197178.335175</v>
      </c>
      <c r="P762" s="40" t="n">
        <f aca="true">RAND()</f>
        <v>0.100720611199658</v>
      </c>
      <c r="Q762" s="40" t="n">
        <f aca="true">RAND()</f>
        <v>0.222764636909591</v>
      </c>
      <c r="R762" s="40" t="n">
        <f aca="true">RAND()</f>
        <v>0.122559194164766</v>
      </c>
      <c r="S762" s="40" t="n">
        <f aca="true">RAND()</f>
        <v>0.601340459240362</v>
      </c>
      <c r="T762" s="40" t="n">
        <f aca="true">RAND()</f>
        <v>0.71433519008155</v>
      </c>
      <c r="U762" s="40" t="n">
        <f aca="true">RAND()</f>
        <v>0.603973433935248</v>
      </c>
    </row>
    <row r="763" customFormat="false" ht="15" hidden="false" customHeight="false" outlineLevel="0" collapsed="false">
      <c r="A763" s="36" t="n">
        <v>683</v>
      </c>
      <c r="B763" s="37" t="n">
        <f aca="false">1+IF($G$6=$E$6,$F$6,IF(P763&lt;($F$6-$E$6)/($G$6-$E$6),$E$6+SQRT(P763*($G$6-$E$6)*($F$6-$E$6)),$G$6-SQRT((1-P763)*($G$6-$E$6)*($G$6-$F$6))))</f>
        <v>0.981950321490207</v>
      </c>
      <c r="C763" s="37" t="n">
        <f aca="false">1+IF($G$7=$E$7,$F$7,IF(Q763&lt;($F$7-$E$7)/($G$7-$E$7),$E$7+SQRT(Q763*($G$7-$E$7)*($F$7-$E$7)),$G$7-SQRT((1-Q763)*($G$7-$E$7)*($G$7-$F$7))))</f>
        <v>0.989769546217397</v>
      </c>
      <c r="D763" s="37" t="n">
        <f aca="false">1+IF($G$8=$E$8,$F$8,IF(R763&lt;($F$8-$E$8)/($G$8-$E$8),$E$8+SQRT(R763*($G$8-$E$8)*($F$8-$E$8)),$G$8-SQRT((1-R763)*($G$8-$E$8)*($G$8-$F$8))))</f>
        <v>1.00936451384643</v>
      </c>
      <c r="E763" s="37" t="n">
        <f aca="false">1+IF($G$9=$E$9,$F$9,IF(S763&lt;($F$9-$E$9)/($G$9-$E$9),$E$9+SQRT(S763*($G$9-$E$9)*($F$9-$E$9)),$G$9-SQRT((1-S763)*($G$9-$E$9)*($G$9-$F$9))))</f>
        <v>1.02432974958967</v>
      </c>
      <c r="F763" s="37" t="n">
        <f aca="false">1+IF($G$10=$E$10,$F$10,IF(T763&lt;($F$10-$E$10)/($G$10-$E$10),$E$10+SQRT(T763*($G$10-$E$10)*($F$10-$E$10)),$G$10-SQRT((1-T763)*($G$10-$E$10)*($G$10-$F$10))))</f>
        <v>0.970330510354766</v>
      </c>
      <c r="G763" s="38" t="n">
        <f aca="false">IF($G$11=$E$11,$F$11,IF(U763&lt;($F$11-$E$11)/($G$11-$E$11),$E$11+SQRT(U763*($G$11-$E$11)*($F$11-$E$11)),$G$11-SQRT((1-U763)*($G$11-$E$11)*($G$11-$F$11))))</f>
        <v>0.10835914402046</v>
      </c>
      <c r="H763" s="39" t="n">
        <f aca="false">(('Business Case'!B11*$C763*'Business Case'!B12*$B763)-'Business Case'!B11*$C763*'Business Case'!B13*$D763-'Business Case'!B14*$E763)-MAX(0,(('Business Case'!B11*$C763*'Business Case'!B12*$B763)-'Business Case'!B11*$C763*'Business Case'!B13*$D763-'Business Case'!B14*$E763))*'Business Case'!$B$7-'Business Case'!$B$8*('Business Case'!B11*$C763*'Business Case'!B12*$B763)-'Business Case'!B15*$F763</f>
        <v>-1940661020.70953</v>
      </c>
      <c r="I763" s="39" t="n">
        <f aca="false">(('Business Case'!C11*$C763*'Business Case'!C12*$B763)-'Business Case'!C11*$C763*'Business Case'!C13*$D763-'Business Case'!C14*$E763)-MAX(0,(('Business Case'!C11*$C763*'Business Case'!C12*$B763)-'Business Case'!C11*$C763*'Business Case'!C13*$D763-'Business Case'!C14*$E763))*'Business Case'!$B$7-'Business Case'!$B$8*(('Business Case'!C11*$C763*'Business Case'!C12*$B763)-('Business Case'!B11*$C763*'Business Case'!B12*$B763))-'Business Case'!C15*$F763</f>
        <v>-8444154.02599849</v>
      </c>
      <c r="J763" s="39" t="n">
        <f aca="false">(('Business Case'!D11*$C763*'Business Case'!D12*$B763)-'Business Case'!D11*$C763*'Business Case'!D13*$D763-'Business Case'!D14*$E763)-MAX(0,(('Business Case'!D11*$C763*'Business Case'!D12*$B763)-'Business Case'!D11*$C763*'Business Case'!D13*$D763-'Business Case'!D14*$E763))*'Business Case'!$B$7-'Business Case'!$B$8*(('Business Case'!D11*$C763*'Business Case'!D12*$B763)-('Business Case'!C11*$C763*'Business Case'!C12*$B763))-'Business Case'!D15*$F763</f>
        <v>276187963.904962</v>
      </c>
      <c r="K763" s="39" t="n">
        <f aca="false">(('Business Case'!E11*$C763*'Business Case'!E12*$B763)-'Business Case'!E11*$C763*'Business Case'!E13*$D763-'Business Case'!E14*$E763)-MAX(0,(('Business Case'!E11*$C763*'Business Case'!E12*$B763)-'Business Case'!E11*$C763*'Business Case'!E13*$D763-'Business Case'!E14*$E763))*'Business Case'!$B$7-'Business Case'!$B$8*(('Business Case'!E11*$C763*'Business Case'!E12*$B763)-('Business Case'!D11*$C763*'Business Case'!D12*$B763))-'Business Case'!E15*$F763</f>
        <v>609336607.35366</v>
      </c>
      <c r="L763" s="39" t="n">
        <f aca="false">(('Business Case'!F11*$C763*'Business Case'!F12*$B763)-'Business Case'!F11*$C763*'Business Case'!F13*$D763-'Business Case'!F14*$E763)-MAX(0,(('Business Case'!F11*$C763*'Business Case'!F12*$B763)-'Business Case'!F11*$C763*'Business Case'!F13*$D763-'Business Case'!F14*$E763))*'Business Case'!$B$7-'Business Case'!$B$8*(('Business Case'!F11*$C763*'Business Case'!F12*$B763)-('Business Case'!E11*$C763*'Business Case'!E12*$B763))-'Business Case'!F15*$F763</f>
        <v>737803000.350534</v>
      </c>
      <c r="M763" s="39" t="n">
        <f aca="false">(('Business Case'!G11*$C763*'Business Case'!G12*$B763)-'Business Case'!G11*$C763*'Business Case'!G13*$D763-'Business Case'!G14*$E763)-MAX(0,(('Business Case'!G11*$C763*'Business Case'!G12*$B763)-'Business Case'!G11*$C763*'Business Case'!G13*$D763-'Business Case'!G14*$E763))*'Business Case'!$B$7-'Business Case'!$B$8*(('Business Case'!G11*$C763*'Business Case'!G12*$B763)-('Business Case'!F11*$C763*'Business Case'!F12*$B763))-'Business Case'!G15*$F763+'Business Case'!$B$8*('Business Case'!G11*$C763*'Business Case'!G12*$B763)</f>
        <v>922542612.293247</v>
      </c>
      <c r="N763" s="39" t="n">
        <f aca="false">IF(COUNT('Business Case'!B11:G11)=0,"",H763+NPV(G763,I763:M763))</f>
        <v>-235484812.030026</v>
      </c>
      <c r="P763" s="40" t="n">
        <f aca="true">RAND()</f>
        <v>0.399775242993752</v>
      </c>
      <c r="Q763" s="40" t="n">
        <f aca="true">RAND()</f>
        <v>0.514464009593671</v>
      </c>
      <c r="R763" s="40" t="n">
        <f aca="true">RAND()</f>
        <v>0.520252701523866</v>
      </c>
      <c r="S763" s="40" t="n">
        <f aca="true">RAND()</f>
        <v>0.618267546855882</v>
      </c>
      <c r="T763" s="40" t="n">
        <f aca="true">RAND()</f>
        <v>0.0330663721028207</v>
      </c>
      <c r="U763" s="40" t="n">
        <f aca="true">RAND()</f>
        <v>0.774150786772695</v>
      </c>
    </row>
    <row r="764" customFormat="false" ht="15" hidden="false" customHeight="false" outlineLevel="0" collapsed="false">
      <c r="A764" s="36" t="n">
        <v>684</v>
      </c>
      <c r="B764" s="37" t="n">
        <f aca="false">1+IF($G$6=$E$6,$F$6,IF(P764&lt;($F$6-$E$6)/($G$6-$E$6),$E$6+SQRT(P764*($G$6-$E$6)*($F$6-$E$6)),$G$6-SQRT((1-P764)*($G$6-$E$6)*($G$6-$F$6))))</f>
        <v>0.980666692319648</v>
      </c>
      <c r="C764" s="37" t="n">
        <f aca="false">1+IF($G$7=$E$7,$F$7,IF(Q764&lt;($F$7-$E$7)/($G$7-$E$7),$E$7+SQRT(Q764*($G$7-$E$7)*($F$7-$E$7)),$G$7-SQRT((1-Q764)*($G$7-$E$7)*($G$7-$F$7))))</f>
        <v>1.05250068214512</v>
      </c>
      <c r="D764" s="37" t="n">
        <f aca="false">1+IF($G$8=$E$8,$F$8,IF(R764&lt;($F$8-$E$8)/($G$8-$E$8),$E$8+SQRT(R764*($G$8-$E$8)*($F$8-$E$8)),$G$8-SQRT((1-R764)*($G$8-$E$8)*($G$8-$F$8))))</f>
        <v>0.993418635961982</v>
      </c>
      <c r="E764" s="37" t="n">
        <f aca="false">1+IF($G$9=$E$9,$F$9,IF(S764&lt;($F$9-$E$9)/($G$9-$E$9),$E$9+SQRT(S764*($G$9-$E$9)*($F$9-$E$9)),$G$9-SQRT((1-S764)*($G$9-$E$9)*($G$9-$F$9))))</f>
        <v>0.999070854055663</v>
      </c>
      <c r="F764" s="37" t="n">
        <f aca="false">1+IF($G$10=$E$10,$F$10,IF(T764&lt;($F$10-$E$10)/($G$10-$E$10),$E$10+SQRT(T764*($G$10-$E$10)*($F$10-$E$10)),$G$10-SQRT((1-T764)*($G$10-$E$10)*($G$10-$F$10))))</f>
        <v>1.1072334172788</v>
      </c>
      <c r="G764" s="38" t="n">
        <f aca="false">IF($G$11=$E$11,$F$11,IF(U764&lt;($F$11-$E$11)/($G$11-$E$11),$E$11+SQRT(U764*($G$11-$E$11)*($F$11-$E$11)),$G$11-SQRT((1-U764)*($G$11-$E$11)*($G$11-$F$11))))</f>
        <v>0.0970556267508511</v>
      </c>
      <c r="H764" s="39" t="n">
        <f aca="false">(('Business Case'!B11*$C764*'Business Case'!B12*$B764)-'Business Case'!B11*$C764*'Business Case'!B13*$D764-'Business Case'!B14*$E764)-MAX(0,(('Business Case'!B11*$C764*'Business Case'!B12*$B764)-'Business Case'!B11*$C764*'Business Case'!B13*$D764-'Business Case'!B14*$E764))*'Business Case'!$B$7-'Business Case'!$B$8*('Business Case'!B11*$C764*'Business Case'!B12*$B764)-'Business Case'!B15*$F764</f>
        <v>-2214466834.5576</v>
      </c>
      <c r="I764" s="39" t="n">
        <f aca="false">(('Business Case'!C11*$C764*'Business Case'!C12*$B764)-'Business Case'!C11*$C764*'Business Case'!C13*$D764-'Business Case'!C14*$E764)-MAX(0,(('Business Case'!C11*$C764*'Business Case'!C12*$B764)-'Business Case'!C11*$C764*'Business Case'!C13*$D764-'Business Case'!C14*$E764))*'Business Case'!$B$7-'Business Case'!$B$8*(('Business Case'!C11*$C764*'Business Case'!C12*$B764)-('Business Case'!B11*$C764*'Business Case'!B12*$B764))-'Business Case'!C15*$F764</f>
        <v>3858968.70216374</v>
      </c>
      <c r="J764" s="39" t="n">
        <f aca="false">(('Business Case'!D11*$C764*'Business Case'!D12*$B764)-'Business Case'!D11*$C764*'Business Case'!D13*$D764-'Business Case'!D14*$E764)-MAX(0,(('Business Case'!D11*$C764*'Business Case'!D12*$B764)-'Business Case'!D11*$C764*'Business Case'!D13*$D764-'Business Case'!D14*$E764))*'Business Case'!$B$7-'Business Case'!$B$8*(('Business Case'!D11*$C764*'Business Case'!D12*$B764)-('Business Case'!C11*$C764*'Business Case'!C12*$B764))-'Business Case'!D15*$F764</f>
        <v>314015933.057321</v>
      </c>
      <c r="K764" s="39" t="n">
        <f aca="false">(('Business Case'!E11*$C764*'Business Case'!E12*$B764)-'Business Case'!E11*$C764*'Business Case'!E13*$D764-'Business Case'!E14*$E764)-MAX(0,(('Business Case'!E11*$C764*'Business Case'!E12*$B764)-'Business Case'!E11*$C764*'Business Case'!E13*$D764-'Business Case'!E14*$E764))*'Business Case'!$B$7-'Business Case'!$B$8*(('Business Case'!E11*$C764*'Business Case'!E12*$B764)-('Business Case'!D11*$C764*'Business Case'!D12*$B764))-'Business Case'!E15*$F764</f>
        <v>679534568.276418</v>
      </c>
      <c r="L764" s="39" t="n">
        <f aca="false">(('Business Case'!F11*$C764*'Business Case'!F12*$B764)-'Business Case'!F11*$C764*'Business Case'!F13*$D764-'Business Case'!F14*$E764)-MAX(0,(('Business Case'!F11*$C764*'Business Case'!F12*$B764)-'Business Case'!F11*$C764*'Business Case'!F13*$D764-'Business Case'!F14*$E764))*'Business Case'!$B$7-'Business Case'!$B$8*(('Business Case'!F11*$C764*'Business Case'!F12*$B764)-('Business Case'!E11*$C764*'Business Case'!E12*$B764))-'Business Case'!F15*$F764</f>
        <v>818591408.713736</v>
      </c>
      <c r="M764" s="39" t="n">
        <f aca="false">(('Business Case'!G11*$C764*'Business Case'!G12*$B764)-'Business Case'!G11*$C764*'Business Case'!G13*$D764-'Business Case'!G14*$E764)-MAX(0,(('Business Case'!G11*$C764*'Business Case'!G12*$B764)-'Business Case'!G11*$C764*'Business Case'!G13*$D764-'Business Case'!G14*$E764))*'Business Case'!$B$7-'Business Case'!$B$8*(('Business Case'!G11*$C764*'Business Case'!G12*$B764)-('Business Case'!F11*$C764*'Business Case'!F12*$B764))-'Business Case'!G15*$F764+'Business Case'!$B$8*('Business Case'!G11*$C764*'Business Case'!G12*$B764)</f>
        <v>1014782929.8012</v>
      </c>
      <c r="N764" s="39" t="n">
        <f aca="false">IF(COUNT('Business Case'!B11:G11)=0,"",H764+NPV(G764,I764:M764))</f>
        <v>-231633959.83059</v>
      </c>
      <c r="P764" s="40" t="n">
        <f aca="true">RAND()</f>
        <v>0.38337995385488</v>
      </c>
      <c r="Q764" s="40" t="n">
        <f aca="true">RAND()</f>
        <v>0.818931105101565</v>
      </c>
      <c r="R764" s="40" t="n">
        <f aca="true">RAND()</f>
        <v>0.290027376738332</v>
      </c>
      <c r="S764" s="40" t="n">
        <f aca="true">RAND()</f>
        <v>0.321059829033621</v>
      </c>
      <c r="T764" s="40" t="n">
        <f aca="true">RAND()</f>
        <v>0.827887222604615</v>
      </c>
      <c r="U764" s="40" t="n">
        <f aca="true">RAND()</f>
        <v>0.165939562824417</v>
      </c>
    </row>
    <row r="765" customFormat="false" ht="15" hidden="false" customHeight="false" outlineLevel="0" collapsed="false">
      <c r="A765" s="36" t="n">
        <v>685</v>
      </c>
      <c r="B765" s="37" t="n">
        <f aca="false">1+IF($G$6=$E$6,$F$6,IF(P765&lt;($F$6-$E$6)/($G$6-$E$6),$E$6+SQRT(P765*($G$6-$E$6)*($F$6-$E$6)),$G$6-SQRT((1-P765)*($G$6-$E$6)*($G$6-$F$6))))</f>
        <v>0.99367670665362</v>
      </c>
      <c r="C765" s="37" t="n">
        <f aca="false">1+IF($G$7=$E$7,$F$7,IF(Q765&lt;($F$7-$E$7)/($G$7-$E$7),$E$7+SQRT(Q765*($G$7-$E$7)*($F$7-$E$7)),$G$7-SQRT((1-Q765)*($G$7-$E$7)*($G$7-$F$7))))</f>
        <v>1.03861295400945</v>
      </c>
      <c r="D765" s="37" t="n">
        <f aca="false">1+IF($G$8=$E$8,$F$8,IF(R765&lt;($F$8-$E$8)/($G$8-$E$8),$E$8+SQRT(R765*($G$8-$E$8)*($F$8-$E$8)),$G$8-SQRT((1-R765)*($G$8-$E$8)*($G$8-$F$8))))</f>
        <v>1.06775533190614</v>
      </c>
      <c r="E765" s="37" t="n">
        <f aca="false">1+IF($G$9=$E$9,$F$9,IF(S765&lt;($F$9-$E$9)/($G$9-$E$9),$E$9+SQRT(S765*($G$9-$E$9)*($F$9-$E$9)),$G$9-SQRT((1-S765)*($G$9-$E$9)*($G$9-$F$9))))</f>
        <v>0.987811456643012</v>
      </c>
      <c r="F765" s="37" t="n">
        <f aca="false">1+IF($G$10=$E$10,$F$10,IF(T765&lt;($F$10-$E$10)/($G$10-$E$10),$E$10+SQRT(T765*($G$10-$E$10)*($F$10-$E$10)),$G$10-SQRT((1-T765)*($G$10-$E$10)*($G$10-$F$10))))</f>
        <v>1.00128176145314</v>
      </c>
      <c r="G765" s="38" t="n">
        <f aca="false">IF($G$11=$E$11,$F$11,IF(U765&lt;($F$11-$E$11)/($G$11-$E$11),$E$11+SQRT(U765*($G$11-$E$11)*($F$11-$E$11)),$G$11-SQRT((1-U765)*($G$11-$E$11)*($G$11-$F$11))))</f>
        <v>0.105337370259531</v>
      </c>
      <c r="H765" s="39" t="n">
        <f aca="false">(('Business Case'!B11*$C765*'Business Case'!B12*$B765)-'Business Case'!B11*$C765*'Business Case'!B13*$D765-'Business Case'!B14*$E765)-MAX(0,(('Business Case'!B11*$C765*'Business Case'!B12*$B765)-'Business Case'!B11*$C765*'Business Case'!B13*$D765-'Business Case'!B14*$E765))*'Business Case'!$B$7-'Business Case'!$B$8*('Business Case'!B11*$C765*'Business Case'!B12*$B765)-'Business Case'!B15*$F765</f>
        <v>-2002563522.90629</v>
      </c>
      <c r="I765" s="39" t="n">
        <f aca="false">(('Business Case'!C11*$C765*'Business Case'!C12*$B765)-'Business Case'!C11*$C765*'Business Case'!C13*$D765-'Business Case'!C14*$E765)-MAX(0,(('Business Case'!C11*$C765*'Business Case'!C12*$B765)-'Business Case'!C11*$C765*'Business Case'!C13*$D765-'Business Case'!C14*$E765))*'Business Case'!$B$7-'Business Case'!$B$8*(('Business Case'!C11*$C765*'Business Case'!C12*$B765)-('Business Case'!B11*$C765*'Business Case'!B12*$B765))-'Business Case'!C15*$F765</f>
        <v>-16487987.6962364</v>
      </c>
      <c r="J765" s="39" t="n">
        <f aca="false">(('Business Case'!D11*$C765*'Business Case'!D12*$B765)-'Business Case'!D11*$C765*'Business Case'!D13*$D765-'Business Case'!D14*$E765)-MAX(0,(('Business Case'!D11*$C765*'Business Case'!D12*$B765)-'Business Case'!D11*$C765*'Business Case'!D13*$D765-'Business Case'!D14*$E765))*'Business Case'!$B$7-'Business Case'!$B$8*(('Business Case'!D11*$C765*'Business Case'!D12*$B765)-('Business Case'!C11*$C765*'Business Case'!C12*$B765))-'Business Case'!D15*$F765</f>
        <v>261120228.588188</v>
      </c>
      <c r="K765" s="39" t="n">
        <f aca="false">(('Business Case'!E11*$C765*'Business Case'!E12*$B765)-'Business Case'!E11*$C765*'Business Case'!E13*$D765-'Business Case'!E14*$E765)-MAX(0,(('Business Case'!E11*$C765*'Business Case'!E12*$B765)-'Business Case'!E11*$C765*'Business Case'!E13*$D765-'Business Case'!E14*$E765))*'Business Case'!$B$7-'Business Case'!$B$8*(('Business Case'!E11*$C765*'Business Case'!E12*$B765)-('Business Case'!D11*$C765*'Business Case'!D12*$B765))-'Business Case'!E15*$F765</f>
        <v>588792532.94527</v>
      </c>
      <c r="L765" s="39" t="n">
        <f aca="false">(('Business Case'!F11*$C765*'Business Case'!F12*$B765)-'Business Case'!F11*$C765*'Business Case'!F13*$D765-'Business Case'!F14*$E765)-MAX(0,(('Business Case'!F11*$C765*'Business Case'!F12*$B765)-'Business Case'!F11*$C765*'Business Case'!F13*$D765-'Business Case'!F14*$E765))*'Business Case'!$B$7-'Business Case'!$B$8*(('Business Case'!F11*$C765*'Business Case'!F12*$B765)-('Business Case'!E11*$C765*'Business Case'!E12*$B765))-'Business Case'!F15*$F765</f>
        <v>716996097.507219</v>
      </c>
      <c r="M765" s="39" t="n">
        <f aca="false">(('Business Case'!G11*$C765*'Business Case'!G12*$B765)-'Business Case'!G11*$C765*'Business Case'!G13*$D765-'Business Case'!G14*$E765)-MAX(0,(('Business Case'!G11*$C765*'Business Case'!G12*$B765)-'Business Case'!G11*$C765*'Business Case'!G13*$D765-'Business Case'!G14*$E765))*'Business Case'!$B$7-'Business Case'!$B$8*(('Business Case'!G11*$C765*'Business Case'!G12*$B765)-('Business Case'!F11*$C765*'Business Case'!F12*$B765))-'Business Case'!G15*$F765+'Business Case'!$B$8*('Business Case'!G11*$C765*'Business Case'!G12*$B765)</f>
        <v>913167306.076489</v>
      </c>
      <c r="N765" s="39" t="n">
        <f aca="false">IF(COUNT('Business Case'!B11:G11)=0,"",H765+NPV(G765,I765:M765))</f>
        <v>-333991753.423665</v>
      </c>
      <c r="P765" s="40" t="n">
        <f aca="true">RAND()</f>
        <v>0.565443448262878</v>
      </c>
      <c r="Q765" s="40" t="n">
        <f aca="true">RAND()</f>
        <v>0.763674780676173</v>
      </c>
      <c r="R765" s="40" t="n">
        <f aca="true">RAND()</f>
        <v>0.985583471468381</v>
      </c>
      <c r="S765" s="40" t="n">
        <f aca="true">RAND()</f>
        <v>0.190627500462179</v>
      </c>
      <c r="T765" s="40" t="n">
        <f aca="true">RAND()</f>
        <v>0.210221233376688</v>
      </c>
      <c r="U765" s="40" t="n">
        <f aca="true">RAND()</f>
        <v>0.641678815156503</v>
      </c>
    </row>
    <row r="766" customFormat="false" ht="15" hidden="false" customHeight="false" outlineLevel="0" collapsed="false">
      <c r="A766" s="36" t="n">
        <v>686</v>
      </c>
      <c r="B766" s="37" t="n">
        <f aca="false">1+IF($G$6=$E$6,$F$6,IF(P766&lt;($F$6-$E$6)/($G$6-$E$6),$E$6+SQRT(P766*($G$6-$E$6)*($F$6-$E$6)),$G$6-SQRT((1-P766)*($G$6-$E$6)*($G$6-$F$6))))</f>
        <v>0.995645002961908</v>
      </c>
      <c r="C766" s="37" t="n">
        <f aca="false">1+IF($G$7=$E$7,$F$7,IF(Q766&lt;($F$7-$E$7)/($G$7-$E$7),$E$7+SQRT(Q766*($G$7-$E$7)*($F$7-$E$7)),$G$7-SQRT((1-Q766)*($G$7-$E$7)*($G$7-$F$7))))</f>
        <v>0.967929678223745</v>
      </c>
      <c r="D766" s="37" t="n">
        <f aca="false">1+IF($G$8=$E$8,$F$8,IF(R766&lt;($F$8-$E$8)/($G$8-$E$8),$E$8+SQRT(R766*($G$8-$E$8)*($F$8-$E$8)),$G$8-SQRT((1-R766)*($G$8-$E$8)*($G$8-$F$8))))</f>
        <v>0.96453780640246</v>
      </c>
      <c r="E766" s="37" t="n">
        <f aca="false">1+IF($G$9=$E$9,$F$9,IF(S766&lt;($F$9-$E$9)/($G$9-$E$9),$E$9+SQRT(S766*($G$9-$E$9)*($F$9-$E$9)),$G$9-SQRT((1-S766)*($G$9-$E$9)*($G$9-$F$9))))</f>
        <v>1.01038073680865</v>
      </c>
      <c r="F766" s="37" t="n">
        <f aca="false">1+IF($G$10=$E$10,$F$10,IF(T766&lt;($F$10-$E$10)/($G$10-$E$10),$E$10+SQRT(T766*($G$10-$E$10)*($F$10-$E$10)),$G$10-SQRT((1-T766)*($G$10-$E$10)*($G$10-$F$10))))</f>
        <v>0.979562256047828</v>
      </c>
      <c r="G766" s="38" t="n">
        <f aca="false">IF($G$11=$E$11,$F$11,IF(U766&lt;($F$11-$E$11)/($G$11-$E$11),$E$11+SQRT(U766*($G$11-$E$11)*($F$11-$E$11)),$G$11-SQRT((1-U766)*($G$11-$E$11)*($G$11-$F$11))))</f>
        <v>0.104871364019188</v>
      </c>
      <c r="H766" s="39" t="n">
        <f aca="false">(('Business Case'!B11*$C766*'Business Case'!B12*$B766)-'Business Case'!B11*$C766*'Business Case'!B13*$D766-'Business Case'!B14*$E766)-MAX(0,(('Business Case'!B11*$C766*'Business Case'!B12*$B766)-'Business Case'!B11*$C766*'Business Case'!B13*$D766-'Business Case'!B14*$E766))*'Business Case'!$B$7-'Business Case'!$B$8*('Business Case'!B11*$C766*'Business Case'!B12*$B766)-'Business Case'!B15*$F766</f>
        <v>-1959124512.09566</v>
      </c>
      <c r="I766" s="39" t="n">
        <f aca="false">(('Business Case'!C11*$C766*'Business Case'!C12*$B766)-'Business Case'!C11*$C766*'Business Case'!C13*$D766-'Business Case'!C14*$E766)-MAX(0,(('Business Case'!C11*$C766*'Business Case'!C12*$B766)-'Business Case'!C11*$C766*'Business Case'!C13*$D766-'Business Case'!C14*$E766))*'Business Case'!$B$7-'Business Case'!$B$8*(('Business Case'!C11*$C766*'Business Case'!C12*$B766)-('Business Case'!B11*$C766*'Business Case'!B12*$B766))-'Business Case'!C15*$F766</f>
        <v>19829166.6264963</v>
      </c>
      <c r="J766" s="39" t="n">
        <f aca="false">(('Business Case'!D11*$C766*'Business Case'!D12*$B766)-'Business Case'!D11*$C766*'Business Case'!D13*$D766-'Business Case'!D14*$E766)-MAX(0,(('Business Case'!D11*$C766*'Business Case'!D12*$B766)-'Business Case'!D11*$C766*'Business Case'!D13*$D766-'Business Case'!D14*$E766))*'Business Case'!$B$7-'Business Case'!$B$8*(('Business Case'!D11*$C766*'Business Case'!D12*$B766)-('Business Case'!C11*$C766*'Business Case'!C12*$B766))-'Business Case'!D15*$F766</f>
        <v>331249651.398175</v>
      </c>
      <c r="K766" s="39" t="n">
        <f aca="false">(('Business Case'!E11*$C766*'Business Case'!E12*$B766)-'Business Case'!E11*$C766*'Business Case'!E13*$D766-'Business Case'!E14*$E766)-MAX(0,(('Business Case'!E11*$C766*'Business Case'!E12*$B766)-'Business Case'!E11*$C766*'Business Case'!E13*$D766-'Business Case'!E14*$E766))*'Business Case'!$B$7-'Business Case'!$B$8*(('Business Case'!E11*$C766*'Business Case'!E12*$B766)-('Business Case'!D11*$C766*'Business Case'!D12*$B766))-'Business Case'!E15*$F766</f>
        <v>691648248.972245</v>
      </c>
      <c r="L766" s="39" t="n">
        <f aca="false">(('Business Case'!F11*$C766*'Business Case'!F12*$B766)-'Business Case'!F11*$C766*'Business Case'!F13*$D766-'Business Case'!F14*$E766)-MAX(0,(('Business Case'!F11*$C766*'Business Case'!F12*$B766)-'Business Case'!F11*$C766*'Business Case'!F13*$D766-'Business Case'!F14*$E766))*'Business Case'!$B$7-'Business Case'!$B$8*(('Business Case'!F11*$C766*'Business Case'!F12*$B766)-('Business Case'!E11*$C766*'Business Case'!E12*$B766))-'Business Case'!F15*$F766</f>
        <v>828761045.073611</v>
      </c>
      <c r="M766" s="39" t="n">
        <f aca="false">(('Business Case'!G11*$C766*'Business Case'!G12*$B766)-'Business Case'!G11*$C766*'Business Case'!G13*$D766-'Business Case'!G14*$E766)-MAX(0,(('Business Case'!G11*$C766*'Business Case'!G12*$B766)-'Business Case'!G11*$C766*'Business Case'!G13*$D766-'Business Case'!G14*$E766))*'Business Case'!$B$7-'Business Case'!$B$8*(('Business Case'!G11*$C766*'Business Case'!G12*$B766)-('Business Case'!F11*$C766*'Business Case'!F12*$B766))-'Business Case'!G15*$F766+'Business Case'!$B$8*('Business Case'!G11*$C766*'Business Case'!G12*$B766)</f>
        <v>1011943868.21638</v>
      </c>
      <c r="N766" s="39" t="n">
        <f aca="false">IF(COUNT('Business Case'!B11:G11)=0,"",H766+NPV(G766,I766:M766))</f>
        <v>13721699.9600511</v>
      </c>
      <c r="P766" s="40" t="n">
        <f aca="true">RAND()</f>
        <v>0.596059007615323</v>
      </c>
      <c r="Q766" s="40" t="n">
        <f aca="true">RAND()</f>
        <v>0.402862526119008</v>
      </c>
      <c r="R766" s="40" t="n">
        <f aca="true">RAND()</f>
        <v>0.0325150484608313</v>
      </c>
      <c r="S766" s="40" t="n">
        <f aca="true">RAND()</f>
        <v>0.464559177669342</v>
      </c>
      <c r="T766" s="40" t="n">
        <f aca="true">RAND()</f>
        <v>0.0699141586109874</v>
      </c>
      <c r="U766" s="40" t="n">
        <f aca="true">RAND()</f>
        <v>0.618540622266795</v>
      </c>
    </row>
    <row r="767" customFormat="false" ht="15" hidden="false" customHeight="false" outlineLevel="0" collapsed="false">
      <c r="A767" s="36" t="n">
        <v>687</v>
      </c>
      <c r="B767" s="37" t="n">
        <f aca="false">1+IF($G$6=$E$6,$F$6,IF(P767&lt;($F$6-$E$6)/($G$6-$E$6),$E$6+SQRT(P767*($G$6-$E$6)*($F$6-$E$6)),$G$6-SQRT((1-P767)*($G$6-$E$6)*($G$6-$F$6))))</f>
        <v>0.976940304651559</v>
      </c>
      <c r="C767" s="37" t="n">
        <f aca="false">1+IF($G$7=$E$7,$F$7,IF(Q767&lt;($F$7-$E$7)/($G$7-$E$7),$E$7+SQRT(Q767*($G$7-$E$7)*($F$7-$E$7)),$G$7-SQRT((1-Q767)*($G$7-$E$7)*($G$7-$F$7))))</f>
        <v>1.02601618677898</v>
      </c>
      <c r="D767" s="37" t="n">
        <f aca="false">1+IF($G$8=$E$8,$F$8,IF(R767&lt;($F$8-$E$8)/($G$8-$E$8),$E$8+SQRT(R767*($G$8-$E$8)*($F$8-$E$8)),$G$8-SQRT((1-R767)*($G$8-$E$8)*($G$8-$F$8))))</f>
        <v>1.02120094794296</v>
      </c>
      <c r="E767" s="37" t="n">
        <f aca="false">1+IF($G$9=$E$9,$F$9,IF(S767&lt;($F$9-$E$9)/($G$9-$E$9),$E$9+SQRT(S767*($G$9-$E$9)*($F$9-$E$9)),$G$9-SQRT((1-S767)*($G$9-$E$9)*($G$9-$F$9))))</f>
        <v>1.05634510971863</v>
      </c>
      <c r="F767" s="37" t="n">
        <f aca="false">1+IF($G$10=$E$10,$F$10,IF(T767&lt;($F$10-$E$10)/($G$10-$E$10),$E$10+SQRT(T767*($G$10-$E$10)*($F$10-$E$10)),$G$10-SQRT((1-T767)*($G$10-$E$10)*($G$10-$F$10))))</f>
        <v>1.05738540446609</v>
      </c>
      <c r="G767" s="38" t="n">
        <f aca="false">IF($G$11=$E$11,$F$11,IF(U767&lt;($F$11-$E$11)/($G$11-$E$11),$E$11+SQRT(U767*($G$11-$E$11)*($F$11-$E$11)),$G$11-SQRT((1-U767)*($G$11-$E$11)*($G$11-$F$11))))</f>
        <v>0.104545762821162</v>
      </c>
      <c r="H767" s="39" t="n">
        <f aca="false">(('Business Case'!B11*$C767*'Business Case'!B12*$B767)-'Business Case'!B11*$C767*'Business Case'!B13*$D767-'Business Case'!B14*$E767)-MAX(0,(('Business Case'!B11*$C767*'Business Case'!B12*$B767)-'Business Case'!B11*$C767*'Business Case'!B13*$D767-'Business Case'!B14*$E767))*'Business Case'!$B$7-'Business Case'!$B$8*('Business Case'!B11*$C767*'Business Case'!B12*$B767)-'Business Case'!B15*$F767</f>
        <v>-2114770808.93217</v>
      </c>
      <c r="I767" s="39" t="n">
        <f aca="false">(('Business Case'!C11*$C767*'Business Case'!C12*$B767)-'Business Case'!C11*$C767*'Business Case'!C13*$D767-'Business Case'!C14*$E767)-MAX(0,(('Business Case'!C11*$C767*'Business Case'!C12*$B767)-'Business Case'!C11*$C767*'Business Case'!C13*$D767-'Business Case'!C14*$E767))*'Business Case'!$B$7-'Business Case'!$B$8*(('Business Case'!C11*$C767*'Business Case'!C12*$B767)-('Business Case'!B11*$C767*'Business Case'!B12*$B767))-'Business Case'!C15*$F767</f>
        <v>-23284536.3408563</v>
      </c>
      <c r="J767" s="39" t="n">
        <f aca="false">(('Business Case'!D11*$C767*'Business Case'!D12*$B767)-'Business Case'!D11*$C767*'Business Case'!D13*$D767-'Business Case'!D14*$E767)-MAX(0,(('Business Case'!D11*$C767*'Business Case'!D12*$B767)-'Business Case'!D11*$C767*'Business Case'!D13*$D767-'Business Case'!D14*$E767))*'Business Case'!$B$7-'Business Case'!$B$8*(('Business Case'!D11*$C767*'Business Case'!D12*$B767)-('Business Case'!C11*$C767*'Business Case'!C12*$B767))-'Business Case'!D15*$F767</f>
        <v>261343906.752954</v>
      </c>
      <c r="K767" s="39" t="n">
        <f aca="false">(('Business Case'!E11*$C767*'Business Case'!E12*$B767)-'Business Case'!E11*$C767*'Business Case'!E13*$D767-'Business Case'!E14*$E767)-MAX(0,(('Business Case'!E11*$C767*'Business Case'!E12*$B767)-'Business Case'!E11*$C767*'Business Case'!E13*$D767-'Business Case'!E14*$E767))*'Business Case'!$B$7-'Business Case'!$B$8*(('Business Case'!E11*$C767*'Business Case'!E12*$B767)-('Business Case'!D11*$C767*'Business Case'!D12*$B767))-'Business Case'!E15*$F767</f>
        <v>598841620.070068</v>
      </c>
      <c r="L767" s="39" t="n">
        <f aca="false">(('Business Case'!F11*$C767*'Business Case'!F12*$B767)-'Business Case'!F11*$C767*'Business Case'!F13*$D767-'Business Case'!F14*$E767)-MAX(0,(('Business Case'!F11*$C767*'Business Case'!F12*$B767)-'Business Case'!F11*$C767*'Business Case'!F13*$D767-'Business Case'!F14*$E767))*'Business Case'!$B$7-'Business Case'!$B$8*(('Business Case'!F11*$C767*'Business Case'!F12*$B767)-('Business Case'!E11*$C767*'Business Case'!E12*$B767))-'Business Case'!F15*$F767</f>
        <v>728359210.692051</v>
      </c>
      <c r="M767" s="39" t="n">
        <f aca="false">(('Business Case'!G11*$C767*'Business Case'!G12*$B767)-'Business Case'!G11*$C767*'Business Case'!G13*$D767-'Business Case'!G14*$E767)-MAX(0,(('Business Case'!G11*$C767*'Business Case'!G12*$B767)-'Business Case'!G11*$C767*'Business Case'!G13*$D767-'Business Case'!G14*$E767))*'Business Case'!$B$7-'Business Case'!$B$8*(('Business Case'!G11*$C767*'Business Case'!G12*$B767)-('Business Case'!F11*$C767*'Business Case'!F12*$B767))-'Business Case'!G15*$F767+'Business Case'!$B$8*('Business Case'!G11*$C767*'Business Case'!G12*$B767)</f>
        <v>918887146.774303</v>
      </c>
      <c r="N767" s="39" t="n">
        <f aca="false">IF(COUNT('Business Case'!B11:G11)=0,"",H767+NPV(G767,I767:M767))</f>
        <v>-429000135.821482</v>
      </c>
      <c r="P767" s="40" t="n">
        <f aca="true">RAND()</f>
        <v>0.337728988938785</v>
      </c>
      <c r="Q767" s="40" t="n">
        <f aca="true">RAND()</f>
        <v>0.707200267793835</v>
      </c>
      <c r="R767" s="40" t="n">
        <f aca="true">RAND()</f>
        <v>0.667564565114752</v>
      </c>
      <c r="S767" s="40" t="n">
        <f aca="true">RAND()</f>
        <v>0.872950036968084</v>
      </c>
      <c r="T767" s="40" t="n">
        <f aca="true">RAND()</f>
        <v>0.593221542813964</v>
      </c>
      <c r="U767" s="40" t="n">
        <f aca="true">RAND()</f>
        <v>0.601944255367022</v>
      </c>
    </row>
    <row r="768" customFormat="false" ht="15" hidden="false" customHeight="false" outlineLevel="0" collapsed="false">
      <c r="A768" s="36" t="n">
        <v>688</v>
      </c>
      <c r="B768" s="37" t="n">
        <f aca="false">1+IF($G$6=$E$6,$F$6,IF(P768&lt;($F$6-$E$6)/($G$6-$E$6),$E$6+SQRT(P768*($G$6-$E$6)*($F$6-$E$6)),$G$6-SQRT((1-P768)*($G$6-$E$6)*($G$6-$F$6))))</f>
        <v>1.00490996748994</v>
      </c>
      <c r="C768" s="37" t="n">
        <f aca="false">1+IF($G$7=$E$7,$F$7,IF(Q768&lt;($F$7-$E$7)/($G$7-$E$7),$E$7+SQRT(Q768*($G$7-$E$7)*($F$7-$E$7)),$G$7-SQRT((1-Q768)*($G$7-$E$7)*($G$7-$F$7))))</f>
        <v>0.970533652540119</v>
      </c>
      <c r="D768" s="37" t="n">
        <f aca="false">1+IF($G$8=$E$8,$F$8,IF(R768&lt;($F$8-$E$8)/($G$8-$E$8),$E$8+SQRT(R768*($G$8-$E$8)*($F$8-$E$8)),$G$8-SQRT((1-R768)*($G$8-$E$8)*($G$8-$F$8))))</f>
        <v>0.998105141144943</v>
      </c>
      <c r="E768" s="37" t="n">
        <f aca="false">1+IF($G$9=$E$9,$F$9,IF(S768&lt;($F$9-$E$9)/($G$9-$E$9),$E$9+SQRT(S768*($G$9-$E$9)*($F$9-$E$9)),$G$9-SQRT((1-S768)*($G$9-$E$9)*($G$9-$F$9))))</f>
        <v>1.0562154826397</v>
      </c>
      <c r="F768" s="37" t="n">
        <f aca="false">1+IF($G$10=$E$10,$F$10,IF(T768&lt;($F$10-$E$10)/($G$10-$E$10),$E$10+SQRT(T768*($G$10-$E$10)*($F$10-$E$10)),$G$10-SQRT((1-T768)*($G$10-$E$10)*($G$10-$F$10))))</f>
        <v>1.00441832094208</v>
      </c>
      <c r="G768" s="38" t="n">
        <f aca="false">IF($G$11=$E$11,$F$11,IF(U768&lt;($F$11-$E$11)/($G$11-$E$11),$E$11+SQRT(U768*($G$11-$E$11)*($F$11-$E$11)),$G$11-SQRT((1-U768)*($G$11-$E$11)*($G$11-$F$11))))</f>
        <v>0.0927224861814312</v>
      </c>
      <c r="H768" s="39" t="n">
        <f aca="false">(('Business Case'!B11*$C768*'Business Case'!B12*$B768)-'Business Case'!B11*$C768*'Business Case'!B13*$D768-'Business Case'!B14*$E768)-MAX(0,(('Business Case'!B11*$C768*'Business Case'!B12*$B768)-'Business Case'!B11*$C768*'Business Case'!B13*$D768-'Business Case'!B14*$E768))*'Business Case'!$B$7-'Business Case'!$B$8*('Business Case'!B11*$C768*'Business Case'!B12*$B768)-'Business Case'!B15*$F768</f>
        <v>-2008836641.88415</v>
      </c>
      <c r="I768" s="39" t="n">
        <f aca="false">(('Business Case'!C11*$C768*'Business Case'!C12*$B768)-'Business Case'!C11*$C768*'Business Case'!C13*$D768-'Business Case'!C14*$E768)-MAX(0,(('Business Case'!C11*$C768*'Business Case'!C12*$B768)-'Business Case'!C11*$C768*'Business Case'!C13*$D768-'Business Case'!C14*$E768))*'Business Case'!$B$7-'Business Case'!$B$8*(('Business Case'!C11*$C768*'Business Case'!C12*$B768)-('Business Case'!B11*$C768*'Business Case'!B12*$B768))-'Business Case'!C15*$F768</f>
        <v>1750729.45002127</v>
      </c>
      <c r="J768" s="39" t="n">
        <f aca="false">(('Business Case'!D11*$C768*'Business Case'!D12*$B768)-'Business Case'!D11*$C768*'Business Case'!D13*$D768-'Business Case'!D14*$E768)-MAX(0,(('Business Case'!D11*$C768*'Business Case'!D12*$B768)-'Business Case'!D11*$C768*'Business Case'!D13*$D768-'Business Case'!D14*$E768))*'Business Case'!$B$7-'Business Case'!$B$8*(('Business Case'!D11*$C768*'Business Case'!D12*$B768)-('Business Case'!C11*$C768*'Business Case'!C12*$B768))-'Business Case'!D15*$F768</f>
        <v>304696629.738563</v>
      </c>
      <c r="K768" s="39" t="n">
        <f aca="false">(('Business Case'!E11*$C768*'Business Case'!E12*$B768)-'Business Case'!E11*$C768*'Business Case'!E13*$D768-'Business Case'!E14*$E768)-MAX(0,(('Business Case'!E11*$C768*'Business Case'!E12*$B768)-'Business Case'!E11*$C768*'Business Case'!E13*$D768-'Business Case'!E14*$E768))*'Business Case'!$B$7-'Business Case'!$B$8*(('Business Case'!E11*$C768*'Business Case'!E12*$B768)-('Business Case'!D11*$C768*'Business Case'!D12*$B768))-'Business Case'!E15*$F768</f>
        <v>657863446.074208</v>
      </c>
      <c r="L768" s="39" t="n">
        <f aca="false">(('Business Case'!F11*$C768*'Business Case'!F12*$B768)-'Business Case'!F11*$C768*'Business Case'!F13*$D768-'Business Case'!F14*$E768)-MAX(0,(('Business Case'!F11*$C768*'Business Case'!F12*$B768)-'Business Case'!F11*$C768*'Business Case'!F13*$D768-'Business Case'!F14*$E768))*'Business Case'!$B$7-'Business Case'!$B$8*(('Business Case'!F11*$C768*'Business Case'!F12*$B768)-('Business Case'!E11*$C768*'Business Case'!E12*$B768))-'Business Case'!F15*$F768</f>
        <v>792551744.245687</v>
      </c>
      <c r="M768" s="39" t="n">
        <f aca="false">(('Business Case'!G11*$C768*'Business Case'!G12*$B768)-'Business Case'!G11*$C768*'Business Case'!G13*$D768-'Business Case'!G14*$E768)-MAX(0,(('Business Case'!G11*$C768*'Business Case'!G12*$B768)-'Business Case'!G11*$C768*'Business Case'!G13*$D768-'Business Case'!G14*$E768))*'Business Case'!$B$7-'Business Case'!$B$8*(('Business Case'!G11*$C768*'Business Case'!G12*$B768)-('Business Case'!F11*$C768*'Business Case'!F12*$B768))-'Business Case'!G15*$F768+'Business Case'!$B$8*('Business Case'!G11*$C768*'Business Case'!G12*$B768)</f>
        <v>977936566.993161</v>
      </c>
      <c r="N768" s="39" t="n">
        <f aca="false">IF(COUNT('Business Case'!B11:G11)=0,"",H768+NPV(G768,I768:M768))</f>
        <v>-64247663.8918629</v>
      </c>
      <c r="P768" s="40" t="n">
        <f aca="true">RAND()</f>
        <v>0.743477003842256</v>
      </c>
      <c r="Q768" s="40" t="n">
        <f aca="true">RAND()</f>
        <v>0.415453237838198</v>
      </c>
      <c r="R768" s="40" t="n">
        <f aca="true">RAND()</f>
        <v>0.356016093011524</v>
      </c>
      <c r="S768" s="40" t="n">
        <f aca="true">RAND()</f>
        <v>0.872194402635038</v>
      </c>
      <c r="T768" s="40" t="n">
        <f aca="true">RAND()</f>
        <v>0.234956136337657</v>
      </c>
      <c r="U768" s="40" t="n">
        <f aca="true">RAND()</f>
        <v>0.0247064366936132</v>
      </c>
    </row>
    <row r="769" customFormat="false" ht="15" hidden="false" customHeight="false" outlineLevel="0" collapsed="false">
      <c r="A769" s="36" t="n">
        <v>689</v>
      </c>
      <c r="B769" s="37" t="n">
        <f aca="false">1+IF($G$6=$E$6,$F$6,IF(P769&lt;($F$6-$E$6)/($G$6-$E$6),$E$6+SQRT(P769*($G$6-$E$6)*($F$6-$E$6)),$G$6-SQRT((1-P769)*($G$6-$E$6)*($G$6-$F$6))))</f>
        <v>0.954835175731888</v>
      </c>
      <c r="C769" s="37" t="n">
        <f aca="false">1+IF($G$7=$E$7,$F$7,IF(Q769&lt;($F$7-$E$7)/($G$7-$E$7),$E$7+SQRT(Q769*($G$7-$E$7)*($F$7-$E$7)),$G$7-SQRT((1-Q769)*($G$7-$E$7)*($G$7-$F$7))))</f>
        <v>1.08169959930143</v>
      </c>
      <c r="D769" s="37" t="n">
        <f aca="false">1+IF($G$8=$E$8,$F$8,IF(R769&lt;($F$8-$E$8)/($G$8-$E$8),$E$8+SQRT(R769*($G$8-$E$8)*($F$8-$E$8)),$G$8-SQRT((1-R769)*($G$8-$E$8)*($G$8-$F$8))))</f>
        <v>0.9789602720357</v>
      </c>
      <c r="E769" s="37" t="n">
        <f aca="false">1+IF($G$9=$E$9,$F$9,IF(S769&lt;($F$9-$E$9)/($G$9-$E$9),$E$9+SQRT(S769*($G$9-$E$9)*($F$9-$E$9)),$G$9-SQRT((1-S769)*($G$9-$E$9)*($G$9-$F$9))))</f>
        <v>1.04490461333115</v>
      </c>
      <c r="F769" s="37" t="n">
        <f aca="false">1+IF($G$10=$E$10,$F$10,IF(T769&lt;($F$10-$E$10)/($G$10-$E$10),$E$10+SQRT(T769*($G$10-$E$10)*($F$10-$E$10)),$G$10-SQRT((1-T769)*($G$10-$E$10)*($G$10-$F$10))))</f>
        <v>1.07534015280909</v>
      </c>
      <c r="G769" s="38" t="n">
        <f aca="false">IF($G$11=$E$11,$F$11,IF(U769&lt;($F$11-$E$11)/($G$11-$E$11),$E$11+SQRT(U769*($G$11-$E$11)*($F$11-$E$11)),$G$11-SQRT((1-U769)*($G$11-$E$11)*($G$11-$F$11))))</f>
        <v>0.109887457214267</v>
      </c>
      <c r="H769" s="39" t="n">
        <f aca="false">(('Business Case'!B11*$C769*'Business Case'!B12*$B769)-'Business Case'!B11*$C769*'Business Case'!B13*$D769-'Business Case'!B14*$E769)-MAX(0,(('Business Case'!B11*$C769*'Business Case'!B12*$B769)-'Business Case'!B11*$C769*'Business Case'!B13*$D769-'Business Case'!B14*$E769))*'Business Case'!$B$7-'Business Case'!$B$8*('Business Case'!B11*$C769*'Business Case'!B12*$B769)-'Business Case'!B15*$F769</f>
        <v>-2150680305.61818</v>
      </c>
      <c r="I769" s="39" t="n">
        <f aca="false">(('Business Case'!C11*$C769*'Business Case'!C12*$B769)-'Business Case'!C11*$C769*'Business Case'!C13*$D769-'Business Case'!C14*$E769)-MAX(0,(('Business Case'!C11*$C769*'Business Case'!C12*$B769)-'Business Case'!C11*$C769*'Business Case'!C13*$D769-'Business Case'!C14*$E769))*'Business Case'!$B$7-'Business Case'!$B$8*(('Business Case'!C11*$C769*'Business Case'!C12*$B769)-('Business Case'!B11*$C769*'Business Case'!B12*$B769))-'Business Case'!C15*$F769</f>
        <v>-5780891.9265845</v>
      </c>
      <c r="J769" s="39" t="n">
        <f aca="false">(('Business Case'!D11*$C769*'Business Case'!D12*$B769)-'Business Case'!D11*$C769*'Business Case'!D13*$D769-'Business Case'!D14*$E769)-MAX(0,(('Business Case'!D11*$C769*'Business Case'!D12*$B769)-'Business Case'!D11*$C769*'Business Case'!D13*$D769-'Business Case'!D14*$E769))*'Business Case'!$B$7-'Business Case'!$B$8*(('Business Case'!D11*$C769*'Business Case'!D12*$B769)-('Business Case'!C11*$C769*'Business Case'!C12*$B769))-'Business Case'!D15*$F769</f>
        <v>298100343.274493</v>
      </c>
      <c r="K769" s="39" t="n">
        <f aca="false">(('Business Case'!E11*$C769*'Business Case'!E12*$B769)-'Business Case'!E11*$C769*'Business Case'!E13*$D769-'Business Case'!E14*$E769)-MAX(0,(('Business Case'!E11*$C769*'Business Case'!E12*$B769)-'Business Case'!E11*$C769*'Business Case'!E13*$D769-'Business Case'!E14*$E769))*'Business Case'!$B$7-'Business Case'!$B$8*(('Business Case'!E11*$C769*'Business Case'!E12*$B769)-('Business Case'!D11*$C769*'Business Case'!D12*$B769))-'Business Case'!E15*$F769</f>
        <v>655748586.116025</v>
      </c>
      <c r="L769" s="39" t="n">
        <f aca="false">(('Business Case'!F11*$C769*'Business Case'!F12*$B769)-'Business Case'!F11*$C769*'Business Case'!F13*$D769-'Business Case'!F14*$E769)-MAX(0,(('Business Case'!F11*$C769*'Business Case'!F12*$B769)-'Business Case'!F11*$C769*'Business Case'!F13*$D769-'Business Case'!F14*$E769))*'Business Case'!$B$7-'Business Case'!$B$8*(('Business Case'!F11*$C769*'Business Case'!F12*$B769)-('Business Case'!E11*$C769*'Business Case'!E12*$B769))-'Business Case'!F15*$F769</f>
        <v>792737448.403759</v>
      </c>
      <c r="M769" s="39" t="n">
        <f aca="false">(('Business Case'!G11*$C769*'Business Case'!G12*$B769)-'Business Case'!G11*$C769*'Business Case'!G13*$D769-'Business Case'!G14*$E769)-MAX(0,(('Business Case'!G11*$C769*'Business Case'!G12*$B769)-'Business Case'!G11*$C769*'Business Case'!G13*$D769-'Business Case'!G14*$E769))*'Business Case'!$B$7-'Business Case'!$B$8*(('Business Case'!G11*$C769*'Business Case'!G12*$B769)-('Business Case'!F11*$C769*'Business Case'!F12*$B769))-'Business Case'!G15*$F769+'Business Case'!$B$8*('Business Case'!G11*$C769*'Business Case'!G12*$B769)</f>
        <v>989060593.117656</v>
      </c>
      <c r="N769" s="39" t="n">
        <f aca="false">IF(COUNT('Business Case'!B11:G11)=0,"",H769+NPV(G769,I769:M769))</f>
        <v>-324601742.257638</v>
      </c>
      <c r="P769" s="40" t="n">
        <f aca="true">RAND()</f>
        <v>0.126405152944947</v>
      </c>
      <c r="Q769" s="40" t="n">
        <f aca="true">RAND()</f>
        <v>0.911143909798381</v>
      </c>
      <c r="R769" s="40" t="n">
        <f aca="true">RAND()</f>
        <v>0.129030362520269</v>
      </c>
      <c r="S769" s="40" t="n">
        <f aca="true">RAND()</f>
        <v>0.797633224520667</v>
      </c>
      <c r="T769" s="40" t="n">
        <f aca="true">RAND()</f>
        <v>0.689198449966787</v>
      </c>
      <c r="U769" s="40" t="n">
        <f aca="true">RAND()</f>
        <v>0.829560797344536</v>
      </c>
    </row>
    <row r="770" customFormat="false" ht="15" hidden="false" customHeight="false" outlineLevel="0" collapsed="false">
      <c r="A770" s="36" t="n">
        <v>690</v>
      </c>
      <c r="B770" s="37" t="n">
        <f aca="false">1+IF($G$6=$E$6,$F$6,IF(P770&lt;($F$6-$E$6)/($G$6-$E$6),$E$6+SQRT(P770*($G$6-$E$6)*($F$6-$E$6)),$G$6-SQRT((1-P770)*($G$6-$E$6)*($G$6-$F$6))))</f>
        <v>1.00039778977568</v>
      </c>
      <c r="C770" s="37" t="n">
        <f aca="false">1+IF($G$7=$E$7,$F$7,IF(Q770&lt;($F$7-$E$7)/($G$7-$E$7),$E$7+SQRT(Q770*($G$7-$E$7)*($F$7-$E$7)),$G$7-SQRT((1-Q770)*($G$7-$E$7)*($G$7-$F$7))))</f>
        <v>0.983191512570048</v>
      </c>
      <c r="D770" s="37" t="n">
        <f aca="false">1+IF($G$8=$E$8,$F$8,IF(R770&lt;($F$8-$E$8)/($G$8-$E$8),$E$8+SQRT(R770*($G$8-$E$8)*($F$8-$E$8)),$G$8-SQRT((1-R770)*($G$8-$E$8)*($G$8-$F$8))))</f>
        <v>1.00091561979075</v>
      </c>
      <c r="E770" s="37" t="n">
        <f aca="false">1+IF($G$9=$E$9,$F$9,IF(S770&lt;($F$9-$E$9)/($G$9-$E$9),$E$9+SQRT(S770*($G$9-$E$9)*($F$9-$E$9)),$G$9-SQRT((1-S770)*($G$9-$E$9)*($G$9-$F$9))))</f>
        <v>1.06467215773078</v>
      </c>
      <c r="F770" s="37" t="n">
        <f aca="false">1+IF($G$10=$E$10,$F$10,IF(T770&lt;($F$10-$E$10)/($G$10-$E$10),$E$10+SQRT(T770*($G$10-$E$10)*($F$10-$E$10)),$G$10-SQRT((1-T770)*($G$10-$E$10)*($G$10-$F$10))))</f>
        <v>1.08794620387815</v>
      </c>
      <c r="G770" s="38" t="n">
        <f aca="false">IF($G$11=$E$11,$F$11,IF(U770&lt;($F$11-$E$11)/($G$11-$E$11),$E$11+SQRT(U770*($G$11-$E$11)*($F$11-$E$11)),$G$11-SQRT((1-U770)*($G$11-$E$11)*($G$11-$F$11))))</f>
        <v>0.100757354252831</v>
      </c>
      <c r="H770" s="39" t="n">
        <f aca="false">(('Business Case'!B11*$C770*'Business Case'!B12*$B770)-'Business Case'!B11*$C770*'Business Case'!B13*$D770-'Business Case'!B14*$E770)-MAX(0,(('Business Case'!B11*$C770*'Business Case'!B12*$B770)-'Business Case'!B11*$C770*'Business Case'!B13*$D770-'Business Case'!B14*$E770))*'Business Case'!$B$7-'Business Case'!$B$8*('Business Case'!B11*$C770*'Business Case'!B12*$B770)-'Business Case'!B15*$F770</f>
        <v>-2175892407.75629</v>
      </c>
      <c r="I770" s="39" t="n">
        <f aca="false">(('Business Case'!C11*$C770*'Business Case'!C12*$B770)-'Business Case'!C11*$C770*'Business Case'!C13*$D770-'Business Case'!C14*$E770)-MAX(0,(('Business Case'!C11*$C770*'Business Case'!C12*$B770)-'Business Case'!C11*$C770*'Business Case'!C13*$D770-'Business Case'!C14*$E770))*'Business Case'!$B$7-'Business Case'!$B$8*(('Business Case'!C11*$C770*'Business Case'!C12*$B770)-('Business Case'!B11*$C770*'Business Case'!B12*$B770))-'Business Case'!C15*$F770</f>
        <v>-9331188.15579349</v>
      </c>
      <c r="J770" s="39" t="n">
        <f aca="false">(('Business Case'!D11*$C770*'Business Case'!D12*$B770)-'Business Case'!D11*$C770*'Business Case'!D13*$D770-'Business Case'!D14*$E770)-MAX(0,(('Business Case'!D11*$C770*'Business Case'!D12*$B770)-'Business Case'!D11*$C770*'Business Case'!D13*$D770-'Business Case'!D14*$E770))*'Business Case'!$B$7-'Business Case'!$B$8*(('Business Case'!D11*$C770*'Business Case'!D12*$B770)-('Business Case'!C11*$C770*'Business Case'!C12*$B770))-'Business Case'!D15*$F770</f>
        <v>292517547.724235</v>
      </c>
      <c r="K770" s="39" t="n">
        <f aca="false">(('Business Case'!E11*$C770*'Business Case'!E12*$B770)-'Business Case'!E11*$C770*'Business Case'!E13*$D770-'Business Case'!E14*$E770)-MAX(0,(('Business Case'!E11*$C770*'Business Case'!E12*$B770)-'Business Case'!E11*$C770*'Business Case'!E13*$D770-'Business Case'!E14*$E770))*'Business Case'!$B$7-'Business Case'!$B$8*(('Business Case'!E11*$C770*'Business Case'!E12*$B770)-('Business Case'!D11*$C770*'Business Case'!D12*$B770))-'Business Case'!E15*$F770</f>
        <v>648763593.79817</v>
      </c>
      <c r="L770" s="39" t="n">
        <f aca="false">(('Business Case'!F11*$C770*'Business Case'!F12*$B770)-'Business Case'!F11*$C770*'Business Case'!F13*$D770-'Business Case'!F14*$E770)-MAX(0,(('Business Case'!F11*$C770*'Business Case'!F12*$B770)-'Business Case'!F11*$C770*'Business Case'!F13*$D770-'Business Case'!F14*$E770))*'Business Case'!$B$7-'Business Case'!$B$8*(('Business Case'!F11*$C770*'Business Case'!F12*$B770)-('Business Case'!E11*$C770*'Business Case'!E12*$B770))-'Business Case'!F15*$F770</f>
        <v>783372454.303973</v>
      </c>
      <c r="M770" s="39" t="n">
        <f aca="false">(('Business Case'!G11*$C770*'Business Case'!G12*$B770)-'Business Case'!G11*$C770*'Business Case'!G13*$D770-'Business Case'!G14*$E770)-MAX(0,(('Business Case'!G11*$C770*'Business Case'!G12*$B770)-'Business Case'!G11*$C770*'Business Case'!G13*$D770-'Business Case'!G14*$E770))*'Business Case'!$B$7-'Business Case'!$B$8*(('Business Case'!G11*$C770*'Business Case'!G12*$B770)-('Business Case'!F11*$C770*'Business Case'!F12*$B770))-'Business Case'!G15*$F770+'Business Case'!$B$8*('Business Case'!G11*$C770*'Business Case'!G12*$B770)</f>
        <v>970331837.972504</v>
      </c>
      <c r="N770" s="39" t="n">
        <f aca="false">IF(COUNT('Business Case'!B11:G11)=0,"",H770+NPV(G770,I770:M770))</f>
        <v>-322518884.84399</v>
      </c>
      <c r="P770" s="40" t="n">
        <f aca="true">RAND()</f>
        <v>0.673263530280912</v>
      </c>
      <c r="Q770" s="40" t="n">
        <f aca="true">RAND()</f>
        <v>0.479416146824315</v>
      </c>
      <c r="R770" s="40" t="n">
        <f aca="true">RAND()</f>
        <v>0.39862123143452</v>
      </c>
      <c r="S770" s="40" t="n">
        <f aca="true">RAND()</f>
        <v>0.916796237373397</v>
      </c>
      <c r="T770" s="40" t="n">
        <f aca="true">RAND()</f>
        <v>0.748878935493646</v>
      </c>
      <c r="U770" s="40" t="n">
        <f aca="true">RAND()</f>
        <v>0.382867641081582</v>
      </c>
    </row>
    <row r="771" customFormat="false" ht="15" hidden="false" customHeight="false" outlineLevel="0" collapsed="false">
      <c r="A771" s="36" t="n">
        <v>691</v>
      </c>
      <c r="B771" s="37" t="n">
        <f aca="false">1+IF($G$6=$E$6,$F$6,IF(P771&lt;($F$6-$E$6)/($G$6-$E$6),$E$6+SQRT(P771*($G$6-$E$6)*($F$6-$E$6)),$G$6-SQRT((1-P771)*($G$6-$E$6)*($G$6-$F$6))))</f>
        <v>0.972374863266386</v>
      </c>
      <c r="C771" s="37" t="n">
        <f aca="false">1+IF($G$7=$E$7,$F$7,IF(Q771&lt;($F$7-$E$7)/($G$7-$E$7),$E$7+SQRT(Q771*($G$7-$E$7)*($F$7-$E$7)),$G$7-SQRT((1-Q771)*($G$7-$E$7)*($G$7-$F$7))))</f>
        <v>0.977592332369669</v>
      </c>
      <c r="D771" s="37" t="n">
        <f aca="false">1+IF($G$8=$E$8,$F$8,IF(R771&lt;($F$8-$E$8)/($G$8-$E$8),$E$8+SQRT(R771*($G$8-$E$8)*($F$8-$E$8)),$G$8-SQRT((1-R771)*($G$8-$E$8)*($G$8-$F$8))))</f>
        <v>1.0307708521999</v>
      </c>
      <c r="E771" s="37" t="n">
        <f aca="false">1+IF($G$9=$E$9,$F$9,IF(S771&lt;($F$9-$E$9)/($G$9-$E$9),$E$9+SQRT(S771*($G$9-$E$9)*($F$9-$E$9)),$G$9-SQRT((1-S771)*($G$9-$E$9)*($G$9-$F$9))))</f>
        <v>1.01316161742135</v>
      </c>
      <c r="F771" s="37" t="n">
        <f aca="false">1+IF($G$10=$E$10,$F$10,IF(T771&lt;($F$10-$E$10)/($G$10-$E$10),$E$10+SQRT(T771*($G$10-$E$10)*($F$10-$E$10)),$G$10-SQRT((1-T771)*($G$10-$E$10)*($G$10-$F$10))))</f>
        <v>1.13716547045158</v>
      </c>
      <c r="G771" s="38" t="n">
        <f aca="false">IF($G$11=$E$11,$F$11,IF(U771&lt;($F$11-$E$11)/($G$11-$E$11),$E$11+SQRT(U771*($G$11-$E$11)*($F$11-$E$11)),$G$11-SQRT((1-U771)*($G$11-$E$11)*($G$11-$F$11))))</f>
        <v>0.111710535706261</v>
      </c>
      <c r="H771" s="39" t="n">
        <f aca="false">(('Business Case'!B11*$C771*'Business Case'!B12*$B771)-'Business Case'!B11*$C771*'Business Case'!B13*$D771-'Business Case'!B14*$E771)-MAX(0,(('Business Case'!B11*$C771*'Business Case'!B12*$B771)-'Business Case'!B11*$C771*'Business Case'!B13*$D771-'Business Case'!B14*$E771))*'Business Case'!$B$7-'Business Case'!$B$8*('Business Case'!B11*$C771*'Business Case'!B12*$B771)-'Business Case'!B15*$F771</f>
        <v>-2274330940.90317</v>
      </c>
      <c r="I771" s="39" t="n">
        <f aca="false">(('Business Case'!C11*$C771*'Business Case'!C12*$B771)-'Business Case'!C11*$C771*'Business Case'!C13*$D771-'Business Case'!C14*$E771)-MAX(0,(('Business Case'!C11*$C771*'Business Case'!C12*$B771)-'Business Case'!C11*$C771*'Business Case'!C13*$D771-'Business Case'!C14*$E771))*'Business Case'!$B$7-'Business Case'!$B$8*(('Business Case'!C11*$C771*'Business Case'!C12*$B771)-('Business Case'!B11*$C771*'Business Case'!B12*$B771))-'Business Case'!C15*$F771</f>
        <v>-44316280.6285087</v>
      </c>
      <c r="J771" s="39" t="n">
        <f aca="false">(('Business Case'!D11*$C771*'Business Case'!D12*$B771)-'Business Case'!D11*$C771*'Business Case'!D13*$D771-'Business Case'!D14*$E771)-MAX(0,(('Business Case'!D11*$C771*'Business Case'!D12*$B771)-'Business Case'!D11*$C771*'Business Case'!D13*$D771-'Business Case'!D14*$E771))*'Business Case'!$B$7-'Business Case'!$B$8*(('Business Case'!D11*$C771*'Business Case'!D12*$B771)-('Business Case'!C11*$C771*'Business Case'!C12*$B771))-'Business Case'!D15*$F771</f>
        <v>218433956.938722</v>
      </c>
      <c r="K771" s="39" t="n">
        <f aca="false">(('Business Case'!E11*$C771*'Business Case'!E12*$B771)-'Business Case'!E11*$C771*'Business Case'!E13*$D771-'Business Case'!E14*$E771)-MAX(0,(('Business Case'!E11*$C771*'Business Case'!E12*$B771)-'Business Case'!E11*$C771*'Business Case'!E13*$D771-'Business Case'!E14*$E771))*'Business Case'!$B$7-'Business Case'!$B$8*(('Business Case'!E11*$C771*'Business Case'!E12*$B771)-('Business Case'!D11*$C771*'Business Case'!D12*$B771))-'Business Case'!E15*$F771</f>
        <v>538042468.028532</v>
      </c>
      <c r="L771" s="39" t="n">
        <f aca="false">(('Business Case'!F11*$C771*'Business Case'!F12*$B771)-'Business Case'!F11*$C771*'Business Case'!F13*$D771-'Business Case'!F14*$E771)-MAX(0,(('Business Case'!F11*$C771*'Business Case'!F12*$B771)-'Business Case'!F11*$C771*'Business Case'!F13*$D771-'Business Case'!F14*$E771))*'Business Case'!$B$7-'Business Case'!$B$8*(('Business Case'!F11*$C771*'Business Case'!F12*$B771)-('Business Case'!E11*$C771*'Business Case'!E12*$B771))-'Business Case'!F15*$F771</f>
        <v>658478139.986451</v>
      </c>
      <c r="M771" s="39" t="n">
        <f aca="false">(('Business Case'!G11*$C771*'Business Case'!G12*$B771)-'Business Case'!G11*$C771*'Business Case'!G13*$D771-'Business Case'!G14*$E771)-MAX(0,(('Business Case'!G11*$C771*'Business Case'!G12*$B771)-'Business Case'!G11*$C771*'Business Case'!G13*$D771-'Business Case'!G14*$E771))*'Business Case'!$B$7-'Business Case'!$B$8*(('Business Case'!G11*$C771*'Business Case'!G12*$B771)-('Business Case'!F11*$C771*'Business Case'!F12*$B771))-'Business Case'!G15*$F771+'Business Case'!$B$8*('Business Case'!G11*$C771*'Business Case'!G12*$B771)</f>
        <v>839165566.881755</v>
      </c>
      <c r="N771" s="39" t="n">
        <f aca="false">IF(COUNT('Business Case'!B11:G11)=0,"",H771+NPV(G771,I771:M771))</f>
        <v>-820573598.421204</v>
      </c>
      <c r="P771" s="40" t="n">
        <f aca="true">RAND()</f>
        <v>0.285742323142978</v>
      </c>
      <c r="Q771" s="40" t="n">
        <f aca="true">RAND()</f>
        <v>0.450557664521411</v>
      </c>
      <c r="R771" s="40" t="n">
        <f aca="true">RAND()</f>
        <v>0.766970289122687</v>
      </c>
      <c r="S771" s="40" t="n">
        <f aca="true">RAND()</f>
        <v>0.497273020741623</v>
      </c>
      <c r="T771" s="40" t="n">
        <f aca="true">RAND()</f>
        <v>0.921036437928585</v>
      </c>
      <c r="U771" s="40" t="n">
        <f aca="true">RAND()</f>
        <v>0.885474636204712</v>
      </c>
    </row>
    <row r="772" customFormat="false" ht="15" hidden="false" customHeight="false" outlineLevel="0" collapsed="false">
      <c r="A772" s="36" t="n">
        <v>692</v>
      </c>
      <c r="B772" s="37" t="n">
        <f aca="false">1+IF($G$6=$E$6,$F$6,IF(P772&lt;($F$6-$E$6)/($G$6-$E$6),$E$6+SQRT(P772*($G$6-$E$6)*($F$6-$E$6)),$G$6-SQRT((1-P772)*($G$6-$E$6)*($G$6-$F$6))))</f>
        <v>0.99668964087729</v>
      </c>
      <c r="C772" s="37" t="n">
        <f aca="false">1+IF($G$7=$E$7,$F$7,IF(Q772&lt;($F$7-$E$7)/($G$7-$E$7),$E$7+SQRT(Q772*($G$7-$E$7)*($F$7-$E$7)),$G$7-SQRT((1-Q772)*($G$7-$E$7)*($G$7-$F$7))))</f>
        <v>0.835095265057811</v>
      </c>
      <c r="D772" s="37" t="n">
        <f aca="false">1+IF($G$8=$E$8,$F$8,IF(R772&lt;($F$8-$E$8)/($G$8-$E$8),$E$8+SQRT(R772*($G$8-$E$8)*($F$8-$E$8)),$G$8-SQRT((1-R772)*($G$8-$E$8)*($G$8-$F$8))))</f>
        <v>1.06077324686013</v>
      </c>
      <c r="E772" s="37" t="n">
        <f aca="false">1+IF($G$9=$E$9,$F$9,IF(S772&lt;($F$9-$E$9)/($G$9-$E$9),$E$9+SQRT(S772*($G$9-$E$9)*($F$9-$E$9)),$G$9-SQRT((1-S772)*($G$9-$E$9)*($G$9-$F$9))))</f>
        <v>0.982357526488682</v>
      </c>
      <c r="F772" s="37" t="n">
        <f aca="false">1+IF($G$10=$E$10,$F$10,IF(T772&lt;($F$10-$E$10)/($G$10-$E$10),$E$10+SQRT(T772*($G$10-$E$10)*($F$10-$E$10)),$G$10-SQRT((1-T772)*($G$10-$E$10)*($G$10-$F$10))))</f>
        <v>1.05714530292231</v>
      </c>
      <c r="G772" s="38" t="n">
        <f aca="false">IF($G$11=$E$11,$F$11,IF(U772&lt;($F$11-$E$11)/($G$11-$E$11),$E$11+SQRT(U772*($G$11-$E$11)*($F$11-$E$11)),$G$11-SQRT((1-U772)*($G$11-$E$11)*($G$11-$F$11))))</f>
        <v>0.101764427900156</v>
      </c>
      <c r="H772" s="39" t="n">
        <f aca="false">(('Business Case'!B11*$C772*'Business Case'!B12*$B772)-'Business Case'!B11*$C772*'Business Case'!B13*$D772-'Business Case'!B14*$E772)-MAX(0,(('Business Case'!B11*$C772*'Business Case'!B12*$B772)-'Business Case'!B11*$C772*'Business Case'!B13*$D772-'Business Case'!B14*$E772))*'Business Case'!$B$7-'Business Case'!$B$8*('Business Case'!B11*$C772*'Business Case'!B12*$B772)-'Business Case'!B15*$F772</f>
        <v>-2114290605.84462</v>
      </c>
      <c r="I772" s="39" t="n">
        <f aca="false">(('Business Case'!C11*$C772*'Business Case'!C12*$B772)-'Business Case'!C11*$C772*'Business Case'!C13*$D772-'Business Case'!C14*$E772)-MAX(0,(('Business Case'!C11*$C772*'Business Case'!C12*$B772)-'Business Case'!C11*$C772*'Business Case'!C13*$D772-'Business Case'!C14*$E772))*'Business Case'!$B$7-'Business Case'!$B$8*(('Business Case'!C11*$C772*'Business Case'!C12*$B772)-('Business Case'!B11*$C772*'Business Case'!B12*$B772))-'Business Case'!C15*$F772</f>
        <v>-60297597.0728954</v>
      </c>
      <c r="J772" s="39" t="n">
        <f aca="false">(('Business Case'!D11*$C772*'Business Case'!D12*$B772)-'Business Case'!D11*$C772*'Business Case'!D13*$D772-'Business Case'!D14*$E772)-MAX(0,(('Business Case'!D11*$C772*'Business Case'!D12*$B772)-'Business Case'!D11*$C772*'Business Case'!D13*$D772-'Business Case'!D14*$E772))*'Business Case'!$B$7-'Business Case'!$B$8*(('Business Case'!D11*$C772*'Business Case'!D12*$B772)-('Business Case'!C11*$C772*'Business Case'!C12*$B772))-'Business Case'!D15*$F772</f>
        <v>167958605.076255</v>
      </c>
      <c r="K772" s="39" t="n">
        <f aca="false">(('Business Case'!E11*$C772*'Business Case'!E12*$B772)-'Business Case'!E11*$C772*'Business Case'!E13*$D772-'Business Case'!E14*$E772)-MAX(0,(('Business Case'!E11*$C772*'Business Case'!E12*$B772)-'Business Case'!E11*$C772*'Business Case'!E13*$D772-'Business Case'!E14*$E772))*'Business Case'!$B$7-'Business Case'!$B$8*(('Business Case'!E11*$C772*'Business Case'!E12*$B772)-('Business Case'!D11*$C772*'Business Case'!D12*$B772))-'Business Case'!E15*$F772</f>
        <v>449072072.371521</v>
      </c>
      <c r="L772" s="39" t="n">
        <f aca="false">(('Business Case'!F11*$C772*'Business Case'!F12*$B772)-'Business Case'!F11*$C772*'Business Case'!F13*$D772-'Business Case'!F14*$E772)-MAX(0,(('Business Case'!F11*$C772*'Business Case'!F12*$B772)-'Business Case'!F11*$C772*'Business Case'!F13*$D772-'Business Case'!F14*$E772))*'Business Case'!$B$7-'Business Case'!$B$8*(('Business Case'!F11*$C772*'Business Case'!F12*$B772)-('Business Case'!E11*$C772*'Business Case'!E12*$B772))-'Business Case'!F15*$F772</f>
        <v>553922825.529988</v>
      </c>
      <c r="M772" s="39" t="n">
        <f aca="false">(('Business Case'!G11*$C772*'Business Case'!G12*$B772)-'Business Case'!G11*$C772*'Business Case'!G13*$D772-'Business Case'!G14*$E772)-MAX(0,(('Business Case'!G11*$C772*'Business Case'!G12*$B772)-'Business Case'!G11*$C772*'Business Case'!G13*$D772-'Business Case'!G14*$E772))*'Business Case'!$B$7-'Business Case'!$B$8*(('Business Case'!G11*$C772*'Business Case'!G12*$B772)-('Business Case'!F11*$C772*'Business Case'!F12*$B772))-'Business Case'!G15*$F772+'Business Case'!$B$8*('Business Case'!G11*$C772*'Business Case'!G12*$B772)</f>
        <v>712132263.961446</v>
      </c>
      <c r="N772" s="39" t="n">
        <f aca="false">IF(COUNT('Business Case'!B11:G11)=0,"",H772+NPV(G772,I772:M772))</f>
        <v>-880310384.610488</v>
      </c>
      <c r="P772" s="40" t="n">
        <f aca="true">RAND()</f>
        <v>0.612635522696634</v>
      </c>
      <c r="Q772" s="40" t="n">
        <f aca="true">RAND()</f>
        <v>0.017595394706829</v>
      </c>
      <c r="R772" s="40" t="n">
        <f aca="true">RAND()</f>
        <v>0.964454996509454</v>
      </c>
      <c r="S772" s="40" t="n">
        <f aca="true">RAND()</f>
        <v>0.139601269395434</v>
      </c>
      <c r="T772" s="40" t="n">
        <f aca="true">RAND()</f>
        <v>0.591850710456822</v>
      </c>
      <c r="U772" s="40" t="n">
        <f aca="true">RAND()</f>
        <v>0.44577318365232</v>
      </c>
    </row>
    <row r="773" customFormat="false" ht="15" hidden="false" customHeight="false" outlineLevel="0" collapsed="false">
      <c r="A773" s="36" t="n">
        <v>693</v>
      </c>
      <c r="B773" s="37" t="n">
        <f aca="false">1+IF($G$6=$E$6,$F$6,IF(P773&lt;($F$6-$E$6)/($G$6-$E$6),$E$6+SQRT(P773*($G$6-$E$6)*($F$6-$E$6)),$G$6-SQRT((1-P773)*($G$6-$E$6)*($G$6-$F$6))))</f>
        <v>0.967188046919515</v>
      </c>
      <c r="C773" s="37" t="n">
        <f aca="false">1+IF($G$7=$E$7,$F$7,IF(Q773&lt;($F$7-$E$7)/($G$7-$E$7),$E$7+SQRT(Q773*($G$7-$E$7)*($F$7-$E$7)),$G$7-SQRT((1-Q773)*($G$7-$E$7)*($G$7-$F$7))))</f>
        <v>1.01878080565538</v>
      </c>
      <c r="D773" s="37" t="n">
        <f aca="false">1+IF($G$8=$E$8,$F$8,IF(R773&lt;($F$8-$E$8)/($G$8-$E$8),$E$8+SQRT(R773*($G$8-$E$8)*($F$8-$E$8)),$G$8-SQRT((1-R773)*($G$8-$E$8)*($G$8-$F$8))))</f>
        <v>1.05975210534253</v>
      </c>
      <c r="E773" s="37" t="n">
        <f aca="false">1+IF($G$9=$E$9,$F$9,IF(S773&lt;($F$9-$E$9)/($G$9-$E$9),$E$9+SQRT(S773*($G$9-$E$9)*($F$9-$E$9)),$G$9-SQRT((1-S773)*($G$9-$E$9)*($G$9-$F$9))))</f>
        <v>1.03136256681078</v>
      </c>
      <c r="F773" s="37" t="n">
        <f aca="false">1+IF($G$10=$E$10,$F$10,IF(T773&lt;($F$10-$E$10)/($G$10-$E$10),$E$10+SQRT(T773*($G$10-$E$10)*($F$10-$E$10)),$G$10-SQRT((1-T773)*($G$10-$E$10)*($G$10-$F$10))))</f>
        <v>1.01834094937644</v>
      </c>
      <c r="G773" s="38" t="n">
        <f aca="false">IF($G$11=$E$11,$F$11,IF(U773&lt;($F$11-$E$11)/($G$11-$E$11),$E$11+SQRT(U773*($G$11-$E$11)*($F$11-$E$11)),$G$11-SQRT((1-U773)*($G$11-$E$11)*($G$11-$F$11))))</f>
        <v>0.0966894471888267</v>
      </c>
      <c r="H773" s="39" t="n">
        <f aca="false">(('Business Case'!B11*$C773*'Business Case'!B12*$B773)-'Business Case'!B11*$C773*'Business Case'!B13*$D773-'Business Case'!B14*$E773)-MAX(0,(('Business Case'!B11*$C773*'Business Case'!B12*$B773)-'Business Case'!B11*$C773*'Business Case'!B13*$D773-'Business Case'!B14*$E773))*'Business Case'!$B$7-'Business Case'!$B$8*('Business Case'!B11*$C773*'Business Case'!B12*$B773)-'Business Case'!B15*$F773</f>
        <v>-2036681898.75288</v>
      </c>
      <c r="I773" s="39" t="n">
        <f aca="false">(('Business Case'!C11*$C773*'Business Case'!C12*$B773)-'Business Case'!C11*$C773*'Business Case'!C13*$D773-'Business Case'!C14*$E773)-MAX(0,(('Business Case'!C11*$C773*'Business Case'!C12*$B773)-'Business Case'!C11*$C773*'Business Case'!C13*$D773-'Business Case'!C14*$E773))*'Business Case'!$B$7-'Business Case'!$B$8*(('Business Case'!C11*$C773*'Business Case'!C12*$B773)-('Business Case'!B11*$C773*'Business Case'!B12*$B773))-'Business Case'!C15*$F773</f>
        <v>-45196833.0586541</v>
      </c>
      <c r="J773" s="39" t="n">
        <f aca="false">(('Business Case'!D11*$C773*'Business Case'!D12*$B773)-'Business Case'!D11*$C773*'Business Case'!D13*$D773-'Business Case'!D14*$E773)-MAX(0,(('Business Case'!D11*$C773*'Business Case'!D12*$B773)-'Business Case'!D11*$C773*'Business Case'!D13*$D773-'Business Case'!D14*$E773))*'Business Case'!$B$7-'Business Case'!$B$8*(('Business Case'!D11*$C773*'Business Case'!D12*$B773)-('Business Case'!C11*$C773*'Business Case'!C12*$B773))-'Business Case'!D15*$F773</f>
        <v>209180865.52037</v>
      </c>
      <c r="K773" s="39" t="n">
        <f aca="false">(('Business Case'!E11*$C773*'Business Case'!E12*$B773)-'Business Case'!E11*$C773*'Business Case'!E13*$D773-'Business Case'!E14*$E773)-MAX(0,(('Business Case'!E11*$C773*'Business Case'!E12*$B773)-'Business Case'!E11*$C773*'Business Case'!E13*$D773-'Business Case'!E14*$E773))*'Business Case'!$B$7-'Business Case'!$B$8*(('Business Case'!E11*$C773*'Business Case'!E12*$B773)-('Business Case'!D11*$C773*'Business Case'!D12*$B773))-'Business Case'!E15*$F773</f>
        <v>514475611.568216</v>
      </c>
      <c r="L773" s="39" t="n">
        <f aca="false">(('Business Case'!F11*$C773*'Business Case'!F12*$B773)-'Business Case'!F11*$C773*'Business Case'!F13*$D773-'Business Case'!F14*$E773)-MAX(0,(('Business Case'!F11*$C773*'Business Case'!F12*$B773)-'Business Case'!F11*$C773*'Business Case'!F13*$D773-'Business Case'!F14*$E773))*'Business Case'!$B$7-'Business Case'!$B$8*(('Business Case'!F11*$C773*'Business Case'!F12*$B773)-('Business Case'!E11*$C773*'Business Case'!E12*$B773))-'Business Case'!F15*$F773</f>
        <v>633321964.227586</v>
      </c>
      <c r="M773" s="39" t="n">
        <f aca="false">(('Business Case'!G11*$C773*'Business Case'!G12*$B773)-'Business Case'!G11*$C773*'Business Case'!G13*$D773-'Business Case'!G14*$E773)-MAX(0,(('Business Case'!G11*$C773*'Business Case'!G12*$B773)-'Business Case'!G11*$C773*'Business Case'!G13*$D773-'Business Case'!G14*$E773))*'Business Case'!$B$7-'Business Case'!$B$8*(('Business Case'!G11*$C773*'Business Case'!G12*$B773)-('Business Case'!F11*$C773*'Business Case'!F12*$B773))-'Business Case'!G15*$F773+'Business Case'!$B$8*('Business Case'!G11*$C773*'Business Case'!G12*$B773)</f>
        <v>820617789.792574</v>
      </c>
      <c r="N773" s="39" t="n">
        <f aca="false">IF(COUNT('Business Case'!B11:G11)=0,"",H773+NPV(G773,I773:M773))</f>
        <v>-558837163.364117</v>
      </c>
      <c r="P773" s="40" t="n">
        <f aca="true">RAND()</f>
        <v>0.231949142924828</v>
      </c>
      <c r="Q773" s="40" t="n">
        <f aca="true">RAND()</f>
        <v>0.672029010200954</v>
      </c>
      <c r="R773" s="40" t="n">
        <f aca="true">RAND()</f>
        <v>0.960579111724996</v>
      </c>
      <c r="S773" s="40" t="n">
        <f aca="true">RAND()</f>
        <v>0.685926851012991</v>
      </c>
      <c r="T773" s="40" t="n">
        <f aca="true">RAND()</f>
        <v>0.339999786530924</v>
      </c>
      <c r="U773" s="40" t="n">
        <f aca="true">RAND()</f>
        <v>0.14916234564034</v>
      </c>
    </row>
    <row r="774" customFormat="false" ht="15" hidden="false" customHeight="false" outlineLevel="0" collapsed="false">
      <c r="A774" s="36" t="n">
        <v>694</v>
      </c>
      <c r="B774" s="37" t="n">
        <f aca="false">1+IF($G$6=$E$6,$F$6,IF(P774&lt;($F$6-$E$6)/($G$6-$E$6),$E$6+SQRT(P774*($G$6-$E$6)*($F$6-$E$6)),$G$6-SQRT((1-P774)*($G$6-$E$6)*($G$6-$F$6))))</f>
        <v>0.963029450250117</v>
      </c>
      <c r="C774" s="37" t="n">
        <f aca="false">1+IF($G$7=$E$7,$F$7,IF(Q774&lt;($F$7-$E$7)/($G$7-$E$7),$E$7+SQRT(Q774*($G$7-$E$7)*($F$7-$E$7)),$G$7-SQRT((1-Q774)*($G$7-$E$7)*($G$7-$F$7))))</f>
        <v>1.04104355690245</v>
      </c>
      <c r="D774" s="37" t="n">
        <f aca="false">1+IF($G$8=$E$8,$F$8,IF(R774&lt;($F$8-$E$8)/($G$8-$E$8),$E$8+SQRT(R774*($G$8-$E$8)*($F$8-$E$8)),$G$8-SQRT((1-R774)*($G$8-$E$8)*($G$8-$F$8))))</f>
        <v>1.06364534213157</v>
      </c>
      <c r="E774" s="37" t="n">
        <f aca="false">1+IF($G$9=$E$9,$F$9,IF(S774&lt;($F$9-$E$9)/($G$9-$E$9),$E$9+SQRT(S774*($G$9-$E$9)*($F$9-$E$9)),$G$9-SQRT((1-S774)*($G$9-$E$9)*($G$9-$F$9))))</f>
        <v>0.986268892858323</v>
      </c>
      <c r="F774" s="37" t="n">
        <f aca="false">1+IF($G$10=$E$10,$F$10,IF(T774&lt;($F$10-$E$10)/($G$10-$E$10),$E$10+SQRT(T774*($G$10-$E$10)*($F$10-$E$10)),$G$10-SQRT((1-T774)*($G$10-$E$10)*($G$10-$F$10))))</f>
        <v>0.997528733196719</v>
      </c>
      <c r="G774" s="38" t="n">
        <f aca="false">IF($G$11=$E$11,$F$11,IF(U774&lt;($F$11-$E$11)/($G$11-$E$11),$E$11+SQRT(U774*($G$11-$E$11)*($F$11-$E$11)),$G$11-SQRT((1-U774)*($G$11-$E$11)*($G$11-$F$11))))</f>
        <v>0.0996402274774141</v>
      </c>
      <c r="H774" s="39" t="n">
        <f aca="false">(('Business Case'!B11*$C774*'Business Case'!B12*$B774)-'Business Case'!B11*$C774*'Business Case'!B13*$D774-'Business Case'!B14*$E774)-MAX(0,(('Business Case'!B11*$C774*'Business Case'!B12*$B774)-'Business Case'!B11*$C774*'Business Case'!B13*$D774-'Business Case'!B14*$E774))*'Business Case'!$B$7-'Business Case'!$B$8*('Business Case'!B11*$C774*'Business Case'!B12*$B774)-'Business Case'!B15*$F774</f>
        <v>-1995057466.39344</v>
      </c>
      <c r="I774" s="39" t="n">
        <f aca="false">(('Business Case'!C11*$C774*'Business Case'!C12*$B774)-'Business Case'!C11*$C774*'Business Case'!C13*$D774-'Business Case'!C14*$E774)-MAX(0,(('Business Case'!C11*$C774*'Business Case'!C12*$B774)-'Business Case'!C11*$C774*'Business Case'!C13*$D774-'Business Case'!C14*$E774))*'Business Case'!$B$7-'Business Case'!$B$8*(('Business Case'!C11*$C774*'Business Case'!C12*$B774)-('Business Case'!B11*$C774*'Business Case'!B12*$B774))-'Business Case'!C15*$F774</f>
        <v>-37657163.0936815</v>
      </c>
      <c r="J774" s="39" t="n">
        <f aca="false">(('Business Case'!D11*$C774*'Business Case'!D12*$B774)-'Business Case'!D11*$C774*'Business Case'!D13*$D774-'Business Case'!D14*$E774)-MAX(0,(('Business Case'!D11*$C774*'Business Case'!D12*$B774)-'Business Case'!D11*$C774*'Business Case'!D13*$D774-'Business Case'!D14*$E774))*'Business Case'!$B$7-'Business Case'!$B$8*(('Business Case'!D11*$C774*'Business Case'!D12*$B774)-('Business Case'!C11*$C774*'Business Case'!C12*$B774))-'Business Case'!D15*$F774</f>
        <v>216658466.223166</v>
      </c>
      <c r="K774" s="39" t="n">
        <f aca="false">(('Business Case'!E11*$C774*'Business Case'!E12*$B774)-'Business Case'!E11*$C774*'Business Case'!E13*$D774-'Business Case'!E14*$E774)-MAX(0,(('Business Case'!E11*$C774*'Business Case'!E12*$B774)-'Business Case'!E11*$C774*'Business Case'!E13*$D774-'Business Case'!E14*$E774))*'Business Case'!$B$7-'Business Case'!$B$8*(('Business Case'!E11*$C774*'Business Case'!E12*$B774)-('Business Case'!D11*$C774*'Business Case'!D12*$B774))-'Business Case'!E15*$F774</f>
        <v>520850532.19985</v>
      </c>
      <c r="L774" s="39" t="n">
        <f aca="false">(('Business Case'!F11*$C774*'Business Case'!F12*$B774)-'Business Case'!F11*$C774*'Business Case'!F13*$D774-'Business Case'!F14*$E774)-MAX(0,(('Business Case'!F11*$C774*'Business Case'!F12*$B774)-'Business Case'!F11*$C774*'Business Case'!F13*$D774-'Business Case'!F14*$E774))*'Business Case'!$B$7-'Business Case'!$B$8*(('Business Case'!F11*$C774*'Business Case'!F12*$B774)-('Business Case'!E11*$C774*'Business Case'!E12*$B774))-'Business Case'!F15*$F774</f>
        <v>640270730.323068</v>
      </c>
      <c r="M774" s="39" t="n">
        <f aca="false">(('Business Case'!G11*$C774*'Business Case'!G12*$B774)-'Business Case'!G11*$C774*'Business Case'!G13*$D774-'Business Case'!G14*$E774)-MAX(0,(('Business Case'!G11*$C774*'Business Case'!G12*$B774)-'Business Case'!G11*$C774*'Business Case'!G13*$D774-'Business Case'!G14*$E774))*'Business Case'!$B$7-'Business Case'!$B$8*(('Business Case'!G11*$C774*'Business Case'!G12*$B774)-('Business Case'!F11*$C774*'Business Case'!F12*$B774))-'Business Case'!G15*$F774+'Business Case'!$B$8*('Business Case'!G11*$C774*'Business Case'!G12*$B774)</f>
        <v>830836499.586549</v>
      </c>
      <c r="N774" s="39" t="n">
        <f aca="false">IF(COUNT('Business Case'!B11:G11)=0,"",H774+NPV(G774,I774:M774))</f>
        <v>-503807072.497026</v>
      </c>
      <c r="P774" s="40" t="n">
        <f aca="true">RAND()</f>
        <v>0.19286808216951</v>
      </c>
      <c r="Q774" s="40" t="n">
        <f aca="true">RAND()</f>
        <v>0.773876066810119</v>
      </c>
      <c r="R774" s="40" t="n">
        <f aca="true">RAND()</f>
        <v>0.974281265962171</v>
      </c>
      <c r="S774" s="40" t="n">
        <f aca="true">RAND()</f>
        <v>0.175391011889133</v>
      </c>
      <c r="T774" s="40" t="n">
        <f aca="true">RAND()</f>
        <v>0.180718438342788</v>
      </c>
      <c r="U774" s="40" t="n">
        <f aca="true">RAND()</f>
        <v>0.309779952720964</v>
      </c>
    </row>
    <row r="775" customFormat="false" ht="15" hidden="false" customHeight="false" outlineLevel="0" collapsed="false">
      <c r="A775" s="36" t="n">
        <v>695</v>
      </c>
      <c r="B775" s="37" t="n">
        <f aca="false">1+IF($G$6=$E$6,$F$6,IF(P775&lt;($F$6-$E$6)/($G$6-$E$6),$E$6+SQRT(P775*($G$6-$E$6)*($F$6-$E$6)),$G$6-SQRT((1-P775)*($G$6-$E$6)*($G$6-$F$6))))</f>
        <v>0.965424971796385</v>
      </c>
      <c r="C775" s="37" t="n">
        <f aca="false">1+IF($G$7=$E$7,$F$7,IF(Q775&lt;($F$7-$E$7)/($G$7-$E$7),$E$7+SQRT(Q775*($G$7-$E$7)*($F$7-$E$7)),$G$7-SQRT((1-Q775)*($G$7-$E$7)*($G$7-$F$7))))</f>
        <v>0.996506984364751</v>
      </c>
      <c r="D775" s="37" t="n">
        <f aca="false">1+IF($G$8=$E$8,$F$8,IF(R775&lt;($F$8-$E$8)/($G$8-$E$8),$E$8+SQRT(R775*($G$8-$E$8)*($F$8-$E$8)),$G$8-SQRT((1-R775)*($G$8-$E$8)*($G$8-$F$8))))</f>
        <v>0.988073936058371</v>
      </c>
      <c r="E775" s="37" t="n">
        <f aca="false">1+IF($G$9=$E$9,$F$9,IF(S775&lt;($F$9-$E$9)/($G$9-$E$9),$E$9+SQRT(S775*($G$9-$E$9)*($F$9-$E$9)),$G$9-SQRT((1-S775)*($G$9-$E$9)*($G$9-$F$9))))</f>
        <v>0.972890300849563</v>
      </c>
      <c r="F775" s="37" t="n">
        <f aca="false">1+IF($G$10=$E$10,$F$10,IF(T775&lt;($F$10-$E$10)/($G$10-$E$10),$E$10+SQRT(T775*($G$10-$E$10)*($F$10-$E$10)),$G$10-SQRT((1-T775)*($G$10-$E$10)*($G$10-$F$10))))</f>
        <v>1.02322074893512</v>
      </c>
      <c r="G775" s="38" t="n">
        <f aca="false">IF($G$11=$E$11,$F$11,IF(U775&lt;($F$11-$E$11)/($G$11-$E$11),$E$11+SQRT(U775*($G$11-$E$11)*($F$11-$E$11)),$G$11-SQRT((1-U775)*($G$11-$E$11)*($G$11-$F$11))))</f>
        <v>0.105612442258879</v>
      </c>
      <c r="H775" s="39" t="n">
        <f aca="false">(('Business Case'!B11*$C775*'Business Case'!B12*$B775)-'Business Case'!B11*$C775*'Business Case'!B13*$D775-'Business Case'!B14*$E775)-MAX(0,(('Business Case'!B11*$C775*'Business Case'!B12*$B775)-'Business Case'!B11*$C775*'Business Case'!B13*$D775-'Business Case'!B14*$E775))*'Business Case'!$B$7-'Business Case'!$B$8*('Business Case'!B11*$C775*'Business Case'!B12*$B775)-'Business Case'!B15*$F775</f>
        <v>-2046441497.87024</v>
      </c>
      <c r="I775" s="39" t="n">
        <f aca="false">(('Business Case'!C11*$C775*'Business Case'!C12*$B775)-'Business Case'!C11*$C775*'Business Case'!C13*$D775-'Business Case'!C14*$E775)-MAX(0,(('Business Case'!C11*$C775*'Business Case'!C12*$B775)-'Business Case'!C11*$C775*'Business Case'!C13*$D775-'Business Case'!C14*$E775))*'Business Case'!$B$7-'Business Case'!$B$8*(('Business Case'!C11*$C775*'Business Case'!C12*$B775)-('Business Case'!B11*$C775*'Business Case'!B12*$B775))-'Business Case'!C15*$F775</f>
        <v>-6597427.93089442</v>
      </c>
      <c r="J775" s="39" t="n">
        <f aca="false">(('Business Case'!D11*$C775*'Business Case'!D12*$B775)-'Business Case'!D11*$C775*'Business Case'!D13*$D775-'Business Case'!D14*$E775)-MAX(0,(('Business Case'!D11*$C775*'Business Case'!D12*$B775)-'Business Case'!D11*$C775*'Business Case'!D13*$D775-'Business Case'!D14*$E775))*'Business Case'!$B$7-'Business Case'!$B$8*(('Business Case'!D11*$C775*'Business Case'!D12*$B775)-('Business Case'!C11*$C775*'Business Case'!C12*$B775))-'Business Case'!D15*$F775</f>
        <v>277345033.19448</v>
      </c>
      <c r="K775" s="39" t="n">
        <f aca="false">(('Business Case'!E11*$C775*'Business Case'!E12*$B775)-'Business Case'!E11*$C775*'Business Case'!E13*$D775-'Business Case'!E14*$E775)-MAX(0,(('Business Case'!E11*$C775*'Business Case'!E12*$B775)-'Business Case'!E11*$C775*'Business Case'!E13*$D775-'Business Case'!E14*$E775))*'Business Case'!$B$7-'Business Case'!$B$8*(('Business Case'!E11*$C775*'Business Case'!E12*$B775)-('Business Case'!D11*$C775*'Business Case'!D12*$B775))-'Business Case'!E15*$F775</f>
        <v>612448531.76661</v>
      </c>
      <c r="L775" s="39" t="n">
        <f aca="false">(('Business Case'!F11*$C775*'Business Case'!F12*$B775)-'Business Case'!F11*$C775*'Business Case'!F13*$D775-'Business Case'!F14*$E775)-MAX(0,(('Business Case'!F11*$C775*'Business Case'!F12*$B775)-'Business Case'!F11*$C775*'Business Case'!F13*$D775-'Business Case'!F14*$E775))*'Business Case'!$B$7-'Business Case'!$B$8*(('Business Case'!F11*$C775*'Business Case'!F12*$B775)-('Business Case'!E11*$C775*'Business Case'!E12*$B775))-'Business Case'!F15*$F775</f>
        <v>740344561.063033</v>
      </c>
      <c r="M775" s="39" t="n">
        <f aca="false">(('Business Case'!G11*$C775*'Business Case'!G12*$B775)-'Business Case'!G11*$C775*'Business Case'!G13*$D775-'Business Case'!G14*$E775)-MAX(0,(('Business Case'!G11*$C775*'Business Case'!G12*$B775)-'Business Case'!G11*$C775*'Business Case'!G13*$D775-'Business Case'!G14*$E775))*'Business Case'!$B$7-'Business Case'!$B$8*(('Business Case'!G11*$C775*'Business Case'!G12*$B775)-('Business Case'!F11*$C775*'Business Case'!F12*$B775))-'Business Case'!G15*$F775+'Business Case'!$B$8*('Business Case'!G11*$C775*'Business Case'!G12*$B775)</f>
        <v>923211543.463511</v>
      </c>
      <c r="N775" s="39" t="n">
        <f aca="false">IF(COUNT('Business Case'!B11:G11)=0,"",H775+NPV(G775,I775:M775))</f>
        <v>-318034996.871241</v>
      </c>
      <c r="P775" s="40" t="n">
        <f aca="true">RAND()</f>
        <v>0.214940423198162</v>
      </c>
      <c r="Q775" s="40" t="n">
        <f aca="true">RAND()</f>
        <v>0.551642784344694</v>
      </c>
      <c r="R775" s="40" t="n">
        <f aca="true">RAND()</f>
        <v>0.22301917030414</v>
      </c>
      <c r="S775" s="40" t="n">
        <f aca="true">RAND()</f>
        <v>0.0698621163978024</v>
      </c>
      <c r="T775" s="40" t="n">
        <f aca="true">RAND()</f>
        <v>0.374981927858814</v>
      </c>
      <c r="U775" s="40" t="n">
        <f aca="true">RAND()</f>
        <v>0.654996970409852</v>
      </c>
    </row>
    <row r="776" customFormat="false" ht="15" hidden="false" customHeight="false" outlineLevel="0" collapsed="false">
      <c r="A776" s="36" t="n">
        <v>696</v>
      </c>
      <c r="B776" s="37" t="n">
        <f aca="false">1+IF($G$6=$E$6,$F$6,IF(P776&lt;($F$6-$E$6)/($G$6-$E$6),$E$6+SQRT(P776*($G$6-$E$6)*($F$6-$E$6)),$G$6-SQRT((1-P776)*($G$6-$E$6)*($G$6-$F$6))))</f>
        <v>0.959136831174089</v>
      </c>
      <c r="C776" s="37" t="n">
        <f aca="false">1+IF($G$7=$E$7,$F$7,IF(Q776&lt;($F$7-$E$7)/($G$7-$E$7),$E$7+SQRT(Q776*($G$7-$E$7)*($F$7-$E$7)),$G$7-SQRT((1-Q776)*($G$7-$E$7)*($G$7-$F$7))))</f>
        <v>1.06876334514197</v>
      </c>
      <c r="D776" s="37" t="n">
        <f aca="false">1+IF($G$8=$E$8,$F$8,IF(R776&lt;($F$8-$E$8)/($G$8-$E$8),$E$8+SQRT(R776*($G$8-$E$8)*($F$8-$E$8)),$G$8-SQRT((1-R776)*($G$8-$E$8)*($G$8-$F$8))))</f>
        <v>1.03354816253318</v>
      </c>
      <c r="E776" s="37" t="n">
        <f aca="false">1+IF($G$9=$E$9,$F$9,IF(S776&lt;($F$9-$E$9)/($G$9-$E$9),$E$9+SQRT(S776*($G$9-$E$9)*($F$9-$E$9)),$G$9-SQRT((1-S776)*($G$9-$E$9)*($G$9-$F$9))))</f>
        <v>1.01992801767656</v>
      </c>
      <c r="F776" s="37" t="n">
        <f aca="false">1+IF($G$10=$E$10,$F$10,IF(T776&lt;($F$10-$E$10)/($G$10-$E$10),$E$10+SQRT(T776*($G$10-$E$10)*($F$10-$E$10)),$G$10-SQRT((1-T776)*($G$10-$E$10)*($G$10-$F$10))))</f>
        <v>0.971084734090478</v>
      </c>
      <c r="G776" s="38" t="n">
        <f aca="false">IF($G$11=$E$11,$F$11,IF(U776&lt;($F$11-$E$11)/($G$11-$E$11),$E$11+SQRT(U776*($G$11-$E$11)*($F$11-$E$11)),$G$11-SQRT((1-U776)*($G$11-$E$11)*($G$11-$F$11))))</f>
        <v>0.107533597333104</v>
      </c>
      <c r="H776" s="39" t="n">
        <f aca="false">(('Business Case'!B11*$C776*'Business Case'!B12*$B776)-'Business Case'!B11*$C776*'Business Case'!B13*$D776-'Business Case'!B14*$E776)-MAX(0,(('Business Case'!B11*$C776*'Business Case'!B12*$B776)-'Business Case'!B11*$C776*'Business Case'!B13*$D776-'Business Case'!B14*$E776))*'Business Case'!$B$7-'Business Case'!$B$8*('Business Case'!B11*$C776*'Business Case'!B12*$B776)-'Business Case'!B15*$F776</f>
        <v>-1942169468.18096</v>
      </c>
      <c r="I776" s="39" t="n">
        <f aca="false">(('Business Case'!C11*$C776*'Business Case'!C12*$B776)-'Business Case'!C11*$C776*'Business Case'!C13*$D776-'Business Case'!C14*$E776)-MAX(0,(('Business Case'!C11*$C776*'Business Case'!C12*$B776)-'Business Case'!C11*$C776*'Business Case'!C13*$D776-'Business Case'!C14*$E776))*'Business Case'!$B$7-'Business Case'!$B$8*(('Business Case'!C11*$C776*'Business Case'!C12*$B776)-('Business Case'!B11*$C776*'Business Case'!B12*$B776))-'Business Case'!C15*$F776</f>
        <v>-21136412.5811315</v>
      </c>
      <c r="J776" s="39" t="n">
        <f aca="false">(('Business Case'!D11*$C776*'Business Case'!D12*$B776)-'Business Case'!D11*$C776*'Business Case'!D13*$D776-'Business Case'!D14*$E776)-MAX(0,(('Business Case'!D11*$C776*'Business Case'!D12*$B776)-'Business Case'!D11*$C776*'Business Case'!D13*$D776-'Business Case'!D14*$E776))*'Business Case'!$B$7-'Business Case'!$B$8*(('Business Case'!D11*$C776*'Business Case'!D12*$B776)-('Business Case'!C11*$C776*'Business Case'!C12*$B776))-'Business Case'!D15*$F776</f>
        <v>253010092.897284</v>
      </c>
      <c r="K776" s="39" t="n">
        <f aca="false">(('Business Case'!E11*$C776*'Business Case'!E12*$B776)-'Business Case'!E11*$C776*'Business Case'!E13*$D776-'Business Case'!E14*$E776)-MAX(0,(('Business Case'!E11*$C776*'Business Case'!E12*$B776)-'Business Case'!E11*$C776*'Business Case'!E13*$D776-'Business Case'!E14*$E776))*'Business Case'!$B$7-'Business Case'!$B$8*(('Business Case'!E11*$C776*'Business Case'!E12*$B776)-('Business Case'!D11*$C776*'Business Case'!D12*$B776))-'Business Case'!E15*$F776</f>
        <v>575710835.080223</v>
      </c>
      <c r="L776" s="39" t="n">
        <f aca="false">(('Business Case'!F11*$C776*'Business Case'!F12*$B776)-'Business Case'!F11*$C776*'Business Case'!F13*$D776-'Business Case'!F14*$E776)-MAX(0,(('Business Case'!F11*$C776*'Business Case'!F12*$B776)-'Business Case'!F11*$C776*'Business Case'!F13*$D776-'Business Case'!F14*$E776))*'Business Case'!$B$7-'Business Case'!$B$8*(('Business Case'!F11*$C776*'Business Case'!F12*$B776)-('Business Case'!E11*$C776*'Business Case'!E12*$B776))-'Business Case'!F15*$F776</f>
        <v>702520123.930957</v>
      </c>
      <c r="M776" s="39" t="n">
        <f aca="false">(('Business Case'!G11*$C776*'Business Case'!G12*$B776)-'Business Case'!G11*$C776*'Business Case'!G13*$D776-'Business Case'!G14*$E776)-MAX(0,(('Business Case'!G11*$C776*'Business Case'!G12*$B776)-'Business Case'!G11*$C776*'Business Case'!G13*$D776-'Business Case'!G14*$E776))*'Business Case'!$B$7-'Business Case'!$B$8*(('Business Case'!G11*$C776*'Business Case'!G12*$B776)-('Business Case'!F11*$C776*'Business Case'!F12*$B776))-'Business Case'!G15*$F776+'Business Case'!$B$8*('Business Case'!G11*$C776*'Business Case'!G12*$B776)</f>
        <v>897369285.899561</v>
      </c>
      <c r="N776" s="39" t="n">
        <f aca="false">IF(COUNT('Business Case'!B11:G11)=0,"",H776+NPV(G776,I776:M776))</f>
        <v>-325807048.53589</v>
      </c>
      <c r="P776" s="40" t="n">
        <f aca="true">RAND()</f>
        <v>0.159551203578036</v>
      </c>
      <c r="Q776" s="40" t="n">
        <f aca="true">RAND()</f>
        <v>0.874297255380532</v>
      </c>
      <c r="R776" s="40" t="n">
        <f aca="true">RAND()</f>
        <v>0.792521807303485</v>
      </c>
      <c r="S776" s="40" t="n">
        <f aca="true">RAND()</f>
        <v>0.572565176453017</v>
      </c>
      <c r="T776" s="40" t="n">
        <f aca="true">RAND()</f>
        <v>0.035565280933293</v>
      </c>
      <c r="U776" s="40" t="n">
        <f aca="true">RAND()</f>
        <v>0.740981340911333</v>
      </c>
    </row>
    <row r="777" customFormat="false" ht="15" hidden="false" customHeight="false" outlineLevel="0" collapsed="false">
      <c r="A777" s="36" t="n">
        <v>697</v>
      </c>
      <c r="B777" s="37" t="n">
        <f aca="false">1+IF($G$6=$E$6,$F$6,IF(P777&lt;($F$6-$E$6)/($G$6-$E$6),$E$6+SQRT(P777*($G$6-$E$6)*($F$6-$E$6)),$G$6-SQRT((1-P777)*($G$6-$E$6)*($G$6-$F$6))))</f>
        <v>1.01527028810475</v>
      </c>
      <c r="C777" s="37" t="n">
        <f aca="false">1+IF($G$7=$E$7,$F$7,IF(Q777&lt;($F$7-$E$7)/($G$7-$E$7),$E$7+SQRT(Q777*($G$7-$E$7)*($F$7-$E$7)),$G$7-SQRT((1-Q777)*($G$7-$E$7)*($G$7-$F$7))))</f>
        <v>1.08242460631021</v>
      </c>
      <c r="D777" s="37" t="n">
        <f aca="false">1+IF($G$8=$E$8,$F$8,IF(R777&lt;($F$8-$E$8)/($G$8-$E$8),$E$8+SQRT(R777*($G$8-$E$8)*($F$8-$E$8)),$G$8-SQRT((1-R777)*($G$8-$E$8)*($G$8-$F$8))))</f>
        <v>0.996507792768876</v>
      </c>
      <c r="E777" s="37" t="n">
        <f aca="false">1+IF($G$9=$E$9,$F$9,IF(S777&lt;($F$9-$E$9)/($G$9-$E$9),$E$9+SQRT(S777*($G$9-$E$9)*($F$9-$E$9)),$G$9-SQRT((1-S777)*($G$9-$E$9)*($G$9-$F$9))))</f>
        <v>0.989413883072843</v>
      </c>
      <c r="F777" s="37" t="n">
        <f aca="false">1+IF($G$10=$E$10,$F$10,IF(T777&lt;($F$10-$E$10)/($G$10-$E$10),$E$10+SQRT(T777*($G$10-$E$10)*($F$10-$E$10)),$G$10-SQRT((1-T777)*($G$10-$E$10)*($G$10-$F$10))))</f>
        <v>1.04698296133895</v>
      </c>
      <c r="G777" s="38" t="n">
        <f aca="false">IF($G$11=$E$11,$F$11,IF(U777&lt;($F$11-$E$11)/($G$11-$E$11),$E$11+SQRT(U777*($G$11-$E$11)*($F$11-$E$11)),$G$11-SQRT((1-U777)*($G$11-$E$11)*($G$11-$F$11))))</f>
        <v>0.100250896789722</v>
      </c>
      <c r="H777" s="39" t="n">
        <f aca="false">(('Business Case'!B11*$C777*'Business Case'!B12*$B777)-'Business Case'!B11*$C777*'Business Case'!B13*$D777-'Business Case'!B14*$E777)-MAX(0,(('Business Case'!B11*$C777*'Business Case'!B12*$B777)-'Business Case'!B11*$C777*'Business Case'!B13*$D777-'Business Case'!B14*$E777))*'Business Case'!$B$7-'Business Case'!$B$8*('Business Case'!B11*$C777*'Business Case'!B12*$B777)-'Business Case'!B15*$F777</f>
        <v>-2093965922.6779</v>
      </c>
      <c r="I777" s="39" t="n">
        <f aca="false">(('Business Case'!C11*$C777*'Business Case'!C12*$B777)-'Business Case'!C11*$C777*'Business Case'!C13*$D777-'Business Case'!C14*$E777)-MAX(0,(('Business Case'!C11*$C777*'Business Case'!C12*$B777)-'Business Case'!C11*$C777*'Business Case'!C13*$D777-'Business Case'!C14*$E777))*'Business Case'!$B$7-'Business Case'!$B$8*(('Business Case'!C11*$C777*'Business Case'!C12*$B777)-('Business Case'!B11*$C777*'Business Case'!B12*$B777))-'Business Case'!C15*$F777</f>
        <v>45579652.8170423</v>
      </c>
      <c r="J777" s="39" t="n">
        <f aca="false">(('Business Case'!D11*$C777*'Business Case'!D12*$B777)-'Business Case'!D11*$C777*'Business Case'!D13*$D777-'Business Case'!D14*$E777)-MAX(0,(('Business Case'!D11*$C777*'Business Case'!D12*$B777)-'Business Case'!D11*$C777*'Business Case'!D13*$D777-'Business Case'!D14*$E777))*'Business Case'!$B$7-'Business Case'!$B$8*(('Business Case'!D11*$C777*'Business Case'!D12*$B777)-('Business Case'!C11*$C777*'Business Case'!C12*$B777))-'Business Case'!D15*$F777</f>
        <v>393522007.553046</v>
      </c>
      <c r="K777" s="39" t="n">
        <f aca="false">(('Business Case'!E11*$C777*'Business Case'!E12*$B777)-'Business Case'!E11*$C777*'Business Case'!E13*$D777-'Business Case'!E14*$E777)-MAX(0,(('Business Case'!E11*$C777*'Business Case'!E12*$B777)-'Business Case'!E11*$C777*'Business Case'!E13*$D777-'Business Case'!E14*$E777))*'Business Case'!$B$7-'Business Case'!$B$8*(('Business Case'!E11*$C777*'Business Case'!E12*$B777)-('Business Case'!D11*$C777*'Business Case'!D12*$B777))-'Business Case'!E15*$F777</f>
        <v>793813510.355997</v>
      </c>
      <c r="L777" s="39" t="n">
        <f aca="false">(('Business Case'!F11*$C777*'Business Case'!F12*$B777)-'Business Case'!F11*$C777*'Business Case'!F13*$D777-'Business Case'!F14*$E777)-MAX(0,(('Business Case'!F11*$C777*'Business Case'!F12*$B777)-'Business Case'!F11*$C777*'Business Case'!F13*$D777-'Business Case'!F14*$E777))*'Business Case'!$B$7-'Business Case'!$B$8*(('Business Case'!F11*$C777*'Business Case'!F12*$B777)-('Business Case'!E11*$C777*'Business Case'!E12*$B777))-'Business Case'!F15*$F777</f>
        <v>947774129.67607</v>
      </c>
      <c r="M777" s="39" t="n">
        <f aca="false">(('Business Case'!G11*$C777*'Business Case'!G12*$B777)-'Business Case'!G11*$C777*'Business Case'!G13*$D777-'Business Case'!G14*$E777)-MAX(0,(('Business Case'!G11*$C777*'Business Case'!G12*$B777)-'Business Case'!G11*$C777*'Business Case'!G13*$D777-'Business Case'!G14*$E777))*'Business Case'!$B$7-'Business Case'!$B$8*(('Business Case'!G11*$C777*'Business Case'!G12*$B777)-('Business Case'!F11*$C777*'Business Case'!F12*$B777))-'Business Case'!G15*$F777+'Business Case'!$B$8*('Business Case'!G11*$C777*'Business Case'!G12*$B777)</f>
        <v>1156663218.92047</v>
      </c>
      <c r="N777" s="39" t="n">
        <f aca="false">IF(COUNT('Business Case'!B11:G11)=0,"",H777+NPV(G777,I777:M777))</f>
        <v>232663666.622652</v>
      </c>
      <c r="P777" s="40" t="n">
        <f aca="true">RAND()</f>
        <v>0.872591947828734</v>
      </c>
      <c r="Q777" s="40" t="n">
        <f aca="true">RAND()</f>
        <v>0.913020307955608</v>
      </c>
      <c r="R777" s="40" t="n">
        <f aca="true">RAND()</f>
        <v>0.332765352035806</v>
      </c>
      <c r="S777" s="40" t="n">
        <f aca="true">RAND()</f>
        <v>0.207127223850627</v>
      </c>
      <c r="T777" s="40" t="n">
        <f aca="true">RAND()</f>
        <v>0.531715717588048</v>
      </c>
      <c r="U777" s="40" t="n">
        <f aca="true">RAND()</f>
        <v>0.349954870649654</v>
      </c>
    </row>
    <row r="778" customFormat="false" ht="15" hidden="false" customHeight="false" outlineLevel="0" collapsed="false">
      <c r="A778" s="36" t="n">
        <v>698</v>
      </c>
      <c r="B778" s="37" t="n">
        <f aca="false">1+IF($G$6=$E$6,$F$6,IF(P778&lt;($F$6-$E$6)/($G$6-$E$6),$E$6+SQRT(P778*($G$6-$E$6)*($F$6-$E$6)),$G$6-SQRT((1-P778)*($G$6-$E$6)*($G$6-$F$6))))</f>
        <v>0.986236222158266</v>
      </c>
      <c r="C778" s="37" t="n">
        <f aca="false">1+IF($G$7=$E$7,$F$7,IF(Q778&lt;($F$7-$E$7)/($G$7-$E$7),$E$7+SQRT(Q778*($G$7-$E$7)*($F$7-$E$7)),$G$7-SQRT((1-Q778)*($G$7-$E$7)*($G$7-$F$7))))</f>
        <v>1.14689740118937</v>
      </c>
      <c r="D778" s="37" t="n">
        <f aca="false">1+IF($G$8=$E$8,$F$8,IF(R778&lt;($F$8-$E$8)/($G$8-$E$8),$E$8+SQRT(R778*($G$8-$E$8)*($F$8-$E$8)),$G$8-SQRT((1-R778)*($G$8-$E$8)*($G$8-$F$8))))</f>
        <v>1.06162559637392</v>
      </c>
      <c r="E778" s="37" t="n">
        <f aca="false">1+IF($G$9=$E$9,$F$9,IF(S778&lt;($F$9-$E$9)/($G$9-$E$9),$E$9+SQRT(S778*($G$9-$E$9)*($F$9-$E$9)),$G$9-SQRT((1-S778)*($G$9-$E$9)*($G$9-$F$9))))</f>
        <v>0.997312424476749</v>
      </c>
      <c r="F778" s="37" t="n">
        <f aca="false">1+IF($G$10=$E$10,$F$10,IF(T778&lt;($F$10-$E$10)/($G$10-$E$10),$E$10+SQRT(T778*($G$10-$E$10)*($F$10-$E$10)),$G$10-SQRT((1-T778)*($G$10-$E$10)*($G$10-$F$10))))</f>
        <v>1.07299243169846</v>
      </c>
      <c r="G778" s="38" t="n">
        <f aca="false">IF($G$11=$E$11,$F$11,IF(U778&lt;($F$11-$E$11)/($G$11-$E$11),$E$11+SQRT(U778*($G$11-$E$11)*($F$11-$E$11)),$G$11-SQRT((1-U778)*($G$11-$E$11)*($G$11-$F$11))))</f>
        <v>0.104670687036235</v>
      </c>
      <c r="H778" s="39" t="n">
        <f aca="false">(('Business Case'!B11*$C778*'Business Case'!B12*$B778)-'Business Case'!B11*$C778*'Business Case'!B13*$D778-'Business Case'!B14*$E778)-MAX(0,(('Business Case'!B11*$C778*'Business Case'!B12*$B778)-'Business Case'!B11*$C778*'Business Case'!B13*$D778-'Business Case'!B14*$E778))*'Business Case'!$B$7-'Business Case'!$B$8*('Business Case'!B11*$C778*'Business Case'!B12*$B778)-'Business Case'!B15*$F778</f>
        <v>-2145984863.39693</v>
      </c>
      <c r="I778" s="39" t="n">
        <f aca="false">(('Business Case'!C11*$C778*'Business Case'!C12*$B778)-'Business Case'!C11*$C778*'Business Case'!C13*$D778-'Business Case'!C14*$E778)-MAX(0,(('Business Case'!C11*$C778*'Business Case'!C12*$B778)-'Business Case'!C11*$C778*'Business Case'!C13*$D778-'Business Case'!C14*$E778))*'Business Case'!$B$7-'Business Case'!$B$8*(('Business Case'!C11*$C778*'Business Case'!C12*$B778)-('Business Case'!B11*$C778*'Business Case'!B12*$B778))-'Business Case'!C15*$F778</f>
        <v>-4593252.32328604</v>
      </c>
      <c r="J778" s="39" t="n">
        <f aca="false">(('Business Case'!D11*$C778*'Business Case'!D12*$B778)-'Business Case'!D11*$C778*'Business Case'!D13*$D778-'Business Case'!D14*$E778)-MAX(0,(('Business Case'!D11*$C778*'Business Case'!D12*$B778)-'Business Case'!D11*$C778*'Business Case'!D13*$D778-'Business Case'!D14*$E778))*'Business Case'!$B$7-'Business Case'!$B$8*(('Business Case'!D11*$C778*'Business Case'!D12*$B778)-('Business Case'!C11*$C778*'Business Case'!C12*$B778))-'Business Case'!D15*$F778</f>
        <v>298567398.930155</v>
      </c>
      <c r="K778" s="39" t="n">
        <f aca="false">(('Business Case'!E11*$C778*'Business Case'!E12*$B778)-'Business Case'!E11*$C778*'Business Case'!E13*$D778-'Business Case'!E14*$E778)-MAX(0,(('Business Case'!E11*$C778*'Business Case'!E12*$B778)-'Business Case'!E11*$C778*'Business Case'!E13*$D778-'Business Case'!E14*$E778))*'Business Case'!$B$7-'Business Case'!$B$8*(('Business Case'!E11*$C778*'Business Case'!E12*$B778)-('Business Case'!D11*$C778*'Business Case'!D12*$B778))-'Business Case'!E15*$F778</f>
        <v>655377671.768519</v>
      </c>
      <c r="L778" s="39" t="n">
        <f aca="false">(('Business Case'!F11*$C778*'Business Case'!F12*$B778)-'Business Case'!F11*$C778*'Business Case'!F13*$D778-'Business Case'!F14*$E778)-MAX(0,(('Business Case'!F11*$C778*'Business Case'!F12*$B778)-'Business Case'!F11*$C778*'Business Case'!F13*$D778-'Business Case'!F14*$E778))*'Business Case'!$B$7-'Business Case'!$B$8*(('Business Case'!F11*$C778*'Business Case'!F12*$B778)-('Business Case'!E11*$C778*'Business Case'!E12*$B778))-'Business Case'!F15*$F778</f>
        <v>795522444.617191</v>
      </c>
      <c r="M778" s="39" t="n">
        <f aca="false">(('Business Case'!G11*$C778*'Business Case'!G12*$B778)-'Business Case'!G11*$C778*'Business Case'!G13*$D778-'Business Case'!G14*$E778)-MAX(0,(('Business Case'!G11*$C778*'Business Case'!G12*$B778)-'Business Case'!G11*$C778*'Business Case'!G13*$D778-'Business Case'!G14*$E778))*'Business Case'!$B$7-'Business Case'!$B$8*(('Business Case'!G11*$C778*'Business Case'!G12*$B778)-('Business Case'!F11*$C778*'Business Case'!F12*$B778))-'Business Case'!G15*$F778+'Business Case'!$B$8*('Business Case'!G11*$C778*'Business Case'!G12*$B778)</f>
        <v>1010524167.98691</v>
      </c>
      <c r="N778" s="39" t="n">
        <f aca="false">IF(COUNT('Business Case'!B11:G11)=0,"",H778+NPV(G778,I778:M778))</f>
        <v>-270775468.716919</v>
      </c>
      <c r="P778" s="40" t="n">
        <f aca="true">RAND()</f>
        <v>0.457003867270752</v>
      </c>
      <c r="Q778" s="40" t="n">
        <f aca="true">RAND()</f>
        <v>0.999816645345149</v>
      </c>
      <c r="R778" s="40" t="n">
        <f aca="true">RAND()</f>
        <v>0.967536662633276</v>
      </c>
      <c r="S778" s="40" t="n">
        <f aca="true">RAND()</f>
        <v>0.298462067982416</v>
      </c>
      <c r="T778" s="40" t="n">
        <f aca="true">RAND()</f>
        <v>0.677381551882613</v>
      </c>
      <c r="U778" s="40" t="n">
        <f aca="true">RAND()</f>
        <v>0.608353606764904</v>
      </c>
    </row>
    <row r="779" customFormat="false" ht="15" hidden="false" customHeight="false" outlineLevel="0" collapsed="false">
      <c r="A779" s="36" t="n">
        <v>699</v>
      </c>
      <c r="B779" s="37" t="n">
        <f aca="false">1+IF($G$6=$E$6,$F$6,IF(P779&lt;($F$6-$E$6)/($G$6-$E$6),$E$6+SQRT(P779*($G$6-$E$6)*($F$6-$E$6)),$G$6-SQRT((1-P779)*($G$6-$E$6)*($G$6-$F$6))))</f>
        <v>0.968562585256278</v>
      </c>
      <c r="C779" s="37" t="n">
        <f aca="false">1+IF($G$7=$E$7,$F$7,IF(Q779&lt;($F$7-$E$7)/($G$7-$E$7),$E$7+SQRT(Q779*($G$7-$E$7)*($F$7-$E$7)),$G$7-SQRT((1-Q779)*($G$7-$E$7)*($G$7-$F$7))))</f>
        <v>0.924245096420892</v>
      </c>
      <c r="D779" s="37" t="n">
        <f aca="false">1+IF($G$8=$E$8,$F$8,IF(R779&lt;($F$8-$E$8)/($G$8-$E$8),$E$8+SQRT(R779*($G$8-$E$8)*($F$8-$E$8)),$G$8-SQRT((1-R779)*($G$8-$E$8)*($G$8-$F$8))))</f>
        <v>0.971436707476858</v>
      </c>
      <c r="E779" s="37" t="n">
        <f aca="false">1+IF($G$9=$E$9,$F$9,IF(S779&lt;($F$9-$E$9)/($G$9-$E$9),$E$9+SQRT(S779*($G$9-$E$9)*($F$9-$E$9)),$G$9-SQRT((1-S779)*($G$9-$E$9)*($G$9-$F$9))))</f>
        <v>1.00179434763103</v>
      </c>
      <c r="F779" s="37" t="n">
        <f aca="false">1+IF($G$10=$E$10,$F$10,IF(T779&lt;($F$10-$E$10)/($G$10-$E$10),$E$10+SQRT(T779*($G$10-$E$10)*($F$10-$E$10)),$G$10-SQRT((1-T779)*($G$10-$E$10)*($G$10-$F$10))))</f>
        <v>1.12068645813508</v>
      </c>
      <c r="G779" s="38" t="n">
        <f aca="false">IF($G$11=$E$11,$F$11,IF(U779&lt;($F$11-$E$11)/($G$11-$E$11),$E$11+SQRT(U779*($G$11-$E$11)*($F$11-$E$11)),$G$11-SQRT((1-U779)*($G$11-$E$11)*($G$11-$F$11))))</f>
        <v>0.111044301980241</v>
      </c>
      <c r="H779" s="39" t="n">
        <f aca="false">(('Business Case'!B11*$C779*'Business Case'!B12*$B779)-'Business Case'!B11*$C779*'Business Case'!B13*$D779-'Business Case'!B14*$E779)-MAX(0,(('Business Case'!B11*$C779*'Business Case'!B12*$B779)-'Business Case'!B11*$C779*'Business Case'!B13*$D779-'Business Case'!B14*$E779))*'Business Case'!$B$7-'Business Case'!$B$8*('Business Case'!B11*$C779*'Business Case'!B12*$B779)-'Business Case'!B15*$F779</f>
        <v>-2241372916.27017</v>
      </c>
      <c r="I779" s="39" t="n">
        <f aca="false">(('Business Case'!C11*$C779*'Business Case'!C12*$B779)-'Business Case'!C11*$C779*'Business Case'!C13*$D779-'Business Case'!C14*$E779)-MAX(0,(('Business Case'!C11*$C779*'Business Case'!C12*$B779)-'Business Case'!C11*$C779*'Business Case'!C13*$D779-'Business Case'!C14*$E779))*'Business Case'!$B$7-'Business Case'!$B$8*(('Business Case'!C11*$C779*'Business Case'!C12*$B779)-('Business Case'!B11*$C779*'Business Case'!B12*$B779))-'Business Case'!C15*$F779</f>
        <v>-27331112.8034377</v>
      </c>
      <c r="J779" s="39" t="n">
        <f aca="false">(('Business Case'!D11*$C779*'Business Case'!D12*$B779)-'Business Case'!D11*$C779*'Business Case'!D13*$D779-'Business Case'!D14*$E779)-MAX(0,(('Business Case'!D11*$C779*'Business Case'!D12*$B779)-'Business Case'!D11*$C779*'Business Case'!D13*$D779-'Business Case'!D14*$E779))*'Business Case'!$B$7-'Business Case'!$B$8*(('Business Case'!D11*$C779*'Business Case'!D12*$B779)-('Business Case'!C11*$C779*'Business Case'!C12*$B779))-'Business Case'!D15*$F779</f>
        <v>246268185.604558</v>
      </c>
      <c r="K779" s="39" t="n">
        <f aca="false">(('Business Case'!E11*$C779*'Business Case'!E12*$B779)-'Business Case'!E11*$C779*'Business Case'!E13*$D779-'Business Case'!E14*$E779)-MAX(0,(('Business Case'!E11*$C779*'Business Case'!E12*$B779)-'Business Case'!E11*$C779*'Business Case'!E13*$D779-'Business Case'!E14*$E779))*'Business Case'!$B$7-'Business Case'!$B$8*(('Business Case'!E11*$C779*'Business Case'!E12*$B779)-('Business Case'!D11*$C779*'Business Case'!D12*$B779))-'Business Case'!E15*$F779</f>
        <v>575901806.919308</v>
      </c>
      <c r="L779" s="39" t="n">
        <f aca="false">(('Business Case'!F11*$C779*'Business Case'!F12*$B779)-'Business Case'!F11*$C779*'Business Case'!F13*$D779-'Business Case'!F14*$E779)-MAX(0,(('Business Case'!F11*$C779*'Business Case'!F12*$B779)-'Business Case'!F11*$C779*'Business Case'!F13*$D779-'Business Case'!F14*$E779))*'Business Case'!$B$7-'Business Case'!$B$8*(('Business Case'!F11*$C779*'Business Case'!F12*$B779)-('Business Case'!E11*$C779*'Business Case'!E12*$B779))-'Business Case'!F15*$F779</f>
        <v>698039312.498502</v>
      </c>
      <c r="M779" s="39" t="n">
        <f aca="false">(('Business Case'!G11*$C779*'Business Case'!G12*$B779)-'Business Case'!G11*$C779*'Business Case'!G13*$D779-'Business Case'!G14*$E779)-MAX(0,(('Business Case'!G11*$C779*'Business Case'!G12*$B779)-'Business Case'!G11*$C779*'Business Case'!G13*$D779-'Business Case'!G14*$E779))*'Business Case'!$B$7-'Business Case'!$B$8*(('Business Case'!G11*$C779*'Business Case'!G12*$B779)-('Business Case'!F11*$C779*'Business Case'!F12*$B779))-'Business Case'!G15*$F779+'Business Case'!$B$8*('Business Case'!G11*$C779*'Business Case'!G12*$B779)</f>
        <v>868196879.436074</v>
      </c>
      <c r="N779" s="39" t="n">
        <f aca="false">IF(COUNT('Business Case'!B11:G11)=0,"",H779+NPV(G779,I779:M779))</f>
        <v>-675653527.597131</v>
      </c>
      <c r="P779" s="40" t="n">
        <f aca="true">RAND()</f>
        <v>0.245658821538879</v>
      </c>
      <c r="Q779" s="40" t="n">
        <f aca="true">RAND()</f>
        <v>0.220526342637666</v>
      </c>
      <c r="R779" s="40" t="n">
        <f aca="true">RAND()</f>
        <v>0.070697296530522</v>
      </c>
      <c r="S779" s="40" t="n">
        <f aca="true">RAND()</f>
        <v>0.357043322852339</v>
      </c>
      <c r="T779" s="40" t="n">
        <f aca="true">RAND()</f>
        <v>0.874187241536845</v>
      </c>
      <c r="U779" s="40" t="n">
        <f aca="true">RAND()</f>
        <v>0.86632578829814</v>
      </c>
    </row>
    <row r="780" customFormat="false" ht="15" hidden="false" customHeight="false" outlineLevel="0" collapsed="false">
      <c r="A780" s="36" t="n">
        <v>700</v>
      </c>
      <c r="B780" s="37" t="n">
        <f aca="false">1+IF($G$6=$E$6,$F$6,IF(P780&lt;($F$6-$E$6)/($G$6-$E$6),$E$6+SQRT(P780*($G$6-$E$6)*($F$6-$E$6)),$G$6-SQRT((1-P780)*($G$6-$E$6)*($G$6-$F$6))))</f>
        <v>0.992714270191724</v>
      </c>
      <c r="C780" s="37" t="n">
        <f aca="false">1+IF($G$7=$E$7,$F$7,IF(Q780&lt;($F$7-$E$7)/($G$7-$E$7),$E$7+SQRT(Q780*($G$7-$E$7)*($F$7-$E$7)),$G$7-SQRT((1-Q780)*($G$7-$E$7)*($G$7-$F$7))))</f>
        <v>1.04450901469841</v>
      </c>
      <c r="D780" s="37" t="n">
        <f aca="false">1+IF($G$8=$E$8,$F$8,IF(R780&lt;($F$8-$E$8)/($G$8-$E$8),$E$8+SQRT(R780*($G$8-$E$8)*($F$8-$E$8)),$G$8-SQRT((1-R780)*($G$8-$E$8)*($G$8-$F$8))))</f>
        <v>0.994571305495969</v>
      </c>
      <c r="E780" s="37" t="n">
        <f aca="false">1+IF($G$9=$E$9,$F$9,IF(S780&lt;($F$9-$E$9)/($G$9-$E$9),$E$9+SQRT(S780*($G$9-$E$9)*($F$9-$E$9)),$G$9-SQRT((1-S780)*($G$9-$E$9)*($G$9-$F$9))))</f>
        <v>1.05943289562007</v>
      </c>
      <c r="F780" s="37" t="n">
        <f aca="false">1+IF($G$10=$E$10,$F$10,IF(T780&lt;($F$10-$E$10)/($G$10-$E$10),$E$10+SQRT(T780*($G$10-$E$10)*($F$10-$E$10)),$G$10-SQRT((1-T780)*($G$10-$E$10)*($G$10-$F$10))))</f>
        <v>1.08136023701111</v>
      </c>
      <c r="G780" s="38" t="n">
        <f aca="false">IF($G$11=$E$11,$F$11,IF(U780&lt;($F$11-$E$11)/($G$11-$E$11),$E$11+SQRT(U780*($G$11-$E$11)*($F$11-$E$11)),$G$11-SQRT((1-U780)*($G$11-$E$11)*($G$11-$F$11))))</f>
        <v>0.096284866687211</v>
      </c>
      <c r="H780" s="39" t="n">
        <f aca="false">(('Business Case'!B11*$C780*'Business Case'!B12*$B780)-'Business Case'!B11*$C780*'Business Case'!B13*$D780-'Business Case'!B14*$E780)-MAX(0,(('Business Case'!B11*$C780*'Business Case'!B12*$B780)-'Business Case'!B11*$C780*'Business Case'!B13*$D780-'Business Case'!B14*$E780))*'Business Case'!$B$7-'Business Case'!$B$8*('Business Case'!B11*$C780*'Business Case'!B12*$B780)-'Business Case'!B15*$F780</f>
        <v>-2162720474.02223</v>
      </c>
      <c r="I780" s="39" t="n">
        <f aca="false">(('Business Case'!C11*$C780*'Business Case'!C12*$B780)-'Business Case'!C11*$C780*'Business Case'!C13*$D780-'Business Case'!C14*$E780)-MAX(0,(('Business Case'!C11*$C780*'Business Case'!C12*$B780)-'Business Case'!C11*$C780*'Business Case'!C13*$D780-'Business Case'!C14*$E780))*'Business Case'!$B$7-'Business Case'!$B$8*(('Business Case'!C11*$C780*'Business Case'!C12*$B780)-('Business Case'!B11*$C780*'Business Case'!B12*$B780))-'Business Case'!C15*$F780</f>
        <v>4952410.94683459</v>
      </c>
      <c r="J780" s="39" t="n">
        <f aca="false">(('Business Case'!D11*$C780*'Business Case'!D12*$B780)-'Business Case'!D11*$C780*'Business Case'!D13*$D780-'Business Case'!D14*$E780)-MAX(0,(('Business Case'!D11*$C780*'Business Case'!D12*$B780)-'Business Case'!D11*$C780*'Business Case'!D13*$D780-'Business Case'!D14*$E780))*'Business Case'!$B$7-'Business Case'!$B$8*(('Business Case'!D11*$C780*'Business Case'!D12*$B780)-('Business Case'!C11*$C780*'Business Case'!C12*$B780))-'Business Case'!D15*$F780</f>
        <v>322445047.731498</v>
      </c>
      <c r="K780" s="39" t="n">
        <f aca="false">(('Business Case'!E11*$C780*'Business Case'!E12*$B780)-'Business Case'!E11*$C780*'Business Case'!E13*$D780-'Business Case'!E14*$E780)-MAX(0,(('Business Case'!E11*$C780*'Business Case'!E12*$B780)-'Business Case'!E11*$C780*'Business Case'!E13*$D780-'Business Case'!E14*$E780))*'Business Case'!$B$7-'Business Case'!$B$8*(('Business Case'!E11*$C780*'Business Case'!E12*$B780)-('Business Case'!D11*$C780*'Business Case'!D12*$B780))-'Business Case'!E15*$F780</f>
        <v>694005696.366716</v>
      </c>
      <c r="L780" s="39" t="n">
        <f aca="false">(('Business Case'!F11*$C780*'Business Case'!F12*$B780)-'Business Case'!F11*$C780*'Business Case'!F13*$D780-'Business Case'!F14*$E780)-MAX(0,(('Business Case'!F11*$C780*'Business Case'!F12*$B780)-'Business Case'!F11*$C780*'Business Case'!F13*$D780-'Business Case'!F14*$E780))*'Business Case'!$B$7-'Business Case'!$B$8*(('Business Case'!F11*$C780*'Business Case'!F12*$B780)-('Business Case'!E11*$C780*'Business Case'!E12*$B780))-'Business Case'!F15*$F780</f>
        <v>835671804.881299</v>
      </c>
      <c r="M780" s="39" t="n">
        <f aca="false">(('Business Case'!G11*$C780*'Business Case'!G12*$B780)-'Business Case'!G11*$C780*'Business Case'!G13*$D780-'Business Case'!G14*$E780)-MAX(0,(('Business Case'!G11*$C780*'Business Case'!G12*$B780)-'Business Case'!G11*$C780*'Business Case'!G13*$D780-'Business Case'!G14*$E780))*'Business Case'!$B$7-'Business Case'!$B$8*(('Business Case'!G11*$C780*'Business Case'!G12*$B780)-('Business Case'!F11*$C780*'Business Case'!F12*$B780))-'Business Case'!G15*$F780+'Business Case'!$B$8*('Business Case'!G11*$C780*'Business Case'!G12*$B780)</f>
        <v>1032765567.60629</v>
      </c>
      <c r="N780" s="39" t="n">
        <f aca="false">IF(COUNT('Business Case'!B11:G11)=0,"",H780+NPV(G780,I780:M780))</f>
        <v>-132417222.639499</v>
      </c>
      <c r="P780" s="40" t="n">
        <f aca="true">RAND()</f>
        <v>0.55076719682449</v>
      </c>
      <c r="Q780" s="40" t="n">
        <f aca="true">RAND()</f>
        <v>0.788031467049536</v>
      </c>
      <c r="R780" s="40" t="n">
        <f aca="true">RAND()</f>
        <v>0.305630965171536</v>
      </c>
      <c r="S780" s="40" t="n">
        <f aca="true">RAND()</f>
        <v>0.89028733614853</v>
      </c>
      <c r="T780" s="40" t="n">
        <f aca="true">RAND()</f>
        <v>0.718492132758813</v>
      </c>
      <c r="U780" s="40" t="n">
        <f aca="true">RAND()</f>
        <v>0.131665164253381</v>
      </c>
    </row>
    <row r="781" customFormat="false" ht="15" hidden="false" customHeight="false" outlineLevel="0" collapsed="false">
      <c r="A781" s="36" t="n">
        <v>701</v>
      </c>
      <c r="B781" s="37" t="n">
        <f aca="false">1+IF($G$6=$E$6,$F$6,IF(P781&lt;($F$6-$E$6)/($G$6-$E$6),$E$6+SQRT(P781*($G$6-$E$6)*($F$6-$E$6)),$G$6-SQRT((1-P781)*($G$6-$E$6)*($G$6-$F$6))))</f>
        <v>1.02872541170692</v>
      </c>
      <c r="C781" s="37" t="n">
        <f aca="false">1+IF($G$7=$E$7,$F$7,IF(Q781&lt;($F$7-$E$7)/($G$7-$E$7),$E$7+SQRT(Q781*($G$7-$E$7)*($F$7-$E$7)),$G$7-SQRT((1-Q781)*($G$7-$E$7)*($G$7-$F$7))))</f>
        <v>0.955646003408741</v>
      </c>
      <c r="D781" s="37" t="n">
        <f aca="false">1+IF($G$8=$E$8,$F$8,IF(R781&lt;($F$8-$E$8)/($G$8-$E$8),$E$8+SQRT(R781*($G$8-$E$8)*($F$8-$E$8)),$G$8-SQRT((1-R781)*($G$8-$E$8)*($G$8-$F$8))))</f>
        <v>0.978947062958865</v>
      </c>
      <c r="E781" s="37" t="n">
        <f aca="false">1+IF($G$9=$E$9,$F$9,IF(S781&lt;($F$9-$E$9)/($G$9-$E$9),$E$9+SQRT(S781*($G$9-$E$9)*($F$9-$E$9)),$G$9-SQRT((1-S781)*($G$9-$E$9)*($G$9-$F$9))))</f>
        <v>1.07279438877886</v>
      </c>
      <c r="F781" s="37" t="n">
        <f aca="false">1+IF($G$10=$E$10,$F$10,IF(T781&lt;($F$10-$E$10)/($G$10-$E$10),$E$10+SQRT(T781*($G$10-$E$10)*($F$10-$E$10)),$G$10-SQRT((1-T781)*($G$10-$E$10)*($G$10-$F$10))))</f>
        <v>1.01760659107901</v>
      </c>
      <c r="G781" s="38" t="n">
        <f aca="false">IF($G$11=$E$11,$F$11,IF(U781&lt;($F$11-$E$11)/($G$11-$E$11),$E$11+SQRT(U781*($G$11-$E$11)*($F$11-$E$11)),$G$11-SQRT((1-U781)*($G$11-$E$11)*($G$11-$F$11))))</f>
        <v>0.104566887225563</v>
      </c>
      <c r="H781" s="39" t="n">
        <f aca="false">(('Business Case'!B11*$C781*'Business Case'!B12*$B781)-'Business Case'!B11*$C781*'Business Case'!B13*$D781-'Business Case'!B14*$E781)-MAX(0,(('Business Case'!B11*$C781*'Business Case'!B12*$B781)-'Business Case'!B11*$C781*'Business Case'!B13*$D781-'Business Case'!B14*$E781))*'Business Case'!$B$7-'Business Case'!$B$8*('Business Case'!B11*$C781*'Business Case'!B12*$B781)-'Business Case'!B15*$F781</f>
        <v>-2035213182.15803</v>
      </c>
      <c r="I781" s="39" t="n">
        <f aca="false">(('Business Case'!C11*$C781*'Business Case'!C12*$B781)-'Business Case'!C11*$C781*'Business Case'!C13*$D781-'Business Case'!C14*$E781)-MAX(0,(('Business Case'!C11*$C781*'Business Case'!C12*$B781)-'Business Case'!C11*$C781*'Business Case'!C13*$D781-'Business Case'!C14*$E781))*'Business Case'!$B$7-'Business Case'!$B$8*(('Business Case'!C11*$C781*'Business Case'!C12*$B781)-('Business Case'!B11*$C781*'Business Case'!B12*$B781))-'Business Case'!C15*$F781</f>
        <v>21036804.0321011</v>
      </c>
      <c r="J781" s="39" t="n">
        <f aca="false">(('Business Case'!D11*$C781*'Business Case'!D12*$B781)-'Business Case'!D11*$C781*'Business Case'!D13*$D781-'Business Case'!D14*$E781)-MAX(0,(('Business Case'!D11*$C781*'Business Case'!D12*$B781)-'Business Case'!D11*$C781*'Business Case'!D13*$D781-'Business Case'!D14*$E781))*'Business Case'!$B$7-'Business Case'!$B$8*(('Business Case'!D11*$C781*'Business Case'!D12*$B781)-('Business Case'!C11*$C781*'Business Case'!C12*$B781))-'Business Case'!D15*$F781</f>
        <v>347349394.755671</v>
      </c>
      <c r="K781" s="39" t="n">
        <f aca="false">(('Business Case'!E11*$C781*'Business Case'!E12*$B781)-'Business Case'!E11*$C781*'Business Case'!E13*$D781-'Business Case'!E14*$E781)-MAX(0,(('Business Case'!E11*$C781*'Business Case'!E12*$B781)-'Business Case'!E11*$C781*'Business Case'!E13*$D781-'Business Case'!E14*$E781))*'Business Case'!$B$7-'Business Case'!$B$8*(('Business Case'!E11*$C781*'Business Case'!E12*$B781)-('Business Case'!D11*$C781*'Business Case'!D12*$B781))-'Business Case'!E15*$F781</f>
        <v>724542315.033192</v>
      </c>
      <c r="L781" s="39" t="n">
        <f aca="false">(('Business Case'!F11*$C781*'Business Case'!F12*$B781)-'Business Case'!F11*$C781*'Business Case'!F13*$D781-'Business Case'!F14*$E781)-MAX(0,(('Business Case'!F11*$C781*'Business Case'!F12*$B781)-'Business Case'!F11*$C781*'Business Case'!F13*$D781-'Business Case'!F14*$E781))*'Business Case'!$B$7-'Business Case'!$B$8*(('Business Case'!F11*$C781*'Business Case'!F12*$B781)-('Business Case'!E11*$C781*'Business Case'!E12*$B781))-'Business Case'!F15*$F781</f>
        <v>867289022.273857</v>
      </c>
      <c r="M781" s="39" t="n">
        <f aca="false">(('Business Case'!G11*$C781*'Business Case'!G12*$B781)-'Business Case'!G11*$C781*'Business Case'!G13*$D781-'Business Case'!G14*$E781)-MAX(0,(('Business Case'!G11*$C781*'Business Case'!G12*$B781)-'Business Case'!G11*$C781*'Business Case'!G13*$D781-'Business Case'!G14*$E781))*'Business Case'!$B$7-'Business Case'!$B$8*(('Business Case'!G11*$C781*'Business Case'!G12*$B781)-('Business Case'!F11*$C781*'Business Case'!F12*$B781))-'Business Case'!G15*$F781+'Business Case'!$B$8*('Business Case'!G11*$C781*'Business Case'!G12*$B781)</f>
        <v>1054156162.43764</v>
      </c>
      <c r="N781" s="39" t="n">
        <f aca="false">IF(COUNT('Business Case'!B11:G11)=0,"",H781+NPV(G781,I781:M781))</f>
        <v>29926150.5497935</v>
      </c>
      <c r="P781" s="40" t="n">
        <f aca="true">RAND()</f>
        <v>0.973517428921165</v>
      </c>
      <c r="Q781" s="40" t="n">
        <f aca="true">RAND()</f>
        <v>0.346081119673053</v>
      </c>
      <c r="R781" s="40" t="n">
        <f aca="true">RAND()</f>
        <v>0.128912685222229</v>
      </c>
      <c r="S781" s="40" t="n">
        <f aca="true">RAND()</f>
        <v>0.950656981205606</v>
      </c>
      <c r="T781" s="40" t="n">
        <f aca="true">RAND()</f>
        <v>0.334652887643643</v>
      </c>
      <c r="U781" s="40" t="n">
        <f aca="true">RAND()</f>
        <v>0.603031716819201</v>
      </c>
    </row>
    <row r="782" customFormat="false" ht="15" hidden="false" customHeight="false" outlineLevel="0" collapsed="false">
      <c r="A782" s="36" t="n">
        <v>702</v>
      </c>
      <c r="B782" s="37" t="n">
        <f aca="false">1+IF($G$6=$E$6,$F$6,IF(P782&lt;($F$6-$E$6)/($G$6-$E$6),$E$6+SQRT(P782*($G$6-$E$6)*($F$6-$E$6)),$G$6-SQRT((1-P782)*($G$6-$E$6)*($G$6-$F$6))))</f>
        <v>0.952965367387719</v>
      </c>
      <c r="C782" s="37" t="n">
        <f aca="false">1+IF($G$7=$E$7,$F$7,IF(Q782&lt;($F$7-$E$7)/($G$7-$E$7),$E$7+SQRT(Q782*($G$7-$E$7)*($F$7-$E$7)),$G$7-SQRT((1-Q782)*($G$7-$E$7)*($G$7-$F$7))))</f>
        <v>0.967376713982636</v>
      </c>
      <c r="D782" s="37" t="n">
        <f aca="false">1+IF($G$8=$E$8,$F$8,IF(R782&lt;($F$8-$E$8)/($G$8-$E$8),$E$8+SQRT(R782*($G$8-$E$8)*($F$8-$E$8)),$G$8-SQRT((1-R782)*($G$8-$E$8)*($G$8-$F$8))))</f>
        <v>0.983272233194943</v>
      </c>
      <c r="E782" s="37" t="n">
        <f aca="false">1+IF($G$9=$E$9,$F$9,IF(S782&lt;($F$9-$E$9)/($G$9-$E$9),$E$9+SQRT(S782*($G$9-$E$9)*($F$9-$E$9)),$G$9-SQRT((1-S782)*($G$9-$E$9)*($G$9-$F$9))))</f>
        <v>1.02001619466334</v>
      </c>
      <c r="F782" s="37" t="n">
        <f aca="false">1+IF($G$10=$E$10,$F$10,IF(T782&lt;($F$10-$E$10)/($G$10-$E$10),$E$10+SQRT(T782*($G$10-$E$10)*($F$10-$E$10)),$G$10-SQRT((1-T782)*($G$10-$E$10)*($G$10-$F$10))))</f>
        <v>1.13163586136748</v>
      </c>
      <c r="G782" s="38" t="n">
        <f aca="false">IF($G$11=$E$11,$F$11,IF(U782&lt;($F$11-$E$11)/($G$11-$E$11),$E$11+SQRT(U782*($G$11-$E$11)*($F$11-$E$11)),$G$11-SQRT((1-U782)*($G$11-$E$11)*($G$11-$F$11))))</f>
        <v>0.103832465484163</v>
      </c>
      <c r="H782" s="39" t="n">
        <f aca="false">(('Business Case'!B11*$C782*'Business Case'!B12*$B782)-'Business Case'!B11*$C782*'Business Case'!B13*$D782-'Business Case'!B14*$E782)-MAX(0,(('Business Case'!B11*$C782*'Business Case'!B12*$B782)-'Business Case'!B11*$C782*'Business Case'!B13*$D782-'Business Case'!B14*$E782))*'Business Case'!$B$7-'Business Case'!$B$8*('Business Case'!B11*$C782*'Business Case'!B12*$B782)-'Business Case'!B15*$F782</f>
        <v>-2263271722.73497</v>
      </c>
      <c r="I782" s="39" t="n">
        <f aca="false">(('Business Case'!C11*$C782*'Business Case'!C12*$B782)-'Business Case'!C11*$C782*'Business Case'!C13*$D782-'Business Case'!C14*$E782)-MAX(0,(('Business Case'!C11*$C782*'Business Case'!C12*$B782)-'Business Case'!C11*$C782*'Business Case'!C13*$D782-'Business Case'!C14*$E782))*'Business Case'!$B$7-'Business Case'!$B$8*(('Business Case'!C11*$C782*'Business Case'!C12*$B782)-('Business Case'!B11*$C782*'Business Case'!B12*$B782))-'Business Case'!C15*$F782</f>
        <v>-37852305.1596248</v>
      </c>
      <c r="J782" s="39" t="n">
        <f aca="false">(('Business Case'!D11*$C782*'Business Case'!D12*$B782)-'Business Case'!D11*$C782*'Business Case'!D13*$D782-'Business Case'!D14*$E782)-MAX(0,(('Business Case'!D11*$C782*'Business Case'!D12*$B782)-'Business Case'!D11*$C782*'Business Case'!D13*$D782-'Business Case'!D14*$E782))*'Business Case'!$B$7-'Business Case'!$B$8*(('Business Case'!D11*$C782*'Business Case'!D12*$B782)-('Business Case'!C11*$C782*'Business Case'!C12*$B782))-'Business Case'!D15*$F782</f>
        <v>230295356.751148</v>
      </c>
      <c r="K782" s="39" t="n">
        <f aca="false">(('Business Case'!E11*$C782*'Business Case'!E12*$B782)-'Business Case'!E11*$C782*'Business Case'!E13*$D782-'Business Case'!E14*$E782)-MAX(0,(('Business Case'!E11*$C782*'Business Case'!E12*$B782)-'Business Case'!E11*$C782*'Business Case'!E13*$D782-'Business Case'!E14*$E782))*'Business Case'!$B$7-'Business Case'!$B$8*(('Business Case'!E11*$C782*'Business Case'!E12*$B782)-('Business Case'!D11*$C782*'Business Case'!D12*$B782))-'Business Case'!E15*$F782</f>
        <v>555024811.730295</v>
      </c>
      <c r="L782" s="39" t="n">
        <f aca="false">(('Business Case'!F11*$C782*'Business Case'!F12*$B782)-'Business Case'!F11*$C782*'Business Case'!F13*$D782-'Business Case'!F14*$E782)-MAX(0,(('Business Case'!F11*$C782*'Business Case'!F12*$B782)-'Business Case'!F11*$C782*'Business Case'!F13*$D782-'Business Case'!F14*$E782))*'Business Case'!$B$7-'Business Case'!$B$8*(('Business Case'!F11*$C782*'Business Case'!F12*$B782)-('Business Case'!E11*$C782*'Business Case'!E12*$B782))-'Business Case'!F15*$F782</f>
        <v>676267417.735568</v>
      </c>
      <c r="M782" s="39" t="n">
        <f aca="false">(('Business Case'!G11*$C782*'Business Case'!G12*$B782)-'Business Case'!G11*$C782*'Business Case'!G13*$D782-'Business Case'!G14*$E782)-MAX(0,(('Business Case'!G11*$C782*'Business Case'!G12*$B782)-'Business Case'!G11*$C782*'Business Case'!G13*$D782-'Business Case'!G14*$E782))*'Business Case'!$B$7-'Business Case'!$B$8*(('Business Case'!G11*$C782*'Business Case'!G12*$B782)-('Business Case'!F11*$C782*'Business Case'!F12*$B782))-'Business Case'!G15*$F782+'Business Case'!$B$8*('Business Case'!G11*$C782*'Business Case'!G12*$B782)</f>
        <v>851497703.928149</v>
      </c>
      <c r="N782" s="39" t="n">
        <f aca="false">IF(COUNT('Business Case'!B11:G11)=0,"",H782+NPV(G782,I782:M782))</f>
        <v>-720769490.601677</v>
      </c>
      <c r="P782" s="40" t="n">
        <f aca="true">RAND()</f>
        <v>0.113199525729927</v>
      </c>
      <c r="Q782" s="40" t="n">
        <f aca="true">RAND()</f>
        <v>0.400213776908928</v>
      </c>
      <c r="R782" s="40" t="n">
        <f aca="true">RAND()</f>
        <v>0.170314077196714</v>
      </c>
      <c r="S782" s="40" t="n">
        <f aca="true">RAND()</f>
        <v>0.573506058924523</v>
      </c>
      <c r="T782" s="40" t="n">
        <f aca="true">RAND()</f>
        <v>0.90652689098068</v>
      </c>
      <c r="U782" s="40" t="n">
        <f aca="true">RAND()</f>
        <v>0.564351379465354</v>
      </c>
    </row>
    <row r="783" customFormat="false" ht="15" hidden="false" customHeight="false" outlineLevel="0" collapsed="false">
      <c r="A783" s="36" t="n">
        <v>703</v>
      </c>
      <c r="B783" s="37" t="n">
        <f aca="false">1+IF($G$6=$E$6,$F$6,IF(P783&lt;($F$6-$E$6)/($G$6-$E$6),$E$6+SQRT(P783*($G$6-$E$6)*($F$6-$E$6)),$G$6-SQRT((1-P783)*($G$6-$E$6)*($G$6-$F$6))))</f>
        <v>0.967465214577387</v>
      </c>
      <c r="C783" s="37" t="n">
        <f aca="false">1+IF($G$7=$E$7,$F$7,IF(Q783&lt;($F$7-$E$7)/($G$7-$E$7),$E$7+SQRT(Q783*($G$7-$E$7)*($F$7-$E$7)),$G$7-SQRT((1-Q783)*($G$7-$E$7)*($G$7-$F$7))))</f>
        <v>0.901937345366325</v>
      </c>
      <c r="D783" s="37" t="n">
        <f aca="false">1+IF($G$8=$E$8,$F$8,IF(R783&lt;($F$8-$E$8)/($G$8-$E$8),$E$8+SQRT(R783*($G$8-$E$8)*($F$8-$E$8)),$G$8-SQRT((1-R783)*($G$8-$E$8)*($G$8-$F$8))))</f>
        <v>1.01631016087314</v>
      </c>
      <c r="E783" s="37" t="n">
        <f aca="false">1+IF($G$9=$E$9,$F$9,IF(S783&lt;($F$9-$E$9)/($G$9-$E$9),$E$9+SQRT(S783*($G$9-$E$9)*($F$9-$E$9)),$G$9-SQRT((1-S783)*($G$9-$E$9)*($G$9-$F$9))))</f>
        <v>0.997116210964885</v>
      </c>
      <c r="F783" s="37" t="n">
        <f aca="false">1+IF($G$10=$E$10,$F$10,IF(T783&lt;($F$10-$E$10)/($G$10-$E$10),$E$10+SQRT(T783*($G$10-$E$10)*($F$10-$E$10)),$G$10-SQRT((1-T783)*($G$10-$E$10)*($G$10-$F$10))))</f>
        <v>1.00377784137724</v>
      </c>
      <c r="G783" s="38" t="n">
        <f aca="false">IF($G$11=$E$11,$F$11,IF(U783&lt;($F$11-$E$11)/($G$11-$E$11),$E$11+SQRT(U783*($G$11-$E$11)*($F$11-$E$11)),$G$11-SQRT((1-U783)*($G$11-$E$11)*($G$11-$F$11))))</f>
        <v>0.100314772229775</v>
      </c>
      <c r="H783" s="39" t="n">
        <f aca="false">(('Business Case'!B11*$C783*'Business Case'!B12*$B783)-'Business Case'!B11*$C783*'Business Case'!B13*$D783-'Business Case'!B14*$E783)-MAX(0,(('Business Case'!B11*$C783*'Business Case'!B12*$B783)-'Business Case'!B11*$C783*'Business Case'!B13*$D783-'Business Case'!B14*$E783))*'Business Case'!$B$7-'Business Case'!$B$8*('Business Case'!B11*$C783*'Business Case'!B12*$B783)-'Business Case'!B15*$F783</f>
        <v>-2007555682.75447</v>
      </c>
      <c r="I783" s="39" t="n">
        <f aca="false">(('Business Case'!C11*$C783*'Business Case'!C12*$B783)-'Business Case'!C11*$C783*'Business Case'!C13*$D783-'Business Case'!C14*$E783)-MAX(0,(('Business Case'!C11*$C783*'Business Case'!C12*$B783)-'Business Case'!C11*$C783*'Business Case'!C13*$D783-'Business Case'!C14*$E783))*'Business Case'!$B$7-'Business Case'!$B$8*(('Business Case'!C11*$C783*'Business Case'!C12*$B783)-('Business Case'!B11*$C783*'Business Case'!B12*$B783))-'Business Case'!C15*$F783</f>
        <v>-41936920.6053712</v>
      </c>
      <c r="J783" s="39" t="n">
        <f aca="false">(('Business Case'!D11*$C783*'Business Case'!D12*$B783)-'Business Case'!D11*$C783*'Business Case'!D13*$D783-'Business Case'!D14*$E783)-MAX(0,(('Business Case'!D11*$C783*'Business Case'!D12*$B783)-'Business Case'!D11*$C783*'Business Case'!D13*$D783-'Business Case'!D14*$E783))*'Business Case'!$B$7-'Business Case'!$B$8*(('Business Case'!D11*$C783*'Business Case'!D12*$B783)-('Business Case'!C11*$C783*'Business Case'!C12*$B783))-'Business Case'!D15*$F783</f>
        <v>203529089.628259</v>
      </c>
      <c r="K783" s="39" t="n">
        <f aca="false">(('Business Case'!E11*$C783*'Business Case'!E12*$B783)-'Business Case'!E11*$C783*'Business Case'!E13*$D783-'Business Case'!E14*$E783)-MAX(0,(('Business Case'!E11*$C783*'Business Case'!E12*$B783)-'Business Case'!E11*$C783*'Business Case'!E13*$D783-'Business Case'!E14*$E783))*'Business Case'!$B$7-'Business Case'!$B$8*(('Business Case'!E11*$C783*'Business Case'!E12*$B783)-('Business Case'!D11*$C783*'Business Case'!D12*$B783))-'Business Case'!E15*$F783</f>
        <v>499183991.930751</v>
      </c>
      <c r="L783" s="39" t="n">
        <f aca="false">(('Business Case'!F11*$C783*'Business Case'!F12*$B783)-'Business Case'!F11*$C783*'Business Case'!F13*$D783-'Business Case'!F14*$E783)-MAX(0,(('Business Case'!F11*$C783*'Business Case'!F12*$B783)-'Business Case'!F11*$C783*'Business Case'!F13*$D783-'Business Case'!F14*$E783))*'Business Case'!$B$7-'Business Case'!$B$8*(('Business Case'!F11*$C783*'Business Case'!F12*$B783)-('Business Case'!E11*$C783*'Business Case'!E12*$B783))-'Business Case'!F15*$F783</f>
        <v>611162809.676674</v>
      </c>
      <c r="M783" s="39" t="n">
        <f aca="false">(('Business Case'!G11*$C783*'Business Case'!G12*$B783)-'Business Case'!G11*$C783*'Business Case'!G13*$D783-'Business Case'!G14*$E783)-MAX(0,(('Business Case'!G11*$C783*'Business Case'!G12*$B783)-'Business Case'!G11*$C783*'Business Case'!G13*$D783-'Business Case'!G14*$E783))*'Business Case'!$B$7-'Business Case'!$B$8*(('Business Case'!G11*$C783*'Business Case'!G12*$B783)-('Business Case'!F11*$C783*'Business Case'!F12*$B783))-'Business Case'!G15*$F783+'Business Case'!$B$8*('Business Case'!G11*$C783*'Business Case'!G12*$B783)</f>
        <v>777025288.5176</v>
      </c>
      <c r="N783" s="39" t="n">
        <f aca="false">IF(COUNT('Business Case'!B11:G11)=0,"",H783+NPV(G783,I783:M783))</f>
        <v>-604100263.728973</v>
      </c>
      <c r="P783" s="40" t="n">
        <f aca="true">RAND()</f>
        <v>0.234681936966392</v>
      </c>
      <c r="Q783" s="40" t="n">
        <f aca="true">RAND()</f>
        <v>0.148446034004763</v>
      </c>
      <c r="R783" s="40" t="n">
        <f aca="true">RAND()</f>
        <v>0.609961960768712</v>
      </c>
      <c r="S783" s="40" t="n">
        <f aca="true">RAND()</f>
        <v>0.295991644758342</v>
      </c>
      <c r="T783" s="40" t="n">
        <f aca="true">RAND()</f>
        <v>0.229937289308463</v>
      </c>
      <c r="U783" s="40" t="n">
        <f aca="true">RAND()</f>
        <v>0.354153012723949</v>
      </c>
    </row>
    <row r="784" customFormat="false" ht="15" hidden="false" customHeight="false" outlineLevel="0" collapsed="false">
      <c r="A784" s="36" t="n">
        <v>704</v>
      </c>
      <c r="B784" s="37" t="n">
        <f aca="false">1+IF($G$6=$E$6,$F$6,IF(P784&lt;($F$6-$E$6)/($G$6-$E$6),$E$6+SQRT(P784*($G$6-$E$6)*($F$6-$E$6)),$G$6-SQRT((1-P784)*($G$6-$E$6)*($G$6-$F$6))))</f>
        <v>0.984046783192878</v>
      </c>
      <c r="C784" s="37" t="n">
        <f aca="false">1+IF($G$7=$E$7,$F$7,IF(Q784&lt;($F$7-$E$7)/($G$7-$E$7),$E$7+SQRT(Q784*($G$7-$E$7)*($F$7-$E$7)),$G$7-SQRT((1-Q784)*($G$7-$E$7)*($G$7-$F$7))))</f>
        <v>0.857041269972058</v>
      </c>
      <c r="D784" s="37" t="n">
        <f aca="false">1+IF($G$8=$E$8,$F$8,IF(R784&lt;($F$8-$E$8)/($G$8-$E$8),$E$8+SQRT(R784*($G$8-$E$8)*($F$8-$E$8)),$G$8-SQRT((1-R784)*($G$8-$E$8)*($G$8-$F$8))))</f>
        <v>0.997132543944605</v>
      </c>
      <c r="E784" s="37" t="n">
        <f aca="false">1+IF($G$9=$E$9,$F$9,IF(S784&lt;($F$9-$E$9)/($G$9-$E$9),$E$9+SQRT(S784*($G$9-$E$9)*($F$9-$E$9)),$G$9-SQRT((1-S784)*($G$9-$E$9)*($G$9-$F$9))))</f>
        <v>1.06432603003639</v>
      </c>
      <c r="F784" s="37" t="n">
        <f aca="false">1+IF($G$10=$E$10,$F$10,IF(T784&lt;($F$10-$E$10)/($G$10-$E$10),$E$10+SQRT(T784*($G$10-$E$10)*($F$10-$E$10)),$G$10-SQRT((1-T784)*($G$10-$E$10)*($G$10-$F$10))))</f>
        <v>1.01734999552078</v>
      </c>
      <c r="G784" s="38" t="n">
        <f aca="false">IF($G$11=$E$11,$F$11,IF(U784&lt;($F$11-$E$11)/($G$11-$E$11),$E$11+SQRT(U784*($G$11-$E$11)*($F$11-$E$11)),$G$11-SQRT((1-U784)*($G$11-$E$11)*($G$11-$F$11))))</f>
        <v>0.0965242294979201</v>
      </c>
      <c r="H784" s="39" t="n">
        <f aca="false">(('Business Case'!B11*$C784*'Business Case'!B12*$B784)-'Business Case'!B11*$C784*'Business Case'!B13*$D784-'Business Case'!B14*$E784)-MAX(0,(('Business Case'!B11*$C784*'Business Case'!B12*$B784)-'Business Case'!B11*$C784*'Business Case'!B13*$D784-'Business Case'!B14*$E784))*'Business Case'!$B$7-'Business Case'!$B$8*('Business Case'!B11*$C784*'Business Case'!B12*$B784)-'Business Case'!B15*$F784</f>
        <v>-2034699991.04156</v>
      </c>
      <c r="I784" s="39" t="n">
        <f aca="false">(('Business Case'!C11*$C784*'Business Case'!C12*$B784)-'Business Case'!C11*$C784*'Business Case'!C13*$D784-'Business Case'!C14*$E784)-MAX(0,(('Business Case'!C11*$C784*'Business Case'!C12*$B784)-'Business Case'!C11*$C784*'Business Case'!C13*$D784-'Business Case'!C14*$E784))*'Business Case'!$B$7-'Business Case'!$B$8*(('Business Case'!C11*$C784*'Business Case'!C12*$B784)-('Business Case'!B11*$C784*'Business Case'!B12*$B784))-'Business Case'!C15*$F784</f>
        <v>-43501212.0163804</v>
      </c>
      <c r="J784" s="39" t="n">
        <f aca="false">(('Business Case'!D11*$C784*'Business Case'!D12*$B784)-'Business Case'!D11*$C784*'Business Case'!D13*$D784-'Business Case'!D14*$E784)-MAX(0,(('Business Case'!D11*$C784*'Business Case'!D12*$B784)-'Business Case'!D11*$C784*'Business Case'!D13*$D784-'Business Case'!D14*$E784))*'Business Case'!$B$7-'Business Case'!$B$8*(('Business Case'!D11*$C784*'Business Case'!D12*$B784)-('Business Case'!C11*$C784*'Business Case'!C12*$B784))-'Business Case'!D15*$F784</f>
        <v>209799970.646263</v>
      </c>
      <c r="K784" s="39" t="n">
        <f aca="false">(('Business Case'!E11*$C784*'Business Case'!E12*$B784)-'Business Case'!E11*$C784*'Business Case'!E13*$D784-'Business Case'!E14*$E784)-MAX(0,(('Business Case'!E11*$C784*'Business Case'!E12*$B784)-'Business Case'!E11*$C784*'Business Case'!E13*$D784-'Business Case'!E14*$E784))*'Business Case'!$B$7-'Business Case'!$B$8*(('Business Case'!E11*$C784*'Business Case'!E12*$B784)-('Business Case'!D11*$C784*'Business Case'!D12*$B784))-'Business Case'!E15*$F784</f>
        <v>513968653.084945</v>
      </c>
      <c r="L784" s="39" t="n">
        <f aca="false">(('Business Case'!F11*$C784*'Business Case'!F12*$B784)-'Business Case'!F11*$C784*'Business Case'!F13*$D784-'Business Case'!F14*$E784)-MAX(0,(('Business Case'!F11*$C784*'Business Case'!F12*$B784)-'Business Case'!F11*$C784*'Business Case'!F13*$D784-'Business Case'!F14*$E784))*'Business Case'!$B$7-'Business Case'!$B$8*(('Business Case'!F11*$C784*'Business Case'!F12*$B784)-('Business Case'!E11*$C784*'Business Case'!E12*$B784))-'Business Case'!F15*$F784</f>
        <v>627549203.076341</v>
      </c>
      <c r="M784" s="39" t="n">
        <f aca="false">(('Business Case'!G11*$C784*'Business Case'!G12*$B784)-'Business Case'!G11*$C784*'Business Case'!G13*$D784-'Business Case'!G14*$E784)-MAX(0,(('Business Case'!G11*$C784*'Business Case'!G12*$B784)-'Business Case'!G11*$C784*'Business Case'!G13*$D784-'Business Case'!G14*$E784))*'Business Case'!$B$7-'Business Case'!$B$8*(('Business Case'!G11*$C784*'Business Case'!G12*$B784)-('Business Case'!F11*$C784*'Business Case'!F12*$B784))-'Business Case'!G15*$F784+'Business Case'!$B$8*('Business Case'!G11*$C784*'Business Case'!G12*$B784)</f>
        <v>787856726.480836</v>
      </c>
      <c r="N784" s="39" t="n">
        <f aca="false">IF(COUNT('Business Case'!B11:G11)=0,"",H784+NPV(G784,I784:M784))</f>
        <v>-578961821.023827</v>
      </c>
      <c r="P784" s="40" t="n">
        <f aca="true">RAND()</f>
        <v>0.427290670557872</v>
      </c>
      <c r="Q784" s="40" t="n">
        <f aca="true">RAND()</f>
        <v>0.0464815211432168</v>
      </c>
      <c r="R784" s="40" t="n">
        <f aca="true">RAND()</f>
        <v>0.341765645952331</v>
      </c>
      <c r="S784" s="40" t="n">
        <f aca="true">RAND()</f>
        <v>0.915157857802352</v>
      </c>
      <c r="T784" s="40" t="n">
        <f aca="true">RAND()</f>
        <v>0.332779517274814</v>
      </c>
      <c r="U784" s="40" t="n">
        <f aca="true">RAND()</f>
        <v>0.141885235138434</v>
      </c>
    </row>
    <row r="785" customFormat="false" ht="15" hidden="false" customHeight="false" outlineLevel="0" collapsed="false">
      <c r="A785" s="36" t="n">
        <v>705</v>
      </c>
      <c r="B785" s="37" t="n">
        <f aca="false">1+IF($G$6=$E$6,$F$6,IF(P785&lt;($F$6-$E$6)/($G$6-$E$6),$E$6+SQRT(P785*($G$6-$E$6)*($F$6-$E$6)),$G$6-SQRT((1-P785)*($G$6-$E$6)*($G$6-$F$6))))</f>
        <v>1.00593060836784</v>
      </c>
      <c r="C785" s="37" t="n">
        <f aca="false">1+IF($G$7=$E$7,$F$7,IF(Q785&lt;($F$7-$E$7)/($G$7-$E$7),$E$7+SQRT(Q785*($G$7-$E$7)*($F$7-$E$7)),$G$7-SQRT((1-Q785)*($G$7-$E$7)*($G$7-$F$7))))</f>
        <v>0.999915734185541</v>
      </c>
      <c r="D785" s="37" t="n">
        <f aca="false">1+IF($G$8=$E$8,$F$8,IF(R785&lt;($F$8-$E$8)/($G$8-$E$8),$E$8+SQRT(R785*($G$8-$E$8)*($F$8-$E$8)),$G$8-SQRT((1-R785)*($G$8-$E$8)*($G$8-$F$8))))</f>
        <v>1.0661530482574</v>
      </c>
      <c r="E785" s="37" t="n">
        <f aca="false">1+IF($G$9=$E$9,$F$9,IF(S785&lt;($F$9-$E$9)/($G$9-$E$9),$E$9+SQRT(S785*($G$9-$E$9)*($F$9-$E$9)),$G$9-SQRT((1-S785)*($G$9-$E$9)*($G$9-$F$9))))</f>
        <v>1.03442588320346</v>
      </c>
      <c r="F785" s="37" t="n">
        <f aca="false">1+IF($G$10=$E$10,$F$10,IF(T785&lt;($F$10-$E$10)/($G$10-$E$10),$E$10+SQRT(T785*($G$10-$E$10)*($F$10-$E$10)),$G$10-SQRT((1-T785)*($G$10-$E$10)*($G$10-$F$10))))</f>
        <v>1.03650158161783</v>
      </c>
      <c r="G785" s="38" t="n">
        <f aca="false">IF($G$11=$E$11,$F$11,IF(U785&lt;($F$11-$E$11)/($G$11-$E$11),$E$11+SQRT(U785*($G$11-$E$11)*($F$11-$E$11)),$G$11-SQRT((1-U785)*($G$11-$E$11)*($G$11-$F$11))))</f>
        <v>0.106356214231028</v>
      </c>
      <c r="H785" s="39" t="n">
        <f aca="false">(('Business Case'!B11*$C785*'Business Case'!B12*$B785)-'Business Case'!B11*$C785*'Business Case'!B13*$D785-'Business Case'!B14*$E785)-MAX(0,(('Business Case'!B11*$C785*'Business Case'!B12*$B785)-'Business Case'!B11*$C785*'Business Case'!B13*$D785-'Business Case'!B14*$E785))*'Business Case'!$B$7-'Business Case'!$B$8*('Business Case'!B11*$C785*'Business Case'!B12*$B785)-'Business Case'!B15*$F785</f>
        <v>-2073003163.23567</v>
      </c>
      <c r="I785" s="39" t="n">
        <f aca="false">(('Business Case'!C11*$C785*'Business Case'!C12*$B785)-'Business Case'!C11*$C785*'Business Case'!C13*$D785-'Business Case'!C14*$E785)-MAX(0,(('Business Case'!C11*$C785*'Business Case'!C12*$B785)-'Business Case'!C11*$C785*'Business Case'!C13*$D785-'Business Case'!C14*$E785))*'Business Case'!$B$7-'Business Case'!$B$8*(('Business Case'!C11*$C785*'Business Case'!C12*$B785)-('Business Case'!B11*$C785*'Business Case'!B12*$B785))-'Business Case'!C15*$F785</f>
        <v>-24767478.5263205</v>
      </c>
      <c r="J785" s="39" t="n">
        <f aca="false">(('Business Case'!D11*$C785*'Business Case'!D12*$B785)-'Business Case'!D11*$C785*'Business Case'!D13*$D785-'Business Case'!D14*$E785)-MAX(0,(('Business Case'!D11*$C785*'Business Case'!D12*$B785)-'Business Case'!D11*$C785*'Business Case'!D13*$D785-'Business Case'!D14*$E785))*'Business Case'!$B$7-'Business Case'!$B$8*(('Business Case'!D11*$C785*'Business Case'!D12*$B785)-('Business Case'!C11*$C785*'Business Case'!C12*$B785))-'Business Case'!D15*$F785</f>
        <v>253353610.19173</v>
      </c>
      <c r="K785" s="39" t="n">
        <f aca="false">(('Business Case'!E11*$C785*'Business Case'!E12*$B785)-'Business Case'!E11*$C785*'Business Case'!E13*$D785-'Business Case'!E14*$E785)-MAX(0,(('Business Case'!E11*$C785*'Business Case'!E12*$B785)-'Business Case'!E11*$C785*'Business Case'!E13*$D785-'Business Case'!E14*$E785))*'Business Case'!$B$7-'Business Case'!$B$8*(('Business Case'!E11*$C785*'Business Case'!E12*$B785)-('Business Case'!D11*$C785*'Business Case'!D12*$B785))-'Business Case'!E15*$F785</f>
        <v>583299777.990672</v>
      </c>
      <c r="L785" s="39" t="n">
        <f aca="false">(('Business Case'!F11*$C785*'Business Case'!F12*$B785)-'Business Case'!F11*$C785*'Business Case'!F13*$D785-'Business Case'!F14*$E785)-MAX(0,(('Business Case'!F11*$C785*'Business Case'!F12*$B785)-'Business Case'!F11*$C785*'Business Case'!F13*$D785-'Business Case'!F14*$E785))*'Business Case'!$B$7-'Business Case'!$B$8*(('Business Case'!F11*$C785*'Business Case'!F12*$B785)-('Business Case'!E11*$C785*'Business Case'!E12*$B785))-'Business Case'!F15*$F785</f>
        <v>710768839.890725</v>
      </c>
      <c r="M785" s="39" t="n">
        <f aca="false">(('Business Case'!G11*$C785*'Business Case'!G12*$B785)-'Business Case'!G11*$C785*'Business Case'!G13*$D785-'Business Case'!G14*$E785)-MAX(0,(('Business Case'!G11*$C785*'Business Case'!G12*$B785)-'Business Case'!G11*$C785*'Business Case'!G13*$D785-'Business Case'!G14*$E785))*'Business Case'!$B$7-'Business Case'!$B$8*(('Business Case'!G11*$C785*'Business Case'!G12*$B785)-('Business Case'!F11*$C785*'Business Case'!F12*$B785))-'Business Case'!G15*$F785+'Business Case'!$B$8*('Business Case'!G11*$C785*'Business Case'!G12*$B785)</f>
        <v>901960017.691259</v>
      </c>
      <c r="N785" s="39" t="n">
        <f aca="false">IF(COUNT('Business Case'!B11:G11)=0,"",H785+NPV(G785,I785:M785))</f>
        <v>-439127478.944852</v>
      </c>
      <c r="P785" s="40" t="n">
        <f aca="true">RAND()</f>
        <v>0.758182615378077</v>
      </c>
      <c r="Q785" s="40" t="n">
        <f aca="true">RAND()</f>
        <v>0.57094715392777</v>
      </c>
      <c r="R785" s="40" t="n">
        <f aca="true">RAND()</f>
        <v>0.981563646869053</v>
      </c>
      <c r="S785" s="40" t="n">
        <f aca="true">RAND()</f>
        <v>0.713335680423613</v>
      </c>
      <c r="T785" s="40" t="n">
        <f aca="true">RAND()</f>
        <v>0.465365343730601</v>
      </c>
      <c r="U785" s="40" t="n">
        <f aca="true">RAND()</f>
        <v>0.689745183150661</v>
      </c>
    </row>
    <row r="786" customFormat="false" ht="15" hidden="false" customHeight="false" outlineLevel="0" collapsed="false">
      <c r="A786" s="36" t="n">
        <v>706</v>
      </c>
      <c r="B786" s="37" t="n">
        <f aca="false">1+IF($G$6=$E$6,$F$6,IF(P786&lt;($F$6-$E$6)/($G$6-$E$6),$E$6+SQRT(P786*($G$6-$E$6)*($F$6-$E$6)),$G$6-SQRT((1-P786)*($G$6-$E$6)*($G$6-$F$6))))</f>
        <v>1.00600757185987</v>
      </c>
      <c r="C786" s="37" t="n">
        <f aca="false">1+IF($G$7=$E$7,$F$7,IF(Q786&lt;($F$7-$E$7)/($G$7-$E$7),$E$7+SQRT(Q786*($G$7-$E$7)*($F$7-$E$7)),$G$7-SQRT((1-Q786)*($G$7-$E$7)*($G$7-$F$7))))</f>
        <v>0.98117624815118</v>
      </c>
      <c r="D786" s="37" t="n">
        <f aca="false">1+IF($G$8=$E$8,$F$8,IF(R786&lt;($F$8-$E$8)/($G$8-$E$8),$E$8+SQRT(R786*($G$8-$E$8)*($F$8-$E$8)),$G$8-SQRT((1-R786)*($G$8-$E$8)*($G$8-$F$8))))</f>
        <v>1.02389942956709</v>
      </c>
      <c r="E786" s="37" t="n">
        <f aca="false">1+IF($G$9=$E$9,$F$9,IF(S786&lt;($F$9-$E$9)/($G$9-$E$9),$E$9+SQRT(S786*($G$9-$E$9)*($F$9-$E$9)),$G$9-SQRT((1-S786)*($G$9-$E$9)*($G$9-$F$9))))</f>
        <v>1.00759728097225</v>
      </c>
      <c r="F786" s="37" t="n">
        <f aca="false">1+IF($G$10=$E$10,$F$10,IF(T786&lt;($F$10-$E$10)/($G$10-$E$10),$E$10+SQRT(T786*($G$10-$E$10)*($F$10-$E$10)),$G$10-SQRT((1-T786)*($G$10-$E$10)*($G$10-$F$10))))</f>
        <v>1.02039807792661</v>
      </c>
      <c r="G786" s="38" t="n">
        <f aca="false">IF($G$11=$E$11,$F$11,IF(U786&lt;($F$11-$E$11)/($G$11-$E$11),$E$11+SQRT(U786*($G$11-$E$11)*($F$11-$E$11)),$G$11-SQRT((1-U786)*($G$11-$E$11)*($G$11-$F$11))))</f>
        <v>0.11849610271234</v>
      </c>
      <c r="H786" s="39" t="n">
        <f aca="false">(('Business Case'!B11*$C786*'Business Case'!B12*$B786)-'Business Case'!B11*$C786*'Business Case'!B13*$D786-'Business Case'!B14*$E786)-MAX(0,(('Business Case'!B11*$C786*'Business Case'!B12*$B786)-'Business Case'!B11*$C786*'Business Case'!B13*$D786-'Business Case'!B14*$E786))*'Business Case'!$B$7-'Business Case'!$B$8*('Business Case'!B11*$C786*'Business Case'!B12*$B786)-'Business Case'!B15*$F786</f>
        <v>-2040796155.85322</v>
      </c>
      <c r="I786" s="39" t="n">
        <f aca="false">(('Business Case'!C11*$C786*'Business Case'!C12*$B786)-'Business Case'!C11*$C786*'Business Case'!C13*$D786-'Business Case'!C14*$E786)-MAX(0,(('Business Case'!C11*$C786*'Business Case'!C12*$B786)-'Business Case'!C11*$C786*'Business Case'!C13*$D786-'Business Case'!C14*$E786))*'Business Case'!$B$7-'Business Case'!$B$8*(('Business Case'!C11*$C786*'Business Case'!C12*$B786)-('Business Case'!B11*$C786*'Business Case'!B12*$B786))-'Business Case'!C15*$F786</f>
        <v>-2295926.95383</v>
      </c>
      <c r="J786" s="39" t="n">
        <f aca="false">(('Business Case'!D11*$C786*'Business Case'!D12*$B786)-'Business Case'!D11*$C786*'Business Case'!D13*$D786-'Business Case'!D14*$E786)-MAX(0,(('Business Case'!D11*$C786*'Business Case'!D12*$B786)-'Business Case'!D11*$C786*'Business Case'!D13*$D786-'Business Case'!D14*$E786))*'Business Case'!$B$7-'Business Case'!$B$8*(('Business Case'!D11*$C786*'Business Case'!D12*$B786)-('Business Case'!C11*$C786*'Business Case'!C12*$B786))-'Business Case'!D15*$F786</f>
        <v>291898034.140055</v>
      </c>
      <c r="K786" s="39" t="n">
        <f aca="false">(('Business Case'!E11*$C786*'Business Case'!E12*$B786)-'Business Case'!E11*$C786*'Business Case'!E13*$D786-'Business Case'!E14*$E786)-MAX(0,(('Business Case'!E11*$C786*'Business Case'!E12*$B786)-'Business Case'!E11*$C786*'Business Case'!E13*$D786-'Business Case'!E14*$E786))*'Business Case'!$B$7-'Business Case'!$B$8*(('Business Case'!E11*$C786*'Business Case'!E12*$B786)-('Business Case'!D11*$C786*'Business Case'!D12*$B786))-'Business Case'!E15*$F786</f>
        <v>637111899.130271</v>
      </c>
      <c r="L786" s="39" t="n">
        <f aca="false">(('Business Case'!F11*$C786*'Business Case'!F12*$B786)-'Business Case'!F11*$C786*'Business Case'!F13*$D786-'Business Case'!F14*$E786)-MAX(0,(('Business Case'!F11*$C786*'Business Case'!F12*$B786)-'Business Case'!F11*$C786*'Business Case'!F13*$D786-'Business Case'!F14*$E786))*'Business Case'!$B$7-'Business Case'!$B$8*(('Business Case'!F11*$C786*'Business Case'!F12*$B786)-('Business Case'!E11*$C786*'Business Case'!E12*$B786))-'Business Case'!F15*$F786</f>
        <v>769289717.428766</v>
      </c>
      <c r="M786" s="39" t="n">
        <f aca="false">(('Business Case'!G11*$C786*'Business Case'!G12*$B786)-'Business Case'!G11*$C786*'Business Case'!G13*$D786-'Business Case'!G14*$E786)-MAX(0,(('Business Case'!G11*$C786*'Business Case'!G12*$B786)-'Business Case'!G11*$C786*'Business Case'!G13*$D786-'Business Case'!G14*$E786))*'Business Case'!$B$7-'Business Case'!$B$8*(('Business Case'!G11*$C786*'Business Case'!G12*$B786)-('Business Case'!F11*$C786*'Business Case'!F12*$B786))-'Business Case'!G15*$F786+'Business Case'!$B$8*('Business Case'!G11*$C786*'Business Case'!G12*$B786)</f>
        <v>956912122.731701</v>
      </c>
      <c r="N786" s="39" t="n">
        <f aca="false">IF(COUNT('Business Case'!B11:G11)=0,"",H786+NPV(G786,I786:M786))</f>
        <v>-316037903.687953</v>
      </c>
      <c r="P786" s="40" t="n">
        <f aca="true">RAND()</f>
        <v>0.759273922737071</v>
      </c>
      <c r="Q786" s="40" t="n">
        <f aca="true">RAND()</f>
        <v>0.46892618420197</v>
      </c>
      <c r="R786" s="40" t="n">
        <f aca="true">RAND()</f>
        <v>0.697377499721308</v>
      </c>
      <c r="S786" s="40" t="n">
        <f aca="true">RAND()</f>
        <v>0.430782501085193</v>
      </c>
      <c r="T786" s="40" t="n">
        <f aca="true">RAND()</f>
        <v>0.354862991750895</v>
      </c>
      <c r="U786" s="40" t="n">
        <f aca="true">RAND()</f>
        <v>0.996230488246946</v>
      </c>
    </row>
    <row r="787" customFormat="false" ht="15" hidden="false" customHeight="false" outlineLevel="0" collapsed="false">
      <c r="A787" s="36" t="n">
        <v>707</v>
      </c>
      <c r="B787" s="37" t="n">
        <f aca="false">1+IF($G$6=$E$6,$F$6,IF(P787&lt;($F$6-$E$6)/($G$6-$E$6),$E$6+SQRT(P787*($G$6-$E$6)*($F$6-$E$6)),$G$6-SQRT((1-P787)*($G$6-$E$6)*($G$6-$F$6))))</f>
        <v>0.999923979353559</v>
      </c>
      <c r="C787" s="37" t="n">
        <f aca="false">1+IF($G$7=$E$7,$F$7,IF(Q787&lt;($F$7-$E$7)/($G$7-$E$7),$E$7+SQRT(Q787*($G$7-$E$7)*($F$7-$E$7)),$G$7-SQRT((1-Q787)*($G$7-$E$7)*($G$7-$F$7))))</f>
        <v>1.05384137741286</v>
      </c>
      <c r="D787" s="37" t="n">
        <f aca="false">1+IF($G$8=$E$8,$F$8,IF(R787&lt;($F$8-$E$8)/($G$8-$E$8),$E$8+SQRT(R787*($G$8-$E$8)*($F$8-$E$8)),$G$8-SQRT((1-R787)*($G$8-$E$8)*($G$8-$F$8))))</f>
        <v>1.01562553647429</v>
      </c>
      <c r="E787" s="37" t="n">
        <f aca="false">1+IF($G$9=$E$9,$F$9,IF(S787&lt;($F$9-$E$9)/($G$9-$E$9),$E$9+SQRT(S787*($G$9-$E$9)*($F$9-$E$9)),$G$9-SQRT((1-S787)*($G$9-$E$9)*($G$9-$F$9))))</f>
        <v>1.03367402944008</v>
      </c>
      <c r="F787" s="37" t="n">
        <f aca="false">1+IF($G$10=$E$10,$F$10,IF(T787&lt;($F$10-$E$10)/($G$10-$E$10),$E$10+SQRT(T787*($G$10-$E$10)*($F$10-$E$10)),$G$10-SQRT((1-T787)*($G$10-$E$10)*($G$10-$F$10))))</f>
        <v>0.996939942563616</v>
      </c>
      <c r="G787" s="38" t="n">
        <f aca="false">IF($G$11=$E$11,$F$11,IF(U787&lt;($F$11-$E$11)/($G$11-$E$11),$E$11+SQRT(U787*($G$11-$E$11)*($F$11-$E$11)),$G$11-SQRT((1-U787)*($G$11-$E$11)*($G$11-$F$11))))</f>
        <v>0.117976833614039</v>
      </c>
      <c r="H787" s="39" t="n">
        <f aca="false">(('Business Case'!B11*$C787*'Business Case'!B12*$B787)-'Business Case'!B11*$C787*'Business Case'!B13*$D787-'Business Case'!B14*$E787)-MAX(0,(('Business Case'!B11*$C787*'Business Case'!B12*$B787)-'Business Case'!B11*$C787*'Business Case'!B13*$D787-'Business Case'!B14*$E787))*'Business Case'!$B$7-'Business Case'!$B$8*('Business Case'!B11*$C787*'Business Case'!B12*$B787)-'Business Case'!B15*$F787</f>
        <v>-1993879885.12723</v>
      </c>
      <c r="I787" s="39" t="n">
        <f aca="false">(('Business Case'!C11*$C787*'Business Case'!C12*$B787)-'Business Case'!C11*$C787*'Business Case'!C13*$D787-'Business Case'!C14*$E787)-MAX(0,(('Business Case'!C11*$C787*'Business Case'!C12*$B787)-'Business Case'!C11*$C787*'Business Case'!C13*$D787-'Business Case'!C14*$E787))*'Business Case'!$B$7-'Business Case'!$B$8*(('Business Case'!C11*$C787*'Business Case'!C12*$B787)-('Business Case'!B11*$C787*'Business Case'!B12*$B787))-'Business Case'!C15*$F787</f>
        <v>13884739.5748355</v>
      </c>
      <c r="J787" s="39" t="n">
        <f aca="false">(('Business Case'!D11*$C787*'Business Case'!D12*$B787)-'Business Case'!D11*$C787*'Business Case'!D13*$D787-'Business Case'!D14*$E787)-MAX(0,(('Business Case'!D11*$C787*'Business Case'!D12*$B787)-'Business Case'!D11*$C787*'Business Case'!D13*$D787-'Business Case'!D14*$E787))*'Business Case'!$B$7-'Business Case'!$B$8*(('Business Case'!D11*$C787*'Business Case'!D12*$B787)-('Business Case'!C11*$C787*'Business Case'!C12*$B787))-'Business Case'!D15*$F787</f>
        <v>329078904.303144</v>
      </c>
      <c r="K787" s="39" t="n">
        <f aca="false">(('Business Case'!E11*$C787*'Business Case'!E12*$B787)-'Business Case'!E11*$C787*'Business Case'!E13*$D787-'Business Case'!E14*$E787)-MAX(0,(('Business Case'!E11*$C787*'Business Case'!E12*$B787)-'Business Case'!E11*$C787*'Business Case'!E13*$D787-'Business Case'!E14*$E787))*'Business Case'!$B$7-'Business Case'!$B$8*(('Business Case'!E11*$C787*'Business Case'!E12*$B787)-('Business Case'!D11*$C787*'Business Case'!D12*$B787))-'Business Case'!E15*$F787</f>
        <v>694120066.159634</v>
      </c>
      <c r="L787" s="39" t="n">
        <f aca="false">(('Business Case'!F11*$C787*'Business Case'!F12*$B787)-'Business Case'!F11*$C787*'Business Case'!F13*$D787-'Business Case'!F14*$E787)-MAX(0,(('Business Case'!F11*$C787*'Business Case'!F12*$B787)-'Business Case'!F11*$C787*'Business Case'!F13*$D787-'Business Case'!F14*$E787))*'Business Case'!$B$7-'Business Case'!$B$8*(('Business Case'!F11*$C787*'Business Case'!F12*$B787)-('Business Case'!E11*$C787*'Business Case'!E12*$B787))-'Business Case'!F15*$F787</f>
        <v>835602777.009558</v>
      </c>
      <c r="M787" s="39" t="n">
        <f aca="false">(('Business Case'!G11*$C787*'Business Case'!G12*$B787)-'Business Case'!G11*$C787*'Business Case'!G13*$D787-'Business Case'!G14*$E787)-MAX(0,(('Business Case'!G11*$C787*'Business Case'!G12*$B787)-'Business Case'!G11*$C787*'Business Case'!G13*$D787-'Business Case'!G14*$E787))*'Business Case'!$B$7-'Business Case'!$B$8*(('Business Case'!G11*$C787*'Business Case'!G12*$B787)-('Business Case'!F11*$C787*'Business Case'!F12*$B787))-'Business Case'!G15*$F787+'Business Case'!$B$8*('Business Case'!G11*$C787*'Business Case'!G12*$B787)</f>
        <v>1035901718.01557</v>
      </c>
      <c r="N787" s="39" t="n">
        <f aca="false">IF(COUNT('Business Case'!B11:G11)=0,"",H787+NPV(G787,I787:M787))</f>
        <v>-93390766.77561</v>
      </c>
      <c r="P787" s="40" t="n">
        <f aca="true">RAND()</f>
        <v>0.665400257886267</v>
      </c>
      <c r="Q787" s="40" t="n">
        <f aca="true">RAND()</f>
        <v>0.823876558136068</v>
      </c>
      <c r="R787" s="40" t="n">
        <f aca="true">RAND()</f>
        <v>0.601531581324727</v>
      </c>
      <c r="S787" s="40" t="n">
        <f aca="true">RAND()</f>
        <v>0.706724375285669</v>
      </c>
      <c r="T787" s="40" t="n">
        <f aca="true">RAND()</f>
        <v>0.176268656630046</v>
      </c>
      <c r="U787" s="40" t="n">
        <f aca="true">RAND()</f>
        <v>0.993177996291194</v>
      </c>
    </row>
    <row r="788" customFormat="false" ht="15" hidden="false" customHeight="false" outlineLevel="0" collapsed="false">
      <c r="A788" s="36" t="n">
        <v>708</v>
      </c>
      <c r="B788" s="37" t="n">
        <f aca="false">1+IF($G$6=$E$6,$F$6,IF(P788&lt;($F$6-$E$6)/($G$6-$E$6),$E$6+SQRT(P788*($G$6-$E$6)*($F$6-$E$6)),$G$6-SQRT((1-P788)*($G$6-$E$6)*($G$6-$F$6))))</f>
        <v>1.02001859889221</v>
      </c>
      <c r="C788" s="37" t="n">
        <f aca="false">1+IF($G$7=$E$7,$F$7,IF(Q788&lt;($F$7-$E$7)/($G$7-$E$7),$E$7+SQRT(Q788*($G$7-$E$7)*($F$7-$E$7)),$G$7-SQRT((1-Q788)*($G$7-$E$7)*($G$7-$F$7))))</f>
        <v>1.02107717906694</v>
      </c>
      <c r="D788" s="37" t="n">
        <f aca="false">1+IF($G$8=$E$8,$F$8,IF(R788&lt;($F$8-$E$8)/($G$8-$E$8),$E$8+SQRT(R788*($G$8-$E$8)*($F$8-$E$8)),$G$8-SQRT((1-R788)*($G$8-$E$8)*($G$8-$F$8))))</f>
        <v>1.01503799330749</v>
      </c>
      <c r="E788" s="37" t="n">
        <f aca="false">1+IF($G$9=$E$9,$F$9,IF(S788&lt;($F$9-$E$9)/($G$9-$E$9),$E$9+SQRT(S788*($G$9-$E$9)*($F$9-$E$9)),$G$9-SQRT((1-S788)*($G$9-$E$9)*($G$9-$F$9))))</f>
        <v>1.00403949219977</v>
      </c>
      <c r="F788" s="37" t="n">
        <f aca="false">1+IF($G$10=$E$10,$F$10,IF(T788&lt;($F$10-$E$10)/($G$10-$E$10),$E$10+SQRT(T788*($G$10-$E$10)*($F$10-$E$10)),$G$10-SQRT((1-T788)*($G$10-$E$10)*($G$10-$F$10))))</f>
        <v>0.996195009583567</v>
      </c>
      <c r="G788" s="38" t="n">
        <f aca="false">IF($G$11=$E$11,$F$11,IF(U788&lt;($F$11-$E$11)/($G$11-$E$11),$E$11+SQRT(U788*($G$11-$E$11)*($F$11-$E$11)),$G$11-SQRT((1-U788)*($G$11-$E$11)*($G$11-$F$11))))</f>
        <v>0.095681199198944</v>
      </c>
      <c r="H788" s="39" t="n">
        <f aca="false">(('Business Case'!B11*$C788*'Business Case'!B12*$B788)-'Business Case'!B11*$C788*'Business Case'!B13*$D788-'Business Case'!B14*$E788)-MAX(0,(('Business Case'!B11*$C788*'Business Case'!B12*$B788)-'Business Case'!B11*$C788*'Business Case'!B13*$D788-'Business Case'!B14*$E788))*'Business Case'!$B$7-'Business Case'!$B$8*('Business Case'!B11*$C788*'Business Case'!B12*$B788)-'Business Case'!B15*$F788</f>
        <v>-1992390019.16713</v>
      </c>
      <c r="I788" s="39" t="n">
        <f aca="false">(('Business Case'!C11*$C788*'Business Case'!C12*$B788)-'Business Case'!C11*$C788*'Business Case'!C13*$D788-'Business Case'!C14*$E788)-MAX(0,(('Business Case'!C11*$C788*'Business Case'!C12*$B788)-'Business Case'!C11*$C788*'Business Case'!C13*$D788-'Business Case'!C14*$E788))*'Business Case'!$B$7-'Business Case'!$B$8*(('Business Case'!C11*$C788*'Business Case'!C12*$B788)-('Business Case'!B11*$C788*'Business Case'!B12*$B788))-'Business Case'!C15*$F788</f>
        <v>26121465.2294292</v>
      </c>
      <c r="J788" s="39" t="n">
        <f aca="false">(('Business Case'!D11*$C788*'Business Case'!D12*$B788)-'Business Case'!D11*$C788*'Business Case'!D13*$D788-'Business Case'!D14*$E788)-MAX(0,(('Business Case'!D11*$C788*'Business Case'!D12*$B788)-'Business Case'!D11*$C788*'Business Case'!D13*$D788-'Business Case'!D14*$E788))*'Business Case'!$B$7-'Business Case'!$B$8*(('Business Case'!D11*$C788*'Business Case'!D12*$B788)-('Business Case'!C11*$C788*'Business Case'!C12*$B788))-'Business Case'!D15*$F788</f>
        <v>348629125.478593</v>
      </c>
      <c r="K788" s="39" t="n">
        <f aca="false">(('Business Case'!E11*$C788*'Business Case'!E12*$B788)-'Business Case'!E11*$C788*'Business Case'!E13*$D788-'Business Case'!E14*$E788)-MAX(0,(('Business Case'!E11*$C788*'Business Case'!E12*$B788)-'Business Case'!E11*$C788*'Business Case'!E13*$D788-'Business Case'!E14*$E788))*'Business Case'!$B$7-'Business Case'!$B$8*(('Business Case'!E11*$C788*'Business Case'!E12*$B788)-('Business Case'!D11*$C788*'Business Case'!D12*$B788))-'Business Case'!E15*$F788</f>
        <v>720946536.206936</v>
      </c>
      <c r="L788" s="39" t="n">
        <f aca="false">(('Business Case'!F11*$C788*'Business Case'!F12*$B788)-'Business Case'!F11*$C788*'Business Case'!F13*$D788-'Business Case'!F14*$E788)-MAX(0,(('Business Case'!F11*$C788*'Business Case'!F12*$B788)-'Business Case'!F11*$C788*'Business Case'!F13*$D788-'Business Case'!F14*$E788))*'Business Case'!$B$7-'Business Case'!$B$8*(('Business Case'!F11*$C788*'Business Case'!F12*$B788)-('Business Case'!E11*$C788*'Business Case'!E12*$B788))-'Business Case'!F15*$F788</f>
        <v>864443941.803705</v>
      </c>
      <c r="M788" s="39" t="n">
        <f aca="false">(('Business Case'!G11*$C788*'Business Case'!G12*$B788)-'Business Case'!G11*$C788*'Business Case'!G13*$D788-'Business Case'!G14*$E788)-MAX(0,(('Business Case'!G11*$C788*'Business Case'!G12*$B788)-'Business Case'!G11*$C788*'Business Case'!G13*$D788-'Business Case'!G14*$E788))*'Business Case'!$B$7-'Business Case'!$B$8*(('Business Case'!G11*$C788*'Business Case'!G12*$B788)-('Business Case'!F11*$C788*'Business Case'!F12*$B788))-'Business Case'!G15*$F788+'Business Case'!$B$8*('Business Case'!G11*$C788*'Business Case'!G12*$B788)</f>
        <v>1062415628.7958</v>
      </c>
      <c r="N788" s="39" t="n">
        <f aca="false">IF(COUNT('Business Case'!B11:G11)=0,"",H788+NPV(G788,I788:M788))</f>
        <v>142509212.009913</v>
      </c>
      <c r="P788" s="40" t="n">
        <f aca="true">RAND()</f>
        <v>0.91682158536865</v>
      </c>
      <c r="Q788" s="40" t="n">
        <f aca="true">RAND()</f>
        <v>0.683407737955456</v>
      </c>
      <c r="R788" s="40" t="n">
        <f aca="true">RAND()</f>
        <v>0.594224777546333</v>
      </c>
      <c r="S788" s="40" t="n">
        <f aca="true">RAND()</f>
        <v>0.38610539618152</v>
      </c>
      <c r="T788" s="40" t="n">
        <f aca="true">RAND()</f>
        <v>0.17071831283407</v>
      </c>
      <c r="U788" s="40" t="n">
        <f aca="true">RAND()</f>
        <v>0.107586747793605</v>
      </c>
    </row>
    <row r="789" customFormat="false" ht="15" hidden="false" customHeight="false" outlineLevel="0" collapsed="false">
      <c r="A789" s="36" t="n">
        <v>709</v>
      </c>
      <c r="B789" s="37" t="n">
        <f aca="false">1+IF($G$6=$E$6,$F$6,IF(P789&lt;($F$6-$E$6)/($G$6-$E$6),$E$6+SQRT(P789*($G$6-$E$6)*($F$6-$E$6)),$G$6-SQRT((1-P789)*($G$6-$E$6)*($G$6-$F$6))))</f>
        <v>0.963137642314432</v>
      </c>
      <c r="C789" s="37" t="n">
        <f aca="false">1+IF($G$7=$E$7,$F$7,IF(Q789&lt;($F$7-$E$7)/($G$7-$E$7),$E$7+SQRT(Q789*($G$7-$E$7)*($F$7-$E$7)),$G$7-SQRT((1-Q789)*($G$7-$E$7)*($G$7-$F$7))))</f>
        <v>1.05451068754956</v>
      </c>
      <c r="D789" s="37" t="n">
        <f aca="false">1+IF($G$8=$E$8,$F$8,IF(R789&lt;($F$8-$E$8)/($G$8-$E$8),$E$8+SQRT(R789*($G$8-$E$8)*($F$8-$E$8)),$G$8-SQRT((1-R789)*($G$8-$E$8)*($G$8-$F$8))))</f>
        <v>0.960902336114372</v>
      </c>
      <c r="E789" s="37" t="n">
        <f aca="false">1+IF($G$9=$E$9,$F$9,IF(S789&lt;($F$9-$E$9)/($G$9-$E$9),$E$9+SQRT(S789*($G$9-$E$9)*($F$9-$E$9)),$G$9-SQRT((1-S789)*($G$9-$E$9)*($G$9-$F$9))))</f>
        <v>0.989086247313156</v>
      </c>
      <c r="F789" s="37" t="n">
        <f aca="false">1+IF($G$10=$E$10,$F$10,IF(T789&lt;($F$10-$E$10)/($G$10-$E$10),$E$10+SQRT(T789*($G$10-$E$10)*($F$10-$E$10)),$G$10-SQRT((1-T789)*($G$10-$E$10)*($G$10-$F$10))))</f>
        <v>1.07935468307363</v>
      </c>
      <c r="G789" s="38" t="n">
        <f aca="false">IF($G$11=$E$11,$F$11,IF(U789&lt;($F$11-$E$11)/($G$11-$E$11),$E$11+SQRT(U789*($G$11-$E$11)*($F$11-$E$11)),$G$11-SQRT((1-U789)*($G$11-$E$11)*($G$11-$F$11))))</f>
        <v>0.101922836781813</v>
      </c>
      <c r="H789" s="39" t="n">
        <f aca="false">(('Business Case'!B11*$C789*'Business Case'!B12*$B789)-'Business Case'!B11*$C789*'Business Case'!B13*$D789-'Business Case'!B14*$E789)-MAX(0,(('Business Case'!B11*$C789*'Business Case'!B12*$B789)-'Business Case'!B11*$C789*'Business Case'!B13*$D789-'Business Case'!B14*$E789))*'Business Case'!$B$7-'Business Case'!$B$8*('Business Case'!B11*$C789*'Business Case'!B12*$B789)-'Business Case'!B15*$F789</f>
        <v>-2158709366.14726</v>
      </c>
      <c r="I789" s="39" t="n">
        <f aca="false">(('Business Case'!C11*$C789*'Business Case'!C12*$B789)-'Business Case'!C11*$C789*'Business Case'!C13*$D789-'Business Case'!C14*$E789)-MAX(0,(('Business Case'!C11*$C789*'Business Case'!C12*$B789)-'Business Case'!C11*$C789*'Business Case'!C13*$D789-'Business Case'!C14*$E789))*'Business Case'!$B$7-'Business Case'!$B$8*(('Business Case'!C11*$C789*'Business Case'!C12*$B789)-('Business Case'!B11*$C789*'Business Case'!B12*$B789))-'Business Case'!C15*$F789</f>
        <v>11927950.128595</v>
      </c>
      <c r="J789" s="39" t="n">
        <f aca="false">(('Business Case'!D11*$C789*'Business Case'!D12*$B789)-'Business Case'!D11*$C789*'Business Case'!D13*$D789-'Business Case'!D14*$E789)-MAX(0,(('Business Case'!D11*$C789*'Business Case'!D12*$B789)-'Business Case'!D11*$C789*'Business Case'!D13*$D789-'Business Case'!D14*$E789))*'Business Case'!$B$7-'Business Case'!$B$8*(('Business Case'!D11*$C789*'Business Case'!D12*$B789)-('Business Case'!C11*$C789*'Business Case'!C12*$B789))-'Business Case'!D15*$F789</f>
        <v>325090155.447396</v>
      </c>
      <c r="K789" s="39" t="n">
        <f aca="false">(('Business Case'!E11*$C789*'Business Case'!E12*$B789)-'Business Case'!E11*$C789*'Business Case'!E13*$D789-'Business Case'!E14*$E789)-MAX(0,(('Business Case'!E11*$C789*'Business Case'!E12*$B789)-'Business Case'!E11*$C789*'Business Case'!E13*$D789-'Business Case'!E14*$E789))*'Business Case'!$B$7-'Business Case'!$B$8*(('Business Case'!E11*$C789*'Business Case'!E12*$B789)-('Business Case'!D11*$C789*'Business Case'!D12*$B789))-'Business Case'!E15*$F789</f>
        <v>692220094.919878</v>
      </c>
      <c r="L789" s="39" t="n">
        <f aca="false">(('Business Case'!F11*$C789*'Business Case'!F12*$B789)-'Business Case'!F11*$C789*'Business Case'!F13*$D789-'Business Case'!F14*$E789)-MAX(0,(('Business Case'!F11*$C789*'Business Case'!F12*$B789)-'Business Case'!F11*$C789*'Business Case'!F13*$D789-'Business Case'!F14*$E789))*'Business Case'!$B$7-'Business Case'!$B$8*(('Business Case'!F11*$C789*'Business Case'!F12*$B789)-('Business Case'!E11*$C789*'Business Case'!E12*$B789))-'Business Case'!F15*$F789</f>
        <v>831707978.36942</v>
      </c>
      <c r="M789" s="39" t="n">
        <f aca="false">(('Business Case'!G11*$C789*'Business Case'!G12*$B789)-'Business Case'!G11*$C789*'Business Case'!G13*$D789-'Business Case'!G14*$E789)-MAX(0,(('Business Case'!G11*$C789*'Business Case'!G12*$B789)-'Business Case'!G11*$C789*'Business Case'!G13*$D789-'Business Case'!G14*$E789))*'Business Case'!$B$7-'Business Case'!$B$8*(('Business Case'!G11*$C789*'Business Case'!G12*$B789)-('Business Case'!F11*$C789*'Business Case'!F12*$B789))-'Business Case'!G15*$F789+'Business Case'!$B$8*('Business Case'!G11*$C789*'Business Case'!G12*$B789)</f>
        <v>1024760627.59076</v>
      </c>
      <c r="N789" s="39" t="n">
        <f aca="false">IF(COUNT('Business Case'!B11:G11)=0,"",H789+NPV(G789,I789:M789))</f>
        <v>-167918121.799385</v>
      </c>
      <c r="P789" s="40" t="n">
        <f aca="true">RAND()</f>
        <v>0.193839185879983</v>
      </c>
      <c r="Q789" s="40" t="n">
        <f aca="true">RAND()</f>
        <v>0.826319832528424</v>
      </c>
      <c r="R789" s="40" t="n">
        <f aca="true">RAND()</f>
        <v>0.0182862973462687</v>
      </c>
      <c r="S789" s="40" t="n">
        <f aca="true">RAND()</f>
        <v>0.203697963870024</v>
      </c>
      <c r="T789" s="40" t="n">
        <f aca="true">RAND()</f>
        <v>0.708894150074726</v>
      </c>
      <c r="U789" s="40" t="n">
        <f aca="true">RAND()</f>
        <v>0.455360283305047</v>
      </c>
    </row>
    <row r="790" customFormat="false" ht="15" hidden="false" customHeight="false" outlineLevel="0" collapsed="false">
      <c r="A790" s="36" t="n">
        <v>710</v>
      </c>
      <c r="B790" s="37" t="n">
        <f aca="false">1+IF($G$6=$E$6,$F$6,IF(P790&lt;($F$6-$E$6)/($G$6-$E$6),$E$6+SQRT(P790*($G$6-$E$6)*($F$6-$E$6)),$G$6-SQRT((1-P790)*($G$6-$E$6)*($G$6-$F$6))))</f>
        <v>1.0109178058884</v>
      </c>
      <c r="C790" s="37" t="n">
        <f aca="false">1+IF($G$7=$E$7,$F$7,IF(Q790&lt;($F$7-$E$7)/($G$7-$E$7),$E$7+SQRT(Q790*($G$7-$E$7)*($F$7-$E$7)),$G$7-SQRT((1-Q790)*($G$7-$E$7)*($G$7-$F$7))))</f>
        <v>1.11160267425126</v>
      </c>
      <c r="D790" s="37" t="n">
        <f aca="false">1+IF($G$8=$E$8,$F$8,IF(R790&lt;($F$8-$E$8)/($G$8-$E$8),$E$8+SQRT(R790*($G$8-$E$8)*($F$8-$E$8)),$G$8-SQRT((1-R790)*($G$8-$E$8)*($G$8-$F$8))))</f>
        <v>0.997838569971764</v>
      </c>
      <c r="E790" s="37" t="n">
        <f aca="false">1+IF($G$9=$E$9,$F$9,IF(S790&lt;($F$9-$E$9)/($G$9-$E$9),$E$9+SQRT(S790*($G$9-$E$9)*($F$9-$E$9)),$G$9-SQRT((1-S790)*($G$9-$E$9)*($G$9-$F$9))))</f>
        <v>1.0142274676147</v>
      </c>
      <c r="F790" s="37" t="n">
        <f aca="false">1+IF($G$10=$E$10,$F$10,IF(T790&lt;($F$10-$E$10)/($G$10-$E$10),$E$10+SQRT(T790*($G$10-$E$10)*($F$10-$E$10)),$G$10-SQRT((1-T790)*($G$10-$E$10)*($G$10-$F$10))))</f>
        <v>1.07119592172244</v>
      </c>
      <c r="G790" s="38" t="n">
        <f aca="false">IF($G$11=$E$11,$F$11,IF(U790&lt;($F$11-$E$11)/($G$11-$E$11),$E$11+SQRT(U790*($G$11-$E$11)*($F$11-$E$11)),$G$11-SQRT((1-U790)*($G$11-$E$11)*($G$11-$F$11))))</f>
        <v>0.103544175605257</v>
      </c>
      <c r="H790" s="39" t="n">
        <f aca="false">(('Business Case'!B11*$C790*'Business Case'!B12*$B790)-'Business Case'!B11*$C790*'Business Case'!B13*$D790-'Business Case'!B14*$E790)-MAX(0,(('Business Case'!B11*$C790*'Business Case'!B12*$B790)-'Business Case'!B11*$C790*'Business Case'!B13*$D790-'Business Case'!B14*$E790))*'Business Case'!$B$7-'Business Case'!$B$8*('Business Case'!B11*$C790*'Business Case'!B12*$B790)-'Business Case'!B15*$F790</f>
        <v>-2142391843.44488</v>
      </c>
      <c r="I790" s="39" t="n">
        <f aca="false">(('Business Case'!C11*$C790*'Business Case'!C12*$B790)-'Business Case'!C11*$C790*'Business Case'!C13*$D790-'Business Case'!C14*$E790)-MAX(0,(('Business Case'!C11*$C790*'Business Case'!C12*$B790)-'Business Case'!C11*$C790*'Business Case'!C13*$D790-'Business Case'!C14*$E790))*'Business Case'!$B$7-'Business Case'!$B$8*(('Business Case'!C11*$C790*'Business Case'!C12*$B790)-('Business Case'!B11*$C790*'Business Case'!B12*$B790))-'Business Case'!C15*$F790</f>
        <v>43004057.9433579</v>
      </c>
      <c r="J790" s="39" t="n">
        <f aca="false">(('Business Case'!D11*$C790*'Business Case'!D12*$B790)-'Business Case'!D11*$C790*'Business Case'!D13*$D790-'Business Case'!D14*$E790)-MAX(0,(('Business Case'!D11*$C790*'Business Case'!D12*$B790)-'Business Case'!D11*$C790*'Business Case'!D13*$D790-'Business Case'!D14*$E790))*'Business Case'!$B$7-'Business Case'!$B$8*(('Business Case'!D11*$C790*'Business Case'!D12*$B790)-('Business Case'!C11*$C790*'Business Case'!C12*$B790))-'Business Case'!D15*$F790</f>
        <v>395605480.420569</v>
      </c>
      <c r="K790" s="39" t="n">
        <f aca="false">(('Business Case'!E11*$C790*'Business Case'!E12*$B790)-'Business Case'!E11*$C790*'Business Case'!E13*$D790-'Business Case'!E14*$E790)-MAX(0,(('Business Case'!E11*$C790*'Business Case'!E12*$B790)-'Business Case'!E11*$C790*'Business Case'!E13*$D790-'Business Case'!E14*$E790))*'Business Case'!$B$7-'Business Case'!$B$8*(('Business Case'!E11*$C790*'Business Case'!E12*$B790)-('Business Case'!D11*$C790*'Business Case'!D12*$B790))-'Business Case'!E15*$F790</f>
        <v>801766698.983902</v>
      </c>
      <c r="L790" s="39" t="n">
        <f aca="false">(('Business Case'!F11*$C790*'Business Case'!F12*$B790)-'Business Case'!F11*$C790*'Business Case'!F13*$D790-'Business Case'!F14*$E790)-MAX(0,(('Business Case'!F11*$C790*'Business Case'!F12*$B790)-'Business Case'!F11*$C790*'Business Case'!F13*$D790-'Business Case'!F14*$E790))*'Business Case'!$B$7-'Business Case'!$B$8*(('Business Case'!F11*$C790*'Business Case'!F12*$B790)-('Business Case'!E11*$C790*'Business Case'!E12*$B790))-'Business Case'!F15*$F790</f>
        <v>958136924.120839</v>
      </c>
      <c r="M790" s="39" t="n">
        <f aca="false">(('Business Case'!G11*$C790*'Business Case'!G12*$B790)-'Business Case'!G11*$C790*'Business Case'!G13*$D790-'Business Case'!G14*$E790)-MAX(0,(('Business Case'!G11*$C790*'Business Case'!G12*$B790)-'Business Case'!G11*$C790*'Business Case'!G13*$D790-'Business Case'!G14*$E790))*'Business Case'!$B$7-'Business Case'!$B$8*(('Business Case'!G11*$C790*'Business Case'!G12*$B790)-('Business Case'!F11*$C790*'Business Case'!F12*$B790))-'Business Case'!G15*$F790+'Business Case'!$B$8*('Business Case'!G11*$C790*'Business Case'!G12*$B790)</f>
        <v>1171737221.16577</v>
      </c>
      <c r="N790" s="39" t="n">
        <f aca="false">IF(COUNT('Business Case'!B11:G11)=0,"",H790+NPV(G790,I790:M790))</f>
        <v>180023150.42247</v>
      </c>
      <c r="P790" s="40" t="n">
        <f aca="true">RAND()</f>
        <v>0.823797080344839</v>
      </c>
      <c r="Q790" s="40" t="n">
        <f aca="true">RAND()</f>
        <v>0.971917054768473</v>
      </c>
      <c r="R790" s="40" t="n">
        <f aca="true">RAND()</f>
        <v>0.352081350298973</v>
      </c>
      <c r="S790" s="40" t="n">
        <f aca="true">RAND()</f>
        <v>0.509538179214125</v>
      </c>
      <c r="T790" s="40" t="n">
        <f aca="true">RAND()</f>
        <v>0.668190188381363</v>
      </c>
      <c r="U790" s="40" t="n">
        <f aca="true">RAND()</f>
        <v>0.54867640581566</v>
      </c>
    </row>
    <row r="791" customFormat="false" ht="15" hidden="false" customHeight="false" outlineLevel="0" collapsed="false">
      <c r="A791" s="36" t="n">
        <v>711</v>
      </c>
      <c r="B791" s="37" t="n">
        <f aca="false">1+IF($G$6=$E$6,$F$6,IF(P791&lt;($F$6-$E$6)/($G$6-$E$6),$E$6+SQRT(P791*($G$6-$E$6)*($F$6-$E$6)),$G$6-SQRT((1-P791)*($G$6-$E$6)*($G$6-$F$6))))</f>
        <v>0.983416058044485</v>
      </c>
      <c r="C791" s="37" t="n">
        <f aca="false">1+IF($G$7=$E$7,$F$7,IF(Q791&lt;($F$7-$E$7)/($G$7-$E$7),$E$7+SQRT(Q791*($G$7-$E$7)*($F$7-$E$7)),$G$7-SQRT((1-Q791)*($G$7-$E$7)*($G$7-$F$7))))</f>
        <v>0.944537670429068</v>
      </c>
      <c r="D791" s="37" t="n">
        <f aca="false">1+IF($G$8=$E$8,$F$8,IF(R791&lt;($F$8-$E$8)/($G$8-$E$8),$E$8+SQRT(R791*($G$8-$E$8)*($F$8-$E$8)),$G$8-SQRT((1-R791)*($G$8-$E$8)*($G$8-$F$8))))</f>
        <v>0.993719392902981</v>
      </c>
      <c r="E791" s="37" t="n">
        <f aca="false">1+IF($G$9=$E$9,$F$9,IF(S791&lt;($F$9-$E$9)/($G$9-$E$9),$E$9+SQRT(S791*($G$9-$E$9)*($F$9-$E$9)),$G$9-SQRT((1-S791)*($G$9-$E$9)*($G$9-$F$9))))</f>
        <v>0.9583128876223</v>
      </c>
      <c r="F791" s="37" t="n">
        <f aca="false">1+IF($G$10=$E$10,$F$10,IF(T791&lt;($F$10-$E$10)/($G$10-$E$10),$E$10+SQRT(T791*($G$10-$E$10)*($F$10-$E$10)),$G$10-SQRT((1-T791)*($G$10-$E$10)*($G$10-$F$10))))</f>
        <v>0.993300863804339</v>
      </c>
      <c r="G791" s="38" t="n">
        <f aca="false">IF($G$11=$E$11,$F$11,IF(U791&lt;($F$11-$E$11)/($G$11-$E$11),$E$11+SQRT(U791*($G$11-$E$11)*($F$11-$E$11)),$G$11-SQRT((1-U791)*($G$11-$E$11)*($G$11-$F$11))))</f>
        <v>0.0966493849817118</v>
      </c>
      <c r="H791" s="39" t="n">
        <f aca="false">(('Business Case'!B11*$C791*'Business Case'!B12*$B791)-'Business Case'!B11*$C791*'Business Case'!B13*$D791-'Business Case'!B14*$E791)-MAX(0,(('Business Case'!B11*$C791*'Business Case'!B12*$B791)-'Business Case'!B11*$C791*'Business Case'!B13*$D791-'Business Case'!B14*$E791))*'Business Case'!$B$7-'Business Case'!$B$8*('Business Case'!B11*$C791*'Business Case'!B12*$B791)-'Business Case'!B15*$F791</f>
        <v>-1986601727.60868</v>
      </c>
      <c r="I791" s="39" t="n">
        <f aca="false">(('Business Case'!C11*$C791*'Business Case'!C12*$B791)-'Business Case'!C11*$C791*'Business Case'!C13*$D791-'Business Case'!C14*$E791)-MAX(0,(('Business Case'!C11*$C791*'Business Case'!C12*$B791)-'Business Case'!C11*$C791*'Business Case'!C13*$D791-'Business Case'!C14*$E791))*'Business Case'!$B$7-'Business Case'!$B$8*(('Business Case'!C11*$C791*'Business Case'!C12*$B791)-('Business Case'!B11*$C791*'Business Case'!B12*$B791))-'Business Case'!C15*$F791</f>
        <v>-3431572.82608168</v>
      </c>
      <c r="J791" s="39" t="n">
        <f aca="false">(('Business Case'!D11*$C791*'Business Case'!D12*$B791)-'Business Case'!D11*$C791*'Business Case'!D13*$D791-'Business Case'!D14*$E791)-MAX(0,(('Business Case'!D11*$C791*'Business Case'!D12*$B791)-'Business Case'!D11*$C791*'Business Case'!D13*$D791-'Business Case'!D14*$E791))*'Business Case'!$B$7-'Business Case'!$B$8*(('Business Case'!D11*$C791*'Business Case'!D12*$B791)-('Business Case'!C11*$C791*'Business Case'!C12*$B791))-'Business Case'!D15*$F791</f>
        <v>276891836.237606</v>
      </c>
      <c r="K791" s="39" t="n">
        <f aca="false">(('Business Case'!E11*$C791*'Business Case'!E12*$B791)-'Business Case'!E11*$C791*'Business Case'!E13*$D791-'Business Case'!E14*$E791)-MAX(0,(('Business Case'!E11*$C791*'Business Case'!E12*$B791)-'Business Case'!E11*$C791*'Business Case'!E13*$D791-'Business Case'!E14*$E791))*'Business Case'!$B$7-'Business Case'!$B$8*(('Business Case'!E11*$C791*'Business Case'!E12*$B791)-('Business Case'!D11*$C791*'Business Case'!D12*$B791))-'Business Case'!E15*$F791</f>
        <v>606880288.491512</v>
      </c>
      <c r="L791" s="39" t="n">
        <f aca="false">(('Business Case'!F11*$C791*'Business Case'!F12*$B791)-'Business Case'!F11*$C791*'Business Case'!F13*$D791-'Business Case'!F14*$E791)-MAX(0,(('Business Case'!F11*$C791*'Business Case'!F12*$B791)-'Business Case'!F11*$C791*'Business Case'!F13*$D791-'Business Case'!F14*$E791))*'Business Case'!$B$7-'Business Case'!$B$8*(('Business Case'!F11*$C791*'Business Case'!F12*$B791)-('Business Case'!E11*$C791*'Business Case'!E12*$B791))-'Business Case'!F15*$F791</f>
        <v>732423293.439038</v>
      </c>
      <c r="M791" s="39" t="n">
        <f aca="false">(('Business Case'!G11*$C791*'Business Case'!G12*$B791)-'Business Case'!G11*$C791*'Business Case'!G13*$D791-'Business Case'!G14*$E791)-MAX(0,(('Business Case'!G11*$C791*'Business Case'!G12*$B791)-'Business Case'!G11*$C791*'Business Case'!G13*$D791-'Business Case'!G14*$E791))*'Business Case'!$B$7-'Business Case'!$B$8*(('Business Case'!G11*$C791*'Business Case'!G12*$B791)-('Business Case'!F11*$C791*'Business Case'!F12*$B791))-'Business Case'!G15*$F791+'Business Case'!$B$8*('Business Case'!G11*$C791*'Business Case'!G12*$B791)</f>
        <v>908983570.700337</v>
      </c>
      <c r="N791" s="39" t="n">
        <f aca="false">IF(COUNT('Business Case'!B11:G11)=0,"",H791+NPV(G791,I791:M791))</f>
        <v>-219864798.811282</v>
      </c>
      <c r="P791" s="40" t="n">
        <f aca="true">RAND()</f>
        <v>0.418916293531406</v>
      </c>
      <c r="Q791" s="40" t="n">
        <f aca="true">RAND()</f>
        <v>0.298444831043742</v>
      </c>
      <c r="R791" s="40" t="n">
        <f aca="true">RAND()</f>
        <v>0.294059279354655</v>
      </c>
      <c r="S791" s="40" t="n">
        <f aca="true">RAND()</f>
        <v>0.00921388008279731</v>
      </c>
      <c r="T791" s="40" t="n">
        <f aca="true">RAND()</f>
        <v>0.14999718449615</v>
      </c>
      <c r="U791" s="40" t="n">
        <f aca="true">RAND()</f>
        <v>0.147381068783383</v>
      </c>
    </row>
    <row r="792" customFormat="false" ht="15" hidden="false" customHeight="false" outlineLevel="0" collapsed="false">
      <c r="A792" s="36" t="n">
        <v>712</v>
      </c>
      <c r="B792" s="37" t="n">
        <f aca="false">1+IF($G$6=$E$6,$F$6,IF(P792&lt;($F$6-$E$6)/($G$6-$E$6),$E$6+SQRT(P792*($G$6-$E$6)*($F$6-$E$6)),$G$6-SQRT((1-P792)*($G$6-$E$6)*($G$6-$F$6))))</f>
        <v>1.01117746208057</v>
      </c>
      <c r="C792" s="37" t="n">
        <f aca="false">1+IF($G$7=$E$7,$F$7,IF(Q792&lt;($F$7-$E$7)/($G$7-$E$7),$E$7+SQRT(Q792*($G$7-$E$7)*($F$7-$E$7)),$G$7-SQRT((1-Q792)*($G$7-$E$7)*($G$7-$F$7))))</f>
        <v>1.01186838843422</v>
      </c>
      <c r="D792" s="37" t="n">
        <f aca="false">1+IF($G$8=$E$8,$F$8,IF(R792&lt;($F$8-$E$8)/($G$8-$E$8),$E$8+SQRT(R792*($G$8-$E$8)*($F$8-$E$8)),$G$8-SQRT((1-R792)*($G$8-$E$8)*($G$8-$F$8))))</f>
        <v>0.989343246769138</v>
      </c>
      <c r="E792" s="37" t="n">
        <f aca="false">1+IF($G$9=$E$9,$F$9,IF(S792&lt;($F$9-$E$9)/($G$9-$E$9),$E$9+SQRT(S792*($G$9-$E$9)*($F$9-$E$9)),$G$9-SQRT((1-S792)*($G$9-$E$9)*($G$9-$F$9))))</f>
        <v>0.990170475196988</v>
      </c>
      <c r="F792" s="37" t="n">
        <f aca="false">1+IF($G$10=$E$10,$F$10,IF(T792&lt;($F$10-$E$10)/($G$10-$E$10),$E$10+SQRT(T792*($G$10-$E$10)*($F$10-$E$10)),$G$10-SQRT((1-T792)*($G$10-$E$10)*($G$10-$F$10))))</f>
        <v>1.03351388679857</v>
      </c>
      <c r="G792" s="38" t="n">
        <f aca="false">IF($G$11=$E$11,$F$11,IF(U792&lt;($F$11-$E$11)/($G$11-$E$11),$E$11+SQRT(U792*($G$11-$E$11)*($F$11-$E$11)),$G$11-SQRT((1-U792)*($G$11-$E$11)*($G$11-$F$11))))</f>
        <v>0.116631910357053</v>
      </c>
      <c r="H792" s="39" t="n">
        <f aca="false">(('Business Case'!B11*$C792*'Business Case'!B12*$B792)-'Business Case'!B11*$C792*'Business Case'!B13*$D792-'Business Case'!B14*$E792)-MAX(0,(('Business Case'!B11*$C792*'Business Case'!B12*$B792)-'Business Case'!B11*$C792*'Business Case'!B13*$D792-'Business Case'!B14*$E792))*'Business Case'!$B$7-'Business Case'!$B$8*('Business Case'!B11*$C792*'Business Case'!B12*$B792)-'Business Case'!B15*$F792</f>
        <v>-2067027773.59714</v>
      </c>
      <c r="I792" s="39" t="n">
        <f aca="false">(('Business Case'!C11*$C792*'Business Case'!C12*$B792)-'Business Case'!C11*$C792*'Business Case'!C13*$D792-'Business Case'!C14*$E792)-MAX(0,(('Business Case'!C11*$C792*'Business Case'!C12*$B792)-'Business Case'!C11*$C792*'Business Case'!C13*$D792-'Business Case'!C14*$E792))*'Business Case'!$B$7-'Business Case'!$B$8*(('Business Case'!C11*$C792*'Business Case'!C12*$B792)-('Business Case'!B11*$C792*'Business Case'!B12*$B792))-'Business Case'!C15*$F792</f>
        <v>28386150.1198235</v>
      </c>
      <c r="J792" s="39" t="n">
        <f aca="false">(('Business Case'!D11*$C792*'Business Case'!D12*$B792)-'Business Case'!D11*$C792*'Business Case'!D13*$D792-'Business Case'!D14*$E792)-MAX(0,(('Business Case'!D11*$C792*'Business Case'!D12*$B792)-'Business Case'!D11*$C792*'Business Case'!D13*$D792-'Business Case'!D14*$E792))*'Business Case'!$B$7-'Business Case'!$B$8*(('Business Case'!D11*$C792*'Business Case'!D12*$B792)-('Business Case'!C11*$C792*'Business Case'!C12*$B792))-'Business Case'!D15*$F792</f>
        <v>353967504.397856</v>
      </c>
      <c r="K792" s="39" t="n">
        <f aca="false">(('Business Case'!E11*$C792*'Business Case'!E12*$B792)-'Business Case'!E11*$C792*'Business Case'!E13*$D792-'Business Case'!E14*$E792)-MAX(0,(('Business Case'!E11*$C792*'Business Case'!E12*$B792)-'Business Case'!E11*$C792*'Business Case'!E13*$D792-'Business Case'!E14*$E792))*'Business Case'!$B$7-'Business Case'!$B$8*(('Business Case'!E11*$C792*'Business Case'!E12*$B792)-('Business Case'!D11*$C792*'Business Case'!D12*$B792))-'Business Case'!E15*$F792</f>
        <v>731224553.015817</v>
      </c>
      <c r="L792" s="39" t="n">
        <f aca="false">(('Business Case'!F11*$C792*'Business Case'!F12*$B792)-'Business Case'!F11*$C792*'Business Case'!F13*$D792-'Business Case'!F14*$E792)-MAX(0,(('Business Case'!F11*$C792*'Business Case'!F12*$B792)-'Business Case'!F11*$C792*'Business Case'!F13*$D792-'Business Case'!F14*$E792))*'Business Case'!$B$7-'Business Case'!$B$8*(('Business Case'!F11*$C792*'Business Case'!F12*$B792)-('Business Case'!E11*$C792*'Business Case'!E12*$B792))-'Business Case'!F15*$F792</f>
        <v>875112720.378722</v>
      </c>
      <c r="M792" s="39" t="n">
        <f aca="false">(('Business Case'!G11*$C792*'Business Case'!G12*$B792)-'Business Case'!G11*$C792*'Business Case'!G13*$D792-'Business Case'!G14*$E792)-MAX(0,(('Business Case'!G11*$C792*'Business Case'!G12*$B792)-'Business Case'!G11*$C792*'Business Case'!G13*$D792-'Business Case'!G14*$E792))*'Business Case'!$B$7-'Business Case'!$B$8*(('Business Case'!G11*$C792*'Business Case'!G12*$B792)-('Business Case'!F11*$C792*'Business Case'!F12*$B792))-'Business Case'!G15*$F792+'Business Case'!$B$8*('Business Case'!G11*$C792*'Business Case'!G12*$B792)</f>
        <v>1069598491.36497</v>
      </c>
      <c r="N792" s="39" t="n">
        <f aca="false">IF(COUNT('Business Case'!B11:G11)=0,"",H792+NPV(G792,I792:M792))</f>
        <v>-53507937.4738588</v>
      </c>
      <c r="P792" s="40" t="n">
        <f aca="true">RAND()</f>
        <v>0.826929439142308</v>
      </c>
      <c r="Q792" s="40" t="n">
        <f aca="true">RAND()</f>
        <v>0.636564912118874</v>
      </c>
      <c r="R792" s="40" t="n">
        <f aca="true">RAND()</f>
        <v>0.238137087128819</v>
      </c>
      <c r="S792" s="40" t="n">
        <f aca="true">RAND()</f>
        <v>0.215155610340239</v>
      </c>
      <c r="T792" s="40" t="n">
        <f aca="true">RAND()</f>
        <v>0.445647482221611</v>
      </c>
      <c r="U792" s="40" t="n">
        <f aca="true">RAND()</f>
        <v>0.981093286928456</v>
      </c>
    </row>
    <row r="793" customFormat="false" ht="15" hidden="false" customHeight="false" outlineLevel="0" collapsed="false">
      <c r="A793" s="36" t="n">
        <v>713</v>
      </c>
      <c r="B793" s="37" t="n">
        <f aca="false">1+IF($G$6=$E$6,$F$6,IF(P793&lt;($F$6-$E$6)/($G$6-$E$6),$E$6+SQRT(P793*($G$6-$E$6)*($F$6-$E$6)),$G$6-SQRT((1-P793)*($G$6-$E$6)*($G$6-$F$6))))</f>
        <v>1.00010634258872</v>
      </c>
      <c r="C793" s="37" t="n">
        <f aca="false">1+IF($G$7=$E$7,$F$7,IF(Q793&lt;($F$7-$E$7)/($G$7-$E$7),$E$7+SQRT(Q793*($G$7-$E$7)*($F$7-$E$7)),$G$7-SQRT((1-Q793)*($G$7-$E$7)*($G$7-$F$7))))</f>
        <v>1.12675446133083</v>
      </c>
      <c r="D793" s="37" t="n">
        <f aca="false">1+IF($G$8=$E$8,$F$8,IF(R793&lt;($F$8-$E$8)/($G$8-$E$8),$E$8+SQRT(R793*($G$8-$E$8)*($F$8-$E$8)),$G$8-SQRT((1-R793)*($G$8-$E$8)*($G$8-$F$8))))</f>
        <v>1.01258743678183</v>
      </c>
      <c r="E793" s="37" t="n">
        <f aca="false">1+IF($G$9=$E$9,$F$9,IF(S793&lt;($F$9-$E$9)/($G$9-$E$9),$E$9+SQRT(S793*($G$9-$E$9)*($F$9-$E$9)),$G$9-SQRT((1-S793)*($G$9-$E$9)*($G$9-$F$9))))</f>
        <v>0.970361570614911</v>
      </c>
      <c r="F793" s="37" t="n">
        <f aca="false">1+IF($G$10=$E$10,$F$10,IF(T793&lt;($F$10-$E$10)/($G$10-$E$10),$E$10+SQRT(T793*($G$10-$E$10)*($F$10-$E$10)),$G$10-SQRT((1-T793)*($G$10-$E$10)*($G$10-$F$10))))</f>
        <v>1.07809041393514</v>
      </c>
      <c r="G793" s="38" t="n">
        <f aca="false">IF($G$11=$E$11,$F$11,IF(U793&lt;($F$11-$E$11)/($G$11-$E$11),$E$11+SQRT(U793*($G$11-$E$11)*($F$11-$E$11)),$G$11-SQRT((1-U793)*($G$11-$E$11)*($G$11-$F$11))))</f>
        <v>0.104759573032813</v>
      </c>
      <c r="H793" s="39" t="n">
        <f aca="false">(('Business Case'!B11*$C793*'Business Case'!B12*$B793)-'Business Case'!B11*$C793*'Business Case'!B13*$D793-'Business Case'!B14*$E793)-MAX(0,(('Business Case'!B11*$C793*'Business Case'!B12*$B793)-'Business Case'!B11*$C793*'Business Case'!B13*$D793-'Business Case'!B14*$E793))*'Business Case'!$B$7-'Business Case'!$B$8*('Business Case'!B11*$C793*'Business Case'!B12*$B793)-'Business Case'!B15*$F793</f>
        <v>-2156180827.87028</v>
      </c>
      <c r="I793" s="39" t="n">
        <f aca="false">(('Business Case'!C11*$C793*'Business Case'!C12*$B793)-'Business Case'!C11*$C793*'Business Case'!C13*$D793-'Business Case'!C14*$E793)-MAX(0,(('Business Case'!C11*$C793*'Business Case'!C12*$B793)-'Business Case'!C11*$C793*'Business Case'!C13*$D793-'Business Case'!C14*$E793))*'Business Case'!$B$7-'Business Case'!$B$8*(('Business Case'!C11*$C793*'Business Case'!C12*$B793)-('Business Case'!B11*$C793*'Business Case'!B12*$B793))-'Business Case'!C15*$F793</f>
        <v>34710873.5126291</v>
      </c>
      <c r="J793" s="39" t="n">
        <f aca="false">(('Business Case'!D11*$C793*'Business Case'!D12*$B793)-'Business Case'!D11*$C793*'Business Case'!D13*$D793-'Business Case'!D14*$E793)-MAX(0,(('Business Case'!D11*$C793*'Business Case'!D12*$B793)-'Business Case'!D11*$C793*'Business Case'!D13*$D793-'Business Case'!D14*$E793))*'Business Case'!$B$7-'Business Case'!$B$8*(('Business Case'!D11*$C793*'Business Case'!D12*$B793)-('Business Case'!C11*$C793*'Business Case'!C12*$B793))-'Business Case'!D15*$F793</f>
        <v>373633366.607371</v>
      </c>
      <c r="K793" s="39" t="n">
        <f aca="false">(('Business Case'!E11*$C793*'Business Case'!E12*$B793)-'Business Case'!E11*$C793*'Business Case'!E13*$D793-'Business Case'!E14*$E793)-MAX(0,(('Business Case'!E11*$C793*'Business Case'!E12*$B793)-'Business Case'!E11*$C793*'Business Case'!E13*$D793-'Business Case'!E14*$E793))*'Business Case'!$B$7-'Business Case'!$B$8*(('Business Case'!E11*$C793*'Business Case'!E12*$B793)-('Business Case'!D11*$C793*'Business Case'!D12*$B793))-'Business Case'!E15*$F793</f>
        <v>766460380.398871</v>
      </c>
      <c r="L793" s="39" t="n">
        <f aca="false">(('Business Case'!F11*$C793*'Business Case'!F12*$B793)-'Business Case'!F11*$C793*'Business Case'!F13*$D793-'Business Case'!F14*$E793)-MAX(0,(('Business Case'!F11*$C793*'Business Case'!F12*$B793)-'Business Case'!F11*$C793*'Business Case'!F13*$D793-'Business Case'!F14*$E793))*'Business Case'!$B$7-'Business Case'!$B$8*(('Business Case'!F11*$C793*'Business Case'!F12*$B793)-('Business Case'!E11*$C793*'Business Case'!E12*$B793))-'Business Case'!F15*$F793</f>
        <v>918379319.995224</v>
      </c>
      <c r="M793" s="39" t="n">
        <f aca="false">(('Business Case'!G11*$C793*'Business Case'!G12*$B793)-'Business Case'!G11*$C793*'Business Case'!G13*$D793-'Business Case'!G14*$E793)-MAX(0,(('Business Case'!G11*$C793*'Business Case'!G12*$B793)-'Business Case'!G11*$C793*'Business Case'!G13*$D793-'Business Case'!G14*$E793))*'Business Case'!$B$7-'Business Case'!$B$8*(('Business Case'!G11*$C793*'Business Case'!G12*$B793)-('Business Case'!F11*$C793*'Business Case'!F12*$B793))-'Business Case'!G15*$F793+'Business Case'!$B$8*('Business Case'!G11*$C793*'Business Case'!G12*$B793)</f>
        <v>1132575583.76814</v>
      </c>
      <c r="N793" s="39" t="n">
        <f aca="false">IF(COUNT('Business Case'!B11:G11)=0,"",H793+NPV(G793,I793:M793))</f>
        <v>54560921.2885065</v>
      </c>
      <c r="P793" s="40" t="n">
        <f aca="true">RAND()</f>
        <v>0.668436687156625</v>
      </c>
      <c r="Q793" s="40" t="n">
        <f aca="true">RAND()</f>
        <v>0.989707522513911</v>
      </c>
      <c r="R793" s="40" t="n">
        <f aca="true">RAND()</f>
        <v>0.563033300034283</v>
      </c>
      <c r="S793" s="40" t="n">
        <f aca="true">RAND()</f>
        <v>0.0552791410541323</v>
      </c>
      <c r="T793" s="40" t="n">
        <f aca="true">RAND()</f>
        <v>0.702761056509888</v>
      </c>
      <c r="U793" s="40" t="n">
        <f aca="true">RAND()</f>
        <v>0.61288230976307</v>
      </c>
    </row>
    <row r="794" customFormat="false" ht="15" hidden="false" customHeight="false" outlineLevel="0" collapsed="false">
      <c r="A794" s="36" t="n">
        <v>714</v>
      </c>
      <c r="B794" s="37" t="n">
        <f aca="false">1+IF($G$6=$E$6,$F$6,IF(P794&lt;($F$6-$E$6)/($G$6-$E$6),$E$6+SQRT(P794*($G$6-$E$6)*($F$6-$E$6)),$G$6-SQRT((1-P794)*($G$6-$E$6)*($G$6-$F$6))))</f>
        <v>0.983259571231312</v>
      </c>
      <c r="C794" s="37" t="n">
        <f aca="false">1+IF($G$7=$E$7,$F$7,IF(Q794&lt;($F$7-$E$7)/($G$7-$E$7),$E$7+SQRT(Q794*($G$7-$E$7)*($F$7-$E$7)),$G$7-SQRT((1-Q794)*($G$7-$E$7)*($G$7-$F$7))))</f>
        <v>1.03643967152286</v>
      </c>
      <c r="D794" s="37" t="n">
        <f aca="false">1+IF($G$8=$E$8,$F$8,IF(R794&lt;($F$8-$E$8)/($G$8-$E$8),$E$8+SQRT(R794*($G$8-$E$8)*($F$8-$E$8)),$G$8-SQRT((1-R794)*($G$8-$E$8)*($G$8-$F$8))))</f>
        <v>1.06728657405264</v>
      </c>
      <c r="E794" s="37" t="n">
        <f aca="false">1+IF($G$9=$E$9,$F$9,IF(S794&lt;($F$9-$E$9)/($G$9-$E$9),$E$9+SQRT(S794*($G$9-$E$9)*($F$9-$E$9)),$G$9-SQRT((1-S794)*($G$9-$E$9)*($G$9-$F$9))))</f>
        <v>1.04865543832666</v>
      </c>
      <c r="F794" s="37" t="n">
        <f aca="false">1+IF($G$10=$E$10,$F$10,IF(T794&lt;($F$10-$E$10)/($G$10-$E$10),$E$10+SQRT(T794*($G$10-$E$10)*($F$10-$E$10)),$G$10-SQRT((1-T794)*($G$10-$E$10)*($G$10-$F$10))))</f>
        <v>0.968496450183408</v>
      </c>
      <c r="G794" s="38" t="n">
        <f aca="false">IF($G$11=$E$11,$F$11,IF(U794&lt;($F$11-$E$11)/($G$11-$E$11),$E$11+SQRT(U794*($G$11-$E$11)*($F$11-$E$11)),$G$11-SQRT((1-U794)*($G$11-$E$11)*($G$11-$F$11))))</f>
        <v>0.105467333156829</v>
      </c>
      <c r="H794" s="39" t="n">
        <f aca="false">(('Business Case'!B11*$C794*'Business Case'!B12*$B794)-'Business Case'!B11*$C794*'Business Case'!B13*$D794-'Business Case'!B14*$E794)-MAX(0,(('Business Case'!B11*$C794*'Business Case'!B12*$B794)-'Business Case'!B11*$C794*'Business Case'!B13*$D794-'Business Case'!B14*$E794))*'Business Case'!$B$7-'Business Case'!$B$8*('Business Case'!B11*$C794*'Business Case'!B12*$B794)-'Business Case'!B15*$F794</f>
        <v>-1936992900.36682</v>
      </c>
      <c r="I794" s="39" t="n">
        <f aca="false">(('Business Case'!C11*$C794*'Business Case'!C12*$B794)-'Business Case'!C11*$C794*'Business Case'!C13*$D794-'Business Case'!C14*$E794)-MAX(0,(('Business Case'!C11*$C794*'Business Case'!C12*$B794)-'Business Case'!C11*$C794*'Business Case'!C13*$D794-'Business Case'!C14*$E794))*'Business Case'!$B$7-'Business Case'!$B$8*(('Business Case'!C11*$C794*'Business Case'!C12*$B794)-('Business Case'!B11*$C794*'Business Case'!B12*$B794))-'Business Case'!C15*$F794</f>
        <v>-30365299.1357404</v>
      </c>
      <c r="J794" s="39" t="n">
        <f aca="false">(('Business Case'!D11*$C794*'Business Case'!D12*$B794)-'Business Case'!D11*$C794*'Business Case'!D13*$D794-'Business Case'!D14*$E794)-MAX(0,(('Business Case'!D11*$C794*'Business Case'!D12*$B794)-'Business Case'!D11*$C794*'Business Case'!D13*$D794-'Business Case'!D14*$E794))*'Business Case'!$B$7-'Business Case'!$B$8*(('Business Case'!D11*$C794*'Business Case'!D12*$B794)-('Business Case'!C11*$C794*'Business Case'!C12*$B794))-'Business Case'!D15*$F794</f>
        <v>238067435.606078</v>
      </c>
      <c r="K794" s="39" t="n">
        <f aca="false">(('Business Case'!E11*$C794*'Business Case'!E12*$B794)-'Business Case'!E11*$C794*'Business Case'!E13*$D794-'Business Case'!E14*$E794)-MAX(0,(('Business Case'!E11*$C794*'Business Case'!E12*$B794)-'Business Case'!E11*$C794*'Business Case'!E13*$D794-'Business Case'!E14*$E794))*'Business Case'!$B$7-'Business Case'!$B$8*(('Business Case'!E11*$C794*'Business Case'!E12*$B794)-('Business Case'!D11*$C794*'Business Case'!D12*$B794))-'Business Case'!E15*$F794</f>
        <v>554924992.857068</v>
      </c>
      <c r="L794" s="39" t="n">
        <f aca="false">(('Business Case'!F11*$C794*'Business Case'!F12*$B794)-'Business Case'!F11*$C794*'Business Case'!F13*$D794-'Business Case'!F14*$E794)-MAX(0,(('Business Case'!F11*$C794*'Business Case'!F12*$B794)-'Business Case'!F11*$C794*'Business Case'!F13*$D794-'Business Case'!F14*$E794))*'Business Case'!$B$7-'Business Case'!$B$8*(('Business Case'!F11*$C794*'Business Case'!F12*$B794)-('Business Case'!E11*$C794*'Business Case'!E12*$B794))-'Business Case'!F15*$F794</f>
        <v>679622294.790453</v>
      </c>
      <c r="M794" s="39" t="n">
        <f aca="false">(('Business Case'!G11*$C794*'Business Case'!G12*$B794)-'Business Case'!G11*$C794*'Business Case'!G13*$D794-'Business Case'!G14*$E794)-MAX(0,(('Business Case'!G11*$C794*'Business Case'!G12*$B794)-'Business Case'!G11*$C794*'Business Case'!G13*$D794-'Business Case'!G14*$E794))*'Business Case'!$B$7-'Business Case'!$B$8*(('Business Case'!G11*$C794*'Business Case'!G12*$B794)-('Business Case'!F11*$C794*'Business Case'!F12*$B794))-'Business Case'!G15*$F794+'Business Case'!$B$8*('Business Case'!G11*$C794*'Business Case'!G12*$B794)</f>
        <v>873330775.064066</v>
      </c>
      <c r="N794" s="39" t="n">
        <f aca="false">IF(COUNT('Business Case'!B11:G11)=0,"",H794+NPV(G794,I794:M794))</f>
        <v>-374816484.663025</v>
      </c>
      <c r="P794" s="40" t="n">
        <f aca="true">RAND()</f>
        <v>0.41685139087182</v>
      </c>
      <c r="Q794" s="40" t="n">
        <f aca="true">RAND()</f>
        <v>0.754362891355521</v>
      </c>
      <c r="R794" s="40" t="n">
        <f aca="true">RAND()</f>
        <v>0.98445853852703</v>
      </c>
      <c r="S794" s="40" t="n">
        <f aca="true">RAND()</f>
        <v>0.824249065771505</v>
      </c>
      <c r="T794" s="40" t="n">
        <f aca="true">RAND()</f>
        <v>0.0273694935509826</v>
      </c>
      <c r="U794" s="40" t="n">
        <f aca="true">RAND()</f>
        <v>0.648002657375658</v>
      </c>
    </row>
    <row r="795" customFormat="false" ht="15" hidden="false" customHeight="false" outlineLevel="0" collapsed="false">
      <c r="A795" s="36" t="n">
        <v>715</v>
      </c>
      <c r="B795" s="37" t="n">
        <f aca="false">1+IF($G$6=$E$6,$F$6,IF(P795&lt;($F$6-$E$6)/($G$6-$E$6),$E$6+SQRT(P795*($G$6-$E$6)*($F$6-$E$6)),$G$6-SQRT((1-P795)*($G$6-$E$6)*($G$6-$F$6))))</f>
        <v>1.03235456715073</v>
      </c>
      <c r="C795" s="37" t="n">
        <f aca="false">1+IF($G$7=$E$7,$F$7,IF(Q795&lt;($F$7-$E$7)/($G$7-$E$7),$E$7+SQRT(Q795*($G$7-$E$7)*($F$7-$E$7)),$G$7-SQRT((1-Q795)*($G$7-$E$7)*($G$7-$F$7))))</f>
        <v>1.06980455332172</v>
      </c>
      <c r="D795" s="37" t="n">
        <f aca="false">1+IF($G$8=$E$8,$F$8,IF(R795&lt;($F$8-$E$8)/($G$8-$E$8),$E$8+SQRT(R795*($G$8-$E$8)*($F$8-$E$8)),$G$8-SQRT((1-R795)*($G$8-$E$8)*($G$8-$F$8))))</f>
        <v>1.00731663572785</v>
      </c>
      <c r="E795" s="37" t="n">
        <f aca="false">1+IF($G$9=$E$9,$F$9,IF(S795&lt;($F$9-$E$9)/($G$9-$E$9),$E$9+SQRT(S795*($G$9-$E$9)*($F$9-$E$9)),$G$9-SQRT((1-S795)*($G$9-$E$9)*($G$9-$F$9))))</f>
        <v>1.0165358944553</v>
      </c>
      <c r="F795" s="37" t="n">
        <f aca="false">1+IF($G$10=$E$10,$F$10,IF(T795&lt;($F$10-$E$10)/($G$10-$E$10),$E$10+SQRT(T795*($G$10-$E$10)*($F$10-$E$10)),$G$10-SQRT((1-T795)*($G$10-$E$10)*($G$10-$F$10))))</f>
        <v>1.10696123251148</v>
      </c>
      <c r="G795" s="38" t="n">
        <f aca="false">IF($G$11=$E$11,$F$11,IF(U795&lt;($F$11-$E$11)/($G$11-$E$11),$E$11+SQRT(U795*($G$11-$E$11)*($F$11-$E$11)),$G$11-SQRT((1-U795)*($G$11-$E$11)*($G$11-$F$11))))</f>
        <v>0.0992502954515203</v>
      </c>
      <c r="H795" s="39" t="n">
        <f aca="false">(('Business Case'!B11*$C795*'Business Case'!B12*$B795)-'Business Case'!B11*$C795*'Business Case'!B13*$D795-'Business Case'!B14*$E795)-MAX(0,(('Business Case'!B11*$C795*'Business Case'!B12*$B795)-'Business Case'!B11*$C795*'Business Case'!B13*$D795-'Business Case'!B14*$E795))*'Business Case'!$B$7-'Business Case'!$B$8*('Business Case'!B11*$C795*'Business Case'!B12*$B795)-'Business Case'!B15*$F795</f>
        <v>-2213922465.02295</v>
      </c>
      <c r="I795" s="39" t="n">
        <f aca="false">(('Business Case'!C11*$C795*'Business Case'!C12*$B795)-'Business Case'!C11*$C795*'Business Case'!C13*$D795-'Business Case'!C14*$E795)-MAX(0,(('Business Case'!C11*$C795*'Business Case'!C12*$B795)-'Business Case'!C11*$C795*'Business Case'!C13*$D795-'Business Case'!C14*$E795))*'Business Case'!$B$7-'Business Case'!$B$8*(('Business Case'!C11*$C795*'Business Case'!C12*$B795)-('Business Case'!B11*$C795*'Business Case'!B12*$B795))-'Business Case'!C15*$F795</f>
        <v>40435675.063706</v>
      </c>
      <c r="J795" s="39" t="n">
        <f aca="false">(('Business Case'!D11*$C795*'Business Case'!D12*$B795)-'Business Case'!D11*$C795*'Business Case'!D13*$D795-'Business Case'!D14*$E795)-MAX(0,(('Business Case'!D11*$C795*'Business Case'!D12*$B795)-'Business Case'!D11*$C795*'Business Case'!D13*$D795-'Business Case'!D14*$E795))*'Business Case'!$B$7-'Business Case'!$B$8*(('Business Case'!D11*$C795*'Business Case'!D12*$B795)-('Business Case'!C11*$C795*'Business Case'!C12*$B795))-'Business Case'!D15*$F795</f>
        <v>393371886.813627</v>
      </c>
      <c r="K795" s="39" t="n">
        <f aca="false">(('Business Case'!E11*$C795*'Business Case'!E12*$B795)-'Business Case'!E11*$C795*'Business Case'!E13*$D795-'Business Case'!E14*$E795)-MAX(0,(('Business Case'!E11*$C795*'Business Case'!E12*$B795)-'Business Case'!E11*$C795*'Business Case'!E13*$D795-'Business Case'!E14*$E795))*'Business Case'!$B$7-'Business Case'!$B$8*(('Business Case'!E11*$C795*'Business Case'!E12*$B795)-('Business Case'!D11*$C795*'Business Case'!D12*$B795))-'Business Case'!E15*$F795</f>
        <v>801656160.189121</v>
      </c>
      <c r="L795" s="39" t="n">
        <f aca="false">(('Business Case'!F11*$C795*'Business Case'!F12*$B795)-'Business Case'!F11*$C795*'Business Case'!F13*$D795-'Business Case'!F14*$E795)-MAX(0,(('Business Case'!F11*$C795*'Business Case'!F12*$B795)-'Business Case'!F11*$C795*'Business Case'!F13*$D795-'Business Case'!F14*$E795))*'Business Case'!$B$7-'Business Case'!$B$8*(('Business Case'!F11*$C795*'Business Case'!F12*$B795)-('Business Case'!E11*$C795*'Business Case'!E12*$B795))-'Business Case'!F15*$F795</f>
        <v>957470236.934777</v>
      </c>
      <c r="M795" s="39" t="n">
        <f aca="false">(('Business Case'!G11*$C795*'Business Case'!G12*$B795)-'Business Case'!G11*$C795*'Business Case'!G13*$D795-'Business Case'!G14*$E795)-MAX(0,(('Business Case'!G11*$C795*'Business Case'!G12*$B795)-'Business Case'!G11*$C795*'Business Case'!G13*$D795-'Business Case'!G14*$E795))*'Business Case'!$B$7-'Business Case'!$B$8*(('Business Case'!G11*$C795*'Business Case'!G12*$B795)-('Business Case'!F11*$C795*'Business Case'!F12*$B795))-'Business Case'!G15*$F795+'Business Case'!$B$8*('Business Case'!G11*$C795*'Business Case'!G12*$B795)</f>
        <v>1167397937.49437</v>
      </c>
      <c r="N795" s="39" t="n">
        <f aca="false">IF(COUNT('Business Case'!B11:G11)=0,"",H795+NPV(G795,I795:M795))</f>
        <v>135024357.817067</v>
      </c>
      <c r="P795" s="40" t="n">
        <f aca="true">RAND()</f>
        <v>0.987822365947363</v>
      </c>
      <c r="Q795" s="40" t="n">
        <f aca="true">RAND()</f>
        <v>0.877498863468024</v>
      </c>
      <c r="R795" s="40" t="n">
        <f aca="true">RAND()</f>
        <v>0.492031592123226</v>
      </c>
      <c r="S795" s="40" t="n">
        <f aca="true">RAND()</f>
        <v>0.535582872374836</v>
      </c>
      <c r="T795" s="40" t="n">
        <f aca="true">RAND()</f>
        <v>0.826875754884324</v>
      </c>
      <c r="U795" s="40" t="n">
        <f aca="true">RAND()</f>
        <v>0.285226553134722</v>
      </c>
    </row>
    <row r="796" customFormat="false" ht="15" hidden="false" customHeight="false" outlineLevel="0" collapsed="false">
      <c r="A796" s="36" t="n">
        <v>716</v>
      </c>
      <c r="B796" s="37" t="n">
        <f aca="false">1+IF($G$6=$E$6,$F$6,IF(P796&lt;($F$6-$E$6)/($G$6-$E$6),$E$6+SQRT(P796*($G$6-$E$6)*($F$6-$E$6)),$G$6-SQRT((1-P796)*($G$6-$E$6)*($G$6-$F$6))))</f>
        <v>0.97570356312335</v>
      </c>
      <c r="C796" s="37" t="n">
        <f aca="false">1+IF($G$7=$E$7,$F$7,IF(Q796&lt;($F$7-$E$7)/($G$7-$E$7),$E$7+SQRT(Q796*($G$7-$E$7)*($F$7-$E$7)),$G$7-SQRT((1-Q796)*($G$7-$E$7)*($G$7-$F$7))))</f>
        <v>0.873169904667102</v>
      </c>
      <c r="D796" s="37" t="n">
        <f aca="false">1+IF($G$8=$E$8,$F$8,IF(R796&lt;($F$8-$E$8)/($G$8-$E$8),$E$8+SQRT(R796*($G$8-$E$8)*($F$8-$E$8)),$G$8-SQRT((1-R796)*($G$8-$E$8)*($G$8-$F$8))))</f>
        <v>0.980735473488892</v>
      </c>
      <c r="E796" s="37" t="n">
        <f aca="false">1+IF($G$9=$E$9,$F$9,IF(S796&lt;($F$9-$E$9)/($G$9-$E$9),$E$9+SQRT(S796*($G$9-$E$9)*($F$9-$E$9)),$G$9-SQRT((1-S796)*($G$9-$E$9)*($G$9-$F$9))))</f>
        <v>1.00853355230088</v>
      </c>
      <c r="F796" s="37" t="n">
        <f aca="false">1+IF($G$10=$E$10,$F$10,IF(T796&lt;($F$10-$E$10)/($G$10-$E$10),$E$10+SQRT(T796*($G$10-$E$10)*($F$10-$E$10)),$G$10-SQRT((1-T796)*($G$10-$E$10)*($G$10-$F$10))))</f>
        <v>1.07340144567666</v>
      </c>
      <c r="G796" s="38" t="n">
        <f aca="false">IF($G$11=$E$11,$F$11,IF(U796&lt;($F$11-$E$11)/($G$11-$E$11),$E$11+SQRT(U796*($G$11-$E$11)*($F$11-$E$11)),$G$11-SQRT((1-U796)*($G$11-$E$11)*($G$11-$F$11))))</f>
        <v>0.10078407978802</v>
      </c>
      <c r="H796" s="39" t="n">
        <f aca="false">(('Business Case'!B11*$C796*'Business Case'!B12*$B796)-'Business Case'!B11*$C796*'Business Case'!B13*$D796-'Business Case'!B14*$E796)-MAX(0,(('Business Case'!B11*$C796*'Business Case'!B12*$B796)-'Business Case'!B11*$C796*'Business Case'!B13*$D796-'Business Case'!B14*$E796))*'Business Case'!$B$7-'Business Case'!$B$8*('Business Case'!B11*$C796*'Business Case'!B12*$B796)-'Business Case'!B15*$F796</f>
        <v>-2146802891.35331</v>
      </c>
      <c r="I796" s="39" t="n">
        <f aca="false">(('Business Case'!C11*$C796*'Business Case'!C12*$B796)-'Business Case'!C11*$C796*'Business Case'!C13*$D796-'Business Case'!C14*$E796)-MAX(0,(('Business Case'!C11*$C796*'Business Case'!C12*$B796)-'Business Case'!C11*$C796*'Business Case'!C13*$D796-'Business Case'!C14*$E796))*'Business Case'!$B$7-'Business Case'!$B$8*(('Business Case'!C11*$C796*'Business Case'!C12*$B796)-('Business Case'!B11*$C796*'Business Case'!B12*$B796))-'Business Case'!C15*$F796</f>
        <v>-35488513.416327</v>
      </c>
      <c r="J796" s="39" t="n">
        <f aca="false">(('Business Case'!D11*$C796*'Business Case'!D12*$B796)-'Business Case'!D11*$C796*'Business Case'!D13*$D796-'Business Case'!D14*$E796)-MAX(0,(('Business Case'!D11*$C796*'Business Case'!D12*$B796)-'Business Case'!D11*$C796*'Business Case'!D13*$D796-'Business Case'!D14*$E796))*'Business Case'!$B$7-'Business Case'!$B$8*(('Business Case'!D11*$C796*'Business Case'!D12*$B796)-('Business Case'!C11*$C796*'Business Case'!C12*$B796))-'Business Case'!D15*$F796</f>
        <v>223941935.408426</v>
      </c>
      <c r="K796" s="39" t="n">
        <f aca="false">(('Business Case'!E11*$C796*'Business Case'!E12*$B796)-'Business Case'!E11*$C796*'Business Case'!E13*$D796-'Business Case'!E14*$E796)-MAX(0,(('Business Case'!E11*$C796*'Business Case'!E12*$B796)-'Business Case'!E11*$C796*'Business Case'!E13*$D796-'Business Case'!E14*$E796))*'Business Case'!$B$7-'Business Case'!$B$8*(('Business Case'!E11*$C796*'Business Case'!E12*$B796)-('Business Case'!D11*$C796*'Business Case'!D12*$B796))-'Business Case'!E15*$F796</f>
        <v>537042456.517012</v>
      </c>
      <c r="L796" s="39" t="n">
        <f aca="false">(('Business Case'!F11*$C796*'Business Case'!F12*$B796)-'Business Case'!F11*$C796*'Business Case'!F13*$D796-'Business Case'!F14*$E796)-MAX(0,(('Business Case'!F11*$C796*'Business Case'!F12*$B796)-'Business Case'!F11*$C796*'Business Case'!F13*$D796-'Business Case'!F14*$E796))*'Business Case'!$B$7-'Business Case'!$B$8*(('Business Case'!F11*$C796*'Business Case'!F12*$B796)-('Business Case'!E11*$C796*'Business Case'!E12*$B796))-'Business Case'!F15*$F796</f>
        <v>652962837.149415</v>
      </c>
      <c r="M796" s="39" t="n">
        <f aca="false">(('Business Case'!G11*$C796*'Business Case'!G12*$B796)-'Business Case'!G11*$C796*'Business Case'!G13*$D796-'Business Case'!G14*$E796)-MAX(0,(('Business Case'!G11*$C796*'Business Case'!G12*$B796)-'Business Case'!G11*$C796*'Business Case'!G13*$D796-'Business Case'!G14*$E796))*'Business Case'!$B$7-'Business Case'!$B$8*(('Business Case'!G11*$C796*'Business Case'!G12*$B796)-('Business Case'!F11*$C796*'Business Case'!F12*$B796))-'Business Case'!G15*$F796+'Business Case'!$B$8*('Business Case'!G11*$C796*'Business Case'!G12*$B796)</f>
        <v>814902441.115586</v>
      </c>
      <c r="N796" s="39" t="n">
        <f aca="false">IF(COUNT('Business Case'!B11:G11)=0,"",H796+NPV(G796,I796:M796))</f>
        <v>-642699537.858254</v>
      </c>
      <c r="P796" s="40" t="n">
        <f aca="true">RAND()</f>
        <v>0.323217390066353</v>
      </c>
      <c r="Q796" s="40" t="n">
        <f aca="true">RAND()</f>
        <v>0.0764833564141831</v>
      </c>
      <c r="R796" s="40" t="n">
        <f aca="true">RAND()</f>
        <v>0.145333743167134</v>
      </c>
      <c r="S796" s="40" t="n">
        <f aca="true">RAND()</f>
        <v>0.442259263020311</v>
      </c>
      <c r="T796" s="40" t="n">
        <f aca="true">RAND()</f>
        <v>0.679456120864788</v>
      </c>
      <c r="U796" s="40" t="n">
        <f aca="true">RAND()</f>
        <v>0.384580684011388</v>
      </c>
    </row>
    <row r="797" customFormat="false" ht="15" hidden="false" customHeight="false" outlineLevel="0" collapsed="false">
      <c r="A797" s="36" t="n">
        <v>717</v>
      </c>
      <c r="B797" s="37" t="n">
        <f aca="false">1+IF($G$6=$E$6,$F$6,IF(P797&lt;($F$6-$E$6)/($G$6-$E$6),$E$6+SQRT(P797*($G$6-$E$6)*($F$6-$E$6)),$G$6-SQRT((1-P797)*($G$6-$E$6)*($G$6-$F$6))))</f>
        <v>0.962209734809727</v>
      </c>
      <c r="C797" s="37" t="n">
        <f aca="false">1+IF($G$7=$E$7,$F$7,IF(Q797&lt;($F$7-$E$7)/($G$7-$E$7),$E$7+SQRT(Q797*($G$7-$E$7)*($F$7-$E$7)),$G$7-SQRT((1-Q797)*($G$7-$E$7)*($G$7-$F$7))))</f>
        <v>0.981532766199891</v>
      </c>
      <c r="D797" s="37" t="n">
        <f aca="false">1+IF($G$8=$E$8,$F$8,IF(R797&lt;($F$8-$E$8)/($G$8-$E$8),$E$8+SQRT(R797*($G$8-$E$8)*($F$8-$E$8)),$G$8-SQRT((1-R797)*($G$8-$E$8)*($G$8-$F$8))))</f>
        <v>1.03288592206555</v>
      </c>
      <c r="E797" s="37" t="n">
        <f aca="false">1+IF($G$9=$E$9,$F$9,IF(S797&lt;($F$9-$E$9)/($G$9-$E$9),$E$9+SQRT(S797*($G$9-$E$9)*($F$9-$E$9)),$G$9-SQRT((1-S797)*($G$9-$E$9)*($G$9-$F$9))))</f>
        <v>1.06085794068539</v>
      </c>
      <c r="F797" s="37" t="n">
        <f aca="false">1+IF($G$10=$E$10,$F$10,IF(T797&lt;($F$10-$E$10)/($G$10-$E$10),$E$10+SQRT(T797*($G$10-$E$10)*($F$10-$E$10)),$G$10-SQRT((1-T797)*($G$10-$E$10)*($G$10-$F$10))))</f>
        <v>1.11797892202453</v>
      </c>
      <c r="G797" s="38" t="n">
        <f aca="false">IF($G$11=$E$11,$F$11,IF(U797&lt;($F$11-$E$11)/($G$11-$E$11),$E$11+SQRT(U797*($G$11-$E$11)*($F$11-$E$11)),$G$11-SQRT((1-U797)*($G$11-$E$11)*($G$11-$F$11))))</f>
        <v>0.109059783133094</v>
      </c>
      <c r="H797" s="39" t="n">
        <f aca="false">(('Business Case'!B11*$C797*'Business Case'!B12*$B797)-'Business Case'!B11*$C797*'Business Case'!B13*$D797-'Business Case'!B14*$E797)-MAX(0,(('Business Case'!B11*$C797*'Business Case'!B12*$B797)-'Business Case'!B11*$C797*'Business Case'!B13*$D797-'Business Case'!B14*$E797))*'Business Case'!$B$7-'Business Case'!$B$8*('Business Case'!B11*$C797*'Business Case'!B12*$B797)-'Business Case'!B15*$F797</f>
        <v>-2235957844.04906</v>
      </c>
      <c r="I797" s="39" t="n">
        <f aca="false">(('Business Case'!C11*$C797*'Business Case'!C12*$B797)-'Business Case'!C11*$C797*'Business Case'!C13*$D797-'Business Case'!C14*$E797)-MAX(0,(('Business Case'!C11*$C797*'Business Case'!C12*$B797)-'Business Case'!C11*$C797*'Business Case'!C13*$D797-'Business Case'!C14*$E797))*'Business Case'!$B$7-'Business Case'!$B$8*(('Business Case'!C11*$C797*'Business Case'!C12*$B797)-('Business Case'!B11*$C797*'Business Case'!B12*$B797))-'Business Case'!C15*$F797</f>
        <v>-57037327.4214258</v>
      </c>
      <c r="J797" s="39" t="n">
        <f aca="false">(('Business Case'!D11*$C797*'Business Case'!D12*$B797)-'Business Case'!D11*$C797*'Business Case'!D13*$D797-'Business Case'!D14*$E797)-MAX(0,(('Business Case'!D11*$C797*'Business Case'!D12*$B797)-'Business Case'!D11*$C797*'Business Case'!D13*$D797-'Business Case'!D14*$E797))*'Business Case'!$B$7-'Business Case'!$B$8*(('Business Case'!D11*$C797*'Business Case'!D12*$B797)-('Business Case'!C11*$C797*'Business Case'!C12*$B797))-'Business Case'!D15*$F797</f>
        <v>197537025.962794</v>
      </c>
      <c r="K797" s="39" t="n">
        <f aca="false">(('Business Case'!E11*$C797*'Business Case'!E12*$B797)-'Business Case'!E11*$C797*'Business Case'!E13*$D797-'Business Case'!E14*$E797)-MAX(0,(('Business Case'!E11*$C797*'Business Case'!E12*$B797)-'Business Case'!E11*$C797*'Business Case'!E13*$D797-'Business Case'!E14*$E797))*'Business Case'!$B$7-'Business Case'!$B$8*(('Business Case'!E11*$C797*'Business Case'!E12*$B797)-('Business Case'!D11*$C797*'Business Case'!D12*$B797))-'Business Case'!E15*$F797</f>
        <v>508010325.44824</v>
      </c>
      <c r="L797" s="39" t="n">
        <f aca="false">(('Business Case'!F11*$C797*'Business Case'!F12*$B797)-'Business Case'!F11*$C797*'Business Case'!F13*$D797-'Business Case'!F14*$E797)-MAX(0,(('Business Case'!F11*$C797*'Business Case'!F12*$B797)-'Business Case'!F11*$C797*'Business Case'!F13*$D797-'Business Case'!F14*$E797))*'Business Case'!$B$7-'Business Case'!$B$8*(('Business Case'!F11*$C797*'Business Case'!F12*$B797)-('Business Case'!E11*$C797*'Business Case'!E12*$B797))-'Business Case'!F15*$F797</f>
        <v>625508302.868133</v>
      </c>
      <c r="M797" s="39" t="n">
        <f aca="false">(('Business Case'!G11*$C797*'Business Case'!G12*$B797)-'Business Case'!G11*$C797*'Business Case'!G13*$D797-'Business Case'!G14*$E797)-MAX(0,(('Business Case'!G11*$C797*'Business Case'!G12*$B797)-'Business Case'!G11*$C797*'Business Case'!G13*$D797-'Business Case'!G14*$E797))*'Business Case'!$B$7-'Business Case'!$B$8*(('Business Case'!G11*$C797*'Business Case'!G12*$B797)-('Business Case'!F11*$C797*'Business Case'!F12*$B797))-'Business Case'!G15*$F797+'Business Case'!$B$8*('Business Case'!G11*$C797*'Business Case'!G12*$B797)</f>
        <v>805027530.806475</v>
      </c>
      <c r="N797" s="39" t="n">
        <f aca="false">IF(COUNT('Business Case'!B11:G11)=0,"",H797+NPV(G797,I797:M797))</f>
        <v>-861176791.961168</v>
      </c>
      <c r="P797" s="40" t="n">
        <f aca="true">RAND()</f>
        <v>0.185589761740364</v>
      </c>
      <c r="Q797" s="40" t="n">
        <f aca="true">RAND()</f>
        <v>0.470773502916918</v>
      </c>
      <c r="R797" s="40" t="n">
        <f aca="true">RAND()</f>
        <v>0.786563813498722</v>
      </c>
      <c r="S797" s="40" t="n">
        <f aca="true">RAND()</f>
        <v>0.897859946174123</v>
      </c>
      <c r="T797" s="40" t="n">
        <f aca="true">RAND()</f>
        <v>0.865450855354833</v>
      </c>
      <c r="U797" s="40" t="n">
        <f aca="true">RAND()</f>
        <v>0.800519424841784</v>
      </c>
    </row>
    <row r="798" customFormat="false" ht="15" hidden="false" customHeight="false" outlineLevel="0" collapsed="false">
      <c r="A798" s="36" t="n">
        <v>718</v>
      </c>
      <c r="B798" s="37" t="n">
        <f aca="false">1+IF($G$6=$E$6,$F$6,IF(P798&lt;($F$6-$E$6)/($G$6-$E$6),$E$6+SQRT(P798*($G$6-$E$6)*($F$6-$E$6)),$G$6-SQRT((1-P798)*($G$6-$E$6)*($G$6-$F$6))))</f>
        <v>0.967284600890853</v>
      </c>
      <c r="C798" s="37" t="n">
        <f aca="false">1+IF($G$7=$E$7,$F$7,IF(Q798&lt;($F$7-$E$7)/($G$7-$E$7),$E$7+SQRT(Q798*($G$7-$E$7)*($F$7-$E$7)),$G$7-SQRT((1-Q798)*($G$7-$E$7)*($G$7-$F$7))))</f>
        <v>1.07321303173095</v>
      </c>
      <c r="D798" s="37" t="n">
        <f aca="false">1+IF($G$8=$E$8,$F$8,IF(R798&lt;($F$8-$E$8)/($G$8-$E$8),$E$8+SQRT(R798*($G$8-$E$8)*($F$8-$E$8)),$G$8-SQRT((1-R798)*($G$8-$E$8)*($G$8-$F$8))))</f>
        <v>0.99572039602532</v>
      </c>
      <c r="E798" s="37" t="n">
        <f aca="false">1+IF($G$9=$E$9,$F$9,IF(S798&lt;($F$9-$E$9)/($G$9-$E$9),$E$9+SQRT(S798*($G$9-$E$9)*($F$9-$E$9)),$G$9-SQRT((1-S798)*($G$9-$E$9)*($G$9-$F$9))))</f>
        <v>1.05776095749998</v>
      </c>
      <c r="F798" s="37" t="n">
        <f aca="false">1+IF($G$10=$E$10,$F$10,IF(T798&lt;($F$10-$E$10)/($G$10-$E$10),$E$10+SQRT(T798*($G$10-$E$10)*($F$10-$E$10)),$G$10-SQRT((1-T798)*($G$10-$E$10)*($G$10-$F$10))))</f>
        <v>0.974796151431145</v>
      </c>
      <c r="G798" s="38" t="n">
        <f aca="false">IF($G$11=$E$11,$F$11,IF(U798&lt;($F$11-$E$11)/($G$11-$E$11),$E$11+SQRT(U798*($G$11-$E$11)*($F$11-$E$11)),$G$11-SQRT((1-U798)*($G$11-$E$11)*($G$11-$F$11))))</f>
        <v>0.103950205967639</v>
      </c>
      <c r="H798" s="39" t="n">
        <f aca="false">(('Business Case'!B11*$C798*'Business Case'!B12*$B798)-'Business Case'!B11*$C798*'Business Case'!B13*$D798-'Business Case'!B14*$E798)-MAX(0,(('Business Case'!B11*$C798*'Business Case'!B12*$B798)-'Business Case'!B11*$C798*'Business Case'!B13*$D798-'Business Case'!B14*$E798))*'Business Case'!$B$7-'Business Case'!$B$8*('Business Case'!B11*$C798*'Business Case'!B12*$B798)-'Business Case'!B15*$F798</f>
        <v>-1949592302.86229</v>
      </c>
      <c r="I798" s="39" t="n">
        <f aca="false">(('Business Case'!C11*$C798*'Business Case'!C12*$B798)-'Business Case'!C11*$C798*'Business Case'!C13*$D798-'Business Case'!C14*$E798)-MAX(0,(('Business Case'!C11*$C798*'Business Case'!C12*$B798)-'Business Case'!C11*$C798*'Business Case'!C13*$D798-'Business Case'!C14*$E798))*'Business Case'!$B$7-'Business Case'!$B$8*(('Business Case'!C11*$C798*'Business Case'!C12*$B798)-('Business Case'!B11*$C798*'Business Case'!B12*$B798))-'Business Case'!C15*$F798</f>
        <v>1524183.09333582</v>
      </c>
      <c r="J798" s="39" t="n">
        <f aca="false">(('Business Case'!D11*$C798*'Business Case'!D12*$B798)-'Business Case'!D11*$C798*'Business Case'!D13*$D798-'Business Case'!D14*$E798)-MAX(0,(('Business Case'!D11*$C798*'Business Case'!D12*$B798)-'Business Case'!D11*$C798*'Business Case'!D13*$D798-'Business Case'!D14*$E798))*'Business Case'!$B$7-'Business Case'!$B$8*(('Business Case'!D11*$C798*'Business Case'!D12*$B798)-('Business Case'!C11*$C798*'Business Case'!C12*$B798))-'Business Case'!D15*$F798</f>
        <v>304756819.927606</v>
      </c>
      <c r="K798" s="39" t="n">
        <f aca="false">(('Business Case'!E11*$C798*'Business Case'!E12*$B798)-'Business Case'!E11*$C798*'Business Case'!E13*$D798-'Business Case'!E14*$E798)-MAX(0,(('Business Case'!E11*$C798*'Business Case'!E12*$B798)-'Business Case'!E11*$C798*'Business Case'!E13*$D798-'Business Case'!E14*$E798))*'Business Case'!$B$7-'Business Case'!$B$8*(('Business Case'!E11*$C798*'Business Case'!E12*$B798)-('Business Case'!D11*$C798*'Business Case'!D12*$B798))-'Business Case'!E15*$F798</f>
        <v>656729264.333434</v>
      </c>
      <c r="L798" s="39" t="n">
        <f aca="false">(('Business Case'!F11*$C798*'Business Case'!F12*$B798)-'Business Case'!F11*$C798*'Business Case'!F13*$D798-'Business Case'!F14*$E798)-MAX(0,(('Business Case'!F11*$C798*'Business Case'!F12*$B798)-'Business Case'!F11*$C798*'Business Case'!F13*$D798-'Business Case'!F14*$E798))*'Business Case'!$B$7-'Business Case'!$B$8*(('Business Case'!F11*$C798*'Business Case'!F12*$B798)-('Business Case'!E11*$C798*'Business Case'!E12*$B798))-'Business Case'!F15*$F798</f>
        <v>793683630.239073</v>
      </c>
      <c r="M798" s="39" t="n">
        <f aca="false">(('Business Case'!G11*$C798*'Business Case'!G12*$B798)-'Business Case'!G11*$C798*'Business Case'!G13*$D798-'Business Case'!G14*$E798)-MAX(0,(('Business Case'!G11*$C798*'Business Case'!G12*$B798)-'Business Case'!G11*$C798*'Business Case'!G13*$D798-'Business Case'!G14*$E798))*'Business Case'!$B$7-'Business Case'!$B$8*(('Business Case'!G11*$C798*'Business Case'!G12*$B798)-('Business Case'!F11*$C798*'Business Case'!F12*$B798))-'Business Case'!G15*$F798+'Business Case'!$B$8*('Business Case'!G11*$C798*'Business Case'!G12*$B798)</f>
        <v>991006141.857258</v>
      </c>
      <c r="N798" s="39" t="n">
        <f aca="false">IF(COUNT('Business Case'!B11:G11)=0,"",H798+NPV(G798,I798:M798))</f>
        <v>-71227692.0086739</v>
      </c>
      <c r="P798" s="40" t="n">
        <f aca="true">RAND()</f>
        <v>0.23289932097992</v>
      </c>
      <c r="Q798" s="40" t="n">
        <f aca="true">RAND()</f>
        <v>0.887690695315201</v>
      </c>
      <c r="R798" s="40" t="n">
        <f aca="true">RAND()</f>
        <v>0.321593017340322</v>
      </c>
      <c r="S798" s="40" t="n">
        <f aca="true">RAND()</f>
        <v>0.88105755257875</v>
      </c>
      <c r="T798" s="40" t="n">
        <f aca="true">RAND()</f>
        <v>0.0491879300637016</v>
      </c>
      <c r="U798" s="40" t="n">
        <f aca="true">RAND()</f>
        <v>0.570673519197991</v>
      </c>
    </row>
    <row r="799" customFormat="false" ht="15" hidden="false" customHeight="false" outlineLevel="0" collapsed="false">
      <c r="A799" s="36" t="n">
        <v>719</v>
      </c>
      <c r="B799" s="37" t="n">
        <f aca="false">1+IF($G$6=$E$6,$F$6,IF(P799&lt;($F$6-$E$6)/($G$6-$E$6),$E$6+SQRT(P799*($G$6-$E$6)*($F$6-$E$6)),$G$6-SQRT((1-P799)*($G$6-$E$6)*($G$6-$F$6))))</f>
        <v>0.971554731599356</v>
      </c>
      <c r="C799" s="37" t="n">
        <f aca="false">1+IF($G$7=$E$7,$F$7,IF(Q799&lt;($F$7-$E$7)/($G$7-$E$7),$E$7+SQRT(Q799*($G$7-$E$7)*($F$7-$E$7)),$G$7-SQRT((1-Q799)*($G$7-$E$7)*($G$7-$F$7))))</f>
        <v>0.823587935799066</v>
      </c>
      <c r="D799" s="37" t="n">
        <f aca="false">1+IF($G$8=$E$8,$F$8,IF(R799&lt;($F$8-$E$8)/($G$8-$E$8),$E$8+SQRT(R799*($G$8-$E$8)*($F$8-$E$8)),$G$8-SQRT((1-R799)*($G$8-$E$8)*($G$8-$F$8))))</f>
        <v>1.05186486025439</v>
      </c>
      <c r="E799" s="37" t="n">
        <f aca="false">1+IF($G$9=$E$9,$F$9,IF(S799&lt;($F$9-$E$9)/($G$9-$E$9),$E$9+SQRT(S799*($G$9-$E$9)*($F$9-$E$9)),$G$9-SQRT((1-S799)*($G$9-$E$9)*($G$9-$F$9))))</f>
        <v>1.0418955050648</v>
      </c>
      <c r="F799" s="37" t="n">
        <f aca="false">1+IF($G$10=$E$10,$F$10,IF(T799&lt;($F$10-$E$10)/($G$10-$E$10),$E$10+SQRT(T799*($G$10-$E$10)*($F$10-$E$10)),$G$10-SQRT((1-T799)*($G$10-$E$10)*($G$10-$F$10))))</f>
        <v>1.00150735487427</v>
      </c>
      <c r="G799" s="38" t="n">
        <f aca="false">IF($G$11=$E$11,$F$11,IF(U799&lt;($F$11-$E$11)/($G$11-$E$11),$E$11+SQRT(U799*($G$11-$E$11)*($F$11-$E$11)),$G$11-SQRT((1-U799)*($G$11-$E$11)*($G$11-$F$11))))</f>
        <v>0.103683429988682</v>
      </c>
      <c r="H799" s="39" t="n">
        <f aca="false">(('Business Case'!B11*$C799*'Business Case'!B12*$B799)-'Business Case'!B11*$C799*'Business Case'!B13*$D799-'Business Case'!B14*$E799)-MAX(0,(('Business Case'!B11*$C799*'Business Case'!B12*$B799)-'Business Case'!B11*$C799*'Business Case'!B13*$D799-'Business Case'!B14*$E799))*'Business Case'!$B$7-'Business Case'!$B$8*('Business Case'!B11*$C799*'Business Case'!B12*$B799)-'Business Case'!B15*$F799</f>
        <v>-2003014709.74853</v>
      </c>
      <c r="I799" s="39" t="n">
        <f aca="false">(('Business Case'!C11*$C799*'Business Case'!C12*$B799)-'Business Case'!C11*$C799*'Business Case'!C13*$D799-'Business Case'!C14*$E799)-MAX(0,(('Business Case'!C11*$C799*'Business Case'!C12*$B799)-'Business Case'!C11*$C799*'Business Case'!C13*$D799-'Business Case'!C14*$E799))*'Business Case'!$B$7-'Business Case'!$B$8*(('Business Case'!C11*$C799*'Business Case'!C12*$B799)-('Business Case'!B11*$C799*'Business Case'!B12*$B799))-'Business Case'!C15*$F799</f>
        <v>-77877277.9759211</v>
      </c>
      <c r="J799" s="39" t="n">
        <f aca="false">(('Business Case'!D11*$C799*'Business Case'!D12*$B799)-'Business Case'!D11*$C799*'Business Case'!D13*$D799-'Business Case'!D14*$E799)-MAX(0,(('Business Case'!D11*$C799*'Business Case'!D12*$B799)-'Business Case'!D11*$C799*'Business Case'!D13*$D799-'Business Case'!D14*$E799))*'Business Case'!$B$7-'Business Case'!$B$8*(('Business Case'!D11*$C799*'Business Case'!D12*$B799)-('Business Case'!C11*$C799*'Business Case'!C12*$B799))-'Business Case'!D15*$F799</f>
        <v>134034053.942368</v>
      </c>
      <c r="K799" s="39" t="n">
        <f aca="false">(('Business Case'!E11*$C799*'Business Case'!E12*$B799)-'Business Case'!E11*$C799*'Business Case'!E13*$D799-'Business Case'!E14*$E799)-MAX(0,(('Business Case'!E11*$C799*'Business Case'!E12*$B799)-'Business Case'!E11*$C799*'Business Case'!E13*$D799-'Business Case'!E14*$E799))*'Business Case'!$B$7-'Business Case'!$B$8*(('Business Case'!E11*$C799*'Business Case'!E12*$B799)-('Business Case'!D11*$C799*'Business Case'!D12*$B799))-'Business Case'!E15*$F799</f>
        <v>396020753.604369</v>
      </c>
      <c r="L799" s="39" t="n">
        <f aca="false">(('Business Case'!F11*$C799*'Business Case'!F12*$B799)-'Business Case'!F11*$C799*'Business Case'!F13*$D799-'Business Case'!F14*$E799)-MAX(0,(('Business Case'!F11*$C799*'Business Case'!F12*$B799)-'Business Case'!F11*$C799*'Business Case'!F13*$D799-'Business Case'!F14*$E799))*'Business Case'!$B$7-'Business Case'!$B$8*(('Business Case'!F11*$C799*'Business Case'!F12*$B799)-('Business Case'!E11*$C799*'Business Case'!E12*$B799))-'Business Case'!F15*$F799</f>
        <v>494311419.968178</v>
      </c>
      <c r="M799" s="39" t="n">
        <f aca="false">(('Business Case'!G11*$C799*'Business Case'!G12*$B799)-'Business Case'!G11*$C799*'Business Case'!G13*$D799-'Business Case'!G14*$E799)-MAX(0,(('Business Case'!G11*$C799*'Business Case'!G12*$B799)-'Business Case'!G11*$C799*'Business Case'!G13*$D799-'Business Case'!G14*$E799))*'Business Case'!$B$7-'Business Case'!$B$8*(('Business Case'!G11*$C799*'Business Case'!G12*$B799)-('Business Case'!F11*$C799*'Business Case'!F12*$B799))-'Business Case'!G15*$F799+'Business Case'!$B$8*('Business Case'!G11*$C799*'Business Case'!G12*$B799)</f>
        <v>646405976.45226</v>
      </c>
      <c r="N799" s="39" t="n">
        <f aca="false">IF(COUNT('Business Case'!B11:G11)=0,"",H799+NPV(G799,I799:M799))</f>
        <v>-941124003.569543</v>
      </c>
      <c r="P799" s="40" t="n">
        <f aca="true">RAND()</f>
        <v>0.276863578154337</v>
      </c>
      <c r="Q799" s="40" t="n">
        <f aca="true">RAND()</f>
        <v>0.00794843878944103</v>
      </c>
      <c r="R799" s="40" t="n">
        <f aca="true">RAND()</f>
        <v>0.923885953028369</v>
      </c>
      <c r="S799" s="40" t="n">
        <f aca="true">RAND()</f>
        <v>0.774924511221723</v>
      </c>
      <c r="T799" s="40" t="n">
        <f aca="true">RAND()</f>
        <v>0.212013396619794</v>
      </c>
      <c r="U799" s="40" t="n">
        <f aca="true">RAND()</f>
        <v>0.556282571776275</v>
      </c>
    </row>
    <row r="800" customFormat="false" ht="15" hidden="false" customHeight="false" outlineLevel="0" collapsed="false">
      <c r="A800" s="36" t="n">
        <v>720</v>
      </c>
      <c r="B800" s="37" t="n">
        <f aca="false">1+IF($G$6=$E$6,$F$6,IF(P800&lt;($F$6-$E$6)/($G$6-$E$6),$E$6+SQRT(P800*($G$6-$E$6)*($F$6-$E$6)),$G$6-SQRT((1-P800)*($G$6-$E$6)*($G$6-$F$6))))</f>
        <v>0.970739485979263</v>
      </c>
      <c r="C800" s="37" t="n">
        <f aca="false">1+IF($G$7=$E$7,$F$7,IF(Q800&lt;($F$7-$E$7)/($G$7-$E$7),$E$7+SQRT(Q800*($G$7-$E$7)*($F$7-$E$7)),$G$7-SQRT((1-Q800)*($G$7-$E$7)*($G$7-$F$7))))</f>
        <v>1.00026345981799</v>
      </c>
      <c r="D800" s="37" t="n">
        <f aca="false">1+IF($G$8=$E$8,$F$8,IF(R800&lt;($F$8-$E$8)/($G$8-$E$8),$E$8+SQRT(R800*($G$8-$E$8)*($F$8-$E$8)),$G$8-SQRT((1-R800)*($G$8-$E$8)*($G$8-$F$8))))</f>
        <v>0.997832221565513</v>
      </c>
      <c r="E800" s="37" t="n">
        <f aca="false">1+IF($G$9=$E$9,$F$9,IF(S800&lt;($F$9-$E$9)/($G$9-$E$9),$E$9+SQRT(S800*($G$9-$E$9)*($F$9-$E$9)),$G$9-SQRT((1-S800)*($G$9-$E$9)*($G$9-$F$9))))</f>
        <v>1.05374418968434</v>
      </c>
      <c r="F800" s="37" t="n">
        <f aca="false">1+IF($G$10=$E$10,$F$10,IF(T800&lt;($F$10-$E$10)/($G$10-$E$10),$E$10+SQRT(T800*($G$10-$E$10)*($F$10-$E$10)),$G$10-SQRT((1-T800)*($G$10-$E$10)*($G$10-$F$10))))</f>
        <v>0.970644943281935</v>
      </c>
      <c r="G800" s="38" t="n">
        <f aca="false">IF($G$11=$E$11,$F$11,IF(U800&lt;($F$11-$E$11)/($G$11-$E$11),$E$11+SQRT(U800*($G$11-$E$11)*($F$11-$E$11)),$G$11-SQRT((1-U800)*($G$11-$E$11)*($G$11-$F$11))))</f>
        <v>0.112629794660468</v>
      </c>
      <c r="H800" s="39" t="n">
        <f aca="false">(('Business Case'!B11*$C800*'Business Case'!B12*$B800)-'Business Case'!B11*$C800*'Business Case'!B13*$D800-'Business Case'!B14*$E800)-MAX(0,(('Business Case'!B11*$C800*'Business Case'!B12*$B800)-'Business Case'!B11*$C800*'Business Case'!B13*$D800-'Business Case'!B14*$E800))*'Business Case'!$B$7-'Business Case'!$B$8*('Business Case'!B11*$C800*'Business Case'!B12*$B800)-'Business Case'!B15*$F800</f>
        <v>-1941289886.56387</v>
      </c>
      <c r="I800" s="39" t="n">
        <f aca="false">(('Business Case'!C11*$C800*'Business Case'!C12*$B800)-'Business Case'!C11*$C800*'Business Case'!C13*$D800-'Business Case'!C14*$E800)-MAX(0,(('Business Case'!C11*$C800*'Business Case'!C12*$B800)-'Business Case'!C11*$C800*'Business Case'!C13*$D800-'Business Case'!C14*$E800))*'Business Case'!$B$7-'Business Case'!$B$8*(('Business Case'!C11*$C800*'Business Case'!C12*$B800)-('Business Case'!B11*$C800*'Business Case'!B12*$B800))-'Business Case'!C15*$F800</f>
        <v>-12873149.4044343</v>
      </c>
      <c r="J800" s="39" t="n">
        <f aca="false">(('Business Case'!D11*$C800*'Business Case'!D12*$B800)-'Business Case'!D11*$C800*'Business Case'!D13*$D800-'Business Case'!D14*$E800)-MAX(0,(('Business Case'!D11*$C800*'Business Case'!D12*$B800)-'Business Case'!D11*$C800*'Business Case'!D13*$D800-'Business Case'!D14*$E800))*'Business Case'!$B$7-'Business Case'!$B$8*(('Business Case'!D11*$C800*'Business Case'!D12*$B800)-('Business Case'!C11*$C800*'Business Case'!C12*$B800))-'Business Case'!D15*$F800</f>
        <v>271497012.369578</v>
      </c>
      <c r="K800" s="39" t="n">
        <f aca="false">(('Business Case'!E11*$C800*'Business Case'!E12*$B800)-'Business Case'!E11*$C800*'Business Case'!E13*$D800-'Business Case'!E14*$E800)-MAX(0,(('Business Case'!E11*$C800*'Business Case'!E12*$B800)-'Business Case'!E11*$C800*'Business Case'!E13*$D800-'Business Case'!E14*$E800))*'Business Case'!$B$7-'Business Case'!$B$8*(('Business Case'!E11*$C800*'Business Case'!E12*$B800)-('Business Case'!D11*$C800*'Business Case'!D12*$B800))-'Business Case'!E15*$F800</f>
        <v>604399421.307687</v>
      </c>
      <c r="L800" s="39" t="n">
        <f aca="false">(('Business Case'!F11*$C800*'Business Case'!F12*$B800)-'Business Case'!F11*$C800*'Business Case'!F13*$D800-'Business Case'!F14*$E800)-MAX(0,(('Business Case'!F11*$C800*'Business Case'!F12*$B800)-'Business Case'!F11*$C800*'Business Case'!F13*$D800-'Business Case'!F14*$E800))*'Business Case'!$B$7-'Business Case'!$B$8*(('Business Case'!F11*$C800*'Business Case'!F12*$B800)-('Business Case'!E11*$C800*'Business Case'!E12*$B800))-'Business Case'!F15*$F800</f>
        <v>732747070.617118</v>
      </c>
      <c r="M800" s="39" t="n">
        <f aca="false">(('Business Case'!G11*$C800*'Business Case'!G12*$B800)-'Business Case'!G11*$C800*'Business Case'!G13*$D800-'Business Case'!G14*$E800)-MAX(0,(('Business Case'!G11*$C800*'Business Case'!G12*$B800)-'Business Case'!G11*$C800*'Business Case'!G13*$D800-'Business Case'!G14*$E800))*'Business Case'!$B$7-'Business Case'!$B$8*(('Business Case'!G11*$C800*'Business Case'!G12*$B800)-('Business Case'!F11*$C800*'Business Case'!F12*$B800))-'Business Case'!G15*$F800+'Business Case'!$B$8*('Business Case'!G11*$C800*'Business Case'!G12*$B800)</f>
        <v>917313845.233299</v>
      </c>
      <c r="N800" s="39" t="n">
        <f aca="false">IF(COUNT('Business Case'!B11:G11)=0,"",H800+NPV(G800,I800:M800))</f>
        <v>-278627935.620458</v>
      </c>
      <c r="P800" s="40" t="n">
        <f aca="true">RAND()</f>
        <v>0.268176608066646</v>
      </c>
      <c r="Q800" s="40" t="n">
        <f aca="true">RAND()</f>
        <v>0.572932733987071</v>
      </c>
      <c r="R800" s="40" t="n">
        <f aca="true">RAND()</f>
        <v>0.351987910752664</v>
      </c>
      <c r="S800" s="40" t="n">
        <f aca="true">RAND()</f>
        <v>0.857360000802751</v>
      </c>
      <c r="T800" s="40" t="n">
        <f aca="true">RAND()</f>
        <v>0.0340970946491455</v>
      </c>
      <c r="U800" s="40" t="n">
        <f aca="true">RAND()</f>
        <v>0.909466788755216</v>
      </c>
    </row>
    <row r="801" customFormat="false" ht="15" hidden="false" customHeight="false" outlineLevel="0" collapsed="false">
      <c r="A801" s="36" t="n">
        <v>721</v>
      </c>
      <c r="B801" s="37" t="n">
        <f aca="false">1+IF($G$6=$E$6,$F$6,IF(P801&lt;($F$6-$E$6)/($G$6-$E$6),$E$6+SQRT(P801*($G$6-$E$6)*($F$6-$E$6)),$G$6-SQRT((1-P801)*($G$6-$E$6)*($G$6-$F$6))))</f>
        <v>0.989146512933956</v>
      </c>
      <c r="C801" s="37" t="n">
        <f aca="false">1+IF($G$7=$E$7,$F$7,IF(Q801&lt;($F$7-$E$7)/($G$7-$E$7),$E$7+SQRT(Q801*($G$7-$E$7)*($F$7-$E$7)),$G$7-SQRT((1-Q801)*($G$7-$E$7)*($G$7-$F$7))))</f>
        <v>0.997951102806196</v>
      </c>
      <c r="D801" s="37" t="n">
        <f aca="false">1+IF($G$8=$E$8,$F$8,IF(R801&lt;($F$8-$E$8)/($G$8-$E$8),$E$8+SQRT(R801*($G$8-$E$8)*($F$8-$E$8)),$G$8-SQRT((1-R801)*($G$8-$E$8)*($G$8-$F$8))))</f>
        <v>0.990562030421571</v>
      </c>
      <c r="E801" s="37" t="n">
        <f aca="false">1+IF($G$9=$E$9,$F$9,IF(S801&lt;($F$9-$E$9)/($G$9-$E$9),$E$9+SQRT(S801*($G$9-$E$9)*($F$9-$E$9)),$G$9-SQRT((1-S801)*($G$9-$E$9)*($G$9-$F$9))))</f>
        <v>1.05778105658287</v>
      </c>
      <c r="F801" s="37" t="n">
        <f aca="false">1+IF($G$10=$E$10,$F$10,IF(T801&lt;($F$10-$E$10)/($G$10-$E$10),$E$10+SQRT(T801*($G$10-$E$10)*($F$10-$E$10)),$G$10-SQRT((1-T801)*($G$10-$E$10)*($G$10-$F$10))))</f>
        <v>1.11791942745457</v>
      </c>
      <c r="G801" s="38" t="n">
        <f aca="false">IF($G$11=$E$11,$F$11,IF(U801&lt;($F$11-$E$11)/($G$11-$E$11),$E$11+SQRT(U801*($G$11-$E$11)*($F$11-$E$11)),$G$11-SQRT((1-U801)*($G$11-$E$11)*($G$11-$F$11))))</f>
        <v>0.102701297680977</v>
      </c>
      <c r="H801" s="39" t="n">
        <f aca="false">(('Business Case'!B11*$C801*'Business Case'!B12*$B801)-'Business Case'!B11*$C801*'Business Case'!B13*$D801-'Business Case'!B14*$E801)-MAX(0,(('Business Case'!B11*$C801*'Business Case'!B12*$B801)-'Business Case'!B11*$C801*'Business Case'!B13*$D801-'Business Case'!B14*$E801))*'Business Case'!$B$7-'Business Case'!$B$8*('Business Case'!B11*$C801*'Business Case'!B12*$B801)-'Business Case'!B15*$F801</f>
        <v>-2235838854.90915</v>
      </c>
      <c r="I801" s="39" t="n">
        <f aca="false">(('Business Case'!C11*$C801*'Business Case'!C12*$B801)-'Business Case'!C11*$C801*'Business Case'!C13*$D801-'Business Case'!C14*$E801)-MAX(0,(('Business Case'!C11*$C801*'Business Case'!C12*$B801)-'Business Case'!C11*$C801*'Business Case'!C13*$D801-'Business Case'!C14*$E801))*'Business Case'!$B$7-'Business Case'!$B$8*(('Business Case'!C11*$C801*'Business Case'!C12*$B801)-('Business Case'!B11*$C801*'Business Case'!B12*$B801))-'Business Case'!C15*$F801</f>
        <v>-10908011.9917203</v>
      </c>
      <c r="J801" s="39" t="n">
        <f aca="false">(('Business Case'!D11*$C801*'Business Case'!D12*$B801)-'Business Case'!D11*$C801*'Business Case'!D13*$D801-'Business Case'!D14*$E801)-MAX(0,(('Business Case'!D11*$C801*'Business Case'!D12*$B801)-'Business Case'!D11*$C801*'Business Case'!D13*$D801-'Business Case'!D14*$E801))*'Business Case'!$B$7-'Business Case'!$B$8*(('Business Case'!D11*$C801*'Business Case'!D12*$B801)-('Business Case'!C11*$C801*'Business Case'!C12*$B801))-'Business Case'!D15*$F801</f>
        <v>291564678.20936</v>
      </c>
      <c r="K801" s="39" t="n">
        <f aca="false">(('Business Case'!E11*$C801*'Business Case'!E12*$B801)-'Business Case'!E11*$C801*'Business Case'!E13*$D801-'Business Case'!E14*$E801)-MAX(0,(('Business Case'!E11*$C801*'Business Case'!E12*$B801)-'Business Case'!E11*$C801*'Business Case'!E13*$D801-'Business Case'!E14*$E801))*'Business Case'!$B$7-'Business Case'!$B$8*(('Business Case'!E11*$C801*'Business Case'!E12*$B801)-('Business Case'!D11*$C801*'Business Case'!D12*$B801))-'Business Case'!E15*$F801</f>
        <v>649933339.783169</v>
      </c>
      <c r="L801" s="39" t="n">
        <f aca="false">(('Business Case'!F11*$C801*'Business Case'!F12*$B801)-'Business Case'!F11*$C801*'Business Case'!F13*$D801-'Business Case'!F14*$E801)-MAX(0,(('Business Case'!F11*$C801*'Business Case'!F12*$B801)-'Business Case'!F11*$C801*'Business Case'!F13*$D801-'Business Case'!F14*$E801))*'Business Case'!$B$7-'Business Case'!$B$8*(('Business Case'!F11*$C801*'Business Case'!F12*$B801)-('Business Case'!E11*$C801*'Business Case'!E12*$B801))-'Business Case'!F15*$F801</f>
        <v>784872431.984368</v>
      </c>
      <c r="M801" s="39" t="n">
        <f aca="false">(('Business Case'!G11*$C801*'Business Case'!G12*$B801)-'Business Case'!G11*$C801*'Business Case'!G13*$D801-'Business Case'!G14*$E801)-MAX(0,(('Business Case'!G11*$C801*'Business Case'!G12*$B801)-'Business Case'!G11*$C801*'Business Case'!G13*$D801-'Business Case'!G14*$E801))*'Business Case'!$B$7-'Business Case'!$B$8*(('Business Case'!G11*$C801*'Business Case'!G12*$B801)-('Business Case'!F11*$C801*'Business Case'!F12*$B801))-'Business Case'!G15*$F801+'Business Case'!$B$8*('Business Case'!G11*$C801*'Business Case'!G12*$B801)</f>
        <v>972504173.722317</v>
      </c>
      <c r="N801" s="39" t="n">
        <f aca="false">IF(COUNT('Business Case'!B11:G11)=0,"",H801+NPV(G801,I801:M801))</f>
        <v>-393889597.904916</v>
      </c>
      <c r="P801" s="40" t="n">
        <f aca="true">RAND()</f>
        <v>0.49804585947143</v>
      </c>
      <c r="Q801" s="40" t="n">
        <f aca="true">RAND()</f>
        <v>0.559780558602704</v>
      </c>
      <c r="R801" s="40" t="n">
        <f aca="true">RAND()</f>
        <v>0.253119740295457</v>
      </c>
      <c r="S801" s="40" t="n">
        <f aca="true">RAND()</f>
        <v>0.881170721116089</v>
      </c>
      <c r="T801" s="40" t="n">
        <f aca="true">RAND()</f>
        <v>0.865255592212298</v>
      </c>
      <c r="U801" s="40" t="n">
        <f aca="true">RAND()</f>
        <v>0.501258163463032</v>
      </c>
    </row>
    <row r="802" customFormat="false" ht="15" hidden="false" customHeight="false" outlineLevel="0" collapsed="false">
      <c r="A802" s="36" t="n">
        <v>722</v>
      </c>
      <c r="B802" s="37" t="n">
        <f aca="false">1+IF($G$6=$E$6,$F$6,IF(P802&lt;($F$6-$E$6)/($G$6-$E$6),$E$6+SQRT(P802*($G$6-$E$6)*($F$6-$E$6)),$G$6-SQRT((1-P802)*($G$6-$E$6)*($G$6-$F$6))))</f>
        <v>1.00729822656748</v>
      </c>
      <c r="C802" s="37" t="n">
        <f aca="false">1+IF($G$7=$E$7,$F$7,IF(Q802&lt;($F$7-$E$7)/($G$7-$E$7),$E$7+SQRT(Q802*($G$7-$E$7)*($F$7-$E$7)),$G$7-SQRT((1-Q802)*($G$7-$E$7)*($G$7-$F$7))))</f>
        <v>0.978386748915459</v>
      </c>
      <c r="D802" s="37" t="n">
        <f aca="false">1+IF($G$8=$E$8,$F$8,IF(R802&lt;($F$8-$E$8)/($G$8-$E$8),$E$8+SQRT(R802*($G$8-$E$8)*($F$8-$E$8)),$G$8-SQRT((1-R802)*($G$8-$E$8)*($G$8-$F$8))))</f>
        <v>0.99846061989941</v>
      </c>
      <c r="E802" s="37" t="n">
        <f aca="false">1+IF($G$9=$E$9,$F$9,IF(S802&lt;($F$9-$E$9)/($G$9-$E$9),$E$9+SQRT(S802*($G$9-$E$9)*($F$9-$E$9)),$G$9-SQRT((1-S802)*($G$9-$E$9)*($G$9-$F$9))))</f>
        <v>1.0377090556469</v>
      </c>
      <c r="F802" s="37" t="n">
        <f aca="false">1+IF($G$10=$E$10,$F$10,IF(T802&lt;($F$10-$E$10)/($G$10-$E$10),$E$10+SQRT(T802*($G$10-$E$10)*($F$10-$E$10)),$G$10-SQRT((1-T802)*($G$10-$E$10)*($G$10-$F$10))))</f>
        <v>1.00647950018525</v>
      </c>
      <c r="G802" s="38" t="n">
        <f aca="false">IF($G$11=$E$11,$F$11,IF(U802&lt;($F$11-$E$11)/($G$11-$E$11),$E$11+SQRT(U802*($G$11-$E$11)*($F$11-$E$11)),$G$11-SQRT((1-U802)*($G$11-$E$11)*($G$11-$F$11))))</f>
        <v>0.110979681076051</v>
      </c>
      <c r="H802" s="39" t="n">
        <f aca="false">(('Business Case'!B11*$C802*'Business Case'!B12*$B802)-'Business Case'!B11*$C802*'Business Case'!B13*$D802-'Business Case'!B14*$E802)-MAX(0,(('Business Case'!B11*$C802*'Business Case'!B12*$B802)-'Business Case'!B11*$C802*'Business Case'!B13*$D802-'Business Case'!B14*$E802))*'Business Case'!$B$7-'Business Case'!$B$8*('Business Case'!B11*$C802*'Business Case'!B12*$B802)-'Business Case'!B15*$F802</f>
        <v>-2012959000.37051</v>
      </c>
      <c r="I802" s="39" t="n">
        <f aca="false">(('Business Case'!C11*$C802*'Business Case'!C12*$B802)-'Business Case'!C11*$C802*'Business Case'!C13*$D802-'Business Case'!C14*$E802)-MAX(0,(('Business Case'!C11*$C802*'Business Case'!C12*$B802)-'Business Case'!C11*$C802*'Business Case'!C13*$D802-'Business Case'!C14*$E802))*'Business Case'!$B$7-'Business Case'!$B$8*(('Business Case'!C11*$C802*'Business Case'!C12*$B802)-('Business Case'!B11*$C802*'Business Case'!B12*$B802))-'Business Case'!C15*$F802</f>
        <v>7833118.28914279</v>
      </c>
      <c r="J802" s="39" t="n">
        <f aca="false">(('Business Case'!D11*$C802*'Business Case'!D12*$B802)-'Business Case'!D11*$C802*'Business Case'!D13*$D802-'Business Case'!D14*$E802)-MAX(0,(('Business Case'!D11*$C802*'Business Case'!D12*$B802)-'Business Case'!D11*$C802*'Business Case'!D13*$D802-'Business Case'!D14*$E802))*'Business Case'!$B$7-'Business Case'!$B$8*(('Business Case'!D11*$C802*'Business Case'!D12*$B802)-('Business Case'!C11*$C802*'Business Case'!C12*$B802))-'Business Case'!D15*$F802</f>
        <v>314966146.28001</v>
      </c>
      <c r="K802" s="39" t="n">
        <f aca="false">(('Business Case'!E11*$C802*'Business Case'!E12*$B802)-'Business Case'!E11*$C802*'Business Case'!E13*$D802-'Business Case'!E14*$E802)-MAX(0,(('Business Case'!E11*$C802*'Business Case'!E12*$B802)-'Business Case'!E11*$C802*'Business Case'!E13*$D802-'Business Case'!E14*$E802))*'Business Case'!$B$7-'Business Case'!$B$8*(('Business Case'!E11*$C802*'Business Case'!E12*$B802)-('Business Case'!D11*$C802*'Business Case'!D12*$B802))-'Business Case'!E15*$F802</f>
        <v>672423149.280141</v>
      </c>
      <c r="L802" s="39" t="n">
        <f aca="false">(('Business Case'!F11*$C802*'Business Case'!F12*$B802)-'Business Case'!F11*$C802*'Business Case'!F13*$D802-'Business Case'!F14*$E802)-MAX(0,(('Business Case'!F11*$C802*'Business Case'!F12*$B802)-'Business Case'!F11*$C802*'Business Case'!F13*$D802-'Business Case'!F14*$E802))*'Business Case'!$B$7-'Business Case'!$B$8*(('Business Case'!F11*$C802*'Business Case'!F12*$B802)-('Business Case'!E11*$C802*'Business Case'!E12*$B802))-'Business Case'!F15*$F802</f>
        <v>808860646.590569</v>
      </c>
      <c r="M802" s="39" t="n">
        <f aca="false">(('Business Case'!G11*$C802*'Business Case'!G12*$B802)-'Business Case'!G11*$C802*'Business Case'!G13*$D802-'Business Case'!G14*$E802)-MAX(0,(('Business Case'!G11*$C802*'Business Case'!G12*$B802)-'Business Case'!G11*$C802*'Business Case'!G13*$D802-'Business Case'!G14*$E802))*'Business Case'!$B$7-'Business Case'!$B$8*(('Business Case'!G11*$C802*'Business Case'!G12*$B802)-('Business Case'!F11*$C802*'Business Case'!F12*$B802))-'Business Case'!G15*$F802+'Business Case'!$B$8*('Business Case'!G11*$C802*'Business Case'!G12*$B802)</f>
        <v>996189663.814671</v>
      </c>
      <c r="N802" s="39" t="n">
        <f aca="false">IF(COUNT('Business Case'!B11:G11)=0,"",H802+NPV(G802,I802:M802))</f>
        <v>-140822241.6485</v>
      </c>
      <c r="P802" s="40" t="n">
        <f aca="true">RAND()</f>
        <v>0.777207086326654</v>
      </c>
      <c r="Q802" s="40" t="n">
        <f aca="true">RAND()</f>
        <v>0.45459760269467</v>
      </c>
      <c r="R802" s="40" t="n">
        <f aca="true">RAND()</f>
        <v>0.361297181697704</v>
      </c>
      <c r="S802" s="40" t="n">
        <f aca="true">RAND()</f>
        <v>0.741322550106632</v>
      </c>
      <c r="T802" s="40" t="n">
        <f aca="true">RAND()</f>
        <v>0.250996323029015</v>
      </c>
      <c r="U802" s="40" t="n">
        <f aca="true">RAND()</f>
        <v>0.864389744183735</v>
      </c>
    </row>
    <row r="803" customFormat="false" ht="15" hidden="false" customHeight="false" outlineLevel="0" collapsed="false">
      <c r="A803" s="36" t="n">
        <v>723</v>
      </c>
      <c r="B803" s="37" t="n">
        <f aca="false">1+IF($G$6=$E$6,$F$6,IF(P803&lt;($F$6-$E$6)/($G$6-$E$6),$E$6+SQRT(P803*($G$6-$E$6)*($F$6-$E$6)),$G$6-SQRT((1-P803)*($G$6-$E$6)*($G$6-$F$6))))</f>
        <v>1.03514889002074</v>
      </c>
      <c r="C803" s="37" t="n">
        <f aca="false">1+IF($G$7=$E$7,$F$7,IF(Q803&lt;($F$7-$E$7)/($G$7-$E$7),$E$7+SQRT(Q803*($G$7-$E$7)*($F$7-$E$7)),$G$7-SQRT((1-Q803)*($G$7-$E$7)*($G$7-$F$7))))</f>
        <v>0.965624083637029</v>
      </c>
      <c r="D803" s="37" t="n">
        <f aca="false">1+IF($G$8=$E$8,$F$8,IF(R803&lt;($F$8-$E$8)/($G$8-$E$8),$E$8+SQRT(R803*($G$8-$E$8)*($F$8-$E$8)),$G$8-SQRT((1-R803)*($G$8-$E$8)*($G$8-$F$8))))</f>
        <v>1.02054328195373</v>
      </c>
      <c r="E803" s="37" t="n">
        <f aca="false">1+IF($G$9=$E$9,$F$9,IF(S803&lt;($F$9-$E$9)/($G$9-$E$9),$E$9+SQRT(S803*($G$9-$E$9)*($F$9-$E$9)),$G$9-SQRT((1-S803)*($G$9-$E$9)*($G$9-$F$9))))</f>
        <v>0.986308243390875</v>
      </c>
      <c r="F803" s="37" t="n">
        <f aca="false">1+IF($G$10=$E$10,$F$10,IF(T803&lt;($F$10-$E$10)/($G$10-$E$10),$E$10+SQRT(T803*($G$10-$E$10)*($F$10-$E$10)),$G$10-SQRT((1-T803)*($G$10-$E$10)*($G$10-$F$10))))</f>
        <v>1.01763826494798</v>
      </c>
      <c r="G803" s="38" t="n">
        <f aca="false">IF($G$11=$E$11,$F$11,IF(U803&lt;($F$11-$E$11)/($G$11-$E$11),$E$11+SQRT(U803*($G$11-$E$11)*($F$11-$E$11)),$G$11-SQRT((1-U803)*($G$11-$E$11)*($G$11-$F$11))))</f>
        <v>0.0920526615672869</v>
      </c>
      <c r="H803" s="39" t="n">
        <f aca="false">(('Business Case'!B11*$C803*'Business Case'!B12*$B803)-'Business Case'!B11*$C803*'Business Case'!B13*$D803-'Business Case'!B14*$E803)-MAX(0,(('Business Case'!B11*$C803*'Business Case'!B12*$B803)-'Business Case'!B11*$C803*'Business Case'!B13*$D803-'Business Case'!B14*$E803))*'Business Case'!$B$7-'Business Case'!$B$8*('Business Case'!B11*$C803*'Business Case'!B12*$B803)-'Business Case'!B15*$F803</f>
        <v>-2035276529.89596</v>
      </c>
      <c r="I803" s="39" t="n">
        <f aca="false">(('Business Case'!C11*$C803*'Business Case'!C12*$B803)-'Business Case'!C11*$C803*'Business Case'!C13*$D803-'Business Case'!C14*$E803)-MAX(0,(('Business Case'!C11*$C803*'Business Case'!C12*$B803)-'Business Case'!C11*$C803*'Business Case'!C13*$D803-'Business Case'!C14*$E803))*'Business Case'!$B$7-'Business Case'!$B$8*(('Business Case'!C11*$C803*'Business Case'!C12*$B803)-('Business Case'!B11*$C803*'Business Case'!B12*$B803))-'Business Case'!C15*$F803</f>
        <v>20403881.0547687</v>
      </c>
      <c r="J803" s="39" t="n">
        <f aca="false">(('Business Case'!D11*$C803*'Business Case'!D12*$B803)-'Business Case'!D11*$C803*'Business Case'!D13*$D803-'Business Case'!D14*$E803)-MAX(0,(('Business Case'!D11*$C803*'Business Case'!D12*$B803)-'Business Case'!D11*$C803*'Business Case'!D13*$D803-'Business Case'!D14*$E803))*'Business Case'!$B$7-'Business Case'!$B$8*(('Business Case'!D11*$C803*'Business Case'!D12*$B803)-('Business Case'!C11*$C803*'Business Case'!C12*$B803))-'Business Case'!D15*$F803</f>
        <v>334642054.777198</v>
      </c>
      <c r="K803" s="39" t="n">
        <f aca="false">(('Business Case'!E11*$C803*'Business Case'!E12*$B803)-'Business Case'!E11*$C803*'Business Case'!E13*$D803-'Business Case'!E14*$E803)-MAX(0,(('Business Case'!E11*$C803*'Business Case'!E12*$B803)-'Business Case'!E11*$C803*'Business Case'!E13*$D803-'Business Case'!E14*$E803))*'Business Case'!$B$7-'Business Case'!$B$8*(('Business Case'!E11*$C803*'Business Case'!E12*$B803)-('Business Case'!D11*$C803*'Business Case'!D12*$B803))-'Business Case'!E15*$F803</f>
        <v>699762141.747026</v>
      </c>
      <c r="L803" s="39" t="n">
        <f aca="false">(('Business Case'!F11*$C803*'Business Case'!F12*$B803)-'Business Case'!F11*$C803*'Business Case'!F13*$D803-'Business Case'!F14*$E803)-MAX(0,(('Business Case'!F11*$C803*'Business Case'!F12*$B803)-'Business Case'!F11*$C803*'Business Case'!F13*$D803-'Business Case'!F14*$E803))*'Business Case'!$B$7-'Business Case'!$B$8*(('Business Case'!F11*$C803*'Business Case'!F12*$B803)-('Business Case'!E11*$C803*'Business Case'!E12*$B803))-'Business Case'!F15*$F803</f>
        <v>839053155.629622</v>
      </c>
      <c r="M803" s="39" t="n">
        <f aca="false">(('Business Case'!G11*$C803*'Business Case'!G12*$B803)-'Business Case'!G11*$C803*'Business Case'!G13*$D803-'Business Case'!G14*$E803)-MAX(0,(('Business Case'!G11*$C803*'Business Case'!G12*$B803)-'Business Case'!G11*$C803*'Business Case'!G13*$D803-'Business Case'!G14*$E803))*'Business Case'!$B$7-'Business Case'!$B$8*(('Business Case'!G11*$C803*'Business Case'!G12*$B803)-('Business Case'!F11*$C803*'Business Case'!F12*$B803))-'Business Case'!G15*$F803+'Business Case'!$B$8*('Business Case'!G11*$C803*'Business Case'!G12*$B803)</f>
        <v>1029050413.49278</v>
      </c>
      <c r="N803" s="39" t="n">
        <f aca="false">IF(COUNT('Business Case'!B11:G11)=0,"",H803+NPV(G803,I803:M803))</f>
        <v>53814703.9539139</v>
      </c>
      <c r="P803" s="40" t="n">
        <f aca="true">RAND()</f>
        <v>0.995097235826905</v>
      </c>
      <c r="Q803" s="40" t="n">
        <f aca="true">RAND()</f>
        <v>0.391876244008653</v>
      </c>
      <c r="R803" s="40" t="n">
        <f aca="true">RAND()</f>
        <v>0.660086411458318</v>
      </c>
      <c r="S803" s="40" t="n">
        <f aca="true">RAND()</f>
        <v>0.175771805084132</v>
      </c>
      <c r="T803" s="40" t="n">
        <f aca="true">RAND()</f>
        <v>0.334883951776335</v>
      </c>
      <c r="U803" s="40" t="n">
        <f aca="true">RAND()</f>
        <v>0.0140447316993891</v>
      </c>
    </row>
    <row r="804" customFormat="false" ht="15" hidden="false" customHeight="false" outlineLevel="0" collapsed="false">
      <c r="A804" s="36" t="n">
        <v>724</v>
      </c>
      <c r="B804" s="37" t="n">
        <f aca="false">1+IF($G$6=$E$6,$F$6,IF(P804&lt;($F$6-$E$6)/($G$6-$E$6),$E$6+SQRT(P804*($G$6-$E$6)*($F$6-$E$6)),$G$6-SQRT((1-P804)*($G$6-$E$6)*($G$6-$F$6))))</f>
        <v>0.985942068173718</v>
      </c>
      <c r="C804" s="37" t="n">
        <f aca="false">1+IF($G$7=$E$7,$F$7,IF(Q804&lt;($F$7-$E$7)/($G$7-$E$7),$E$7+SQRT(Q804*($G$7-$E$7)*($F$7-$E$7)),$G$7-SQRT((1-Q804)*($G$7-$E$7)*($G$7-$F$7))))</f>
        <v>0.945430645516539</v>
      </c>
      <c r="D804" s="37" t="n">
        <f aca="false">1+IF($G$8=$E$8,$F$8,IF(R804&lt;($F$8-$E$8)/($G$8-$E$8),$E$8+SQRT(R804*($G$8-$E$8)*($F$8-$E$8)),$G$8-SQRT((1-R804)*($G$8-$E$8)*($G$8-$F$8))))</f>
        <v>1.01729643317634</v>
      </c>
      <c r="E804" s="37" t="n">
        <f aca="false">1+IF($G$9=$E$9,$F$9,IF(S804&lt;($F$9-$E$9)/($G$9-$E$9),$E$9+SQRT(S804*($G$9-$E$9)*($F$9-$E$9)),$G$9-SQRT((1-S804)*($G$9-$E$9)*($G$9-$F$9))))</f>
        <v>1.04473441632935</v>
      </c>
      <c r="F804" s="37" t="n">
        <f aca="false">1+IF($G$10=$E$10,$F$10,IF(T804&lt;($F$10-$E$10)/($G$10-$E$10),$E$10+SQRT(T804*($G$10-$E$10)*($F$10-$E$10)),$G$10-SQRT((1-T804)*($G$10-$E$10)*($G$10-$F$10))))</f>
        <v>1.07697968860927</v>
      </c>
      <c r="G804" s="38" t="n">
        <f aca="false">IF($G$11=$E$11,$F$11,IF(U804&lt;($F$11-$E$11)/($G$11-$E$11),$E$11+SQRT(U804*($G$11-$E$11)*($F$11-$E$11)),$G$11-SQRT((1-U804)*($G$11-$E$11)*($G$11-$F$11))))</f>
        <v>0.0978884962990658</v>
      </c>
      <c r="H804" s="39" t="n">
        <f aca="false">(('Business Case'!B11*$C804*'Business Case'!B12*$B804)-'Business Case'!B11*$C804*'Business Case'!B13*$D804-'Business Case'!B14*$E804)-MAX(0,(('Business Case'!B11*$C804*'Business Case'!B12*$B804)-'Business Case'!B11*$C804*'Business Case'!B13*$D804-'Business Case'!B14*$E804))*'Business Case'!$B$7-'Business Case'!$B$8*('Business Case'!B11*$C804*'Business Case'!B12*$B804)-'Business Case'!B15*$F804</f>
        <v>-2153959377.21853</v>
      </c>
      <c r="I804" s="39" t="n">
        <f aca="false">(('Business Case'!C11*$C804*'Business Case'!C12*$B804)-'Business Case'!C11*$C804*'Business Case'!C13*$D804-'Business Case'!C14*$E804)-MAX(0,(('Business Case'!C11*$C804*'Business Case'!C12*$B804)-'Business Case'!C11*$C804*'Business Case'!C13*$D804-'Business Case'!C14*$E804))*'Business Case'!$B$7-'Business Case'!$B$8*(('Business Case'!C11*$C804*'Business Case'!C12*$B804)-('Business Case'!B11*$C804*'Business Case'!B12*$B804))-'Business Case'!C15*$F804</f>
        <v>-33447752.3448211</v>
      </c>
      <c r="J804" s="39" t="n">
        <f aca="false">(('Business Case'!D11*$C804*'Business Case'!D12*$B804)-'Business Case'!D11*$C804*'Business Case'!D13*$D804-'Business Case'!D14*$E804)-MAX(0,(('Business Case'!D11*$C804*'Business Case'!D12*$B804)-'Business Case'!D11*$C804*'Business Case'!D13*$D804-'Business Case'!D14*$E804))*'Business Case'!$B$7-'Business Case'!$B$8*(('Business Case'!D11*$C804*'Business Case'!D12*$B804)-('Business Case'!C11*$C804*'Business Case'!C12*$B804))-'Business Case'!D15*$F804</f>
        <v>237685827.787645</v>
      </c>
      <c r="K804" s="39" t="n">
        <f aca="false">(('Business Case'!E11*$C804*'Business Case'!E12*$B804)-'Business Case'!E11*$C804*'Business Case'!E13*$D804-'Business Case'!E14*$E804)-MAX(0,(('Business Case'!E11*$C804*'Business Case'!E12*$B804)-'Business Case'!E11*$C804*'Business Case'!E13*$D804-'Business Case'!E14*$E804))*'Business Case'!$B$7-'Business Case'!$B$8*(('Business Case'!E11*$C804*'Business Case'!E12*$B804)-('Business Case'!D11*$C804*'Business Case'!D12*$B804))-'Business Case'!E15*$F804</f>
        <v>562668392.350575</v>
      </c>
      <c r="L804" s="39" t="n">
        <f aca="false">(('Business Case'!F11*$C804*'Business Case'!F12*$B804)-'Business Case'!F11*$C804*'Business Case'!F13*$D804-'Business Case'!F14*$E804)-MAX(0,(('Business Case'!F11*$C804*'Business Case'!F12*$B804)-'Business Case'!F11*$C804*'Business Case'!F13*$D804-'Business Case'!F14*$E804))*'Business Case'!$B$7-'Business Case'!$B$8*(('Business Case'!F11*$C804*'Business Case'!F12*$B804)-('Business Case'!E11*$C804*'Business Case'!E12*$B804))-'Business Case'!F15*$F804</f>
        <v>685261005.470949</v>
      </c>
      <c r="M804" s="39" t="n">
        <f aca="false">(('Business Case'!G11*$C804*'Business Case'!G12*$B804)-'Business Case'!G11*$C804*'Business Case'!G13*$D804-'Business Case'!G14*$E804)-MAX(0,(('Business Case'!G11*$C804*'Business Case'!G12*$B804)-'Business Case'!G11*$C804*'Business Case'!G13*$D804-'Business Case'!G14*$E804))*'Business Case'!$B$7-'Business Case'!$B$8*(('Business Case'!G11*$C804*'Business Case'!G12*$B804)-('Business Case'!F11*$C804*'Business Case'!F12*$B804))-'Business Case'!G15*$F804+'Business Case'!$B$8*('Business Case'!G11*$C804*'Business Case'!G12*$B804)</f>
        <v>862442147.39015</v>
      </c>
      <c r="N804" s="39" t="n">
        <f aca="false">IF(COUNT('Business Case'!B11:G11)=0,"",H804+NPV(G804,I804:M804))</f>
        <v>-549717497.849414</v>
      </c>
      <c r="P804" s="40" t="n">
        <f aca="true">RAND()</f>
        <v>0.45295378698201</v>
      </c>
      <c r="Q804" s="40" t="n">
        <f aca="true">RAND()</f>
        <v>0.30214389507653</v>
      </c>
      <c r="R804" s="40" t="n">
        <f aca="true">RAND()</f>
        <v>0.621948337268388</v>
      </c>
      <c r="S804" s="40" t="n">
        <f aca="true">RAND()</f>
        <v>0.796381017436149</v>
      </c>
      <c r="T804" s="40" t="n">
        <f aca="true">RAND()</f>
        <v>0.697320059706537</v>
      </c>
      <c r="U804" s="40" t="n">
        <f aca="true">RAND()</f>
        <v>0.207427912867915</v>
      </c>
    </row>
    <row r="805" customFormat="false" ht="15" hidden="false" customHeight="false" outlineLevel="0" collapsed="false">
      <c r="A805" s="36" t="n">
        <v>725</v>
      </c>
      <c r="B805" s="37" t="n">
        <f aca="false">1+IF($G$6=$E$6,$F$6,IF(P805&lt;($F$6-$E$6)/($G$6-$E$6),$E$6+SQRT(P805*($G$6-$E$6)*($F$6-$E$6)),$G$6-SQRT((1-P805)*($G$6-$E$6)*($G$6-$F$6))))</f>
        <v>0.981098119652023</v>
      </c>
      <c r="C805" s="37" t="n">
        <f aca="false">1+IF($G$7=$E$7,$F$7,IF(Q805&lt;($F$7-$E$7)/($G$7-$E$7),$E$7+SQRT(Q805*($G$7-$E$7)*($F$7-$E$7)),$G$7-SQRT((1-Q805)*($G$7-$E$7)*($G$7-$F$7))))</f>
        <v>1.07260875472309</v>
      </c>
      <c r="D805" s="37" t="n">
        <f aca="false">1+IF($G$8=$E$8,$F$8,IF(R805&lt;($F$8-$E$8)/($G$8-$E$8),$E$8+SQRT(R805*($G$8-$E$8)*($F$8-$E$8)),$G$8-SQRT((1-R805)*($G$8-$E$8)*($G$8-$F$8))))</f>
        <v>0.993489395590542</v>
      </c>
      <c r="E805" s="37" t="n">
        <f aca="false">1+IF($G$9=$E$9,$F$9,IF(S805&lt;($F$9-$E$9)/($G$9-$E$9),$E$9+SQRT(S805*($G$9-$E$9)*($F$9-$E$9)),$G$9-SQRT((1-S805)*($G$9-$E$9)*($G$9-$F$9))))</f>
        <v>1.01576955686453</v>
      </c>
      <c r="F805" s="37" t="n">
        <f aca="false">1+IF($G$10=$E$10,$F$10,IF(T805&lt;($F$10-$E$10)/($G$10-$E$10),$E$10+SQRT(T805*($G$10-$E$10)*($F$10-$E$10)),$G$10-SQRT((1-T805)*($G$10-$E$10)*($G$10-$F$10))))</f>
        <v>1.03766074783812</v>
      </c>
      <c r="G805" s="38" t="n">
        <f aca="false">IF($G$11=$E$11,$F$11,IF(U805&lt;($F$11-$E$11)/($G$11-$E$11),$E$11+SQRT(U805*($G$11-$E$11)*($F$11-$E$11)),$G$11-SQRT((1-U805)*($G$11-$E$11)*($G$11-$F$11))))</f>
        <v>0.114207172656501</v>
      </c>
      <c r="H805" s="39" t="n">
        <f aca="false">(('Business Case'!B11*$C805*'Business Case'!B12*$B805)-'Business Case'!B11*$C805*'Business Case'!B13*$D805-'Business Case'!B14*$E805)-MAX(0,(('Business Case'!B11*$C805*'Business Case'!B12*$B805)-'Business Case'!B11*$C805*'Business Case'!B13*$D805-'Business Case'!B14*$E805))*'Business Case'!$B$7-'Business Case'!$B$8*('Business Case'!B11*$C805*'Business Case'!B12*$B805)-'Business Case'!B15*$F805</f>
        <v>-2075321495.67623</v>
      </c>
      <c r="I805" s="39" t="n">
        <f aca="false">(('Business Case'!C11*$C805*'Business Case'!C12*$B805)-'Business Case'!C11*$C805*'Business Case'!C13*$D805-'Business Case'!C14*$E805)-MAX(0,(('Business Case'!C11*$C805*'Business Case'!C12*$B805)-'Business Case'!C11*$C805*'Business Case'!C13*$D805-'Business Case'!C14*$E805))*'Business Case'!$B$7-'Business Case'!$B$8*(('Business Case'!C11*$C805*'Business Case'!C12*$B805)-('Business Case'!B11*$C805*'Business Case'!B12*$B805))-'Business Case'!C15*$F805</f>
        <v>13661178.6898565</v>
      </c>
      <c r="J805" s="39" t="n">
        <f aca="false">(('Business Case'!D11*$C805*'Business Case'!D12*$B805)-'Business Case'!D11*$C805*'Business Case'!D13*$D805-'Business Case'!D14*$E805)-MAX(0,(('Business Case'!D11*$C805*'Business Case'!D12*$B805)-'Business Case'!D11*$C805*'Business Case'!D13*$D805-'Business Case'!D14*$E805))*'Business Case'!$B$7-'Business Case'!$B$8*(('Business Case'!D11*$C805*'Business Case'!D12*$B805)-('Business Case'!C11*$C805*'Business Case'!C12*$B805))-'Business Case'!D15*$F805</f>
        <v>330083880.124299</v>
      </c>
      <c r="K805" s="39" t="n">
        <f aca="false">(('Business Case'!E11*$C805*'Business Case'!E12*$B805)-'Business Case'!E11*$C805*'Business Case'!E13*$D805-'Business Case'!E14*$E805)-MAX(0,(('Business Case'!E11*$C805*'Business Case'!E12*$B805)-'Business Case'!E11*$C805*'Business Case'!E13*$D805-'Business Case'!E14*$E805))*'Business Case'!$B$7-'Business Case'!$B$8*(('Business Case'!E11*$C805*'Business Case'!E12*$B805)-('Business Case'!D11*$C805*'Business Case'!D12*$B805))-'Business Case'!E15*$F805</f>
        <v>698389618.950647</v>
      </c>
      <c r="L805" s="39" t="n">
        <f aca="false">(('Business Case'!F11*$C805*'Business Case'!F12*$B805)-'Business Case'!F11*$C805*'Business Case'!F13*$D805-'Business Case'!F14*$E805)-MAX(0,(('Business Case'!F11*$C805*'Business Case'!F12*$B805)-'Business Case'!F11*$C805*'Business Case'!F13*$D805-'Business Case'!F14*$E805))*'Business Case'!$B$7-'Business Case'!$B$8*(('Business Case'!F11*$C805*'Business Case'!F12*$B805)-('Business Case'!E11*$C805*'Business Case'!E12*$B805))-'Business Case'!F15*$F805</f>
        <v>840232530.745219</v>
      </c>
      <c r="M805" s="39" t="n">
        <f aca="false">(('Business Case'!G11*$C805*'Business Case'!G12*$B805)-'Business Case'!G11*$C805*'Business Case'!G13*$D805-'Business Case'!G14*$E805)-MAX(0,(('Business Case'!G11*$C805*'Business Case'!G12*$B805)-'Business Case'!G11*$C805*'Business Case'!G13*$D805-'Business Case'!G14*$E805))*'Business Case'!$B$7-'Business Case'!$B$8*(('Business Case'!G11*$C805*'Business Case'!G12*$B805)-('Business Case'!F11*$C805*'Business Case'!F12*$B805))-'Business Case'!G15*$F805+'Business Case'!$B$8*('Business Case'!G11*$C805*'Business Case'!G12*$B805)</f>
        <v>1040260259.65222</v>
      </c>
      <c r="N805" s="39" t="n">
        <f aca="false">IF(COUNT('Business Case'!B11:G11)=0,"",H805+NPV(G805,I805:M805))</f>
        <v>-141331828.624662</v>
      </c>
      <c r="P805" s="40" t="n">
        <f aca="true">RAND()</f>
        <v>0.388852106772174</v>
      </c>
      <c r="Q805" s="40" t="n">
        <f aca="true">RAND()</f>
        <v>0.885916098180751</v>
      </c>
      <c r="R805" s="40" t="n">
        <f aca="true">RAND()</f>
        <v>0.290973465973941</v>
      </c>
      <c r="S805" s="40" t="n">
        <f aca="true">RAND()</f>
        <v>0.527015496613529</v>
      </c>
      <c r="T805" s="40" t="n">
        <f aca="true">RAND()</f>
        <v>0.47291934415041</v>
      </c>
      <c r="U805" s="40" t="n">
        <f aca="true">RAND()</f>
        <v>0.944071918947345</v>
      </c>
    </row>
    <row r="806" customFormat="false" ht="15" hidden="false" customHeight="false" outlineLevel="0" collapsed="false">
      <c r="A806" s="36" t="n">
        <v>726</v>
      </c>
      <c r="B806" s="37" t="n">
        <f aca="false">1+IF($G$6=$E$6,$F$6,IF(P806&lt;($F$6-$E$6)/($G$6-$E$6),$E$6+SQRT(P806*($G$6-$E$6)*($F$6-$E$6)),$G$6-SQRT((1-P806)*($G$6-$E$6)*($G$6-$F$6))))</f>
        <v>1.00274470501169</v>
      </c>
      <c r="C806" s="37" t="n">
        <f aca="false">1+IF($G$7=$E$7,$F$7,IF(Q806&lt;($F$7-$E$7)/($G$7-$E$7),$E$7+SQRT(Q806*($G$7-$E$7)*($F$7-$E$7)),$G$7-SQRT((1-Q806)*($G$7-$E$7)*($G$7-$F$7))))</f>
        <v>1.03346355799981</v>
      </c>
      <c r="D806" s="37" t="n">
        <f aca="false">1+IF($G$8=$E$8,$F$8,IF(R806&lt;($F$8-$E$8)/($G$8-$E$8),$E$8+SQRT(R806*($G$8-$E$8)*($F$8-$E$8)),$G$8-SQRT((1-R806)*($G$8-$E$8)*($G$8-$F$8))))</f>
        <v>0.996019391094731</v>
      </c>
      <c r="E806" s="37" t="n">
        <f aca="false">1+IF($G$9=$E$9,$F$9,IF(S806&lt;($F$9-$E$9)/($G$9-$E$9),$E$9+SQRT(S806*($G$9-$E$9)*($F$9-$E$9)),$G$9-SQRT((1-S806)*($G$9-$E$9)*($G$9-$F$9))))</f>
        <v>1.0437341254883</v>
      </c>
      <c r="F806" s="37" t="n">
        <f aca="false">1+IF($G$10=$E$10,$F$10,IF(T806&lt;($F$10-$E$10)/($G$10-$E$10),$E$10+SQRT(T806*($G$10-$E$10)*($F$10-$E$10)),$G$10-SQRT((1-T806)*($G$10-$E$10)*($G$10-$F$10))))</f>
        <v>1.0793827405688</v>
      </c>
      <c r="G806" s="38" t="n">
        <f aca="false">IF($G$11=$E$11,$F$11,IF(U806&lt;($F$11-$E$11)/($G$11-$E$11),$E$11+SQRT(U806*($G$11-$E$11)*($F$11-$E$11)),$G$11-SQRT((1-U806)*($G$11-$E$11)*($G$11-$F$11))))</f>
        <v>0.107635281117667</v>
      </c>
      <c r="H806" s="39" t="n">
        <f aca="false">(('Business Case'!B11*$C806*'Business Case'!B12*$B806)-'Business Case'!B11*$C806*'Business Case'!B13*$D806-'Business Case'!B14*$E806)-MAX(0,(('Business Case'!B11*$C806*'Business Case'!B12*$B806)-'Business Case'!B11*$C806*'Business Case'!B13*$D806-'Business Case'!B14*$E806))*'Business Case'!$B$7-'Business Case'!$B$8*('Business Case'!B11*$C806*'Business Case'!B12*$B806)-'Business Case'!B15*$F806</f>
        <v>-2158765481.13761</v>
      </c>
      <c r="I806" s="39" t="n">
        <f aca="false">(('Business Case'!C11*$C806*'Business Case'!C12*$B806)-'Business Case'!C11*$C806*'Business Case'!C13*$D806-'Business Case'!C14*$E806)-MAX(0,(('Business Case'!C11*$C806*'Business Case'!C12*$B806)-'Business Case'!C11*$C806*'Business Case'!C13*$D806-'Business Case'!C14*$E806))*'Business Case'!$B$7-'Business Case'!$B$8*(('Business Case'!C11*$C806*'Business Case'!C12*$B806)-('Business Case'!B11*$C806*'Business Case'!B12*$B806))-'Business Case'!C15*$F806</f>
        <v>11780618.9354278</v>
      </c>
      <c r="J806" s="39" t="n">
        <f aca="false">(('Business Case'!D11*$C806*'Business Case'!D12*$B806)-'Business Case'!D11*$C806*'Business Case'!D13*$D806-'Business Case'!D14*$E806)-MAX(0,(('Business Case'!D11*$C806*'Business Case'!D12*$B806)-'Business Case'!D11*$C806*'Business Case'!D13*$D806-'Business Case'!D14*$E806))*'Business Case'!$B$7-'Business Case'!$B$8*(('Business Case'!D11*$C806*'Business Case'!D12*$B806)-('Business Case'!C11*$C806*'Business Case'!C12*$B806))-'Business Case'!D15*$F806</f>
        <v>333640302.306032</v>
      </c>
      <c r="K806" s="39" t="n">
        <f aca="false">(('Business Case'!E11*$C806*'Business Case'!E12*$B806)-'Business Case'!E11*$C806*'Business Case'!E13*$D806-'Business Case'!E14*$E806)-MAX(0,(('Business Case'!E11*$C806*'Business Case'!E12*$B806)-'Business Case'!E11*$C806*'Business Case'!E13*$D806-'Business Case'!E14*$E806))*'Business Case'!$B$7-'Business Case'!$B$8*(('Business Case'!E11*$C806*'Business Case'!E12*$B806)-('Business Case'!D11*$C806*'Business Case'!D12*$B806))-'Business Case'!E15*$F806</f>
        <v>709469122.705076</v>
      </c>
      <c r="L806" s="39" t="n">
        <f aca="false">(('Business Case'!F11*$C806*'Business Case'!F12*$B806)-'Business Case'!F11*$C806*'Business Case'!F13*$D806-'Business Case'!F14*$E806)-MAX(0,(('Business Case'!F11*$C806*'Business Case'!F12*$B806)-'Business Case'!F11*$C806*'Business Case'!F13*$D806-'Business Case'!F14*$E806))*'Business Case'!$B$7-'Business Case'!$B$8*(('Business Case'!F11*$C806*'Business Case'!F12*$B806)-('Business Case'!E11*$C806*'Business Case'!E12*$B806))-'Business Case'!F15*$F806</f>
        <v>852570215.651183</v>
      </c>
      <c r="M806" s="39" t="n">
        <f aca="false">(('Business Case'!G11*$C806*'Business Case'!G12*$B806)-'Business Case'!G11*$C806*'Business Case'!G13*$D806-'Business Case'!G14*$E806)-MAX(0,(('Business Case'!G11*$C806*'Business Case'!G12*$B806)-'Business Case'!G11*$C806*'Business Case'!G13*$D806-'Business Case'!G14*$E806))*'Business Case'!$B$7-'Business Case'!$B$8*(('Business Case'!G11*$C806*'Business Case'!G12*$B806)-('Business Case'!F11*$C806*'Business Case'!F12*$B806))-'Business Case'!G15*$F806+'Business Case'!$B$8*('Business Case'!G11*$C806*'Business Case'!G12*$B806)</f>
        <v>1049550140.67533</v>
      </c>
      <c r="N806" s="39" t="n">
        <f aca="false">IF(COUNT('Business Case'!B11:G11)=0,"",H806+NPV(G806,I806:M806))</f>
        <v>-158134948.332475</v>
      </c>
      <c r="P806" s="40" t="n">
        <f aca="true">RAND()</f>
        <v>0.710842290694635</v>
      </c>
      <c r="Q806" s="40" t="n">
        <f aca="true">RAND()</f>
        <v>0.741319194017826</v>
      </c>
      <c r="R806" s="40" t="n">
        <f aca="true">RAND()</f>
        <v>0.325812977958438</v>
      </c>
      <c r="S806" s="40" t="n">
        <f aca="true">RAND()</f>
        <v>0.788943424362268</v>
      </c>
      <c r="T806" s="40" t="n">
        <f aca="true">RAND()</f>
        <v>0.709029534546146</v>
      </c>
      <c r="U806" s="40" t="n">
        <f aca="true">RAND()</f>
        <v>0.745189544934815</v>
      </c>
    </row>
    <row r="807" customFormat="false" ht="15" hidden="false" customHeight="false" outlineLevel="0" collapsed="false">
      <c r="A807" s="36" t="n">
        <v>727</v>
      </c>
      <c r="B807" s="37" t="n">
        <f aca="false">1+IF($G$6=$E$6,$F$6,IF(P807&lt;($F$6-$E$6)/($G$6-$E$6),$E$6+SQRT(P807*($G$6-$E$6)*($F$6-$E$6)),$G$6-SQRT((1-P807)*($G$6-$E$6)*($G$6-$F$6))))</f>
        <v>0.925255871510138</v>
      </c>
      <c r="C807" s="37" t="n">
        <f aca="false">1+IF($G$7=$E$7,$F$7,IF(Q807&lt;($F$7-$E$7)/($G$7-$E$7),$E$7+SQRT(Q807*($G$7-$E$7)*($F$7-$E$7)),$G$7-SQRT((1-Q807)*($G$7-$E$7)*($G$7-$F$7))))</f>
        <v>0.983496946559666</v>
      </c>
      <c r="D807" s="37" t="n">
        <f aca="false">1+IF($G$8=$E$8,$F$8,IF(R807&lt;($F$8-$E$8)/($G$8-$E$8),$E$8+SQRT(R807*($G$8-$E$8)*($F$8-$E$8)),$G$8-SQRT((1-R807)*($G$8-$E$8)*($G$8-$F$8))))</f>
        <v>1.07677248787903</v>
      </c>
      <c r="E807" s="37" t="n">
        <f aca="false">1+IF($G$9=$E$9,$F$9,IF(S807&lt;($F$9-$E$9)/($G$9-$E$9),$E$9+SQRT(S807*($G$9-$E$9)*($F$9-$E$9)),$G$9-SQRT((1-S807)*($G$9-$E$9)*($G$9-$F$9))))</f>
        <v>1.02899075334974</v>
      </c>
      <c r="F807" s="37" t="n">
        <f aca="false">1+IF($G$10=$E$10,$F$10,IF(T807&lt;($F$10-$E$10)/($G$10-$E$10),$E$10+SQRT(T807*($G$10-$E$10)*($F$10-$E$10)),$G$10-SQRT((1-T807)*($G$10-$E$10)*($G$10-$F$10))))</f>
        <v>1.02863659062533</v>
      </c>
      <c r="G807" s="38" t="n">
        <f aca="false">IF($G$11=$E$11,$F$11,IF(U807&lt;($F$11-$E$11)/($G$11-$E$11),$E$11+SQRT(U807*($G$11-$E$11)*($F$11-$E$11)),$G$11-SQRT((1-U807)*($G$11-$E$11)*($G$11-$F$11))))</f>
        <v>0.111768730829728</v>
      </c>
      <c r="H807" s="39" t="n">
        <f aca="false">(('Business Case'!B11*$C807*'Business Case'!B12*$B807)-'Business Case'!B11*$C807*'Business Case'!B13*$D807-'Business Case'!B14*$E807)-MAX(0,(('Business Case'!B11*$C807*'Business Case'!B12*$B807)-'Business Case'!B11*$C807*'Business Case'!B13*$D807-'Business Case'!B14*$E807))*'Business Case'!$B$7-'Business Case'!$B$8*('Business Case'!B11*$C807*'Business Case'!B12*$B807)-'Business Case'!B15*$F807</f>
        <v>-2057273181.25066</v>
      </c>
      <c r="I807" s="39" t="n">
        <f aca="false">(('Business Case'!C11*$C807*'Business Case'!C12*$B807)-'Business Case'!C11*$C807*'Business Case'!C13*$D807-'Business Case'!C14*$E807)-MAX(0,(('Business Case'!C11*$C807*'Business Case'!C12*$B807)-'Business Case'!C11*$C807*'Business Case'!C13*$D807-'Business Case'!C14*$E807))*'Business Case'!$B$7-'Business Case'!$B$8*(('Business Case'!C11*$C807*'Business Case'!C12*$B807)-('Business Case'!B11*$C807*'Business Case'!B12*$B807))-'Business Case'!C15*$F807</f>
        <v>-93140052.7695956</v>
      </c>
      <c r="J807" s="39" t="n">
        <f aca="false">(('Business Case'!D11*$C807*'Business Case'!D12*$B807)-'Business Case'!D11*$C807*'Business Case'!D13*$D807-'Business Case'!D14*$E807)-MAX(0,(('Business Case'!D11*$C807*'Business Case'!D12*$B807)-'Business Case'!D11*$C807*'Business Case'!D13*$D807-'Business Case'!D14*$E807))*'Business Case'!$B$7-'Business Case'!$B$8*(('Business Case'!D11*$C807*'Business Case'!D12*$B807)-('Business Case'!C11*$C807*'Business Case'!C12*$B807))-'Business Case'!D15*$F807</f>
        <v>110079729.707433</v>
      </c>
      <c r="K807" s="39" t="n">
        <f aca="false">(('Business Case'!E11*$C807*'Business Case'!E12*$B807)-'Business Case'!E11*$C807*'Business Case'!E13*$D807-'Business Case'!E14*$E807)-MAX(0,(('Business Case'!E11*$C807*'Business Case'!E12*$B807)-'Business Case'!E11*$C807*'Business Case'!E13*$D807-'Business Case'!E14*$E807))*'Business Case'!$B$7-'Business Case'!$B$8*(('Business Case'!E11*$C807*'Business Case'!E12*$B807)-('Business Case'!D11*$C807*'Business Case'!D12*$B807))-'Business Case'!E15*$F807</f>
        <v>364731341.715727</v>
      </c>
      <c r="L807" s="39" t="n">
        <f aca="false">(('Business Case'!F11*$C807*'Business Case'!F12*$B807)-'Business Case'!F11*$C807*'Business Case'!F13*$D807-'Business Case'!F14*$E807)-MAX(0,(('Business Case'!F11*$C807*'Business Case'!F12*$B807)-'Business Case'!F11*$C807*'Business Case'!F13*$D807-'Business Case'!F14*$E807))*'Business Case'!$B$7-'Business Case'!$B$8*(('Business Case'!F11*$C807*'Business Case'!F12*$B807)-('Business Case'!E11*$C807*'Business Case'!E12*$B807))-'Business Case'!F15*$F807</f>
        <v>463920396.579909</v>
      </c>
      <c r="M807" s="39" t="n">
        <f aca="false">(('Business Case'!G11*$C807*'Business Case'!G12*$B807)-'Business Case'!G11*$C807*'Business Case'!G13*$D807-'Business Case'!G14*$E807)-MAX(0,(('Business Case'!G11*$C807*'Business Case'!G12*$B807)-'Business Case'!G11*$C807*'Business Case'!G13*$D807-'Business Case'!G14*$E807))*'Business Case'!$B$7-'Business Case'!$B$8*(('Business Case'!G11*$C807*'Business Case'!G12*$B807)-('Business Case'!F11*$C807*'Business Case'!F12*$B807))-'Business Case'!G15*$F807+'Business Case'!$B$8*('Business Case'!G11*$C807*'Business Case'!G12*$B807)</f>
        <v>636890597.125021</v>
      </c>
      <c r="N807" s="39" t="n">
        <f aca="false">IF(COUNT('Business Case'!B11:G11)=0,"",H807+NPV(G807,I807:M807))</f>
        <v>-1107947692.16338</v>
      </c>
      <c r="P807" s="40" t="n">
        <f aca="true">RAND()</f>
        <v>0.00287751930532089</v>
      </c>
      <c r="Q807" s="40" t="n">
        <f aca="true">RAND()</f>
        <v>0.48101613423887</v>
      </c>
      <c r="R807" s="40" t="n">
        <f aca="true">RAND()</f>
        <v>0.998998381298941</v>
      </c>
      <c r="S807" s="40" t="n">
        <f aca="true">RAND()</f>
        <v>0.663845792677532</v>
      </c>
      <c r="T807" s="40" t="n">
        <f aca="true">RAND()</f>
        <v>0.41269163854977</v>
      </c>
      <c r="U807" s="40" t="n">
        <f aca="true">RAND()</f>
        <v>0.887077013077557</v>
      </c>
    </row>
    <row r="808" customFormat="false" ht="15" hidden="false" customHeight="false" outlineLevel="0" collapsed="false">
      <c r="A808" s="36" t="n">
        <v>728</v>
      </c>
      <c r="B808" s="37" t="n">
        <f aca="false">1+IF($G$6=$E$6,$F$6,IF(P808&lt;($F$6-$E$6)/($G$6-$E$6),$E$6+SQRT(P808*($G$6-$E$6)*($F$6-$E$6)),$G$6-SQRT((1-P808)*($G$6-$E$6)*($G$6-$F$6))))</f>
        <v>0.977024207489348</v>
      </c>
      <c r="C808" s="37" t="n">
        <f aca="false">1+IF($G$7=$E$7,$F$7,IF(Q808&lt;($F$7-$E$7)/($G$7-$E$7),$E$7+SQRT(Q808*($G$7-$E$7)*($F$7-$E$7)),$G$7-SQRT((1-Q808)*($G$7-$E$7)*($G$7-$F$7))))</f>
        <v>0.891349012152494</v>
      </c>
      <c r="D808" s="37" t="n">
        <f aca="false">1+IF($G$8=$E$8,$F$8,IF(R808&lt;($F$8-$E$8)/($G$8-$E$8),$E$8+SQRT(R808*($G$8-$E$8)*($F$8-$E$8)),$G$8-SQRT((1-R808)*($G$8-$E$8)*($G$8-$F$8))))</f>
        <v>1.01545049884177</v>
      </c>
      <c r="E808" s="37" t="n">
        <f aca="false">1+IF($G$9=$E$9,$F$9,IF(S808&lt;($F$9-$E$9)/($G$9-$E$9),$E$9+SQRT(S808*($G$9-$E$9)*($F$9-$E$9)),$G$9-SQRT((1-S808)*($G$9-$E$9)*($G$9-$F$9))))</f>
        <v>0.995780057728086</v>
      </c>
      <c r="F808" s="37" t="n">
        <f aca="false">1+IF($G$10=$E$10,$F$10,IF(T808&lt;($F$10-$E$10)/($G$10-$E$10),$E$10+SQRT(T808*($G$10-$E$10)*($F$10-$E$10)),$G$10-SQRT((1-T808)*($G$10-$E$10)*($G$10-$F$10))))</f>
        <v>1.12916193869565</v>
      </c>
      <c r="G808" s="38" t="n">
        <f aca="false">IF($G$11=$E$11,$F$11,IF(U808&lt;($F$11-$E$11)/($G$11-$E$11),$E$11+SQRT(U808*($G$11-$E$11)*($F$11-$E$11)),$G$11-SQRT((1-U808)*($G$11-$E$11)*($G$11-$F$11))))</f>
        <v>0.101283214528597</v>
      </c>
      <c r="H808" s="39" t="n">
        <f aca="false">(('Business Case'!B11*$C808*'Business Case'!B12*$B808)-'Business Case'!B11*$C808*'Business Case'!B13*$D808-'Business Case'!B14*$E808)-MAX(0,(('Business Case'!B11*$C808*'Business Case'!B12*$B808)-'Business Case'!B11*$C808*'Business Case'!B13*$D808-'Business Case'!B14*$E808))*'Business Case'!$B$7-'Business Case'!$B$8*('Business Case'!B11*$C808*'Business Case'!B12*$B808)-'Business Case'!B15*$F808</f>
        <v>-2258323877.3913</v>
      </c>
      <c r="I808" s="39" t="n">
        <f aca="false">(('Business Case'!C11*$C808*'Business Case'!C12*$B808)-'Business Case'!C11*$C808*'Business Case'!C13*$D808-'Business Case'!C14*$E808)-MAX(0,(('Business Case'!C11*$C808*'Business Case'!C12*$B808)-'Business Case'!C11*$C808*'Business Case'!C13*$D808-'Business Case'!C14*$E808))*'Business Case'!$B$7-'Business Case'!$B$8*(('Business Case'!C11*$C808*'Business Case'!C12*$B808)-('Business Case'!B11*$C808*'Business Case'!B12*$B808))-'Business Case'!C15*$F808</f>
        <v>-49706561.5773837</v>
      </c>
      <c r="J808" s="39" t="n">
        <f aca="false">(('Business Case'!D11*$C808*'Business Case'!D12*$B808)-'Business Case'!D11*$C808*'Business Case'!D13*$D808-'Business Case'!D14*$E808)-MAX(0,(('Business Case'!D11*$C808*'Business Case'!D12*$B808)-'Business Case'!D11*$C808*'Business Case'!D13*$D808-'Business Case'!D14*$E808))*'Business Case'!$B$7-'Business Case'!$B$8*(('Business Case'!D11*$C808*'Business Case'!D12*$B808)-('Business Case'!C11*$C808*'Business Case'!C12*$B808))-'Business Case'!D15*$F808</f>
        <v>200248873.027905</v>
      </c>
      <c r="K808" s="39" t="n">
        <f aca="false">(('Business Case'!E11*$C808*'Business Case'!E12*$B808)-'Business Case'!E11*$C808*'Business Case'!E13*$D808-'Business Case'!E14*$E808)-MAX(0,(('Business Case'!E11*$C808*'Business Case'!E12*$B808)-'Business Case'!E11*$C808*'Business Case'!E13*$D808-'Business Case'!E14*$E808))*'Business Case'!$B$7-'Business Case'!$B$8*(('Business Case'!E11*$C808*'Business Case'!E12*$B808)-('Business Case'!D11*$C808*'Business Case'!D12*$B808))-'Business Case'!E15*$F808</f>
        <v>506662404.567976</v>
      </c>
      <c r="L808" s="39" t="n">
        <f aca="false">(('Business Case'!F11*$C808*'Business Case'!F12*$B808)-'Business Case'!F11*$C808*'Business Case'!F13*$D808-'Business Case'!F14*$E808)-MAX(0,(('Business Case'!F11*$C808*'Business Case'!F12*$B808)-'Business Case'!F11*$C808*'Business Case'!F13*$D808-'Business Case'!F14*$E808))*'Business Case'!$B$7-'Business Case'!$B$8*(('Business Case'!F11*$C808*'Business Case'!F12*$B808)-('Business Case'!E11*$C808*'Business Case'!E12*$B808))-'Business Case'!F15*$F808</f>
        <v>620078134.839188</v>
      </c>
      <c r="M808" s="39" t="n">
        <f aca="false">(('Business Case'!G11*$C808*'Business Case'!G12*$B808)-'Business Case'!G11*$C808*'Business Case'!G13*$D808-'Business Case'!G14*$E808)-MAX(0,(('Business Case'!G11*$C808*'Business Case'!G12*$B808)-'Business Case'!G11*$C808*'Business Case'!G13*$D808-'Business Case'!G14*$E808))*'Business Case'!$B$7-'Business Case'!$B$8*(('Business Case'!G11*$C808*'Business Case'!G12*$B808)-('Business Case'!F11*$C808*'Business Case'!F12*$B808))-'Business Case'!G15*$F808+'Business Case'!$B$8*('Business Case'!G11*$C808*'Business Case'!G12*$B808)</f>
        <v>785613021.221157</v>
      </c>
      <c r="N808" s="39" t="n">
        <f aca="false">IF(COUNT('Business Case'!B11:G11)=0,"",H808+NPV(G808,I808:M808))</f>
        <v>-852495891.550864</v>
      </c>
      <c r="P808" s="40" t="n">
        <f aca="true">RAND()</f>
        <v>0.338725024977943</v>
      </c>
      <c r="Q808" s="40" t="n">
        <f aca="true">RAND()</f>
        <v>0.119209171731949</v>
      </c>
      <c r="R808" s="40" t="n">
        <f aca="true">RAND()</f>
        <v>0.5993617211754</v>
      </c>
      <c r="S808" s="40" t="n">
        <f aca="true">RAND()</f>
        <v>0.279441824744913</v>
      </c>
      <c r="T808" s="40" t="n">
        <f aca="true">RAND()</f>
        <v>0.899639381412818</v>
      </c>
      <c r="U808" s="40" t="n">
        <f aca="true">RAND()</f>
        <v>0.41613656936249</v>
      </c>
    </row>
    <row r="809" customFormat="false" ht="15" hidden="false" customHeight="false" outlineLevel="0" collapsed="false">
      <c r="A809" s="36" t="n">
        <v>729</v>
      </c>
      <c r="B809" s="37" t="n">
        <f aca="false">1+IF($G$6=$E$6,$F$6,IF(P809&lt;($F$6-$E$6)/($G$6-$E$6),$E$6+SQRT(P809*($G$6-$E$6)*($F$6-$E$6)),$G$6-SQRT((1-P809)*($G$6-$E$6)*($G$6-$F$6))))</f>
        <v>1.02820656551822</v>
      </c>
      <c r="C809" s="37" t="n">
        <f aca="false">1+IF($G$7=$E$7,$F$7,IF(Q809&lt;($F$7-$E$7)/($G$7-$E$7),$E$7+SQRT(Q809*($G$7-$E$7)*($F$7-$E$7)),$G$7-SQRT((1-Q809)*($G$7-$E$7)*($G$7-$F$7))))</f>
        <v>0.968864564045295</v>
      </c>
      <c r="D809" s="37" t="n">
        <f aca="false">1+IF($G$8=$E$8,$F$8,IF(R809&lt;($F$8-$E$8)/($G$8-$E$8),$E$8+SQRT(R809*($G$8-$E$8)*($F$8-$E$8)),$G$8-SQRT((1-R809)*($G$8-$E$8)*($G$8-$F$8))))</f>
        <v>0.99798303801313</v>
      </c>
      <c r="E809" s="37" t="n">
        <f aca="false">1+IF($G$9=$E$9,$F$9,IF(S809&lt;($F$9-$E$9)/($G$9-$E$9),$E$9+SQRT(S809*($G$9-$E$9)*($F$9-$E$9)),$G$9-SQRT((1-S809)*($G$9-$E$9)*($G$9-$F$9))))</f>
        <v>1.00164989897142</v>
      </c>
      <c r="F809" s="37" t="n">
        <f aca="false">1+IF($G$10=$E$10,$F$10,IF(T809&lt;($F$10-$E$10)/($G$10-$E$10),$E$10+SQRT(T809*($G$10-$E$10)*($F$10-$E$10)),$G$10-SQRT((1-T809)*($G$10-$E$10)*($G$10-$F$10))))</f>
        <v>1.00983413964606</v>
      </c>
      <c r="G809" s="38" t="n">
        <f aca="false">IF($G$11=$E$11,$F$11,IF(U809&lt;($F$11-$E$11)/($G$11-$E$11),$E$11+SQRT(U809*($G$11-$E$11)*($F$11-$E$11)),$G$11-SQRT((1-U809)*($G$11-$E$11)*($G$11-$F$11))))</f>
        <v>0.104316708222955</v>
      </c>
      <c r="H809" s="39" t="n">
        <f aca="false">(('Business Case'!B11*$C809*'Business Case'!B12*$B809)-'Business Case'!B11*$C809*'Business Case'!B13*$D809-'Business Case'!B14*$E809)-MAX(0,(('Business Case'!B11*$C809*'Business Case'!B12*$B809)-'Business Case'!B11*$C809*'Business Case'!B13*$D809-'Business Case'!B14*$E809))*'Business Case'!$B$7-'Business Case'!$B$8*('Business Case'!B11*$C809*'Business Case'!B12*$B809)-'Business Case'!B15*$F809</f>
        <v>-2019668279.29211</v>
      </c>
      <c r="I809" s="39" t="n">
        <f aca="false">(('Business Case'!C11*$C809*'Business Case'!C12*$B809)-'Business Case'!C11*$C809*'Business Case'!C13*$D809-'Business Case'!C14*$E809)-MAX(0,(('Business Case'!C11*$C809*'Business Case'!C12*$B809)-'Business Case'!C11*$C809*'Business Case'!C13*$D809-'Business Case'!C14*$E809))*'Business Case'!$B$7-'Business Case'!$B$8*(('Business Case'!C11*$C809*'Business Case'!C12*$B809)-('Business Case'!B11*$C809*'Business Case'!B12*$B809))-'Business Case'!C15*$F809</f>
        <v>25912273.4371442</v>
      </c>
      <c r="J809" s="39" t="n">
        <f aca="false">(('Business Case'!D11*$C809*'Business Case'!D12*$B809)-'Business Case'!D11*$C809*'Business Case'!D13*$D809-'Business Case'!D14*$E809)-MAX(0,(('Business Case'!D11*$C809*'Business Case'!D12*$B809)-'Business Case'!D11*$C809*'Business Case'!D13*$D809-'Business Case'!D14*$E809))*'Business Case'!$B$7-'Business Case'!$B$8*(('Business Case'!D11*$C809*'Business Case'!D12*$B809)-('Business Case'!C11*$C809*'Business Case'!C12*$B809))-'Business Case'!D15*$F809</f>
        <v>346885216.71186</v>
      </c>
      <c r="K809" s="39" t="n">
        <f aca="false">(('Business Case'!E11*$C809*'Business Case'!E12*$B809)-'Business Case'!E11*$C809*'Business Case'!E13*$D809-'Business Case'!E14*$E809)-MAX(0,(('Business Case'!E11*$C809*'Business Case'!E12*$B809)-'Business Case'!E11*$C809*'Business Case'!E13*$D809-'Business Case'!E14*$E809))*'Business Case'!$B$7-'Business Case'!$B$8*(('Business Case'!E11*$C809*'Business Case'!E12*$B809)-('Business Case'!D11*$C809*'Business Case'!D12*$B809))-'Business Case'!E15*$F809</f>
        <v>718349866.968878</v>
      </c>
      <c r="L809" s="39" t="n">
        <f aca="false">(('Business Case'!F11*$C809*'Business Case'!F12*$B809)-'Business Case'!F11*$C809*'Business Case'!F13*$D809-'Business Case'!F14*$E809)-MAX(0,(('Business Case'!F11*$C809*'Business Case'!F12*$B809)-'Business Case'!F11*$C809*'Business Case'!F13*$D809-'Business Case'!F14*$E809))*'Business Case'!$B$7-'Business Case'!$B$8*(('Business Case'!F11*$C809*'Business Case'!F12*$B809)-('Business Case'!E11*$C809*'Business Case'!E12*$B809))-'Business Case'!F15*$F809</f>
        <v>859769274.886602</v>
      </c>
      <c r="M809" s="39" t="n">
        <f aca="false">(('Business Case'!G11*$C809*'Business Case'!G12*$B809)-'Business Case'!G11*$C809*'Business Case'!G13*$D809-'Business Case'!G14*$E809)-MAX(0,(('Business Case'!G11*$C809*'Business Case'!G12*$B809)-'Business Case'!G11*$C809*'Business Case'!G13*$D809-'Business Case'!G14*$E809))*'Business Case'!$B$7-'Business Case'!$B$8*(('Business Case'!G11*$C809*'Business Case'!G12*$B809)-('Business Case'!F11*$C809*'Business Case'!F12*$B809))-'Business Case'!G15*$F809+'Business Case'!$B$8*('Business Case'!G11*$C809*'Business Case'!G12*$B809)</f>
        <v>1049125622.43044</v>
      </c>
      <c r="N809" s="39" t="n">
        <f aca="false">IF(COUNT('Business Case'!B11:G11)=0,"",H809+NPV(G809,I809:M809))</f>
        <v>38541482.1501303</v>
      </c>
      <c r="P809" s="40" t="n">
        <f aca="true">RAND()</f>
        <v>0.971023938150841</v>
      </c>
      <c r="Q809" s="40" t="n">
        <f aca="true">RAND()</f>
        <v>0.407360585574392</v>
      </c>
      <c r="R809" s="40" t="n">
        <f aca="true">RAND()</f>
        <v>0.354211067226073</v>
      </c>
      <c r="S809" s="40" t="n">
        <f aca="true">RAND()</f>
        <v>0.355150508511267</v>
      </c>
      <c r="T809" s="40" t="n">
        <f aca="true">RAND()</f>
        <v>0.276738911116893</v>
      </c>
      <c r="U809" s="40" t="n">
        <f aca="true">RAND()</f>
        <v>0.590057265060124</v>
      </c>
    </row>
    <row r="810" customFormat="false" ht="15" hidden="false" customHeight="false" outlineLevel="0" collapsed="false">
      <c r="A810" s="36" t="n">
        <v>730</v>
      </c>
      <c r="B810" s="37" t="n">
        <f aca="false">1+IF($G$6=$E$6,$F$6,IF(P810&lt;($F$6-$E$6)/($G$6-$E$6),$E$6+SQRT(P810*($G$6-$E$6)*($F$6-$E$6)),$G$6-SQRT((1-P810)*($G$6-$E$6)*($G$6-$F$6))))</f>
        <v>0.999229560011807</v>
      </c>
      <c r="C810" s="37" t="n">
        <f aca="false">1+IF($G$7=$E$7,$F$7,IF(Q810&lt;($F$7-$E$7)/($G$7-$E$7),$E$7+SQRT(Q810*($G$7-$E$7)*($F$7-$E$7)),$G$7-SQRT((1-Q810)*($G$7-$E$7)*($G$7-$F$7))))</f>
        <v>0.826215880530449</v>
      </c>
      <c r="D810" s="37" t="n">
        <f aca="false">1+IF($G$8=$E$8,$F$8,IF(R810&lt;($F$8-$E$8)/($G$8-$E$8),$E$8+SQRT(R810*($G$8-$E$8)*($F$8-$E$8)),$G$8-SQRT((1-R810)*($G$8-$E$8)*($G$8-$F$8))))</f>
        <v>1.02051963349669</v>
      </c>
      <c r="E810" s="37" t="n">
        <f aca="false">1+IF($G$9=$E$9,$F$9,IF(S810&lt;($F$9-$E$9)/($G$9-$E$9),$E$9+SQRT(S810*($G$9-$E$9)*($F$9-$E$9)),$G$9-SQRT((1-S810)*($G$9-$E$9)*($G$9-$F$9))))</f>
        <v>1.04011325403591</v>
      </c>
      <c r="F810" s="37" t="n">
        <f aca="false">1+IF($G$10=$E$10,$F$10,IF(T810&lt;($F$10-$E$10)/($G$10-$E$10),$E$10+SQRT(T810*($G$10-$E$10)*($F$10-$E$10)),$G$10-SQRT((1-T810)*($G$10-$E$10)*($G$10-$F$10))))</f>
        <v>0.980395725825645</v>
      </c>
      <c r="G810" s="38" t="n">
        <f aca="false">IF($G$11=$E$11,$F$11,IF(U810&lt;($F$11-$E$11)/($G$11-$E$11),$E$11+SQRT(U810*($G$11-$E$11)*($F$11-$E$11)),$G$11-SQRT((1-U810)*($G$11-$E$11)*($G$11-$F$11))))</f>
        <v>0.10078292980996</v>
      </c>
      <c r="H810" s="39" t="n">
        <f aca="false">(('Business Case'!B11*$C810*'Business Case'!B12*$B810)-'Business Case'!B11*$C810*'Business Case'!B13*$D810-'Business Case'!B14*$E810)-MAX(0,(('Business Case'!B11*$C810*'Business Case'!B12*$B810)-'Business Case'!B11*$C810*'Business Case'!B13*$D810-'Business Case'!B14*$E810))*'Business Case'!$B$7-'Business Case'!$B$8*('Business Case'!B11*$C810*'Business Case'!B12*$B810)-'Business Case'!B15*$F810</f>
        <v>-1960791451.65129</v>
      </c>
      <c r="I810" s="39" t="n">
        <f aca="false">(('Business Case'!C11*$C810*'Business Case'!C12*$B810)-'Business Case'!C11*$C810*'Business Case'!C13*$D810-'Business Case'!C14*$E810)-MAX(0,(('Business Case'!C11*$C810*'Business Case'!C12*$B810)-'Business Case'!C11*$C810*'Business Case'!C13*$D810-'Business Case'!C14*$E810))*'Business Case'!$B$7-'Business Case'!$B$8*(('Business Case'!C11*$C810*'Business Case'!C12*$B810)-('Business Case'!B11*$C810*'Business Case'!B12*$B810))-'Business Case'!C15*$F810</f>
        <v>-44168140.7585025</v>
      </c>
      <c r="J810" s="39" t="n">
        <f aca="false">(('Business Case'!D11*$C810*'Business Case'!D12*$B810)-'Business Case'!D11*$C810*'Business Case'!D13*$D810-'Business Case'!D14*$E810)-MAX(0,(('Business Case'!D11*$C810*'Business Case'!D12*$B810)-'Business Case'!D11*$C810*'Business Case'!D13*$D810-'Business Case'!D14*$E810))*'Business Case'!$B$7-'Business Case'!$B$8*(('Business Case'!D11*$C810*'Business Case'!D12*$B810)-('Business Case'!C11*$C810*'Business Case'!C12*$B810))-'Business Case'!D15*$F810</f>
        <v>200405428.296957</v>
      </c>
      <c r="K810" s="39" t="n">
        <f aca="false">(('Business Case'!E11*$C810*'Business Case'!E12*$B810)-'Business Case'!E11*$C810*'Business Case'!E13*$D810-'Business Case'!E14*$E810)-MAX(0,(('Business Case'!E11*$C810*'Business Case'!E12*$B810)-'Business Case'!E11*$C810*'Business Case'!E13*$D810-'Business Case'!E14*$E810))*'Business Case'!$B$7-'Business Case'!$B$8*(('Business Case'!E11*$C810*'Business Case'!E12*$B810)-('Business Case'!D11*$C810*'Business Case'!D12*$B810))-'Business Case'!E15*$F810</f>
        <v>493998783.643698</v>
      </c>
      <c r="L810" s="39" t="n">
        <f aca="false">(('Business Case'!F11*$C810*'Business Case'!F12*$B810)-'Business Case'!F11*$C810*'Business Case'!F13*$D810-'Business Case'!F14*$E810)-MAX(0,(('Business Case'!F11*$C810*'Business Case'!F12*$B810)-'Business Case'!F11*$C810*'Business Case'!F13*$D810-'Business Case'!F14*$E810))*'Business Case'!$B$7-'Business Case'!$B$8*(('Business Case'!F11*$C810*'Business Case'!F12*$B810)-('Business Case'!E11*$C810*'Business Case'!E12*$B810))-'Business Case'!F15*$F810</f>
        <v>604055328.333845</v>
      </c>
      <c r="M810" s="39" t="n">
        <f aca="false">(('Business Case'!G11*$C810*'Business Case'!G12*$B810)-'Business Case'!G11*$C810*'Business Case'!G13*$D810-'Business Case'!G14*$E810)-MAX(0,(('Business Case'!G11*$C810*'Business Case'!G12*$B810)-'Business Case'!G11*$C810*'Business Case'!G13*$D810-'Business Case'!G14*$E810))*'Business Case'!$B$7-'Business Case'!$B$8*(('Business Case'!G11*$C810*'Business Case'!G12*$B810)-('Business Case'!F11*$C810*'Business Case'!F12*$B810))-'Business Case'!G15*$F810+'Business Case'!$B$8*('Business Case'!G11*$C810*'Business Case'!G12*$B810)</f>
        <v>760981447.527976</v>
      </c>
      <c r="N810" s="39" t="n">
        <f aca="false">IF(COUNT('Business Case'!B11:G11)=0,"",H810+NPV(G810,I810:M810))</f>
        <v>-582932693.322586</v>
      </c>
      <c r="P810" s="40" t="n">
        <f aca="true">RAND()</f>
        <v>0.653887831215054</v>
      </c>
      <c r="Q810" s="40" t="n">
        <f aca="true">RAND()</f>
        <v>0.00981817702838229</v>
      </c>
      <c r="R810" s="40" t="n">
        <f aca="true">RAND()</f>
        <v>0.659815961599245</v>
      </c>
      <c r="S810" s="40" t="n">
        <f aca="true">RAND()</f>
        <v>0.760905177188863</v>
      </c>
      <c r="T810" s="40" t="n">
        <f aca="true">RAND()</f>
        <v>0.0739120118774228</v>
      </c>
      <c r="U810" s="40" t="n">
        <f aca="true">RAND()</f>
        <v>0.384507022185101</v>
      </c>
    </row>
    <row r="811" customFormat="false" ht="15" hidden="false" customHeight="false" outlineLevel="0" collapsed="false">
      <c r="A811" s="36" t="n">
        <v>731</v>
      </c>
      <c r="B811" s="37" t="n">
        <f aca="false">1+IF($G$6=$E$6,$F$6,IF(P811&lt;($F$6-$E$6)/($G$6-$E$6),$E$6+SQRT(P811*($G$6-$E$6)*($F$6-$E$6)),$G$6-SQRT((1-P811)*($G$6-$E$6)*($G$6-$F$6))))</f>
        <v>0.947880956162969</v>
      </c>
      <c r="C811" s="37" t="n">
        <f aca="false">1+IF($G$7=$E$7,$F$7,IF(Q811&lt;($F$7-$E$7)/($G$7-$E$7),$E$7+SQRT(Q811*($G$7-$E$7)*($F$7-$E$7)),$G$7-SQRT((1-Q811)*($G$7-$E$7)*($G$7-$F$7))))</f>
        <v>1.01461845341492</v>
      </c>
      <c r="D811" s="37" t="n">
        <f aca="false">1+IF($G$8=$E$8,$F$8,IF(R811&lt;($F$8-$E$8)/($G$8-$E$8),$E$8+SQRT(R811*($G$8-$E$8)*($F$8-$E$8)),$G$8-SQRT((1-R811)*($G$8-$E$8)*($G$8-$F$8))))</f>
        <v>1.05958792350961</v>
      </c>
      <c r="E811" s="37" t="n">
        <f aca="false">1+IF($G$9=$E$9,$F$9,IF(S811&lt;($F$9-$E$9)/($G$9-$E$9),$E$9+SQRT(S811*($G$9-$E$9)*($F$9-$E$9)),$G$9-SQRT((1-S811)*($G$9-$E$9)*($G$9-$F$9))))</f>
        <v>1.01890411998963</v>
      </c>
      <c r="F811" s="37" t="n">
        <f aca="false">1+IF($G$10=$E$10,$F$10,IF(T811&lt;($F$10-$E$10)/($G$10-$E$10),$E$10+SQRT(T811*($G$10-$E$10)*($F$10-$E$10)),$G$10-SQRT((1-T811)*($G$10-$E$10)*($G$10-$F$10))))</f>
        <v>1.00593189197898</v>
      </c>
      <c r="G811" s="38" t="n">
        <f aca="false">IF($G$11=$E$11,$F$11,IF(U811&lt;($F$11-$E$11)/($G$11-$E$11),$E$11+SQRT(U811*($G$11-$E$11)*($F$11-$E$11)),$G$11-SQRT((1-U811)*($G$11-$E$11)*($G$11-$F$11))))</f>
        <v>0.105133419943463</v>
      </c>
      <c r="H811" s="39" t="n">
        <f aca="false">(('Business Case'!B11*$C811*'Business Case'!B12*$B811)-'Business Case'!B11*$C811*'Business Case'!B13*$D811-'Business Case'!B14*$E811)-MAX(0,(('Business Case'!B11*$C811*'Business Case'!B12*$B811)-'Business Case'!B11*$C811*'Business Case'!B13*$D811-'Business Case'!B14*$E811))*'Business Case'!$B$7-'Business Case'!$B$8*('Business Case'!B11*$C811*'Business Case'!B12*$B811)-'Business Case'!B15*$F811</f>
        <v>-2011863783.95797</v>
      </c>
      <c r="I811" s="39" t="n">
        <f aca="false">(('Business Case'!C11*$C811*'Business Case'!C12*$B811)-'Business Case'!C11*$C811*'Business Case'!C13*$D811-'Business Case'!C14*$E811)-MAX(0,(('Business Case'!C11*$C811*'Business Case'!C12*$B811)-'Business Case'!C11*$C811*'Business Case'!C13*$D811-'Business Case'!C14*$E811))*'Business Case'!$B$7-'Business Case'!$B$8*(('Business Case'!C11*$C811*'Business Case'!C12*$B811)-('Business Case'!B11*$C811*'Business Case'!B12*$B811))-'Business Case'!C15*$F811</f>
        <v>-57959215.3994432</v>
      </c>
      <c r="J811" s="39" t="n">
        <f aca="false">(('Business Case'!D11*$C811*'Business Case'!D12*$B811)-'Business Case'!D11*$C811*'Business Case'!D13*$D811-'Business Case'!D14*$E811)-MAX(0,(('Business Case'!D11*$C811*'Business Case'!D12*$B811)-'Business Case'!D11*$C811*'Business Case'!D13*$D811-'Business Case'!D14*$E811))*'Business Case'!$B$7-'Business Case'!$B$8*(('Business Case'!D11*$C811*'Business Case'!D12*$B811)-('Business Case'!C11*$C811*'Business Case'!C12*$B811))-'Business Case'!D15*$F811</f>
        <v>179419396.767679</v>
      </c>
      <c r="K811" s="39" t="n">
        <f aca="false">(('Business Case'!E11*$C811*'Business Case'!E12*$B811)-'Business Case'!E11*$C811*'Business Case'!E13*$D811-'Business Case'!E14*$E811)-MAX(0,(('Business Case'!E11*$C811*'Business Case'!E12*$B811)-'Business Case'!E11*$C811*'Business Case'!E13*$D811-'Business Case'!E14*$E811))*'Business Case'!$B$7-'Business Case'!$B$8*(('Business Case'!E11*$C811*'Business Case'!E12*$B811)-('Business Case'!D11*$C811*'Business Case'!D12*$B811))-'Business Case'!E15*$F811</f>
        <v>467094603.533751</v>
      </c>
      <c r="L811" s="39" t="n">
        <f aca="false">(('Business Case'!F11*$C811*'Business Case'!F12*$B811)-'Business Case'!F11*$C811*'Business Case'!F13*$D811-'Business Case'!F14*$E811)-MAX(0,(('Business Case'!F11*$C811*'Business Case'!F12*$B811)-'Business Case'!F11*$C811*'Business Case'!F13*$D811-'Business Case'!F14*$E811))*'Business Case'!$B$7-'Business Case'!$B$8*(('Business Case'!F11*$C811*'Business Case'!F12*$B811)-('Business Case'!E11*$C811*'Business Case'!E12*$B811))-'Business Case'!F15*$F811</f>
        <v>579458455.926886</v>
      </c>
      <c r="M811" s="39" t="n">
        <f aca="false">(('Business Case'!G11*$C811*'Business Case'!G12*$B811)-'Business Case'!G11*$C811*'Business Case'!G13*$D811-'Business Case'!G14*$E811)-MAX(0,(('Business Case'!G11*$C811*'Business Case'!G12*$B811)-'Business Case'!G11*$C811*'Business Case'!G13*$D811-'Business Case'!G14*$E811))*'Business Case'!$B$7-'Business Case'!$B$8*(('Business Case'!G11*$C811*'Business Case'!G12*$B811)-('Business Case'!F11*$C811*'Business Case'!F12*$B811))-'Business Case'!G15*$F811+'Business Case'!$B$8*('Business Case'!G11*$C811*'Business Case'!G12*$B811)</f>
        <v>762265521.782737</v>
      </c>
      <c r="N811" s="39" t="n">
        <f aca="false">IF(COUNT('Business Case'!B11:G11)=0,"",H811+NPV(G811,I811:M811))</f>
        <v>-720444473.548364</v>
      </c>
      <c r="P811" s="40" t="n">
        <f aca="true">RAND()</f>
        <v>0.0809737204751442</v>
      </c>
      <c r="Q811" s="40" t="n">
        <f aca="true">RAND()</f>
        <v>0.650892130366326</v>
      </c>
      <c r="R811" s="40" t="n">
        <f aca="true">RAND()</f>
        <v>0.959937224360631</v>
      </c>
      <c r="S811" s="40" t="n">
        <f aca="true">RAND()</f>
        <v>0.561563883022961</v>
      </c>
      <c r="T811" s="40" t="n">
        <f aca="true">RAND()</f>
        <v>0.246751388982866</v>
      </c>
      <c r="U811" s="40" t="n">
        <f aca="true">RAND()</f>
        <v>0.631641329037608</v>
      </c>
    </row>
    <row r="812" customFormat="false" ht="15" hidden="false" customHeight="false" outlineLevel="0" collapsed="false">
      <c r="A812" s="36" t="n">
        <v>732</v>
      </c>
      <c r="B812" s="37" t="n">
        <f aca="false">1+IF($G$6=$E$6,$F$6,IF(P812&lt;($F$6-$E$6)/($G$6-$E$6),$E$6+SQRT(P812*($G$6-$E$6)*($F$6-$E$6)),$G$6-SQRT((1-P812)*($G$6-$E$6)*($G$6-$F$6))))</f>
        <v>1.01344142225061</v>
      </c>
      <c r="C812" s="37" t="n">
        <f aca="false">1+IF($G$7=$E$7,$F$7,IF(Q812&lt;($F$7-$E$7)/($G$7-$E$7),$E$7+SQRT(Q812*($G$7-$E$7)*($F$7-$E$7)),$G$7-SQRT((1-Q812)*($G$7-$E$7)*($G$7-$F$7))))</f>
        <v>1.09926239627174</v>
      </c>
      <c r="D812" s="37" t="n">
        <f aca="false">1+IF($G$8=$E$8,$F$8,IF(R812&lt;($F$8-$E$8)/($G$8-$E$8),$E$8+SQRT(R812*($G$8-$E$8)*($F$8-$E$8)),$G$8-SQRT((1-R812)*($G$8-$E$8)*($G$8-$F$8))))</f>
        <v>0.985233184813793</v>
      </c>
      <c r="E812" s="37" t="n">
        <f aca="false">1+IF($G$9=$E$9,$F$9,IF(S812&lt;($F$9-$E$9)/($G$9-$E$9),$E$9+SQRT(S812*($G$9-$E$9)*($F$9-$E$9)),$G$9-SQRT((1-S812)*($G$9-$E$9)*($G$9-$F$9))))</f>
        <v>1.00870789840283</v>
      </c>
      <c r="F812" s="37" t="n">
        <f aca="false">1+IF($G$10=$E$10,$F$10,IF(T812&lt;($F$10-$E$10)/($G$10-$E$10),$E$10+SQRT(T812*($G$10-$E$10)*($F$10-$E$10)),$G$10-SQRT((1-T812)*($G$10-$E$10)*($G$10-$F$10))))</f>
        <v>1.04075357785858</v>
      </c>
      <c r="G812" s="38" t="n">
        <f aca="false">IF($G$11=$E$11,$F$11,IF(U812&lt;($F$11-$E$11)/($G$11-$E$11),$E$11+SQRT(U812*($G$11-$E$11)*($F$11-$E$11)),$G$11-SQRT((1-U812)*($G$11-$E$11)*($G$11-$F$11))))</f>
        <v>0.0941845980896969</v>
      </c>
      <c r="H812" s="39" t="n">
        <f aca="false">(('Business Case'!B11*$C812*'Business Case'!B12*$B812)-'Business Case'!B11*$C812*'Business Case'!B13*$D812-'Business Case'!B14*$E812)-MAX(0,(('Business Case'!B11*$C812*'Business Case'!B12*$B812)-'Business Case'!B11*$C812*'Business Case'!B13*$D812-'Business Case'!B14*$E812))*'Business Case'!$B$7-'Business Case'!$B$8*('Business Case'!B11*$C812*'Business Case'!B12*$B812)-'Business Case'!B15*$F812</f>
        <v>-2081507155.71715</v>
      </c>
      <c r="I812" s="39" t="n">
        <f aca="false">(('Business Case'!C11*$C812*'Business Case'!C12*$B812)-'Business Case'!C11*$C812*'Business Case'!C13*$D812-'Business Case'!C14*$E812)-MAX(0,(('Business Case'!C11*$C812*'Business Case'!C12*$B812)-'Business Case'!C11*$C812*'Business Case'!C13*$D812-'Business Case'!C14*$E812))*'Business Case'!$B$7-'Business Case'!$B$8*(('Business Case'!C11*$C812*'Business Case'!C12*$B812)-('Business Case'!B11*$C812*'Business Case'!B12*$B812))-'Business Case'!C15*$F812</f>
        <v>52787406.4747632</v>
      </c>
      <c r="J812" s="39" t="n">
        <f aca="false">(('Business Case'!D11*$C812*'Business Case'!D12*$B812)-'Business Case'!D11*$C812*'Business Case'!D13*$D812-'Business Case'!D14*$E812)-MAX(0,(('Business Case'!D11*$C812*'Business Case'!D12*$B812)-'Business Case'!D11*$C812*'Business Case'!D13*$D812-'Business Case'!D14*$E812))*'Business Case'!$B$7-'Business Case'!$B$8*(('Business Case'!D11*$C812*'Business Case'!D12*$B812)-('Business Case'!C11*$C812*'Business Case'!C12*$B812))-'Business Case'!D15*$F812</f>
        <v>410840166.208678</v>
      </c>
      <c r="K812" s="39" t="n">
        <f aca="false">(('Business Case'!E11*$C812*'Business Case'!E12*$B812)-'Business Case'!E11*$C812*'Business Case'!E13*$D812-'Business Case'!E14*$E812)-MAX(0,(('Business Case'!E11*$C812*'Business Case'!E12*$B812)-'Business Case'!E11*$C812*'Business Case'!E13*$D812-'Business Case'!E14*$E812))*'Business Case'!$B$7-'Business Case'!$B$8*(('Business Case'!E11*$C812*'Business Case'!E12*$B812)-('Business Case'!D11*$C812*'Business Case'!D12*$B812))-'Business Case'!E15*$F812</f>
        <v>820930604.835521</v>
      </c>
      <c r="L812" s="39" t="n">
        <f aca="false">(('Business Case'!F11*$C812*'Business Case'!F12*$B812)-'Business Case'!F11*$C812*'Business Case'!F13*$D812-'Business Case'!F14*$E812)-MAX(0,(('Business Case'!F11*$C812*'Business Case'!F12*$B812)-'Business Case'!F11*$C812*'Business Case'!F13*$D812-'Business Case'!F14*$E812))*'Business Case'!$B$7-'Business Case'!$B$8*(('Business Case'!F11*$C812*'Business Case'!F12*$B812)-('Business Case'!E11*$C812*'Business Case'!E12*$B812))-'Business Case'!F15*$F812</f>
        <v>978782679.6271</v>
      </c>
      <c r="M812" s="39" t="n">
        <f aca="false">(('Business Case'!G11*$C812*'Business Case'!G12*$B812)-'Business Case'!G11*$C812*'Business Case'!G13*$D812-'Business Case'!G14*$E812)-MAX(0,(('Business Case'!G11*$C812*'Business Case'!G12*$B812)-'Business Case'!G11*$C812*'Business Case'!G13*$D812-'Business Case'!G14*$E812))*'Business Case'!$B$7-'Business Case'!$B$8*(('Business Case'!G11*$C812*'Business Case'!G12*$B812)-('Business Case'!F11*$C812*'Business Case'!F12*$B812))-'Business Case'!G15*$F812+'Business Case'!$B$8*('Business Case'!G11*$C812*'Business Case'!G12*$B812)</f>
        <v>1190539031.46861</v>
      </c>
      <c r="N812" s="39" t="n">
        <f aca="false">IF(COUNT('Business Case'!B11:G11)=0,"",H812+NPV(G812,I812:M812))</f>
        <v>378489576.176806</v>
      </c>
      <c r="P812" s="40" t="n">
        <f aca="true">RAND()</f>
        <v>0.853050405818625</v>
      </c>
      <c r="Q812" s="40" t="n">
        <f aca="true">RAND()</f>
        <v>0.950965629865022</v>
      </c>
      <c r="R812" s="40" t="n">
        <f aca="true">RAND()</f>
        <v>0.190981124941981</v>
      </c>
      <c r="S812" s="40" t="n">
        <f aca="true">RAND()</f>
        <v>0.444383479064738</v>
      </c>
      <c r="T812" s="40" t="n">
        <f aca="true">RAND()</f>
        <v>0.492811540703111</v>
      </c>
      <c r="U812" s="40" t="n">
        <f aca="true">RAND()</f>
        <v>0.0583695372409842</v>
      </c>
    </row>
    <row r="813" customFormat="false" ht="15" hidden="false" customHeight="false" outlineLevel="0" collapsed="false">
      <c r="A813" s="36" t="n">
        <v>733</v>
      </c>
      <c r="B813" s="37" t="n">
        <f aca="false">1+IF($G$6=$E$6,$F$6,IF(P813&lt;($F$6-$E$6)/($G$6-$E$6),$E$6+SQRT(P813*($G$6-$E$6)*($F$6-$E$6)),$G$6-SQRT((1-P813)*($G$6-$E$6)*($G$6-$F$6))))</f>
        <v>0.981621503030564</v>
      </c>
      <c r="C813" s="37" t="n">
        <f aca="false">1+IF($G$7=$E$7,$F$7,IF(Q813&lt;($F$7-$E$7)/($G$7-$E$7),$E$7+SQRT(Q813*($G$7-$E$7)*($F$7-$E$7)),$G$7-SQRT((1-Q813)*($G$7-$E$7)*($G$7-$F$7))))</f>
        <v>0.915162528378179</v>
      </c>
      <c r="D813" s="37" t="n">
        <f aca="false">1+IF($G$8=$E$8,$F$8,IF(R813&lt;($F$8-$E$8)/($G$8-$E$8),$E$8+SQRT(R813*($G$8-$E$8)*($F$8-$E$8)),$G$8-SQRT((1-R813)*($G$8-$E$8)*($G$8-$F$8))))</f>
        <v>1.00435399323519</v>
      </c>
      <c r="E813" s="37" t="n">
        <f aca="false">1+IF($G$9=$E$9,$F$9,IF(S813&lt;($F$9-$E$9)/($G$9-$E$9),$E$9+SQRT(S813*($G$9-$E$9)*($F$9-$E$9)),$G$9-SQRT((1-S813)*($G$9-$E$9)*($G$9-$F$9))))</f>
        <v>0.999773323841334</v>
      </c>
      <c r="F813" s="37" t="n">
        <f aca="false">1+IF($G$10=$E$10,$F$10,IF(T813&lt;($F$10-$E$10)/($G$10-$E$10),$E$10+SQRT(T813*($G$10-$E$10)*($F$10-$E$10)),$G$10-SQRT((1-T813)*($G$10-$E$10)*($G$10-$F$10))))</f>
        <v>1.00055550757295</v>
      </c>
      <c r="G813" s="38" t="n">
        <f aca="false">IF($G$11=$E$11,$F$11,IF(U813&lt;($F$11-$E$11)/($G$11-$E$11),$E$11+SQRT(U813*($G$11-$E$11)*($F$11-$E$11)),$G$11-SQRT((1-U813)*($G$11-$E$11)*($G$11-$F$11))))</f>
        <v>0.106579573755615</v>
      </c>
      <c r="H813" s="39" t="n">
        <f aca="false">(('Business Case'!B11*$C813*'Business Case'!B12*$B813)-'Business Case'!B11*$C813*'Business Case'!B13*$D813-'Business Case'!B14*$E813)-MAX(0,(('Business Case'!B11*$C813*'Business Case'!B12*$B813)-'Business Case'!B11*$C813*'Business Case'!B13*$D813-'Business Case'!B14*$E813))*'Business Case'!$B$7-'Business Case'!$B$8*('Business Case'!B11*$C813*'Business Case'!B12*$B813)-'Business Case'!B15*$F813</f>
        <v>-2001111015.1459</v>
      </c>
      <c r="I813" s="39" t="n">
        <f aca="false">(('Business Case'!C11*$C813*'Business Case'!C12*$B813)-'Business Case'!C11*$C813*'Business Case'!C13*$D813-'Business Case'!C14*$E813)-MAX(0,(('Business Case'!C11*$C813*'Business Case'!C12*$B813)-'Business Case'!C11*$C813*'Business Case'!C13*$D813-'Business Case'!C14*$E813))*'Business Case'!$B$7-'Business Case'!$B$8*(('Business Case'!C11*$C813*'Business Case'!C12*$B813)-('Business Case'!B11*$C813*'Business Case'!B12*$B813))-'Business Case'!C15*$F813</f>
        <v>-23515458.4555553</v>
      </c>
      <c r="J813" s="39" t="n">
        <f aca="false">(('Business Case'!D11*$C813*'Business Case'!D12*$B813)-'Business Case'!D11*$C813*'Business Case'!D13*$D813-'Business Case'!D14*$E813)-MAX(0,(('Business Case'!D11*$C813*'Business Case'!D12*$B813)-'Business Case'!D11*$C813*'Business Case'!D13*$D813-'Business Case'!D14*$E813))*'Business Case'!$B$7-'Business Case'!$B$8*(('Business Case'!D11*$C813*'Business Case'!D12*$B813)-('Business Case'!C11*$C813*'Business Case'!C12*$B813))-'Business Case'!D15*$F813</f>
        <v>241762512.846202</v>
      </c>
      <c r="K813" s="39" t="n">
        <f aca="false">(('Business Case'!E11*$C813*'Business Case'!E12*$B813)-'Business Case'!E11*$C813*'Business Case'!E13*$D813-'Business Case'!E14*$E813)-MAX(0,(('Business Case'!E11*$C813*'Business Case'!E12*$B813)-'Business Case'!E11*$C813*'Business Case'!E13*$D813-'Business Case'!E14*$E813))*'Business Case'!$B$7-'Business Case'!$B$8*(('Business Case'!E11*$C813*'Business Case'!E12*$B813)-('Business Case'!D11*$C813*'Business Case'!D12*$B813))-'Business Case'!E15*$F813</f>
        <v>557068259.526607</v>
      </c>
      <c r="L813" s="39" t="n">
        <f aca="false">(('Business Case'!F11*$C813*'Business Case'!F12*$B813)-'Business Case'!F11*$C813*'Business Case'!F13*$D813-'Business Case'!F14*$E813)-MAX(0,(('Business Case'!F11*$C813*'Business Case'!F12*$B813)-'Business Case'!F11*$C813*'Business Case'!F13*$D813-'Business Case'!F14*$E813))*'Business Case'!$B$7-'Business Case'!$B$8*(('Business Case'!F11*$C813*'Business Case'!F12*$B813)-('Business Case'!E11*$C813*'Business Case'!E12*$B813))-'Business Case'!F15*$F813</f>
        <v>676540991.527046</v>
      </c>
      <c r="M813" s="39" t="n">
        <f aca="false">(('Business Case'!G11*$C813*'Business Case'!G12*$B813)-'Business Case'!G11*$C813*'Business Case'!G13*$D813-'Business Case'!G14*$E813)-MAX(0,(('Business Case'!G11*$C813*'Business Case'!G12*$B813)-'Business Case'!G11*$C813*'Business Case'!G13*$D813-'Business Case'!G14*$E813))*'Business Case'!$B$7-'Business Case'!$B$8*(('Business Case'!G11*$C813*'Business Case'!G12*$B813)-('Business Case'!F11*$C813*'Business Case'!F12*$B813))-'Business Case'!G15*$F813+'Business Case'!$B$8*('Business Case'!G11*$C813*'Business Case'!G12*$B813)</f>
        <v>847298070.142905</v>
      </c>
      <c r="N813" s="39" t="n">
        <f aca="false">IF(COUNT('Business Case'!B11:G11)=0,"",H813+NPV(G813,I813:M813))</f>
        <v>-451970738.891501</v>
      </c>
      <c r="P813" s="40" t="n">
        <f aca="true">RAND()</f>
        <v>0.395542670390185</v>
      </c>
      <c r="Q813" s="40" t="n">
        <f aca="true">RAND()</f>
        <v>0.189462970606498</v>
      </c>
      <c r="R813" s="40" t="n">
        <f aca="true">RAND()</f>
        <v>0.449777082744135</v>
      </c>
      <c r="S813" s="40" t="n">
        <f aca="true">RAND()</f>
        <v>0.330317835495243</v>
      </c>
      <c r="T813" s="40" t="n">
        <f aca="true">RAND()</f>
        <v>0.204437888810336</v>
      </c>
      <c r="U813" s="40" t="n">
        <f aca="true">RAND()</f>
        <v>0.699820265698368</v>
      </c>
    </row>
    <row r="814" customFormat="false" ht="15" hidden="false" customHeight="false" outlineLevel="0" collapsed="false">
      <c r="A814" s="36" t="n">
        <v>734</v>
      </c>
      <c r="B814" s="37" t="n">
        <f aca="false">1+IF($G$6=$E$6,$F$6,IF(P814&lt;($F$6-$E$6)/($G$6-$E$6),$E$6+SQRT(P814*($G$6-$E$6)*($F$6-$E$6)),$G$6-SQRT((1-P814)*($G$6-$E$6)*($G$6-$F$6))))</f>
        <v>0.970859095457108</v>
      </c>
      <c r="C814" s="37" t="n">
        <f aca="false">1+IF($G$7=$E$7,$F$7,IF(Q814&lt;($F$7-$E$7)/($G$7-$E$7),$E$7+SQRT(Q814*($G$7-$E$7)*($F$7-$E$7)),$G$7-SQRT((1-Q814)*($G$7-$E$7)*($G$7-$F$7))))</f>
        <v>1.01334993077879</v>
      </c>
      <c r="D814" s="37" t="n">
        <f aca="false">1+IF($G$8=$E$8,$F$8,IF(R814&lt;($F$8-$E$8)/($G$8-$E$8),$E$8+SQRT(R814*($G$8-$E$8)*($F$8-$E$8)),$G$8-SQRT((1-R814)*($G$8-$E$8)*($G$8-$F$8))))</f>
        <v>1.0328465001928</v>
      </c>
      <c r="E814" s="37" t="n">
        <f aca="false">1+IF($G$9=$E$9,$F$9,IF(S814&lt;($F$9-$E$9)/($G$9-$E$9),$E$9+SQRT(S814*($G$9-$E$9)*($F$9-$E$9)),$G$9-SQRT((1-S814)*($G$9-$E$9)*($G$9-$F$9))))</f>
        <v>1.08664100477442</v>
      </c>
      <c r="F814" s="37" t="n">
        <f aca="false">1+IF($G$10=$E$10,$F$10,IF(T814&lt;($F$10-$E$10)/($G$10-$E$10),$E$10+SQRT(T814*($G$10-$E$10)*($F$10-$E$10)),$G$10-SQRT((1-T814)*($G$10-$E$10)*($G$10-$F$10))))</f>
        <v>0.984559508664396</v>
      </c>
      <c r="G814" s="38" t="n">
        <f aca="false">IF($G$11=$E$11,$F$11,IF(U814&lt;($F$11-$E$11)/($G$11-$E$11),$E$11+SQRT(U814*($G$11-$E$11)*($F$11-$E$11)),$G$11-SQRT((1-U814)*($G$11-$E$11)*($G$11-$F$11))))</f>
        <v>0.109007191338554</v>
      </c>
      <c r="H814" s="39" t="n">
        <f aca="false">(('Business Case'!B11*$C814*'Business Case'!B12*$B814)-'Business Case'!B11*$C814*'Business Case'!B13*$D814-'Business Case'!B14*$E814)-MAX(0,(('Business Case'!B11*$C814*'Business Case'!B12*$B814)-'Business Case'!B11*$C814*'Business Case'!B13*$D814-'Business Case'!B14*$E814))*'Business Case'!$B$7-'Business Case'!$B$8*('Business Case'!B11*$C814*'Business Case'!B12*$B814)-'Business Case'!B15*$F814</f>
        <v>-1969119017.32879</v>
      </c>
      <c r="I814" s="39" t="n">
        <f aca="false">(('Business Case'!C11*$C814*'Business Case'!C12*$B814)-'Business Case'!C11*$C814*'Business Case'!C13*$D814-'Business Case'!C14*$E814)-MAX(0,(('Business Case'!C11*$C814*'Business Case'!C12*$B814)-'Business Case'!C11*$C814*'Business Case'!C13*$D814-'Business Case'!C14*$E814))*'Business Case'!$B$7-'Business Case'!$B$8*(('Business Case'!C11*$C814*'Business Case'!C12*$B814)-('Business Case'!B11*$C814*'Business Case'!B12*$B814))-'Business Case'!C15*$F814</f>
        <v>-33951470.7680303</v>
      </c>
      <c r="J814" s="39" t="n">
        <f aca="false">(('Business Case'!D11*$C814*'Business Case'!D12*$B814)-'Business Case'!D11*$C814*'Business Case'!D13*$D814-'Business Case'!D14*$E814)-MAX(0,(('Business Case'!D11*$C814*'Business Case'!D12*$B814)-'Business Case'!D11*$C814*'Business Case'!D13*$D814-'Business Case'!D14*$E814))*'Business Case'!$B$7-'Business Case'!$B$8*(('Business Case'!D11*$C814*'Business Case'!D12*$B814)-('Business Case'!C11*$C814*'Business Case'!C12*$B814))-'Business Case'!D15*$F814</f>
        <v>236074588.862979</v>
      </c>
      <c r="K814" s="39" t="n">
        <f aca="false">(('Business Case'!E11*$C814*'Business Case'!E12*$B814)-'Business Case'!E11*$C814*'Business Case'!E13*$D814-'Business Case'!E14*$E814)-MAX(0,(('Business Case'!E11*$C814*'Business Case'!E12*$B814)-'Business Case'!E11*$C814*'Business Case'!E13*$D814-'Business Case'!E14*$E814))*'Business Case'!$B$7-'Business Case'!$B$8*(('Business Case'!E11*$C814*'Business Case'!E12*$B814)-('Business Case'!D11*$C814*'Business Case'!D12*$B814))-'Business Case'!E15*$F814</f>
        <v>555328623.927207</v>
      </c>
      <c r="L814" s="39" t="n">
        <f aca="false">(('Business Case'!F11*$C814*'Business Case'!F12*$B814)-'Business Case'!F11*$C814*'Business Case'!F13*$D814-'Business Case'!F14*$E814)-MAX(0,(('Business Case'!F11*$C814*'Business Case'!F12*$B814)-'Business Case'!F11*$C814*'Business Case'!F13*$D814-'Business Case'!F14*$E814))*'Business Case'!$B$7-'Business Case'!$B$8*(('Business Case'!F11*$C814*'Business Case'!F12*$B814)-('Business Case'!E11*$C814*'Business Case'!E12*$B814))-'Business Case'!F15*$F814</f>
        <v>679338129.573328</v>
      </c>
      <c r="M814" s="39" t="n">
        <f aca="false">(('Business Case'!G11*$C814*'Business Case'!G12*$B814)-'Business Case'!G11*$C814*'Business Case'!G13*$D814-'Business Case'!G14*$E814)-MAX(0,(('Business Case'!G11*$C814*'Business Case'!G12*$B814)-'Business Case'!G11*$C814*'Business Case'!G13*$D814-'Business Case'!G14*$E814))*'Business Case'!$B$7-'Business Case'!$B$8*(('Business Case'!G11*$C814*'Business Case'!G12*$B814)-('Business Case'!F11*$C814*'Business Case'!F12*$B814))-'Business Case'!G15*$F814+'Business Case'!$B$8*('Business Case'!G11*$C814*'Business Case'!G12*$B814)</f>
        <v>866342634.636811</v>
      </c>
      <c r="N814" s="39" t="n">
        <f aca="false">IF(COUNT('Business Case'!B11:G11)=0,"",H814+NPV(G814,I814:M814))</f>
        <v>-435100369.079505</v>
      </c>
      <c r="P814" s="40" t="n">
        <f aca="true">RAND()</f>
        <v>0.269442457366173</v>
      </c>
      <c r="Q814" s="40" t="n">
        <f aca="true">RAND()</f>
        <v>0.644319211082612</v>
      </c>
      <c r="R814" s="40" t="n">
        <f aca="true">RAND()</f>
        <v>0.786206486147355</v>
      </c>
      <c r="S814" s="40" t="n">
        <f aca="true">RAND()</f>
        <v>0.988102483104194</v>
      </c>
      <c r="T814" s="40" t="n">
        <f aca="true">RAND()</f>
        <v>0.0955487711299573</v>
      </c>
      <c r="U814" s="40" t="n">
        <f aca="true">RAND()</f>
        <v>0.798596929554725</v>
      </c>
    </row>
    <row r="815" customFormat="false" ht="15" hidden="false" customHeight="false" outlineLevel="0" collapsed="false">
      <c r="A815" s="36" t="n">
        <v>735</v>
      </c>
      <c r="B815" s="37" t="n">
        <f aca="false">1+IF($G$6=$E$6,$F$6,IF(P815&lt;($F$6-$E$6)/($G$6-$E$6),$E$6+SQRT(P815*($G$6-$E$6)*($F$6-$E$6)),$G$6-SQRT((1-P815)*($G$6-$E$6)*($G$6-$F$6))))</f>
        <v>0.99393156450198</v>
      </c>
      <c r="C815" s="37" t="n">
        <f aca="false">1+IF($G$7=$E$7,$F$7,IF(Q815&lt;($F$7-$E$7)/($G$7-$E$7),$E$7+SQRT(Q815*($G$7-$E$7)*($F$7-$E$7)),$G$7-SQRT((1-Q815)*($G$7-$E$7)*($G$7-$F$7))))</f>
        <v>0.964146917957362</v>
      </c>
      <c r="D815" s="37" t="n">
        <f aca="false">1+IF($G$8=$E$8,$F$8,IF(R815&lt;($F$8-$E$8)/($G$8-$E$8),$E$8+SQRT(R815*($G$8-$E$8)*($F$8-$E$8)),$G$8-SQRT((1-R815)*($G$8-$E$8)*($G$8-$F$8))))</f>
        <v>1.01262037268506</v>
      </c>
      <c r="E815" s="37" t="n">
        <f aca="false">1+IF($G$9=$E$9,$F$9,IF(S815&lt;($F$9-$E$9)/($G$9-$E$9),$E$9+SQRT(S815*($G$9-$E$9)*($F$9-$E$9)),$G$9-SQRT((1-S815)*($G$9-$E$9)*($G$9-$F$9))))</f>
        <v>0.995035178990946</v>
      </c>
      <c r="F815" s="37" t="n">
        <f aca="false">1+IF($G$10=$E$10,$F$10,IF(T815&lt;($F$10-$E$10)/($G$10-$E$10),$E$10+SQRT(T815*($G$10-$E$10)*($F$10-$E$10)),$G$10-SQRT((1-T815)*($G$10-$E$10)*($G$10-$F$10))))</f>
        <v>0.976859616131521</v>
      </c>
      <c r="G815" s="38" t="n">
        <f aca="false">IF($G$11=$E$11,$F$11,IF(U815&lt;($F$11-$E$11)/($G$11-$E$11),$E$11+SQRT(U815*($G$11-$E$11)*($F$11-$E$11)),$G$11-SQRT((1-U815)*($G$11-$E$11)*($G$11-$F$11))))</f>
        <v>0.0948076210140896</v>
      </c>
      <c r="H815" s="39" t="n">
        <f aca="false">(('Business Case'!B11*$C815*'Business Case'!B12*$B815)-'Business Case'!B11*$C815*'Business Case'!B13*$D815-'Business Case'!B14*$E815)-MAX(0,(('Business Case'!B11*$C815*'Business Case'!B12*$B815)-'Business Case'!B11*$C815*'Business Case'!B13*$D815-'Business Case'!B14*$E815))*'Business Case'!$B$7-'Business Case'!$B$8*('Business Case'!B11*$C815*'Business Case'!B12*$B815)-'Business Case'!B15*$F815</f>
        <v>-1953719232.26304</v>
      </c>
      <c r="I815" s="39" t="n">
        <f aca="false">(('Business Case'!C11*$C815*'Business Case'!C12*$B815)-'Business Case'!C11*$C815*'Business Case'!C13*$D815-'Business Case'!C14*$E815)-MAX(0,(('Business Case'!C11*$C815*'Business Case'!C12*$B815)-'Business Case'!C11*$C815*'Business Case'!C13*$D815-'Business Case'!C14*$E815))*'Business Case'!$B$7-'Business Case'!$B$8*(('Business Case'!C11*$C815*'Business Case'!C12*$B815)-('Business Case'!B11*$C815*'Business Case'!B12*$B815))-'Business Case'!C15*$F815</f>
        <v>-3739643.76616214</v>
      </c>
      <c r="J815" s="39" t="n">
        <f aca="false">(('Business Case'!D11*$C815*'Business Case'!D12*$B815)-'Business Case'!D11*$C815*'Business Case'!D13*$D815-'Business Case'!D14*$E815)-MAX(0,(('Business Case'!D11*$C815*'Business Case'!D12*$B815)-'Business Case'!D11*$C815*'Business Case'!D13*$D815-'Business Case'!D14*$E815))*'Business Case'!$B$7-'Business Case'!$B$8*(('Business Case'!D11*$C815*'Business Case'!D12*$B815)-('Business Case'!C11*$C815*'Business Case'!C12*$B815))-'Business Case'!D15*$F815</f>
        <v>281378744.002515</v>
      </c>
      <c r="K815" s="39" t="n">
        <f aca="false">(('Business Case'!E11*$C815*'Business Case'!E12*$B815)-'Business Case'!E11*$C815*'Business Case'!E13*$D815-'Business Case'!E14*$E815)-MAX(0,(('Business Case'!E11*$C815*'Business Case'!E12*$B815)-'Business Case'!E11*$C815*'Business Case'!E13*$D815-'Business Case'!E14*$E815))*'Business Case'!$B$7-'Business Case'!$B$8*(('Business Case'!E11*$C815*'Business Case'!E12*$B815)-('Business Case'!D11*$C815*'Business Case'!D12*$B815))-'Business Case'!E15*$F815</f>
        <v>615340112.577767</v>
      </c>
      <c r="L815" s="39" t="n">
        <f aca="false">(('Business Case'!F11*$C815*'Business Case'!F12*$B815)-'Business Case'!F11*$C815*'Business Case'!F13*$D815-'Business Case'!F14*$E815)-MAX(0,(('Business Case'!F11*$C815*'Business Case'!F12*$B815)-'Business Case'!F11*$C815*'Business Case'!F13*$D815-'Business Case'!F14*$E815))*'Business Case'!$B$7-'Business Case'!$B$8*(('Business Case'!F11*$C815*'Business Case'!F12*$B815)-('Business Case'!E11*$C815*'Business Case'!E12*$B815))-'Business Case'!F15*$F815</f>
        <v>743498286.813443</v>
      </c>
      <c r="M815" s="39" t="n">
        <f aca="false">(('Business Case'!G11*$C815*'Business Case'!G12*$B815)-'Business Case'!G11*$C815*'Business Case'!G13*$D815-'Business Case'!G14*$E815)-MAX(0,(('Business Case'!G11*$C815*'Business Case'!G12*$B815)-'Business Case'!G11*$C815*'Business Case'!G13*$D815-'Business Case'!G14*$E815))*'Business Case'!$B$7-'Business Case'!$B$8*(('Business Case'!G11*$C815*'Business Case'!G12*$B815)-('Business Case'!F11*$C815*'Business Case'!F12*$B815))-'Business Case'!G15*$F815+'Business Case'!$B$8*('Business Case'!G11*$C815*'Business Case'!G12*$B815)</f>
        <v>925651200.867082</v>
      </c>
      <c r="N815" s="39" t="n">
        <f aca="false">IF(COUNT('Business Case'!B11:G11)=0,"",H815+NPV(G815,I815:M815))</f>
        <v>-147418378.924475</v>
      </c>
      <c r="P815" s="40" t="n">
        <f aca="true">RAND()</f>
        <v>0.569362107261496</v>
      </c>
      <c r="Q815" s="40" t="n">
        <f aca="true">RAND()</f>
        <v>0.384917295355727</v>
      </c>
      <c r="R815" s="40" t="n">
        <f aca="true">RAND()</f>
        <v>0.563460175278803</v>
      </c>
      <c r="S815" s="40" t="n">
        <f aca="true">RAND()</f>
        <v>0.270422312899541</v>
      </c>
      <c r="T815" s="40" t="n">
        <f aca="true">RAND()</f>
        <v>0.0577151182986134</v>
      </c>
      <c r="U815" s="40" t="n">
        <f aca="true">RAND()</f>
        <v>0.0770440660503867</v>
      </c>
    </row>
    <row r="816" customFormat="false" ht="15" hidden="false" customHeight="false" outlineLevel="0" collapsed="false">
      <c r="A816" s="36" t="n">
        <v>736</v>
      </c>
      <c r="B816" s="37" t="n">
        <f aca="false">1+IF($G$6=$E$6,$F$6,IF(P816&lt;($F$6-$E$6)/($G$6-$E$6),$E$6+SQRT(P816*($G$6-$E$6)*($F$6-$E$6)),$G$6-SQRT((1-P816)*($G$6-$E$6)*($G$6-$F$6))))</f>
        <v>0.980514510082454</v>
      </c>
      <c r="C816" s="37" t="n">
        <f aca="false">1+IF($G$7=$E$7,$F$7,IF(Q816&lt;($F$7-$E$7)/($G$7-$E$7),$E$7+SQRT(Q816*($G$7-$E$7)*($F$7-$E$7)),$G$7-SQRT((1-Q816)*($G$7-$E$7)*($G$7-$F$7))))</f>
        <v>1.13359550532718</v>
      </c>
      <c r="D816" s="37" t="n">
        <f aca="false">1+IF($G$8=$E$8,$F$8,IF(R816&lt;($F$8-$E$8)/($G$8-$E$8),$E$8+SQRT(R816*($G$8-$E$8)*($F$8-$E$8)),$G$8-SQRT((1-R816)*($G$8-$E$8)*($G$8-$F$8))))</f>
        <v>1.00893533425282</v>
      </c>
      <c r="E816" s="37" t="n">
        <f aca="false">1+IF($G$9=$E$9,$F$9,IF(S816&lt;($F$9-$E$9)/($G$9-$E$9),$E$9+SQRT(S816*($G$9-$E$9)*($F$9-$E$9)),$G$9-SQRT((1-S816)*($G$9-$E$9)*($G$9-$F$9))))</f>
        <v>1.01770841925336</v>
      </c>
      <c r="F816" s="37" t="n">
        <f aca="false">1+IF($G$10=$E$10,$F$10,IF(T816&lt;($F$10-$E$10)/($G$10-$E$10),$E$10+SQRT(T816*($G$10-$E$10)*($F$10-$E$10)),$G$10-SQRT((1-T816)*($G$10-$E$10)*($G$10-$F$10))))</f>
        <v>1.03341035024908</v>
      </c>
      <c r="G816" s="38" t="n">
        <f aca="false">IF($G$11=$E$11,$F$11,IF(U816&lt;($F$11-$E$11)/($G$11-$E$11),$E$11+SQRT(U816*($G$11-$E$11)*($F$11-$E$11)),$G$11-SQRT((1-U816)*($G$11-$E$11)*($G$11-$F$11))))</f>
        <v>0.111063965411773</v>
      </c>
      <c r="H816" s="39" t="n">
        <f aca="false">(('Business Case'!B11*$C816*'Business Case'!B12*$B816)-'Business Case'!B11*$C816*'Business Case'!B13*$D816-'Business Case'!B14*$E816)-MAX(0,(('Business Case'!B11*$C816*'Business Case'!B12*$B816)-'Business Case'!B11*$C816*'Business Case'!B13*$D816-'Business Case'!B14*$E816))*'Business Case'!$B$7-'Business Case'!$B$8*('Business Case'!B11*$C816*'Business Case'!B12*$B816)-'Business Case'!B15*$F816</f>
        <v>-2066820700.49816</v>
      </c>
      <c r="I816" s="39" t="n">
        <f aca="false">(('Business Case'!C11*$C816*'Business Case'!C12*$B816)-'Business Case'!C11*$C816*'Business Case'!C13*$D816-'Business Case'!C14*$E816)-MAX(0,(('Business Case'!C11*$C816*'Business Case'!C12*$B816)-'Business Case'!C11*$C816*'Business Case'!C13*$D816-'Business Case'!C14*$E816))*'Business Case'!$B$7-'Business Case'!$B$8*(('Business Case'!C11*$C816*'Business Case'!C12*$B816)-('Business Case'!B11*$C816*'Business Case'!B12*$B816))-'Business Case'!C15*$F816</f>
        <v>19228968.0103269</v>
      </c>
      <c r="J816" s="39" t="n">
        <f aca="false">(('Business Case'!D11*$C816*'Business Case'!D12*$B816)-'Business Case'!D11*$C816*'Business Case'!D13*$D816-'Business Case'!D14*$E816)-MAX(0,(('Business Case'!D11*$C816*'Business Case'!D12*$B816)-'Business Case'!D11*$C816*'Business Case'!D13*$D816-'Business Case'!D14*$E816))*'Business Case'!$B$7-'Business Case'!$B$8*(('Business Case'!D11*$C816*'Business Case'!D12*$B816)-('Business Case'!C11*$C816*'Business Case'!C12*$B816))-'Business Case'!D15*$F816</f>
        <v>344137622.928697</v>
      </c>
      <c r="K816" s="39" t="n">
        <f aca="false">(('Business Case'!E11*$C816*'Business Case'!E12*$B816)-'Business Case'!E11*$C816*'Business Case'!E13*$D816-'Business Case'!E14*$E816)-MAX(0,(('Business Case'!E11*$C816*'Business Case'!E12*$B816)-'Business Case'!E11*$C816*'Business Case'!E13*$D816-'Business Case'!E14*$E816))*'Business Case'!$B$7-'Business Case'!$B$8*(('Business Case'!E11*$C816*'Business Case'!E12*$B816)-('Business Case'!D11*$C816*'Business Case'!D12*$B816))-'Business Case'!E15*$F816</f>
        <v>720716795.359521</v>
      </c>
      <c r="L816" s="39" t="n">
        <f aca="false">(('Business Case'!F11*$C816*'Business Case'!F12*$B816)-'Business Case'!F11*$C816*'Business Case'!F13*$D816-'Business Case'!F14*$E816)-MAX(0,(('Business Case'!F11*$C816*'Business Case'!F12*$B816)-'Business Case'!F11*$C816*'Business Case'!F13*$D816-'Business Case'!F14*$E816))*'Business Case'!$B$7-'Business Case'!$B$8*(('Business Case'!F11*$C816*'Business Case'!F12*$B816)-('Business Case'!E11*$C816*'Business Case'!E12*$B816))-'Business Case'!F15*$F816</f>
        <v>867433356.77585</v>
      </c>
      <c r="M816" s="39" t="n">
        <f aca="false">(('Business Case'!G11*$C816*'Business Case'!G12*$B816)-'Business Case'!G11*$C816*'Business Case'!G13*$D816-'Business Case'!G14*$E816)-MAX(0,(('Business Case'!G11*$C816*'Business Case'!G12*$B816)-'Business Case'!G11*$C816*'Business Case'!G13*$D816-'Business Case'!G14*$E816))*'Business Case'!$B$7-'Business Case'!$B$8*(('Business Case'!G11*$C816*'Business Case'!G12*$B816)-('Business Case'!F11*$C816*'Business Case'!F12*$B816))-'Business Case'!G15*$F816+'Business Case'!$B$8*('Business Case'!G11*$C816*'Business Case'!G12*$B816)</f>
        <v>1078708577.21531</v>
      </c>
      <c r="N816" s="39" t="n">
        <f aca="false">IF(COUNT('Business Case'!B11:G11)=0,"",H816+NPV(G816,I816:M816))</f>
        <v>-38947922.83129</v>
      </c>
      <c r="P816" s="40" t="n">
        <f aca="true">RAND()</f>
        <v>0.381458951095767</v>
      </c>
      <c r="Q816" s="40" t="n">
        <f aca="true">RAND()</f>
        <v>0.994874143895801</v>
      </c>
      <c r="R816" s="40" t="n">
        <f aca="true">RAND()</f>
        <v>0.514405123292429</v>
      </c>
      <c r="S816" s="40" t="n">
        <f aca="true">RAND()</f>
        <v>0.548539715881327</v>
      </c>
      <c r="T816" s="40" t="n">
        <f aca="true">RAND()</f>
        <v>0.444957771917322</v>
      </c>
      <c r="U816" s="40" t="n">
        <f aca="true">RAND()</f>
        <v>0.866912143063353</v>
      </c>
    </row>
    <row r="817" customFormat="false" ht="15" hidden="false" customHeight="false" outlineLevel="0" collapsed="false">
      <c r="A817" s="36" t="n">
        <v>737</v>
      </c>
      <c r="B817" s="37" t="n">
        <f aca="false">1+IF($G$6=$E$6,$F$6,IF(P817&lt;($F$6-$E$6)/($G$6-$E$6),$E$6+SQRT(P817*($G$6-$E$6)*($F$6-$E$6)),$G$6-SQRT((1-P817)*($G$6-$E$6)*($G$6-$F$6))))</f>
        <v>0.955243591192315</v>
      </c>
      <c r="C817" s="37" t="n">
        <f aca="false">1+IF($G$7=$E$7,$F$7,IF(Q817&lt;($F$7-$E$7)/($G$7-$E$7),$E$7+SQRT(Q817*($G$7-$E$7)*($F$7-$E$7)),$G$7-SQRT((1-Q817)*($G$7-$E$7)*($G$7-$F$7))))</f>
        <v>0.959563190887591</v>
      </c>
      <c r="D817" s="37" t="n">
        <f aca="false">1+IF($G$8=$E$8,$F$8,IF(R817&lt;($F$8-$E$8)/($G$8-$E$8),$E$8+SQRT(R817*($G$8-$E$8)*($F$8-$E$8)),$G$8-SQRT((1-R817)*($G$8-$E$8)*($G$8-$F$8))))</f>
        <v>1.01190646128996</v>
      </c>
      <c r="E817" s="37" t="n">
        <f aca="false">1+IF($G$9=$E$9,$F$9,IF(S817&lt;($F$9-$E$9)/($G$9-$E$9),$E$9+SQRT(S817*($G$9-$E$9)*($F$9-$E$9)),$G$9-SQRT((1-S817)*($G$9-$E$9)*($G$9-$F$9))))</f>
        <v>0.993368078711601</v>
      </c>
      <c r="F817" s="37" t="n">
        <f aca="false">1+IF($G$10=$E$10,$F$10,IF(T817&lt;($F$10-$E$10)/($G$10-$E$10),$E$10+SQRT(T817*($G$10-$E$10)*($F$10-$E$10)),$G$10-SQRT((1-T817)*($G$10-$E$10)*($G$10-$F$10))))</f>
        <v>1.11354255285296</v>
      </c>
      <c r="G817" s="38" t="n">
        <f aca="false">IF($G$11=$E$11,$F$11,IF(U817&lt;($F$11-$E$11)/($G$11-$E$11),$E$11+SQRT(U817*($G$11-$E$11)*($F$11-$E$11)),$G$11-SQRT((1-U817)*($G$11-$E$11)*($G$11-$F$11))))</f>
        <v>0.0964323715328861</v>
      </c>
      <c r="H817" s="39" t="n">
        <f aca="false">(('Business Case'!B11*$C817*'Business Case'!B12*$B817)-'Business Case'!B11*$C817*'Business Case'!B13*$D817-'Business Case'!B14*$E817)-MAX(0,(('Business Case'!B11*$C817*'Business Case'!B12*$B817)-'Business Case'!B11*$C817*'Business Case'!B13*$D817-'Business Case'!B14*$E817))*'Business Case'!$B$7-'Business Case'!$B$8*('Business Case'!B11*$C817*'Business Case'!B12*$B817)-'Business Case'!B15*$F817</f>
        <v>-2227085105.70592</v>
      </c>
      <c r="I817" s="39" t="n">
        <f aca="false">(('Business Case'!C11*$C817*'Business Case'!C12*$B817)-'Business Case'!C11*$C817*'Business Case'!C13*$D817-'Business Case'!C14*$E817)-MAX(0,(('Business Case'!C11*$C817*'Business Case'!C12*$B817)-'Business Case'!C11*$C817*'Business Case'!C13*$D817-'Business Case'!C14*$E817))*'Business Case'!$B$7-'Business Case'!$B$8*(('Business Case'!C11*$C817*'Business Case'!C12*$B817)-('Business Case'!B11*$C817*'Business Case'!B12*$B817))-'Business Case'!C15*$F817</f>
        <v>-46421893.3931875</v>
      </c>
      <c r="J817" s="39" t="n">
        <f aca="false">(('Business Case'!D11*$C817*'Business Case'!D12*$B817)-'Business Case'!D11*$C817*'Business Case'!D13*$D817-'Business Case'!D14*$E817)-MAX(0,(('Business Case'!D11*$C817*'Business Case'!D12*$B817)-'Business Case'!D11*$C817*'Business Case'!D13*$D817-'Business Case'!D14*$E817))*'Business Case'!$B$7-'Business Case'!$B$8*(('Business Case'!D11*$C817*'Business Case'!D12*$B817)-('Business Case'!C11*$C817*'Business Case'!C12*$B817))-'Business Case'!D15*$F817</f>
        <v>207284813.23641</v>
      </c>
      <c r="K817" s="39" t="n">
        <f aca="false">(('Business Case'!E11*$C817*'Business Case'!E12*$B817)-'Business Case'!E11*$C817*'Business Case'!E13*$D817-'Business Case'!E14*$E817)-MAX(0,(('Business Case'!E11*$C817*'Business Case'!E12*$B817)-'Business Case'!E11*$C817*'Business Case'!E13*$D817-'Business Case'!E14*$E817))*'Business Case'!$B$7-'Business Case'!$B$8*(('Business Case'!E11*$C817*'Business Case'!E12*$B817)-('Business Case'!D11*$C817*'Business Case'!D12*$B817))-'Business Case'!E15*$F817</f>
        <v>516668647.508656</v>
      </c>
      <c r="L817" s="39" t="n">
        <f aca="false">(('Business Case'!F11*$C817*'Business Case'!F12*$B817)-'Business Case'!F11*$C817*'Business Case'!F13*$D817-'Business Case'!F14*$E817)-MAX(0,(('Business Case'!F11*$C817*'Business Case'!F12*$B817)-'Business Case'!F11*$C817*'Business Case'!F13*$D817-'Business Case'!F14*$E817))*'Business Case'!$B$7-'Business Case'!$B$8*(('Business Case'!F11*$C817*'Business Case'!F12*$B817)-('Business Case'!E11*$C817*'Business Case'!E12*$B817))-'Business Case'!F15*$F817</f>
        <v>632915819.014988</v>
      </c>
      <c r="M817" s="39" t="n">
        <f aca="false">(('Business Case'!G11*$C817*'Business Case'!G12*$B817)-'Business Case'!G11*$C817*'Business Case'!G13*$D817-'Business Case'!G14*$E817)-MAX(0,(('Business Case'!G11*$C817*'Business Case'!G12*$B817)-'Business Case'!G11*$C817*'Business Case'!G13*$D817-'Business Case'!G14*$E817))*'Business Case'!$B$7-'Business Case'!$B$8*(('Business Case'!G11*$C817*'Business Case'!G12*$B817)-('Business Case'!F11*$C817*'Business Case'!F12*$B817))-'Business Case'!G15*$F817+'Business Case'!$B$8*('Business Case'!G11*$C817*'Business Case'!G12*$B817)</f>
        <v>807146300.145553</v>
      </c>
      <c r="N817" s="39" t="n">
        <f aca="false">IF(COUNT('Business Case'!B11:G11)=0,"",H817+NPV(G817,I817:M817))</f>
        <v>-757690050.602455</v>
      </c>
      <c r="P817" s="40" t="n">
        <f aca="true">RAND()</f>
        <v>0.129386533346982</v>
      </c>
      <c r="Q817" s="40" t="n">
        <f aca="true">RAND()</f>
        <v>0.363720169803281</v>
      </c>
      <c r="R817" s="40" t="n">
        <f aca="true">RAND()</f>
        <v>0.554160575571564</v>
      </c>
      <c r="S817" s="40" t="n">
        <f aca="true">RAND()</f>
        <v>0.25077203348475</v>
      </c>
      <c r="T817" s="40" t="n">
        <f aca="true">RAND()</f>
        <v>0.850502196656336</v>
      </c>
      <c r="U817" s="40" t="n">
        <f aca="true">RAND()</f>
        <v>0.13791801179028</v>
      </c>
    </row>
    <row r="818" customFormat="false" ht="15" hidden="false" customHeight="false" outlineLevel="0" collapsed="false">
      <c r="A818" s="36" t="n">
        <v>738</v>
      </c>
      <c r="B818" s="37" t="n">
        <f aca="false">1+IF($G$6=$E$6,$F$6,IF(P818&lt;($F$6-$E$6)/($G$6-$E$6),$E$6+SQRT(P818*($G$6-$E$6)*($F$6-$E$6)),$G$6-SQRT((1-P818)*($G$6-$E$6)*($G$6-$F$6))))</f>
        <v>0.985762318212235</v>
      </c>
      <c r="C818" s="37" t="n">
        <f aca="false">1+IF($G$7=$E$7,$F$7,IF(Q818&lt;($F$7-$E$7)/($G$7-$E$7),$E$7+SQRT(Q818*($G$7-$E$7)*($F$7-$E$7)),$G$7-SQRT((1-Q818)*($G$7-$E$7)*($G$7-$F$7))))</f>
        <v>0.921849980484472</v>
      </c>
      <c r="D818" s="37" t="n">
        <f aca="false">1+IF($G$8=$E$8,$F$8,IF(R818&lt;($F$8-$E$8)/($G$8-$E$8),$E$8+SQRT(R818*($G$8-$E$8)*($F$8-$E$8)),$G$8-SQRT((1-R818)*($G$8-$E$8)*($G$8-$F$8))))</f>
        <v>0.989026415089048</v>
      </c>
      <c r="E818" s="37" t="n">
        <f aca="false">1+IF($G$9=$E$9,$F$9,IF(S818&lt;($F$9-$E$9)/($G$9-$E$9),$E$9+SQRT(S818*($G$9-$E$9)*($F$9-$E$9)),$G$9-SQRT((1-S818)*($G$9-$E$9)*($G$9-$F$9))))</f>
        <v>0.99820699639914</v>
      </c>
      <c r="F818" s="37" t="n">
        <f aca="false">1+IF($G$10=$E$10,$F$10,IF(T818&lt;($F$10-$E$10)/($G$10-$E$10),$E$10+SQRT(T818*($G$10-$E$10)*($F$10-$E$10)),$G$10-SQRT((1-T818)*($G$10-$E$10)*($G$10-$F$10))))</f>
        <v>1.07898217535578</v>
      </c>
      <c r="G818" s="38" t="n">
        <f aca="false">IF($G$11=$E$11,$F$11,IF(U818&lt;($F$11-$E$11)/($G$11-$E$11),$E$11+SQRT(U818*($G$11-$E$11)*($F$11-$E$11)),$G$11-SQRT((1-U818)*($G$11-$E$11)*($G$11-$F$11))))</f>
        <v>0.0991855051065412</v>
      </c>
      <c r="H818" s="39" t="n">
        <f aca="false">(('Business Case'!B11*$C818*'Business Case'!B12*$B818)-'Business Case'!B11*$C818*'Business Case'!B13*$D818-'Business Case'!B14*$E818)-MAX(0,(('Business Case'!B11*$C818*'Business Case'!B12*$B818)-'Business Case'!B11*$C818*'Business Case'!B13*$D818-'Business Case'!B14*$E818))*'Business Case'!$B$7-'Business Case'!$B$8*('Business Case'!B11*$C818*'Business Case'!B12*$B818)-'Business Case'!B15*$F818</f>
        <v>-2157964350.71155</v>
      </c>
      <c r="I818" s="39" t="n">
        <f aca="false">(('Business Case'!C11*$C818*'Business Case'!C12*$B818)-'Business Case'!C11*$C818*'Business Case'!C13*$D818-'Business Case'!C14*$E818)-MAX(0,(('Business Case'!C11*$C818*'Business Case'!C12*$B818)-'Business Case'!C11*$C818*'Business Case'!C13*$D818-'Business Case'!C14*$E818))*'Business Case'!$B$7-'Business Case'!$B$8*(('Business Case'!C11*$C818*'Business Case'!C12*$B818)-('Business Case'!B11*$C818*'Business Case'!B12*$B818))-'Business Case'!C15*$F818</f>
        <v>-19375233.103297</v>
      </c>
      <c r="J818" s="39" t="n">
        <f aca="false">(('Business Case'!D11*$C818*'Business Case'!D12*$B818)-'Business Case'!D11*$C818*'Business Case'!D13*$D818-'Business Case'!D14*$E818)-MAX(0,(('Business Case'!D11*$C818*'Business Case'!D12*$B818)-'Business Case'!D11*$C818*'Business Case'!D13*$D818-'Business Case'!D14*$E818))*'Business Case'!$B$7-'Business Case'!$B$8*(('Business Case'!D11*$C818*'Business Case'!D12*$B818)-('Business Case'!C11*$C818*'Business Case'!C12*$B818))-'Business Case'!D15*$F818</f>
        <v>258201088.859059</v>
      </c>
      <c r="K818" s="39" t="n">
        <f aca="false">(('Business Case'!E11*$C818*'Business Case'!E12*$B818)-'Business Case'!E11*$C818*'Business Case'!E13*$D818-'Business Case'!E14*$E818)-MAX(0,(('Business Case'!E11*$C818*'Business Case'!E12*$B818)-'Business Case'!E11*$C818*'Business Case'!E13*$D818-'Business Case'!E14*$E818))*'Business Case'!$B$7-'Business Case'!$B$8*(('Business Case'!E11*$C818*'Business Case'!E12*$B818)-('Business Case'!D11*$C818*'Business Case'!D12*$B818))-'Business Case'!E15*$F818</f>
        <v>589726519.589203</v>
      </c>
      <c r="L818" s="39" t="n">
        <f aca="false">(('Business Case'!F11*$C818*'Business Case'!F12*$B818)-'Business Case'!F11*$C818*'Business Case'!F13*$D818-'Business Case'!F14*$E818)-MAX(0,(('Business Case'!F11*$C818*'Business Case'!F12*$B818)-'Business Case'!F11*$C818*'Business Case'!F13*$D818-'Business Case'!F14*$E818))*'Business Case'!$B$7-'Business Case'!$B$8*(('Business Case'!F11*$C818*'Business Case'!F12*$B818)-('Business Case'!E11*$C818*'Business Case'!E12*$B818))-'Business Case'!F15*$F818</f>
        <v>713657495.338067</v>
      </c>
      <c r="M818" s="39" t="n">
        <f aca="false">(('Business Case'!G11*$C818*'Business Case'!G12*$B818)-'Business Case'!G11*$C818*'Business Case'!G13*$D818-'Business Case'!G14*$E818)-MAX(0,(('Business Case'!G11*$C818*'Business Case'!G12*$B818)-'Business Case'!G11*$C818*'Business Case'!G13*$D818-'Business Case'!G14*$E818))*'Business Case'!$B$7-'Business Case'!$B$8*(('Business Case'!G11*$C818*'Business Case'!G12*$B818)-('Business Case'!F11*$C818*'Business Case'!F12*$B818))-'Business Case'!G15*$F818+'Business Case'!$B$8*('Business Case'!G11*$C818*'Business Case'!G12*$B818)</f>
        <v>886387938.359164</v>
      </c>
      <c r="N818" s="39" t="n">
        <f aca="false">IF(COUNT('Business Case'!B11:G11)=0,"",H818+NPV(G818,I818:M818))</f>
        <v>-476526245.529907</v>
      </c>
      <c r="P818" s="40" t="n">
        <f aca="true">RAND()</f>
        <v>0.450487760067416</v>
      </c>
      <c r="Q818" s="40" t="n">
        <f aca="true">RAND()</f>
        <v>0.212105967772373</v>
      </c>
      <c r="R818" s="40" t="n">
        <f aca="true">RAND()</f>
        <v>0.23431708841579</v>
      </c>
      <c r="S818" s="40" t="n">
        <f aca="true">RAND()</f>
        <v>0.30985526691022</v>
      </c>
      <c r="T818" s="40" t="n">
        <f aca="true">RAND()</f>
        <v>0.707093722367593</v>
      </c>
      <c r="U818" s="40" t="n">
        <f aca="true">RAND()</f>
        <v>0.281245013540984</v>
      </c>
    </row>
    <row r="819" customFormat="false" ht="15" hidden="false" customHeight="false" outlineLevel="0" collapsed="false">
      <c r="A819" s="36" t="n">
        <v>739</v>
      </c>
      <c r="B819" s="37" t="n">
        <f aca="false">1+IF($G$6=$E$6,$F$6,IF(P819&lt;($F$6-$E$6)/($G$6-$E$6),$E$6+SQRT(P819*($G$6-$E$6)*($F$6-$E$6)),$G$6-SQRT((1-P819)*($G$6-$E$6)*($G$6-$F$6))))</f>
        <v>0.991490300870656</v>
      </c>
      <c r="C819" s="37" t="n">
        <f aca="false">1+IF($G$7=$E$7,$F$7,IF(Q819&lt;($F$7-$E$7)/($G$7-$E$7),$E$7+SQRT(Q819*($G$7-$E$7)*($F$7-$E$7)),$G$7-SQRT((1-Q819)*($G$7-$E$7)*($G$7-$F$7))))</f>
        <v>1.06456250906974</v>
      </c>
      <c r="D819" s="37" t="n">
        <f aca="false">1+IF($G$8=$E$8,$F$8,IF(R819&lt;($F$8-$E$8)/($G$8-$E$8),$E$8+SQRT(R819*($G$8-$E$8)*($F$8-$E$8)),$G$8-SQRT((1-R819)*($G$8-$E$8)*($G$8-$F$8))))</f>
        <v>0.979528210441133</v>
      </c>
      <c r="E819" s="37" t="n">
        <f aca="false">1+IF($G$9=$E$9,$F$9,IF(S819&lt;($F$9-$E$9)/($G$9-$E$9),$E$9+SQRT(S819*($G$9-$E$9)*($F$9-$E$9)),$G$9-SQRT((1-S819)*($G$9-$E$9)*($G$9-$F$9))))</f>
        <v>1.03884109758351</v>
      </c>
      <c r="F819" s="37" t="n">
        <f aca="false">1+IF($G$10=$E$10,$F$10,IF(T819&lt;($F$10-$E$10)/($G$10-$E$10),$E$10+SQRT(T819*($G$10-$E$10)*($F$10-$E$10)),$G$10-SQRT((1-T819)*($G$10-$E$10)*($G$10-$F$10))))</f>
        <v>1.00063623418404</v>
      </c>
      <c r="G819" s="38" t="n">
        <f aca="false">IF($G$11=$E$11,$F$11,IF(U819&lt;($F$11-$E$11)/($G$11-$E$11),$E$11+SQRT(U819*($G$11-$E$11)*($F$11-$E$11)),$G$11-SQRT((1-U819)*($G$11-$E$11)*($G$11-$F$11))))</f>
        <v>0.0987538209414168</v>
      </c>
      <c r="H819" s="39" t="n">
        <f aca="false">(('Business Case'!B11*$C819*'Business Case'!B12*$B819)-'Business Case'!B11*$C819*'Business Case'!B13*$D819-'Business Case'!B14*$E819)-MAX(0,(('Business Case'!B11*$C819*'Business Case'!B12*$B819)-'Business Case'!B11*$C819*'Business Case'!B13*$D819-'Business Case'!B14*$E819))*'Business Case'!$B$7-'Business Case'!$B$8*('Business Case'!B11*$C819*'Business Case'!B12*$B819)-'Business Case'!B15*$F819</f>
        <v>-2001272468.36808</v>
      </c>
      <c r="I819" s="39" t="n">
        <f aca="false">(('Business Case'!C11*$C819*'Business Case'!C12*$B819)-'Business Case'!C11*$C819*'Business Case'!C13*$D819-'Business Case'!C14*$E819)-MAX(0,(('Business Case'!C11*$C819*'Business Case'!C12*$B819)-'Business Case'!C11*$C819*'Business Case'!C13*$D819-'Business Case'!C14*$E819))*'Business Case'!$B$7-'Business Case'!$B$8*(('Business Case'!C11*$C819*'Business Case'!C12*$B819)-('Business Case'!B11*$C819*'Business Case'!B12*$B819))-'Business Case'!C15*$F819</f>
        <v>28214847.6473975</v>
      </c>
      <c r="J819" s="39" t="n">
        <f aca="false">(('Business Case'!D11*$C819*'Business Case'!D12*$B819)-'Business Case'!D11*$C819*'Business Case'!D13*$D819-'Business Case'!D14*$E819)-MAX(0,(('Business Case'!D11*$C819*'Business Case'!D12*$B819)-'Business Case'!D11*$C819*'Business Case'!D13*$D819-'Business Case'!D14*$E819))*'Business Case'!$B$7-'Business Case'!$B$8*(('Business Case'!D11*$C819*'Business Case'!D12*$B819)-('Business Case'!C11*$C819*'Business Case'!C12*$B819))-'Business Case'!D15*$F819</f>
        <v>358933819.170673</v>
      </c>
      <c r="K819" s="39" t="n">
        <f aca="false">(('Business Case'!E11*$C819*'Business Case'!E12*$B819)-'Business Case'!E11*$C819*'Business Case'!E13*$D819-'Business Case'!E14*$E819)-MAX(0,(('Business Case'!E11*$C819*'Business Case'!E12*$B819)-'Business Case'!E11*$C819*'Business Case'!E13*$D819-'Business Case'!E14*$E819))*'Business Case'!$B$7-'Business Case'!$B$8*(('Business Case'!E11*$C819*'Business Case'!E12*$B819)-('Business Case'!D11*$C819*'Business Case'!D12*$B819))-'Business Case'!E15*$F819</f>
        <v>739684602.40315</v>
      </c>
      <c r="L819" s="39" t="n">
        <f aca="false">(('Business Case'!F11*$C819*'Business Case'!F12*$B819)-'Business Case'!F11*$C819*'Business Case'!F13*$D819-'Business Case'!F14*$E819)-MAX(0,(('Business Case'!F11*$C819*'Business Case'!F12*$B819)-'Business Case'!F11*$C819*'Business Case'!F13*$D819-'Business Case'!F14*$E819))*'Business Case'!$B$7-'Business Case'!$B$8*(('Business Case'!F11*$C819*'Business Case'!F12*$B819)-('Business Case'!E11*$C819*'Business Case'!E12*$B819))-'Business Case'!F15*$F819</f>
        <v>886402457.164975</v>
      </c>
      <c r="M819" s="39" t="n">
        <f aca="false">(('Business Case'!G11*$C819*'Business Case'!G12*$B819)-'Business Case'!G11*$C819*'Business Case'!G13*$D819-'Business Case'!G14*$E819)-MAX(0,(('Business Case'!G11*$C819*'Business Case'!G12*$B819)-'Business Case'!G11*$C819*'Business Case'!G13*$D819-'Business Case'!G14*$E819))*'Business Case'!$B$7-'Business Case'!$B$8*(('Business Case'!G11*$C819*'Business Case'!G12*$B819)-('Business Case'!F11*$C819*'Business Case'!F12*$B819))-'Business Case'!G15*$F819+'Business Case'!$B$8*('Business Case'!G11*$C819*'Business Case'!G12*$B819)</f>
        <v>1087032543.89567</v>
      </c>
      <c r="N819" s="39" t="n">
        <f aca="false">IF(COUNT('Business Case'!B11:G11)=0,"",H819+NPV(G819,I819:M819))</f>
        <v>166322421.825115</v>
      </c>
      <c r="P819" s="40" t="n">
        <f aca="true">RAND()</f>
        <v>0.532381574851754</v>
      </c>
      <c r="Q819" s="40" t="n">
        <f aca="true">RAND()</f>
        <v>0.86096066940081</v>
      </c>
      <c r="R819" s="40" t="n">
        <f aca="true">RAND()</f>
        <v>0.134140801823978</v>
      </c>
      <c r="S819" s="40" t="n">
        <f aca="true">RAND()</f>
        <v>0.750639243680655</v>
      </c>
      <c r="T819" s="40" t="n">
        <f aca="true">RAND()</f>
        <v>0.205081777593571</v>
      </c>
      <c r="U819" s="40" t="n">
        <f aca="true">RAND()</f>
        <v>0.255431270247955</v>
      </c>
    </row>
    <row r="820" customFormat="false" ht="15" hidden="false" customHeight="false" outlineLevel="0" collapsed="false">
      <c r="A820" s="36" t="n">
        <v>740</v>
      </c>
      <c r="B820" s="37" t="n">
        <f aca="false">1+IF($G$6=$E$6,$F$6,IF(P820&lt;($F$6-$E$6)/($G$6-$E$6),$E$6+SQRT(P820*($G$6-$E$6)*($F$6-$E$6)),$G$6-SQRT((1-P820)*($G$6-$E$6)*($G$6-$F$6))))</f>
        <v>1.02997496117213</v>
      </c>
      <c r="C820" s="37" t="n">
        <f aca="false">1+IF($G$7=$E$7,$F$7,IF(Q820&lt;($F$7-$E$7)/($G$7-$E$7),$E$7+SQRT(Q820*($G$7-$E$7)*($F$7-$E$7)),$G$7-SQRT((1-Q820)*($G$7-$E$7)*($G$7-$F$7))))</f>
        <v>1.02114573523143</v>
      </c>
      <c r="D820" s="37" t="n">
        <f aca="false">1+IF($G$8=$E$8,$F$8,IF(R820&lt;($F$8-$E$8)/($G$8-$E$8),$E$8+SQRT(R820*($G$8-$E$8)*($F$8-$E$8)),$G$8-SQRT((1-R820)*($G$8-$E$8)*($G$8-$F$8))))</f>
        <v>1.04635295823812</v>
      </c>
      <c r="E820" s="37" t="n">
        <f aca="false">1+IF($G$9=$E$9,$F$9,IF(S820&lt;($F$9-$E$9)/($G$9-$E$9),$E$9+SQRT(S820*($G$9-$E$9)*($F$9-$E$9)),$G$9-SQRT((1-S820)*($G$9-$E$9)*($G$9-$F$9))))</f>
        <v>1.08636332320809</v>
      </c>
      <c r="F820" s="37" t="n">
        <f aca="false">1+IF($G$10=$E$10,$F$10,IF(T820&lt;($F$10-$E$10)/($G$10-$E$10),$E$10+SQRT(T820*($G$10-$E$10)*($F$10-$E$10)),$G$10-SQRT((1-T820)*($G$10-$E$10)*($G$10-$F$10))))</f>
        <v>1.06498176413184</v>
      </c>
      <c r="G820" s="38" t="n">
        <f aca="false">IF($G$11=$E$11,$F$11,IF(U820&lt;($F$11-$E$11)/($G$11-$E$11),$E$11+SQRT(U820*($G$11-$E$11)*($F$11-$E$11)),$G$11-SQRT((1-U820)*($G$11-$E$11)*($G$11-$F$11))))</f>
        <v>0.0974011881567495</v>
      </c>
      <c r="H820" s="39" t="n">
        <f aca="false">(('Business Case'!B11*$C820*'Business Case'!B12*$B820)-'Business Case'!B11*$C820*'Business Case'!B13*$D820-'Business Case'!B14*$E820)-MAX(0,(('Business Case'!B11*$C820*'Business Case'!B12*$B820)-'Business Case'!B11*$C820*'Business Case'!B13*$D820-'Business Case'!B14*$E820))*'Business Case'!$B$7-'Business Case'!$B$8*('Business Case'!B11*$C820*'Business Case'!B12*$B820)-'Business Case'!B15*$F820</f>
        <v>-2129963528.26367</v>
      </c>
      <c r="I820" s="39" t="n">
        <f aca="false">(('Business Case'!C11*$C820*'Business Case'!C12*$B820)-'Business Case'!C11*$C820*'Business Case'!C13*$D820-'Business Case'!C14*$E820)-MAX(0,(('Business Case'!C11*$C820*'Business Case'!C12*$B820)-'Business Case'!C11*$C820*'Business Case'!C13*$D820-'Business Case'!C14*$E820))*'Business Case'!$B$7-'Business Case'!$B$8*(('Business Case'!C11*$C820*'Business Case'!C12*$B820)-('Business Case'!B11*$C820*'Business Case'!B12*$B820))-'Business Case'!C15*$F820</f>
        <v>-1015000.95750865</v>
      </c>
      <c r="J820" s="39" t="n">
        <f aca="false">(('Business Case'!D11*$C820*'Business Case'!D12*$B820)-'Business Case'!D11*$C820*'Business Case'!D13*$D820-'Business Case'!D14*$E820)-MAX(0,(('Business Case'!D11*$C820*'Business Case'!D12*$B820)-'Business Case'!D11*$C820*'Business Case'!D13*$D820-'Business Case'!D14*$E820))*'Business Case'!$B$7-'Business Case'!$B$8*(('Business Case'!D11*$C820*'Business Case'!D12*$B820)-('Business Case'!C11*$C820*'Business Case'!C12*$B820))-'Business Case'!D15*$F820</f>
        <v>313471994.359914</v>
      </c>
      <c r="K820" s="39" t="n">
        <f aca="false">(('Business Case'!E11*$C820*'Business Case'!E12*$B820)-'Business Case'!E11*$C820*'Business Case'!E13*$D820-'Business Case'!E14*$E820)-MAX(0,(('Business Case'!E11*$C820*'Business Case'!E12*$B820)-'Business Case'!E11*$C820*'Business Case'!E13*$D820-'Business Case'!E14*$E820))*'Business Case'!$B$7-'Business Case'!$B$8*(('Business Case'!E11*$C820*'Business Case'!E12*$B820)-('Business Case'!D11*$C820*'Business Case'!D12*$B820))-'Business Case'!E15*$F820</f>
        <v>681208077.883928</v>
      </c>
      <c r="L820" s="39" t="n">
        <f aca="false">(('Business Case'!F11*$C820*'Business Case'!F12*$B820)-'Business Case'!F11*$C820*'Business Case'!F13*$D820-'Business Case'!F14*$E820)-MAX(0,(('Business Case'!F11*$C820*'Business Case'!F12*$B820)-'Business Case'!F11*$C820*'Business Case'!F13*$D820-'Business Case'!F14*$E820))*'Business Case'!$B$7-'Business Case'!$B$8*(('Business Case'!F11*$C820*'Business Case'!F12*$B820)-('Business Case'!E11*$C820*'Business Case'!E12*$B820))-'Business Case'!F15*$F820</f>
        <v>822385713.190774</v>
      </c>
      <c r="M820" s="39" t="n">
        <f aca="false">(('Business Case'!G11*$C820*'Business Case'!G12*$B820)-'Business Case'!G11*$C820*'Business Case'!G13*$D820-'Business Case'!G14*$E820)-MAX(0,(('Business Case'!G11*$C820*'Business Case'!G12*$B820)-'Business Case'!G11*$C820*'Business Case'!G13*$D820-'Business Case'!G14*$E820))*'Business Case'!$B$7-'Business Case'!$B$8*(('Business Case'!G11*$C820*'Business Case'!G12*$B820)-('Business Case'!F11*$C820*'Business Case'!F12*$B820))-'Business Case'!G15*$F820+'Business Case'!$B$8*('Business Case'!G11*$C820*'Business Case'!G12*$B820)</f>
        <v>1022303215.96315</v>
      </c>
      <c r="N820" s="39" t="n">
        <f aca="false">IF(COUNT('Business Case'!B11:G11)=0,"",H820+NPV(G820,I820:M820))</f>
        <v>-145783892.992338</v>
      </c>
      <c r="P820" s="40" t="n">
        <f aca="true">RAND()</f>
        <v>0.979062207604115</v>
      </c>
      <c r="Q820" s="40" t="n">
        <f aca="true">RAND()</f>
        <v>0.683744351446707</v>
      </c>
      <c r="R820" s="40" t="n">
        <f aca="true">RAND()</f>
        <v>0.891141978911009</v>
      </c>
      <c r="S820" s="40" t="n">
        <f aca="true">RAND()</f>
        <v>0.987602736404866</v>
      </c>
      <c r="T820" s="40" t="n">
        <f aca="true">RAND()</f>
        <v>0.635401519660984</v>
      </c>
      <c r="U820" s="40" t="n">
        <f aca="true">RAND()</f>
        <v>0.18259195377203</v>
      </c>
    </row>
    <row r="821" customFormat="false" ht="15" hidden="false" customHeight="false" outlineLevel="0" collapsed="false">
      <c r="A821" s="36" t="n">
        <v>741</v>
      </c>
      <c r="B821" s="37" t="n">
        <f aca="false">1+IF($G$6=$E$6,$F$6,IF(P821&lt;($F$6-$E$6)/($G$6-$E$6),$E$6+SQRT(P821*($G$6-$E$6)*($F$6-$E$6)),$G$6-SQRT((1-P821)*($G$6-$E$6)*($G$6-$F$6))))</f>
        <v>0.985570874973882</v>
      </c>
      <c r="C821" s="37" t="n">
        <f aca="false">1+IF($G$7=$E$7,$F$7,IF(Q821&lt;($F$7-$E$7)/($G$7-$E$7),$E$7+SQRT(Q821*($G$7-$E$7)*($F$7-$E$7)),$G$7-SQRT((1-Q821)*($G$7-$E$7)*($G$7-$F$7))))</f>
        <v>1.02159820546107</v>
      </c>
      <c r="D821" s="37" t="n">
        <f aca="false">1+IF($G$8=$E$8,$F$8,IF(R821&lt;($F$8-$E$8)/($G$8-$E$8),$E$8+SQRT(R821*($G$8-$E$8)*($F$8-$E$8)),$G$8-SQRT((1-R821)*($G$8-$E$8)*($G$8-$F$8))))</f>
        <v>0.99352309353606</v>
      </c>
      <c r="E821" s="37" t="n">
        <f aca="false">1+IF($G$9=$E$9,$F$9,IF(S821&lt;($F$9-$E$9)/($G$9-$E$9),$E$9+SQRT(S821*($G$9-$E$9)*($F$9-$E$9)),$G$9-SQRT((1-S821)*($G$9-$E$9)*($G$9-$F$9))))</f>
        <v>0.993654571578942</v>
      </c>
      <c r="F821" s="37" t="n">
        <f aca="false">1+IF($G$10=$E$10,$F$10,IF(T821&lt;($F$10-$E$10)/($G$10-$E$10),$E$10+SQRT(T821*($G$10-$E$10)*($F$10-$E$10)),$G$10-SQRT((1-T821)*($G$10-$E$10)*($G$10-$F$10))))</f>
        <v>1.03849025161752</v>
      </c>
      <c r="G821" s="38" t="n">
        <f aca="false">IF($G$11=$E$11,$F$11,IF(U821&lt;($F$11-$E$11)/($G$11-$E$11),$E$11+SQRT(U821*($G$11-$E$11)*($F$11-$E$11)),$G$11-SQRT((1-U821)*($G$11-$E$11)*($G$11-$F$11))))</f>
        <v>0.104235370555483</v>
      </c>
      <c r="H821" s="39" t="n">
        <f aca="false">(('Business Case'!B11*$C821*'Business Case'!B12*$B821)-'Business Case'!B11*$C821*'Business Case'!B13*$D821-'Business Case'!B14*$E821)-MAX(0,(('Business Case'!B11*$C821*'Business Case'!B12*$B821)-'Business Case'!B11*$C821*'Business Case'!B13*$D821-'Business Case'!B14*$E821))*'Business Case'!$B$7-'Business Case'!$B$8*('Business Case'!B11*$C821*'Business Case'!B12*$B821)-'Business Case'!B15*$F821</f>
        <v>-2076980503.23503</v>
      </c>
      <c r="I821" s="39" t="n">
        <f aca="false">(('Business Case'!C11*$C821*'Business Case'!C12*$B821)-'Business Case'!C11*$C821*'Business Case'!C13*$D821-'Business Case'!C14*$E821)-MAX(0,(('Business Case'!C11*$C821*'Business Case'!C12*$B821)-'Business Case'!C11*$C821*'Business Case'!C13*$D821-'Business Case'!C14*$E821))*'Business Case'!$B$7-'Business Case'!$B$8*(('Business Case'!C11*$C821*'Business Case'!C12*$B821)-('Business Case'!B11*$C821*'Business Case'!B12*$B821))-'Business Case'!C15*$F821</f>
        <v>7757256.91822997</v>
      </c>
      <c r="J821" s="39" t="n">
        <f aca="false">(('Business Case'!D11*$C821*'Business Case'!D12*$B821)-'Business Case'!D11*$C821*'Business Case'!D13*$D821-'Business Case'!D14*$E821)-MAX(0,(('Business Case'!D11*$C821*'Business Case'!D12*$B821)-'Business Case'!D11*$C821*'Business Case'!D13*$D821-'Business Case'!D14*$E821))*'Business Case'!$B$7-'Business Case'!$B$8*(('Business Case'!D11*$C821*'Business Case'!D12*$B821)-('Business Case'!C11*$C821*'Business Case'!C12*$B821))-'Business Case'!D15*$F821</f>
        <v>312856708.622637</v>
      </c>
      <c r="K821" s="39" t="n">
        <f aca="false">(('Business Case'!E11*$C821*'Business Case'!E12*$B821)-'Business Case'!E11*$C821*'Business Case'!E13*$D821-'Business Case'!E14*$E821)-MAX(0,(('Business Case'!E11*$C821*'Business Case'!E12*$B821)-'Business Case'!E11*$C821*'Business Case'!E13*$D821-'Business Case'!E14*$E821))*'Business Case'!$B$7-'Business Case'!$B$8*(('Business Case'!E11*$C821*'Business Case'!E12*$B821)-('Business Case'!D11*$C821*'Business Case'!D12*$B821))-'Business Case'!E15*$F821</f>
        <v>669880672.907921</v>
      </c>
      <c r="L821" s="39" t="n">
        <f aca="false">(('Business Case'!F11*$C821*'Business Case'!F12*$B821)-'Business Case'!F11*$C821*'Business Case'!F13*$D821-'Business Case'!F14*$E821)-MAX(0,(('Business Case'!F11*$C821*'Business Case'!F12*$B821)-'Business Case'!F11*$C821*'Business Case'!F13*$D821-'Business Case'!F14*$E821))*'Business Case'!$B$7-'Business Case'!$B$8*(('Business Case'!F11*$C821*'Business Case'!F12*$B821)-('Business Case'!E11*$C821*'Business Case'!E12*$B821))-'Business Case'!F15*$F821</f>
        <v>806377483.173323</v>
      </c>
      <c r="M821" s="39" t="n">
        <f aca="false">(('Business Case'!G11*$C821*'Business Case'!G12*$B821)-'Business Case'!G11*$C821*'Business Case'!G13*$D821-'Business Case'!G14*$E821)-MAX(0,(('Business Case'!G11*$C821*'Business Case'!G12*$B821)-'Business Case'!G11*$C821*'Business Case'!G13*$D821-'Business Case'!G14*$E821))*'Business Case'!$B$7-'Business Case'!$B$8*(('Business Case'!G11*$C821*'Business Case'!G12*$B821)-('Business Case'!F11*$C821*'Business Case'!F12*$B821))-'Business Case'!G15*$F821+'Business Case'!$B$8*('Business Case'!G11*$C821*'Business Case'!G12*$B821)</f>
        <v>997760944.841624</v>
      </c>
      <c r="N821" s="39" t="n">
        <f aca="false">IF(COUNT('Business Case'!B11:G11)=0,"",H821+NPV(G821,I821:M821))</f>
        <v>-165747932.5165</v>
      </c>
      <c r="P821" s="40" t="n">
        <f aca="true">RAND()</f>
        <v>0.447868713004213</v>
      </c>
      <c r="Q821" s="40" t="n">
        <f aca="true">RAND()</f>
        <v>0.685961507793944</v>
      </c>
      <c r="R821" s="40" t="n">
        <f aca="true">RAND()</f>
        <v>0.291424564761322</v>
      </c>
      <c r="S821" s="40" t="n">
        <f aca="true">RAND()</f>
        <v>0.25409621596546</v>
      </c>
      <c r="T821" s="40" t="n">
        <f aca="true">RAND()</f>
        <v>0.478292023548544</v>
      </c>
      <c r="U821" s="40" t="n">
        <f aca="true">RAND()</f>
        <v>0.585794097461795</v>
      </c>
    </row>
    <row r="822" customFormat="false" ht="15" hidden="false" customHeight="false" outlineLevel="0" collapsed="false">
      <c r="A822" s="36" t="n">
        <v>742</v>
      </c>
      <c r="B822" s="37" t="n">
        <f aca="false">1+IF($G$6=$E$6,$F$6,IF(P822&lt;($F$6-$E$6)/($G$6-$E$6),$E$6+SQRT(P822*($G$6-$E$6)*($F$6-$E$6)),$G$6-SQRT((1-P822)*($G$6-$E$6)*($G$6-$F$6))))</f>
        <v>1.00639068071091</v>
      </c>
      <c r="C822" s="37" t="n">
        <f aca="false">1+IF($G$7=$E$7,$F$7,IF(Q822&lt;($F$7-$E$7)/($G$7-$E$7),$E$7+SQRT(Q822*($G$7-$E$7)*($F$7-$E$7)),$G$7-SQRT((1-Q822)*($G$7-$E$7)*($G$7-$F$7))))</f>
        <v>1.14274958406807</v>
      </c>
      <c r="D822" s="37" t="n">
        <f aca="false">1+IF($G$8=$E$8,$F$8,IF(R822&lt;($F$8-$E$8)/($G$8-$E$8),$E$8+SQRT(R822*($G$8-$E$8)*($F$8-$E$8)),$G$8-SQRT((1-R822)*($G$8-$E$8)*($G$8-$F$8))))</f>
        <v>1.01173371796192</v>
      </c>
      <c r="E822" s="37" t="n">
        <f aca="false">1+IF($G$9=$E$9,$F$9,IF(S822&lt;($F$9-$E$9)/($G$9-$E$9),$E$9+SQRT(S822*($G$9-$E$9)*($F$9-$E$9)),$G$9-SQRT((1-S822)*($G$9-$E$9)*($G$9-$F$9))))</f>
        <v>1.02181499478417</v>
      </c>
      <c r="F822" s="37" t="n">
        <f aca="false">1+IF($G$10=$E$10,$F$10,IF(T822&lt;($F$10-$E$10)/($G$10-$E$10),$E$10+SQRT(T822*($G$10-$E$10)*($F$10-$E$10)),$G$10-SQRT((1-T822)*($G$10-$E$10)*($G$10-$F$10))))</f>
        <v>1.1099194698454</v>
      </c>
      <c r="G822" s="38" t="n">
        <f aca="false">IF($G$11=$E$11,$F$11,IF(U822&lt;($F$11-$E$11)/($G$11-$E$11),$E$11+SQRT(U822*($G$11-$E$11)*($F$11-$E$11)),$G$11-SQRT((1-U822)*($G$11-$E$11)*($G$11-$F$11))))</f>
        <v>0.101091496948569</v>
      </c>
      <c r="H822" s="39" t="n">
        <f aca="false">(('Business Case'!B11*$C822*'Business Case'!B12*$B822)-'Business Case'!B11*$C822*'Business Case'!B13*$D822-'Business Case'!B14*$E822)-MAX(0,(('Business Case'!B11*$C822*'Business Case'!B12*$B822)-'Business Case'!B11*$C822*'Business Case'!B13*$D822-'Business Case'!B14*$E822))*'Business Case'!$B$7-'Business Case'!$B$8*('Business Case'!B11*$C822*'Business Case'!B12*$B822)-'Business Case'!B15*$F822</f>
        <v>-2219838939.6908</v>
      </c>
      <c r="I822" s="39" t="n">
        <f aca="false">(('Business Case'!C11*$C822*'Business Case'!C12*$B822)-'Business Case'!C11*$C822*'Business Case'!C13*$D822-'Business Case'!C14*$E822)-MAX(0,(('Business Case'!C11*$C822*'Business Case'!C12*$B822)-'Business Case'!C11*$C822*'Business Case'!C13*$D822-'Business Case'!C14*$E822))*'Business Case'!$B$7-'Business Case'!$B$8*(('Business Case'!C11*$C822*'Business Case'!C12*$B822)-('Business Case'!B11*$C822*'Business Case'!B12*$B822))-'Business Case'!C15*$F822</f>
        <v>34202515.3731309</v>
      </c>
      <c r="J822" s="39" t="n">
        <f aca="false">(('Business Case'!D11*$C822*'Business Case'!D12*$B822)-'Business Case'!D11*$C822*'Business Case'!D13*$D822-'Business Case'!D14*$E822)-MAX(0,(('Business Case'!D11*$C822*'Business Case'!D12*$B822)-'Business Case'!D11*$C822*'Business Case'!D13*$D822-'Business Case'!D14*$E822))*'Business Case'!$B$7-'Business Case'!$B$8*(('Business Case'!D11*$C822*'Business Case'!D12*$B822)-('Business Case'!C11*$C822*'Business Case'!C12*$B822))-'Business Case'!D15*$F822</f>
        <v>384317793.237228</v>
      </c>
      <c r="K822" s="39" t="n">
        <f aca="false">(('Business Case'!E11*$C822*'Business Case'!E12*$B822)-'Business Case'!E11*$C822*'Business Case'!E13*$D822-'Business Case'!E14*$E822)-MAX(0,(('Business Case'!E11*$C822*'Business Case'!E12*$B822)-'Business Case'!E11*$C822*'Business Case'!E13*$D822-'Business Case'!E14*$E822))*'Business Case'!$B$7-'Business Case'!$B$8*(('Business Case'!E11*$C822*'Business Case'!E12*$B822)-('Business Case'!D11*$C822*'Business Case'!D12*$B822))-'Business Case'!E15*$F822</f>
        <v>789929044.593595</v>
      </c>
      <c r="L822" s="39" t="n">
        <f aca="false">(('Business Case'!F11*$C822*'Business Case'!F12*$B822)-'Business Case'!F11*$C822*'Business Case'!F13*$D822-'Business Case'!F14*$E822)-MAX(0,(('Business Case'!F11*$C822*'Business Case'!F12*$B822)-'Business Case'!F11*$C822*'Business Case'!F13*$D822-'Business Case'!F14*$E822))*'Business Case'!$B$7-'Business Case'!$B$8*(('Business Case'!F11*$C822*'Business Case'!F12*$B822)-('Business Case'!E11*$C822*'Business Case'!E12*$B822))-'Business Case'!F15*$F822</f>
        <v>946379952.713705</v>
      </c>
      <c r="M822" s="39" t="n">
        <f aca="false">(('Business Case'!G11*$C822*'Business Case'!G12*$B822)-'Business Case'!G11*$C822*'Business Case'!G13*$D822-'Business Case'!G14*$E822)-MAX(0,(('Business Case'!G11*$C822*'Business Case'!G12*$B822)-'Business Case'!G11*$C822*'Business Case'!G13*$D822-'Business Case'!G14*$E822))*'Business Case'!$B$7-'Business Case'!$B$8*(('Business Case'!G11*$C822*'Business Case'!G12*$B822)-('Business Case'!F11*$C822*'Business Case'!F12*$B822))-'Business Case'!G15*$F822+'Business Case'!$B$8*('Business Case'!G11*$C822*'Business Case'!G12*$B822)</f>
        <v>1164981937.9568</v>
      </c>
      <c r="N822" s="39" t="n">
        <f aca="false">IF(COUNT('Business Case'!B11:G11)=0,"",H822+NPV(G822,I822:M822))</f>
        <v>83549197.3798132</v>
      </c>
      <c r="P822" s="40" t="n">
        <f aca="true">RAND()</f>
        <v>0.76466951185918</v>
      </c>
      <c r="Q822" s="40" t="n">
        <f aca="true">RAND()</f>
        <v>0.998998694644077</v>
      </c>
      <c r="R822" s="40" t="n">
        <f aca="true">RAND()</f>
        <v>0.551895647759403</v>
      </c>
      <c r="S822" s="40" t="n">
        <f aca="true">RAND()</f>
        <v>0.592473663960057</v>
      </c>
      <c r="T822" s="40" t="n">
        <f aca="true">RAND()</f>
        <v>0.837709961741326</v>
      </c>
      <c r="U822" s="40" t="n">
        <f aca="true">RAND()</f>
        <v>0.404114187256709</v>
      </c>
    </row>
    <row r="823" customFormat="false" ht="15" hidden="false" customHeight="false" outlineLevel="0" collapsed="false">
      <c r="A823" s="36" t="n">
        <v>743</v>
      </c>
      <c r="B823" s="37" t="n">
        <f aca="false">1+IF($G$6=$E$6,$F$6,IF(P823&lt;($F$6-$E$6)/($G$6-$E$6),$E$6+SQRT(P823*($G$6-$E$6)*($F$6-$E$6)),$G$6-SQRT((1-P823)*($G$6-$E$6)*($G$6-$F$6))))</f>
        <v>0.969561888038852</v>
      </c>
      <c r="C823" s="37" t="n">
        <f aca="false">1+IF($G$7=$E$7,$F$7,IF(Q823&lt;($F$7-$E$7)/($G$7-$E$7),$E$7+SQRT(Q823*($G$7-$E$7)*($F$7-$E$7)),$G$7-SQRT((1-Q823)*($G$7-$E$7)*($G$7-$F$7))))</f>
        <v>0.926185851876775</v>
      </c>
      <c r="D823" s="37" t="n">
        <f aca="false">1+IF($G$8=$E$8,$F$8,IF(R823&lt;($F$8-$E$8)/($G$8-$E$8),$E$8+SQRT(R823*($G$8-$E$8)*($F$8-$E$8)),$G$8-SQRT((1-R823)*($G$8-$E$8)*($G$8-$F$8))))</f>
        <v>1.00321860124309</v>
      </c>
      <c r="E823" s="37" t="n">
        <f aca="false">1+IF($G$9=$E$9,$F$9,IF(S823&lt;($F$9-$E$9)/($G$9-$E$9),$E$9+SQRT(S823*($G$9-$E$9)*($F$9-$E$9)),$G$9-SQRT((1-S823)*($G$9-$E$9)*($G$9-$F$9))))</f>
        <v>1.00178811580116</v>
      </c>
      <c r="F823" s="37" t="n">
        <f aca="false">1+IF($G$10=$E$10,$F$10,IF(T823&lt;($F$10-$E$10)/($G$10-$E$10),$E$10+SQRT(T823*($G$10-$E$10)*($F$10-$E$10)),$G$10-SQRT((1-T823)*($G$10-$E$10)*($G$10-$F$10))))</f>
        <v>1.06225855072841</v>
      </c>
      <c r="G823" s="38" t="n">
        <f aca="false">IF($G$11=$E$11,$F$11,IF(U823&lt;($F$11-$E$11)/($G$11-$E$11),$E$11+SQRT(U823*($G$11-$E$11)*($F$11-$E$11)),$G$11-SQRT((1-U823)*($G$11-$E$11)*($G$11-$F$11))))</f>
        <v>0.116211461910876</v>
      </c>
      <c r="H823" s="39" t="n">
        <f aca="false">(('Business Case'!B11*$C823*'Business Case'!B12*$B823)-'Business Case'!B11*$C823*'Business Case'!B13*$D823-'Business Case'!B14*$E823)-MAX(0,(('Business Case'!B11*$C823*'Business Case'!B12*$B823)-'Business Case'!B11*$C823*'Business Case'!B13*$D823-'Business Case'!B14*$E823))*'Business Case'!$B$7-'Business Case'!$B$8*('Business Case'!B11*$C823*'Business Case'!B12*$B823)-'Business Case'!B15*$F823</f>
        <v>-2124517101.45683</v>
      </c>
      <c r="I823" s="39" t="n">
        <f aca="false">(('Business Case'!C11*$C823*'Business Case'!C12*$B823)-'Business Case'!C11*$C823*'Business Case'!C13*$D823-'Business Case'!C14*$E823)-MAX(0,(('Business Case'!C11*$C823*'Business Case'!C12*$B823)-'Business Case'!C11*$C823*'Business Case'!C13*$D823-'Business Case'!C14*$E823))*'Business Case'!$B$7-'Business Case'!$B$8*(('Business Case'!C11*$C823*'Business Case'!C12*$B823)-('Business Case'!B11*$C823*'Business Case'!B12*$B823))-'Business Case'!C15*$F823</f>
        <v>-35369112.9981058</v>
      </c>
      <c r="J823" s="39" t="n">
        <f aca="false">(('Business Case'!D11*$C823*'Business Case'!D12*$B823)-'Business Case'!D11*$C823*'Business Case'!D13*$D823-'Business Case'!D14*$E823)-MAX(0,(('Business Case'!D11*$C823*'Business Case'!D12*$B823)-'Business Case'!D11*$C823*'Business Case'!D13*$D823-'Business Case'!D14*$E823))*'Business Case'!$B$7-'Business Case'!$B$8*(('Business Case'!D11*$C823*'Business Case'!D12*$B823)-('Business Case'!C11*$C823*'Business Case'!C12*$B823))-'Business Case'!D15*$F823</f>
        <v>224493934.190507</v>
      </c>
      <c r="K823" s="39" t="n">
        <f aca="false">(('Business Case'!E11*$C823*'Business Case'!E12*$B823)-'Business Case'!E11*$C823*'Business Case'!E13*$D823-'Business Case'!E14*$E823)-MAX(0,(('Business Case'!E11*$C823*'Business Case'!E12*$B823)-'Business Case'!E11*$C823*'Business Case'!E13*$D823-'Business Case'!E14*$E823))*'Business Case'!$B$7-'Business Case'!$B$8*(('Business Case'!E11*$C823*'Business Case'!E12*$B823)-('Business Case'!D11*$C823*'Business Case'!D12*$B823))-'Business Case'!E15*$F823</f>
        <v>537469908.915541</v>
      </c>
      <c r="L823" s="39" t="n">
        <f aca="false">(('Business Case'!F11*$C823*'Business Case'!F12*$B823)-'Business Case'!F11*$C823*'Business Case'!F13*$D823-'Business Case'!F14*$E823)-MAX(0,(('Business Case'!F11*$C823*'Business Case'!F12*$B823)-'Business Case'!F11*$C823*'Business Case'!F13*$D823-'Business Case'!F14*$E823))*'Business Case'!$B$7-'Business Case'!$B$8*(('Business Case'!F11*$C823*'Business Case'!F12*$B823)-('Business Case'!E11*$C823*'Business Case'!E12*$B823))-'Business Case'!F15*$F823</f>
        <v>655125614.676379</v>
      </c>
      <c r="M823" s="39" t="n">
        <f aca="false">(('Business Case'!G11*$C823*'Business Case'!G12*$B823)-'Business Case'!G11*$C823*'Business Case'!G13*$D823-'Business Case'!G14*$E823)-MAX(0,(('Business Case'!G11*$C823*'Business Case'!G12*$B823)-'Business Case'!G11*$C823*'Business Case'!G13*$D823-'Business Case'!G14*$E823))*'Business Case'!$B$7-'Business Case'!$B$8*(('Business Case'!G11*$C823*'Business Case'!G12*$B823)-('Business Case'!F11*$C823*'Business Case'!F12*$B823))-'Business Case'!G15*$F823+'Business Case'!$B$8*('Business Case'!G11*$C823*'Business Case'!G12*$B823)</f>
        <v>825816409.848536</v>
      </c>
      <c r="N823" s="39" t="n">
        <f aca="false">IF(COUNT('Business Case'!B11:G11)=0,"",H823+NPV(G823,I823:M823))</f>
        <v>-690930421.043403</v>
      </c>
      <c r="P823" s="40" t="n">
        <f aca="true">RAND()</f>
        <v>0.255872994372473</v>
      </c>
      <c r="Q823" s="40" t="n">
        <f aca="true">RAND()</f>
        <v>0.227469560198107</v>
      </c>
      <c r="R823" s="40" t="n">
        <f aca="true">RAND()</f>
        <v>0.433136231243452</v>
      </c>
      <c r="S823" s="40" t="n">
        <f aca="true">RAND()</f>
        <v>0.356961720140952</v>
      </c>
      <c r="T823" s="40" t="n">
        <f aca="true">RAND()</f>
        <v>0.620545863051266</v>
      </c>
      <c r="U823" s="40" t="n">
        <f aca="true">RAND()</f>
        <v>0.976078298578756</v>
      </c>
    </row>
    <row r="824" customFormat="false" ht="15" hidden="false" customHeight="false" outlineLevel="0" collapsed="false">
      <c r="A824" s="36" t="n">
        <v>744</v>
      </c>
      <c r="B824" s="37" t="n">
        <f aca="false">1+IF($G$6=$E$6,$F$6,IF(P824&lt;($F$6-$E$6)/($G$6-$E$6),$E$6+SQRT(P824*($G$6-$E$6)*($F$6-$E$6)),$G$6-SQRT((1-P824)*($G$6-$E$6)*($G$6-$F$6))))</f>
        <v>0.925653149900889</v>
      </c>
      <c r="C824" s="37" t="n">
        <f aca="false">1+IF($G$7=$E$7,$F$7,IF(Q824&lt;($F$7-$E$7)/($G$7-$E$7),$E$7+SQRT(Q824*($G$7-$E$7)*($F$7-$E$7)),$G$7-SQRT((1-Q824)*($G$7-$E$7)*($G$7-$F$7))))</f>
        <v>0.998220567012828</v>
      </c>
      <c r="D824" s="37" t="n">
        <f aca="false">1+IF($G$8=$E$8,$F$8,IF(R824&lt;($F$8-$E$8)/($G$8-$E$8),$E$8+SQRT(R824*($G$8-$E$8)*($F$8-$E$8)),$G$8-SQRT((1-R824)*($G$8-$E$8)*($G$8-$F$8))))</f>
        <v>1.03851458793291</v>
      </c>
      <c r="E824" s="37" t="n">
        <f aca="false">1+IF($G$9=$E$9,$F$9,IF(S824&lt;($F$9-$E$9)/($G$9-$E$9),$E$9+SQRT(S824*($G$9-$E$9)*($F$9-$E$9)),$G$9-SQRT((1-S824)*($G$9-$E$9)*($G$9-$F$9))))</f>
        <v>1.04612635581865</v>
      </c>
      <c r="F824" s="37" t="n">
        <f aca="false">1+IF($G$10=$E$10,$F$10,IF(T824&lt;($F$10-$E$10)/($G$10-$E$10),$E$10+SQRT(T824*($G$10-$E$10)*($F$10-$E$10)),$G$10-SQRT((1-T824)*($G$10-$E$10)*($G$10-$F$10))))</f>
        <v>1.00483679128453</v>
      </c>
      <c r="G824" s="38" t="n">
        <f aca="false">IF($G$11=$E$11,$F$11,IF(U824&lt;($F$11-$E$11)/($G$11-$E$11),$E$11+SQRT(U824*($G$11-$E$11)*($F$11-$E$11)),$G$11-SQRT((1-U824)*($G$11-$E$11)*($G$11-$F$11))))</f>
        <v>0.0992509546727224</v>
      </c>
      <c r="H824" s="39" t="n">
        <f aca="false">(('Business Case'!B11*$C824*'Business Case'!B12*$B824)-'Business Case'!B11*$C824*'Business Case'!B13*$D824-'Business Case'!B14*$E824)-MAX(0,(('Business Case'!B11*$C824*'Business Case'!B12*$B824)-'Business Case'!B11*$C824*'Business Case'!B13*$D824-'Business Case'!B14*$E824))*'Business Case'!$B$7-'Business Case'!$B$8*('Business Case'!B11*$C824*'Business Case'!B12*$B824)-'Business Case'!B15*$F824</f>
        <v>-2009673582.56907</v>
      </c>
      <c r="I824" s="39" t="n">
        <f aca="false">(('Business Case'!C11*$C824*'Business Case'!C12*$B824)-'Business Case'!C11*$C824*'Business Case'!C13*$D824-'Business Case'!C14*$E824)-MAX(0,(('Business Case'!C11*$C824*'Business Case'!C12*$B824)-'Business Case'!C11*$C824*'Business Case'!C13*$D824-'Business Case'!C14*$E824))*'Business Case'!$B$7-'Business Case'!$B$8*(('Business Case'!C11*$C824*'Business Case'!C12*$B824)-('Business Case'!B11*$C824*'Business Case'!B12*$B824))-'Business Case'!C15*$F824</f>
        <v>-71006242.7399024</v>
      </c>
      <c r="J824" s="39" t="n">
        <f aca="false">(('Business Case'!D11*$C824*'Business Case'!D12*$B824)-'Business Case'!D11*$C824*'Business Case'!D13*$D824-'Business Case'!D14*$E824)-MAX(0,(('Business Case'!D11*$C824*'Business Case'!D12*$B824)-'Business Case'!D11*$C824*'Business Case'!D13*$D824-'Business Case'!D14*$E824))*'Business Case'!$B$7-'Business Case'!$B$8*(('Business Case'!D11*$C824*'Business Case'!D12*$B824)-('Business Case'!C11*$C824*'Business Case'!C12*$B824))-'Business Case'!D15*$F824</f>
        <v>155130833.115982</v>
      </c>
      <c r="K824" s="39" t="n">
        <f aca="false">(('Business Case'!E11*$C824*'Business Case'!E12*$B824)-'Business Case'!E11*$C824*'Business Case'!E13*$D824-'Business Case'!E14*$E824)-MAX(0,(('Business Case'!E11*$C824*'Business Case'!E12*$B824)-'Business Case'!E11*$C824*'Business Case'!E13*$D824-'Business Case'!E14*$E824))*'Business Case'!$B$7-'Business Case'!$B$8*(('Business Case'!E11*$C824*'Business Case'!E12*$B824)-('Business Case'!D11*$C824*'Business Case'!D12*$B824))-'Business Case'!E15*$F824</f>
        <v>431509748.536093</v>
      </c>
      <c r="L824" s="39" t="n">
        <f aca="false">(('Business Case'!F11*$C824*'Business Case'!F12*$B824)-'Business Case'!F11*$C824*'Business Case'!F13*$D824-'Business Case'!F14*$E824)-MAX(0,(('Business Case'!F11*$C824*'Business Case'!F12*$B824)-'Business Case'!F11*$C824*'Business Case'!F13*$D824-'Business Case'!F14*$E824))*'Business Case'!$B$7-'Business Case'!$B$8*(('Business Case'!F11*$C824*'Business Case'!F12*$B824)-('Business Case'!E11*$C824*'Business Case'!E12*$B824))-'Business Case'!F15*$F824</f>
        <v>538822421.601336</v>
      </c>
      <c r="M824" s="39" t="n">
        <f aca="false">(('Business Case'!G11*$C824*'Business Case'!G12*$B824)-'Business Case'!G11*$C824*'Business Case'!G13*$D824-'Business Case'!G14*$E824)-MAX(0,(('Business Case'!G11*$C824*'Business Case'!G12*$B824)-'Business Case'!G11*$C824*'Business Case'!G13*$D824-'Business Case'!G14*$E824))*'Business Case'!$B$7-'Business Case'!$B$8*(('Business Case'!G11*$C824*'Business Case'!G12*$B824)-('Business Case'!F11*$C824*'Business Case'!F12*$B824))-'Business Case'!G15*$F824+'Business Case'!$B$8*('Business Case'!G11*$C824*'Business Case'!G12*$B824)</f>
        <v>714457484.39105</v>
      </c>
      <c r="N824" s="39" t="n">
        <f aca="false">IF(COUNT('Business Case'!B11:G11)=0,"",H824+NPV(G824,I824:M824))</f>
        <v>-806861265.367731</v>
      </c>
      <c r="P824" s="40" t="n">
        <f aca="true">RAND()</f>
        <v>0.00332896914603324</v>
      </c>
      <c r="Q824" s="40" t="n">
        <f aca="true">RAND()</f>
        <v>0.561305616955526</v>
      </c>
      <c r="R824" s="40" t="n">
        <f aca="true">RAND()</f>
        <v>0.834515440925348</v>
      </c>
      <c r="S824" s="40" t="n">
        <f aca="true">RAND()</f>
        <v>0.806508697508051</v>
      </c>
      <c r="T824" s="40" t="n">
        <f aca="true">RAND()</f>
        <v>0.238226439277658</v>
      </c>
      <c r="U824" s="40" t="n">
        <f aca="true">RAND()</f>
        <v>0.285267207855883</v>
      </c>
    </row>
    <row r="825" customFormat="false" ht="15" hidden="false" customHeight="false" outlineLevel="0" collapsed="false">
      <c r="A825" s="36" t="n">
        <v>745</v>
      </c>
      <c r="B825" s="37" t="n">
        <f aca="false">1+IF($G$6=$E$6,$F$6,IF(P825&lt;($F$6-$E$6)/($G$6-$E$6),$E$6+SQRT(P825*($G$6-$E$6)*($F$6-$E$6)),$G$6-SQRT((1-P825)*($G$6-$E$6)*($G$6-$F$6))))</f>
        <v>0.944627113691542</v>
      </c>
      <c r="C825" s="37" t="n">
        <f aca="false">1+IF($G$7=$E$7,$F$7,IF(Q825&lt;($F$7-$E$7)/($G$7-$E$7),$E$7+SQRT(Q825*($G$7-$E$7)*($F$7-$E$7)),$G$7-SQRT((1-Q825)*($G$7-$E$7)*($G$7-$F$7))))</f>
        <v>1.00762473595992</v>
      </c>
      <c r="D825" s="37" t="n">
        <f aca="false">1+IF($G$8=$E$8,$F$8,IF(R825&lt;($F$8-$E$8)/($G$8-$E$8),$E$8+SQRT(R825*($G$8-$E$8)*($F$8-$E$8)),$G$8-SQRT((1-R825)*($G$8-$E$8)*($G$8-$F$8))))</f>
        <v>1.02609204346766</v>
      </c>
      <c r="E825" s="37" t="n">
        <f aca="false">1+IF($G$9=$E$9,$F$9,IF(S825&lt;($F$9-$E$9)/($G$9-$E$9),$E$9+SQRT(S825*($G$9-$E$9)*($F$9-$E$9)),$G$9-SQRT((1-S825)*($G$9-$E$9)*($G$9-$F$9))))</f>
        <v>0.982919815848727</v>
      </c>
      <c r="F825" s="37" t="n">
        <f aca="false">1+IF($G$10=$E$10,$F$10,IF(T825&lt;($F$10-$E$10)/($G$10-$E$10),$E$10+SQRT(T825*($G$10-$E$10)*($F$10-$E$10)),$G$10-SQRT((1-T825)*($G$10-$E$10)*($G$10-$F$10))))</f>
        <v>1.05758219822259</v>
      </c>
      <c r="G825" s="38" t="n">
        <f aca="false">IF($G$11=$E$11,$F$11,IF(U825&lt;($F$11-$E$11)/($G$11-$E$11),$E$11+SQRT(U825*($G$11-$E$11)*($F$11-$E$11)),$G$11-SQRT((1-U825)*($G$11-$E$11)*($G$11-$F$11))))</f>
        <v>0.098990276586542</v>
      </c>
      <c r="H825" s="39" t="n">
        <f aca="false">(('Business Case'!B11*$C825*'Business Case'!B12*$B825)-'Business Case'!B11*$C825*'Business Case'!B13*$D825-'Business Case'!B14*$E825)-MAX(0,(('Business Case'!B11*$C825*'Business Case'!B12*$B825)-'Business Case'!B11*$C825*'Business Case'!B13*$D825-'Business Case'!B14*$E825))*'Business Case'!$B$7-'Business Case'!$B$8*('Business Case'!B11*$C825*'Business Case'!B12*$B825)-'Business Case'!B15*$F825</f>
        <v>-2115164396.44518</v>
      </c>
      <c r="I825" s="39" t="n">
        <f aca="false">(('Business Case'!C11*$C825*'Business Case'!C12*$B825)-'Business Case'!C11*$C825*'Business Case'!C13*$D825-'Business Case'!C14*$E825)-MAX(0,(('Business Case'!C11*$C825*'Business Case'!C12*$B825)-'Business Case'!C11*$C825*'Business Case'!C13*$D825-'Business Case'!C14*$E825))*'Business Case'!$B$7-'Business Case'!$B$8*(('Business Case'!C11*$C825*'Business Case'!C12*$B825)-('Business Case'!B11*$C825*'Business Case'!B12*$B825))-'Business Case'!C15*$F825</f>
        <v>-44537392.2846427</v>
      </c>
      <c r="J825" s="39" t="n">
        <f aca="false">(('Business Case'!D11*$C825*'Business Case'!D12*$B825)-'Business Case'!D11*$C825*'Business Case'!D13*$D825-'Business Case'!D14*$E825)-MAX(0,(('Business Case'!D11*$C825*'Business Case'!D12*$B825)-'Business Case'!D11*$C825*'Business Case'!D13*$D825-'Business Case'!D14*$E825))*'Business Case'!$B$7-'Business Case'!$B$8*(('Business Case'!D11*$C825*'Business Case'!D12*$B825)-('Business Case'!C11*$C825*'Business Case'!C12*$B825))-'Business Case'!D15*$F825</f>
        <v>205797481.91603</v>
      </c>
      <c r="K825" s="39" t="n">
        <f aca="false">(('Business Case'!E11*$C825*'Business Case'!E12*$B825)-'Business Case'!E11*$C825*'Business Case'!E13*$D825-'Business Case'!E14*$E825)-MAX(0,(('Business Case'!E11*$C825*'Business Case'!E12*$B825)-'Business Case'!E11*$C825*'Business Case'!E13*$D825-'Business Case'!E14*$E825))*'Business Case'!$B$7-'Business Case'!$B$8*(('Business Case'!E11*$C825*'Business Case'!E12*$B825)-('Business Case'!D11*$C825*'Business Case'!D12*$B825))-'Business Case'!E15*$F825</f>
        <v>509011466.027831</v>
      </c>
      <c r="L825" s="39" t="n">
        <f aca="false">(('Business Case'!F11*$C825*'Business Case'!F12*$B825)-'Business Case'!F11*$C825*'Business Case'!F13*$D825-'Business Case'!F14*$E825)-MAX(0,(('Business Case'!F11*$C825*'Business Case'!F12*$B825)-'Business Case'!F11*$C825*'Business Case'!F13*$D825-'Business Case'!F14*$E825))*'Business Case'!$B$7-'Business Case'!$B$8*(('Business Case'!F11*$C825*'Business Case'!F12*$B825)-('Business Case'!E11*$C825*'Business Case'!E12*$B825))-'Business Case'!F15*$F825</f>
        <v>625351656.660967</v>
      </c>
      <c r="M825" s="39" t="n">
        <f aca="false">(('Business Case'!G11*$C825*'Business Case'!G12*$B825)-'Business Case'!G11*$C825*'Business Case'!G13*$D825-'Business Case'!G14*$E825)-MAX(0,(('Business Case'!G11*$C825*'Business Case'!G12*$B825)-'Business Case'!G11*$C825*'Business Case'!G13*$D825-'Business Case'!G14*$E825))*'Business Case'!$B$7-'Business Case'!$B$8*(('Business Case'!G11*$C825*'Business Case'!G12*$B825)-('Business Case'!F11*$C825*'Business Case'!F12*$B825))-'Business Case'!G15*$F825+'Business Case'!$B$8*('Business Case'!G11*$C825*'Business Case'!G12*$B825)</f>
        <v>806275435.775312</v>
      </c>
      <c r="N825" s="39" t="n">
        <f aca="false">IF(COUNT('Business Case'!B11:G11)=0,"",H825+NPV(G825,I825:M825))</f>
        <v>-670180819.763319</v>
      </c>
      <c r="P825" s="40" t="n">
        <f aca="true">RAND()</f>
        <v>0.0631765342475148</v>
      </c>
      <c r="Q825" s="40" t="n">
        <f aca="true">RAND()</f>
        <v>0.613891127419364</v>
      </c>
      <c r="R825" s="40" t="n">
        <f aca="true">RAND()</f>
        <v>0.720570406010308</v>
      </c>
      <c r="S825" s="40" t="n">
        <f aca="true">RAND()</f>
        <v>0.144495236735212</v>
      </c>
      <c r="T825" s="40" t="n">
        <f aca="true">RAND()</f>
        <v>0.59434339473782</v>
      </c>
      <c r="U825" s="40" t="n">
        <f aca="true">RAND()</f>
        <v>0.269416910341749</v>
      </c>
    </row>
    <row r="826" customFormat="false" ht="15" hidden="false" customHeight="false" outlineLevel="0" collapsed="false">
      <c r="A826" s="36" t="n">
        <v>746</v>
      </c>
      <c r="B826" s="37" t="n">
        <f aca="false">1+IF($G$6=$E$6,$F$6,IF(P826&lt;($F$6-$E$6)/($G$6-$E$6),$E$6+SQRT(P826*($G$6-$E$6)*($F$6-$E$6)),$G$6-SQRT((1-P826)*($G$6-$E$6)*($G$6-$F$6))))</f>
        <v>0.997739659441065</v>
      </c>
      <c r="C826" s="37" t="n">
        <f aca="false">1+IF($G$7=$E$7,$F$7,IF(Q826&lt;($F$7-$E$7)/($G$7-$E$7),$E$7+SQRT(Q826*($G$7-$E$7)*($F$7-$E$7)),$G$7-SQRT((1-Q826)*($G$7-$E$7)*($G$7-$F$7))))</f>
        <v>1.01052400529357</v>
      </c>
      <c r="D826" s="37" t="n">
        <f aca="false">1+IF($G$8=$E$8,$F$8,IF(R826&lt;($F$8-$E$8)/($G$8-$E$8),$E$8+SQRT(R826*($G$8-$E$8)*($F$8-$E$8)),$G$8-SQRT((1-R826)*($G$8-$E$8)*($G$8-$F$8))))</f>
        <v>1.04246654860076</v>
      </c>
      <c r="E826" s="37" t="n">
        <f aca="false">1+IF($G$9=$E$9,$F$9,IF(S826&lt;($F$9-$E$9)/($G$9-$E$9),$E$9+SQRT(S826*($G$9-$E$9)*($F$9-$E$9)),$G$9-SQRT((1-S826)*($G$9-$E$9)*($G$9-$F$9))))</f>
        <v>0.988723285754584</v>
      </c>
      <c r="F826" s="37" t="n">
        <f aca="false">1+IF($G$10=$E$10,$F$10,IF(T826&lt;($F$10-$E$10)/($G$10-$E$10),$E$10+SQRT(T826*($G$10-$E$10)*($F$10-$E$10)),$G$10-SQRT((1-T826)*($G$10-$E$10)*($G$10-$F$10))))</f>
        <v>1.05148667526681</v>
      </c>
      <c r="G826" s="38" t="n">
        <f aca="false">IF($G$11=$E$11,$F$11,IF(U826&lt;($F$11-$E$11)/($G$11-$E$11),$E$11+SQRT(U826*($G$11-$E$11)*($F$11-$E$11)),$G$11-SQRT((1-U826)*($G$11-$E$11)*($G$11-$F$11))))</f>
        <v>0.108864207403336</v>
      </c>
      <c r="H826" s="39" t="n">
        <f aca="false">(('Business Case'!B11*$C826*'Business Case'!B12*$B826)-'Business Case'!B11*$C826*'Business Case'!B13*$D826-'Business Case'!B14*$E826)-MAX(0,(('Business Case'!B11*$C826*'Business Case'!B12*$B826)-'Business Case'!B11*$C826*'Business Case'!B13*$D826-'Business Case'!B14*$E826))*'Business Case'!$B$7-'Business Case'!$B$8*('Business Case'!B11*$C826*'Business Case'!B12*$B826)-'Business Case'!B15*$F826</f>
        <v>-2102973350.53361</v>
      </c>
      <c r="I826" s="39" t="n">
        <f aca="false">(('Business Case'!C11*$C826*'Business Case'!C12*$B826)-'Business Case'!C11*$C826*'Business Case'!C13*$D826-'Business Case'!C14*$E826)-MAX(0,(('Business Case'!C11*$C826*'Business Case'!C12*$B826)-'Business Case'!C11*$C826*'Business Case'!C13*$D826-'Business Case'!C14*$E826))*'Business Case'!$B$7-'Business Case'!$B$8*(('Business Case'!C11*$C826*'Business Case'!C12*$B826)-('Business Case'!B11*$C826*'Business Case'!B12*$B826))-'Business Case'!C15*$F826</f>
        <v>-11466932.2337486</v>
      </c>
      <c r="J826" s="39" t="n">
        <f aca="false">(('Business Case'!D11*$C826*'Business Case'!D12*$B826)-'Business Case'!D11*$C826*'Business Case'!D13*$D826-'Business Case'!D14*$E826)-MAX(0,(('Business Case'!D11*$C826*'Business Case'!D12*$B826)-'Business Case'!D11*$C826*'Business Case'!D13*$D826-'Business Case'!D14*$E826))*'Business Case'!$B$7-'Business Case'!$B$8*(('Business Case'!D11*$C826*'Business Case'!D12*$B826)-('Business Case'!C11*$C826*'Business Case'!C12*$B826))-'Business Case'!D15*$F826</f>
        <v>275078409.51191</v>
      </c>
      <c r="K826" s="39" t="n">
        <f aca="false">(('Business Case'!E11*$C826*'Business Case'!E12*$B826)-'Business Case'!E11*$C826*'Business Case'!E13*$D826-'Business Case'!E14*$E826)-MAX(0,(('Business Case'!E11*$C826*'Business Case'!E12*$B826)-'Business Case'!E11*$C826*'Business Case'!E13*$D826-'Business Case'!E14*$E826))*'Business Case'!$B$7-'Business Case'!$B$8*(('Business Case'!E11*$C826*'Business Case'!E12*$B826)-('Business Case'!D11*$C826*'Business Case'!D12*$B826))-'Business Case'!E15*$F826</f>
        <v>614198085.020909</v>
      </c>
      <c r="L826" s="39" t="n">
        <f aca="false">(('Business Case'!F11*$C826*'Business Case'!F12*$B826)-'Business Case'!F11*$C826*'Business Case'!F13*$D826-'Business Case'!F14*$E826)-MAX(0,(('Business Case'!F11*$C826*'Business Case'!F12*$B826)-'Business Case'!F11*$C826*'Business Case'!F13*$D826-'Business Case'!F14*$E826))*'Business Case'!$B$7-'Business Case'!$B$8*(('Business Case'!F11*$C826*'Business Case'!F12*$B826)-('Business Case'!E11*$C826*'Business Case'!E12*$B826))-'Business Case'!F15*$F826</f>
        <v>744557969.081745</v>
      </c>
      <c r="M826" s="39" t="n">
        <f aca="false">(('Business Case'!G11*$C826*'Business Case'!G12*$B826)-'Business Case'!G11*$C826*'Business Case'!G13*$D826-'Business Case'!G14*$E826)-MAX(0,(('Business Case'!G11*$C826*'Business Case'!G12*$B826)-'Business Case'!G11*$C826*'Business Case'!G13*$D826-'Business Case'!G14*$E826))*'Business Case'!$B$7-'Business Case'!$B$8*(('Business Case'!G11*$C826*'Business Case'!G12*$B826)-('Business Case'!F11*$C826*'Business Case'!F12*$B826))-'Business Case'!G15*$F826+'Business Case'!$B$8*('Business Case'!G11*$C826*'Business Case'!G12*$B826)</f>
        <v>936204204.882635</v>
      </c>
      <c r="N826" s="39" t="n">
        <f aca="false">IF(COUNT('Business Case'!B11:G11)=0,"",H826+NPV(G826,I826:M826))</f>
        <v>-388200462.383122</v>
      </c>
      <c r="P826" s="40" t="n">
        <f aca="true">RAND()</f>
        <v>0.629526526042992</v>
      </c>
      <c r="Q826" s="40" t="n">
        <f aca="true">RAND()</f>
        <v>0.629456131440967</v>
      </c>
      <c r="R826" s="40" t="n">
        <f aca="true">RAND()</f>
        <v>0.864542310198129</v>
      </c>
      <c r="S826" s="40" t="n">
        <f aca="true">RAND()</f>
        <v>0.199932381284158</v>
      </c>
      <c r="T826" s="40" t="n">
        <f aca="true">RAND()</f>
        <v>0.558875847533854</v>
      </c>
      <c r="U826" s="40" t="n">
        <f aca="true">RAND()</f>
        <v>0.793323538740156</v>
      </c>
    </row>
    <row r="827" customFormat="false" ht="15" hidden="false" customHeight="false" outlineLevel="0" collapsed="false">
      <c r="A827" s="36" t="n">
        <v>747</v>
      </c>
      <c r="B827" s="37" t="n">
        <f aca="false">1+IF($G$6=$E$6,$F$6,IF(P827&lt;($F$6-$E$6)/($G$6-$E$6),$E$6+SQRT(P827*($G$6-$E$6)*($F$6-$E$6)),$G$6-SQRT((1-P827)*($G$6-$E$6)*($G$6-$F$6))))</f>
        <v>0.97946956813481</v>
      </c>
      <c r="C827" s="37" t="n">
        <f aca="false">1+IF($G$7=$E$7,$F$7,IF(Q827&lt;($F$7-$E$7)/($G$7-$E$7),$E$7+SQRT(Q827*($G$7-$E$7)*($F$7-$E$7)),$G$7-SQRT((1-Q827)*($G$7-$E$7)*($G$7-$F$7))))</f>
        <v>0.94534656085788</v>
      </c>
      <c r="D827" s="37" t="n">
        <f aca="false">1+IF($G$8=$E$8,$F$8,IF(R827&lt;($F$8-$E$8)/($G$8-$E$8),$E$8+SQRT(R827*($G$8-$E$8)*($F$8-$E$8)),$G$8-SQRT((1-R827)*($G$8-$E$8)*($G$8-$F$8))))</f>
        <v>1.06128275387708</v>
      </c>
      <c r="E827" s="37" t="n">
        <f aca="false">1+IF($G$9=$E$9,$F$9,IF(S827&lt;($F$9-$E$9)/($G$9-$E$9),$E$9+SQRT(S827*($G$9-$E$9)*($F$9-$E$9)),$G$9-SQRT((1-S827)*($G$9-$E$9)*($G$9-$F$9))))</f>
        <v>0.987873166133692</v>
      </c>
      <c r="F827" s="37" t="n">
        <f aca="false">1+IF($G$10=$E$10,$F$10,IF(T827&lt;($F$10-$E$10)/($G$10-$E$10),$E$10+SQRT(T827*($G$10-$E$10)*($F$10-$E$10)),$G$10-SQRT((1-T827)*($G$10-$E$10)*($G$10-$F$10))))</f>
        <v>1.11566413686807</v>
      </c>
      <c r="G827" s="38" t="n">
        <f aca="false">IF($G$11=$E$11,$F$11,IF(U827&lt;($F$11-$E$11)/($G$11-$E$11),$E$11+SQRT(U827*($G$11-$E$11)*($F$11-$E$11)),$G$11-SQRT((1-U827)*($G$11-$E$11)*($G$11-$F$11))))</f>
        <v>0.112711419581331</v>
      </c>
      <c r="H827" s="39" t="n">
        <f aca="false">(('Business Case'!B11*$C827*'Business Case'!B12*$B827)-'Business Case'!B11*$C827*'Business Case'!B13*$D827-'Business Case'!B14*$E827)-MAX(0,(('Business Case'!B11*$C827*'Business Case'!B12*$B827)-'Business Case'!B11*$C827*'Business Case'!B13*$D827-'Business Case'!B14*$E827))*'Business Case'!$B$7-'Business Case'!$B$8*('Business Case'!B11*$C827*'Business Case'!B12*$B827)-'Business Case'!B15*$F827</f>
        <v>-2231328273.73614</v>
      </c>
      <c r="I827" s="39" t="n">
        <f aca="false">(('Business Case'!C11*$C827*'Business Case'!C12*$B827)-'Business Case'!C11*$C827*'Business Case'!C13*$D827-'Business Case'!C14*$E827)-MAX(0,(('Business Case'!C11*$C827*'Business Case'!C12*$B827)-'Business Case'!C11*$C827*'Business Case'!C13*$D827-'Business Case'!C14*$E827))*'Business Case'!$B$7-'Business Case'!$B$8*(('Business Case'!C11*$C827*'Business Case'!C12*$B827)-('Business Case'!B11*$C827*'Business Case'!B12*$B827))-'Business Case'!C15*$F827</f>
        <v>-55231668.6399792</v>
      </c>
      <c r="J827" s="39" t="n">
        <f aca="false">(('Business Case'!D11*$C827*'Business Case'!D12*$B827)-'Business Case'!D11*$C827*'Business Case'!D13*$D827-'Business Case'!D14*$E827)-MAX(0,(('Business Case'!D11*$C827*'Business Case'!D12*$B827)-'Business Case'!D11*$C827*'Business Case'!D13*$D827-'Business Case'!D14*$E827))*'Business Case'!$B$7-'Business Case'!$B$8*(('Business Case'!D11*$C827*'Business Case'!D12*$B827)-('Business Case'!C11*$C827*'Business Case'!C12*$B827))-'Business Case'!D15*$F827</f>
        <v>189579276.28149</v>
      </c>
      <c r="K827" s="39" t="n">
        <f aca="false">(('Business Case'!E11*$C827*'Business Case'!E12*$B827)-'Business Case'!E11*$C827*'Business Case'!E13*$D827-'Business Case'!E14*$E827)-MAX(0,(('Business Case'!E11*$C827*'Business Case'!E12*$B827)-'Business Case'!E11*$C827*'Business Case'!E13*$D827-'Business Case'!E14*$E827))*'Business Case'!$B$7-'Business Case'!$B$8*(('Business Case'!E11*$C827*'Business Case'!E12*$B827)-('Business Case'!D11*$C827*'Business Case'!D12*$B827))-'Business Case'!E15*$F827</f>
        <v>490173428.046362</v>
      </c>
      <c r="L827" s="39" t="n">
        <f aca="false">(('Business Case'!F11*$C827*'Business Case'!F12*$B827)-'Business Case'!F11*$C827*'Business Case'!F13*$D827-'Business Case'!F14*$E827)-MAX(0,(('Business Case'!F11*$C827*'Business Case'!F12*$B827)-'Business Case'!F11*$C827*'Business Case'!F13*$D827-'Business Case'!F14*$E827))*'Business Case'!$B$7-'Business Case'!$B$8*(('Business Case'!F11*$C827*'Business Case'!F12*$B827)-('Business Case'!E11*$C827*'Business Case'!E12*$B827))-'Business Case'!F15*$F827</f>
        <v>603777500.120471</v>
      </c>
      <c r="M827" s="39" t="n">
        <f aca="false">(('Business Case'!G11*$C827*'Business Case'!G12*$B827)-'Business Case'!G11*$C827*'Business Case'!G13*$D827-'Business Case'!G14*$E827)-MAX(0,(('Business Case'!G11*$C827*'Business Case'!G12*$B827)-'Business Case'!G11*$C827*'Business Case'!G13*$D827-'Business Case'!G14*$E827))*'Business Case'!$B$7-'Business Case'!$B$8*(('Business Case'!G11*$C827*'Business Case'!G12*$B827)-('Business Case'!F11*$C827*'Business Case'!F12*$B827))-'Business Case'!G15*$F827+'Business Case'!$B$8*('Business Case'!G11*$C827*'Business Case'!G12*$B827)</f>
        <v>779779830.838714</v>
      </c>
      <c r="N827" s="39" t="n">
        <f aca="false">IF(COUNT('Business Case'!B11:G11)=0,"",H827+NPV(G827,I827:M827))</f>
        <v>-921035586.394736</v>
      </c>
      <c r="P827" s="40" t="n">
        <f aca="true">RAND()</f>
        <v>0.368398909806329</v>
      </c>
      <c r="Q827" s="40" t="n">
        <f aca="true">RAND()</f>
        <v>0.30179461076019</v>
      </c>
      <c r="R827" s="40" t="n">
        <f aca="true">RAND()</f>
        <v>0.966313913228258</v>
      </c>
      <c r="S827" s="40" t="n">
        <f aca="true">RAND()</f>
        <v>0.1912502283987</v>
      </c>
      <c r="T827" s="40" t="n">
        <f aca="true">RAND()</f>
        <v>0.85774924379585</v>
      </c>
      <c r="U827" s="40" t="n">
        <f aca="true">RAND()</f>
        <v>0.911460992467657</v>
      </c>
    </row>
    <row r="828" customFormat="false" ht="15" hidden="false" customHeight="false" outlineLevel="0" collapsed="false">
      <c r="A828" s="36" t="n">
        <v>748</v>
      </c>
      <c r="B828" s="37" t="n">
        <f aca="false">1+IF($G$6=$E$6,$F$6,IF(P828&lt;($F$6-$E$6)/($G$6-$E$6),$E$6+SQRT(P828*($G$6-$E$6)*($F$6-$E$6)),$G$6-SQRT((1-P828)*($G$6-$E$6)*($G$6-$F$6))))</f>
        <v>0.977881804723468</v>
      </c>
      <c r="C828" s="37" t="n">
        <f aca="false">1+IF($G$7=$E$7,$F$7,IF(Q828&lt;($F$7-$E$7)/($G$7-$E$7),$E$7+SQRT(Q828*($G$7-$E$7)*($F$7-$E$7)),$G$7-SQRT((1-Q828)*($G$7-$E$7)*($G$7-$F$7))))</f>
        <v>1.04238020385299</v>
      </c>
      <c r="D828" s="37" t="n">
        <f aca="false">1+IF($G$8=$E$8,$F$8,IF(R828&lt;($F$8-$E$8)/($G$8-$E$8),$E$8+SQRT(R828*($G$8-$E$8)*($F$8-$E$8)),$G$8-SQRT((1-R828)*($G$8-$E$8)*($G$8-$F$8))))</f>
        <v>1.01083101636285</v>
      </c>
      <c r="E828" s="37" t="n">
        <f aca="false">1+IF($G$9=$E$9,$F$9,IF(S828&lt;($F$9-$E$9)/($G$9-$E$9),$E$9+SQRT(S828*($G$9-$E$9)*($F$9-$E$9)),$G$9-SQRT((1-S828)*($G$9-$E$9)*($G$9-$F$9))))</f>
        <v>0.992109736733391</v>
      </c>
      <c r="F828" s="37" t="n">
        <f aca="false">1+IF($G$10=$E$10,$F$10,IF(T828&lt;($F$10-$E$10)/($G$10-$E$10),$E$10+SQRT(T828*($G$10-$E$10)*($F$10-$E$10)),$G$10-SQRT((1-T828)*($G$10-$E$10)*($G$10-$F$10))))</f>
        <v>1.05984149582365</v>
      </c>
      <c r="G828" s="38" t="n">
        <f aca="false">IF($G$11=$E$11,$F$11,IF(U828&lt;($F$11-$E$11)/($G$11-$E$11),$E$11+SQRT(U828*($G$11-$E$11)*($F$11-$E$11)),$G$11-SQRT((1-U828)*($G$11-$E$11)*($G$11-$F$11))))</f>
        <v>0.108965049397057</v>
      </c>
      <c r="H828" s="39" t="n">
        <f aca="false">(('Business Case'!B11*$C828*'Business Case'!B12*$B828)-'Business Case'!B11*$C828*'Business Case'!B13*$D828-'Business Case'!B14*$E828)-MAX(0,(('Business Case'!B11*$C828*'Business Case'!B12*$B828)-'Business Case'!B11*$C828*'Business Case'!B13*$D828-'Business Case'!B14*$E828))*'Business Case'!$B$7-'Business Case'!$B$8*('Business Case'!B11*$C828*'Business Case'!B12*$B828)-'Business Case'!B15*$F828</f>
        <v>-2119682991.64731</v>
      </c>
      <c r="I828" s="39" t="n">
        <f aca="false">(('Business Case'!C11*$C828*'Business Case'!C12*$B828)-'Business Case'!C11*$C828*'Business Case'!C13*$D828-'Business Case'!C14*$E828)-MAX(0,(('Business Case'!C11*$C828*'Business Case'!C12*$B828)-'Business Case'!C11*$C828*'Business Case'!C13*$D828-'Business Case'!C14*$E828))*'Business Case'!$B$7-'Business Case'!$B$8*(('Business Case'!C11*$C828*'Business Case'!C12*$B828)-('Business Case'!B11*$C828*'Business Case'!B12*$B828))-'Business Case'!C15*$F828</f>
        <v>-4398545.54264179</v>
      </c>
      <c r="J828" s="39" t="n">
        <f aca="false">(('Business Case'!D11*$C828*'Business Case'!D12*$B828)-'Business Case'!D11*$C828*'Business Case'!D13*$D828-'Business Case'!D14*$E828)-MAX(0,(('Business Case'!D11*$C828*'Business Case'!D12*$B828)-'Business Case'!D11*$C828*'Business Case'!D13*$D828-'Business Case'!D14*$E828))*'Business Case'!$B$7-'Business Case'!$B$8*(('Business Case'!D11*$C828*'Business Case'!D12*$B828)-('Business Case'!C11*$C828*'Business Case'!C12*$B828))-'Business Case'!D15*$F828</f>
        <v>291106852.13647</v>
      </c>
      <c r="K828" s="39" t="n">
        <f aca="false">(('Business Case'!E11*$C828*'Business Case'!E12*$B828)-'Business Case'!E11*$C828*'Business Case'!E13*$D828-'Business Case'!E14*$E828)-MAX(0,(('Business Case'!E11*$C828*'Business Case'!E12*$B828)-'Business Case'!E11*$C828*'Business Case'!E13*$D828-'Business Case'!E14*$E828))*'Business Case'!$B$7-'Business Case'!$B$8*(('Business Case'!E11*$C828*'Business Case'!E12*$B828)-('Business Case'!D11*$C828*'Business Case'!D12*$B828))-'Business Case'!E15*$F828</f>
        <v>639604324.606765</v>
      </c>
      <c r="L828" s="39" t="n">
        <f aca="false">(('Business Case'!F11*$C828*'Business Case'!F12*$B828)-'Business Case'!F11*$C828*'Business Case'!F13*$D828-'Business Case'!F14*$E828)-MAX(0,(('Business Case'!F11*$C828*'Business Case'!F12*$B828)-'Business Case'!F11*$C828*'Business Case'!F13*$D828-'Business Case'!F14*$E828))*'Business Case'!$B$7-'Business Case'!$B$8*(('Business Case'!F11*$C828*'Business Case'!F12*$B828)-('Business Case'!E11*$C828*'Business Case'!E12*$B828))-'Business Case'!F15*$F828</f>
        <v>773333983.21707</v>
      </c>
      <c r="M828" s="39" t="n">
        <f aca="false">(('Business Case'!G11*$C828*'Business Case'!G12*$B828)-'Business Case'!G11*$C828*'Business Case'!G13*$D828-'Business Case'!G14*$E828)-MAX(0,(('Business Case'!G11*$C828*'Business Case'!G12*$B828)-'Business Case'!G11*$C828*'Business Case'!G13*$D828-'Business Case'!G14*$E828))*'Business Case'!$B$7-'Business Case'!$B$8*(('Business Case'!G11*$C828*'Business Case'!G12*$B828)-('Business Case'!F11*$C828*'Business Case'!F12*$B828))-'Business Case'!G15*$F828+'Business Case'!$B$8*('Business Case'!G11*$C828*'Business Case'!G12*$B828)</f>
        <v>967087209.828704</v>
      </c>
      <c r="N828" s="39" t="n">
        <f aca="false">IF(COUNT('Business Case'!B11:G11)=0,"",H828+NPV(G828,I828:M828))</f>
        <v>-330029859.446209</v>
      </c>
      <c r="P828" s="40" t="n">
        <f aca="true">RAND()</f>
        <v>0.348989928963093</v>
      </c>
      <c r="Q828" s="40" t="n">
        <f aca="true">RAND()</f>
        <v>0.779390085281458</v>
      </c>
      <c r="R828" s="40" t="n">
        <f aca="true">RAND()</f>
        <v>0.539966509865741</v>
      </c>
      <c r="S828" s="40" t="n">
        <f aca="true">RAND()</f>
        <v>0.236430657034067</v>
      </c>
      <c r="T828" s="40" t="n">
        <f aca="true">RAND()</f>
        <v>0.607111874140989</v>
      </c>
      <c r="U828" s="40" t="n">
        <f aca="true">RAND()</f>
        <v>0.79704977531767</v>
      </c>
    </row>
    <row r="829" customFormat="false" ht="15" hidden="false" customHeight="false" outlineLevel="0" collapsed="false">
      <c r="A829" s="36" t="n">
        <v>749</v>
      </c>
      <c r="B829" s="37" t="n">
        <f aca="false">1+IF($G$6=$E$6,$F$6,IF(P829&lt;($F$6-$E$6)/($G$6-$E$6),$E$6+SQRT(P829*($G$6-$E$6)*($F$6-$E$6)),$G$6-SQRT((1-P829)*($G$6-$E$6)*($G$6-$F$6))))</f>
        <v>1.00260503085685</v>
      </c>
      <c r="C829" s="37" t="n">
        <f aca="false">1+IF($G$7=$E$7,$F$7,IF(Q829&lt;($F$7-$E$7)/($G$7-$E$7),$E$7+SQRT(Q829*($G$7-$E$7)*($F$7-$E$7)),$G$7-SQRT((1-Q829)*($G$7-$E$7)*($G$7-$F$7))))</f>
        <v>0.981033787526877</v>
      </c>
      <c r="D829" s="37" t="n">
        <f aca="false">1+IF($G$8=$E$8,$F$8,IF(R829&lt;($F$8-$E$8)/($G$8-$E$8),$E$8+SQRT(R829*($G$8-$E$8)*($F$8-$E$8)),$G$8-SQRT((1-R829)*($G$8-$E$8)*($G$8-$F$8))))</f>
        <v>0.958099944937596</v>
      </c>
      <c r="E829" s="37" t="n">
        <f aca="false">1+IF($G$9=$E$9,$F$9,IF(S829&lt;($F$9-$E$9)/($G$9-$E$9),$E$9+SQRT(S829*($G$9-$E$9)*($F$9-$E$9)),$G$9-SQRT((1-S829)*($G$9-$E$9)*($G$9-$F$9))))</f>
        <v>0.962048391411631</v>
      </c>
      <c r="F829" s="37" t="n">
        <f aca="false">1+IF($G$10=$E$10,$F$10,IF(T829&lt;($F$10-$E$10)/($G$10-$E$10),$E$10+SQRT(T829*($G$10-$E$10)*($F$10-$E$10)),$G$10-SQRT((1-T829)*($G$10-$E$10)*($G$10-$F$10))))</f>
        <v>1.02620372666626</v>
      </c>
      <c r="G829" s="38" t="n">
        <f aca="false">IF($G$11=$E$11,$F$11,IF(U829&lt;($F$11-$E$11)/($G$11-$E$11),$E$11+SQRT(U829*($G$11-$E$11)*($F$11-$E$11)),$G$11-SQRT((1-U829)*($G$11-$E$11)*($G$11-$F$11))))</f>
        <v>0.11563827975975</v>
      </c>
      <c r="H829" s="39" t="n">
        <f aca="false">(('Business Case'!B11*$C829*'Business Case'!B12*$B829)-'Business Case'!B11*$C829*'Business Case'!B13*$D829-'Business Case'!B14*$E829)-MAX(0,(('Business Case'!B11*$C829*'Business Case'!B12*$B829)-'Business Case'!B11*$C829*'Business Case'!B13*$D829-'Business Case'!B14*$E829))*'Business Case'!$B$7-'Business Case'!$B$8*('Business Case'!B11*$C829*'Business Case'!B12*$B829)-'Business Case'!B15*$F829</f>
        <v>-2052407453.33253</v>
      </c>
      <c r="I829" s="39" t="n">
        <f aca="false">(('Business Case'!C11*$C829*'Business Case'!C12*$B829)-'Business Case'!C11*$C829*'Business Case'!C13*$D829-'Business Case'!C14*$E829)-MAX(0,(('Business Case'!C11*$C829*'Business Case'!C12*$B829)-'Business Case'!C11*$C829*'Business Case'!C13*$D829-'Business Case'!C14*$E829))*'Business Case'!$B$7-'Business Case'!$B$8*(('Business Case'!C11*$C829*'Business Case'!C12*$B829)-('Business Case'!B11*$C829*'Business Case'!B12*$B829))-'Business Case'!C15*$F829</f>
        <v>34049461.2670253</v>
      </c>
      <c r="J829" s="39" t="n">
        <f aca="false">(('Business Case'!D11*$C829*'Business Case'!D12*$B829)-'Business Case'!D11*$C829*'Business Case'!D13*$D829-'Business Case'!D14*$E829)-MAX(0,(('Business Case'!D11*$C829*'Business Case'!D12*$B829)-'Business Case'!D11*$C829*'Business Case'!D13*$D829-'Business Case'!D14*$E829))*'Business Case'!$B$7-'Business Case'!$B$8*(('Business Case'!D11*$C829*'Business Case'!D12*$B829)-('Business Case'!C11*$C829*'Business Case'!C12*$B829))-'Business Case'!D15*$F829</f>
        <v>358511851.51606</v>
      </c>
      <c r="K829" s="39" t="n">
        <f aca="false">(('Business Case'!E11*$C829*'Business Case'!E12*$B829)-'Business Case'!E11*$C829*'Business Case'!E13*$D829-'Business Case'!E14*$E829)-MAX(0,(('Business Case'!E11*$C829*'Business Case'!E12*$B829)-'Business Case'!E11*$C829*'Business Case'!E13*$D829-'Business Case'!E14*$E829))*'Business Case'!$B$7-'Business Case'!$B$8*(('Business Case'!E11*$C829*'Business Case'!E12*$B829)-('Business Case'!D11*$C829*'Business Case'!D12*$B829))-'Business Case'!E15*$F829</f>
        <v>734284428.098408</v>
      </c>
      <c r="L829" s="39" t="n">
        <f aca="false">(('Business Case'!F11*$C829*'Business Case'!F12*$B829)-'Business Case'!F11*$C829*'Business Case'!F13*$D829-'Business Case'!F14*$E829)-MAX(0,(('Business Case'!F11*$C829*'Business Case'!F12*$B829)-'Business Case'!F11*$C829*'Business Case'!F13*$D829-'Business Case'!F14*$E829))*'Business Case'!$B$7-'Business Case'!$B$8*(('Business Case'!F11*$C829*'Business Case'!F12*$B829)-('Business Case'!E11*$C829*'Business Case'!E12*$B829))-'Business Case'!F15*$F829</f>
        <v>876431408.219186</v>
      </c>
      <c r="M829" s="39" t="n">
        <f aca="false">(('Business Case'!G11*$C829*'Business Case'!G12*$B829)-'Business Case'!G11*$C829*'Business Case'!G13*$D829-'Business Case'!G14*$E829)-MAX(0,(('Business Case'!G11*$C829*'Business Case'!G12*$B829)-'Business Case'!G11*$C829*'Business Case'!G13*$D829-'Business Case'!G14*$E829))*'Business Case'!$B$7-'Business Case'!$B$8*(('Business Case'!G11*$C829*'Business Case'!G12*$B829)-('Business Case'!F11*$C829*'Business Case'!F12*$B829))-'Business Case'!G15*$F829+'Business Case'!$B$8*('Business Case'!G11*$C829*'Business Case'!G12*$B829)</f>
        <v>1063392083.4269</v>
      </c>
      <c r="N829" s="39" t="n">
        <f aca="false">IF(COUNT('Business Case'!B11:G11)=0,"",H829+NPV(G829,I829:M829))</f>
        <v>-24006733.0839982</v>
      </c>
      <c r="P829" s="40" t="n">
        <f aca="true">RAND()</f>
        <v>0.708670058913034</v>
      </c>
      <c r="Q829" s="40" t="n">
        <f aca="true">RAND()</f>
        <v>0.468189031804664</v>
      </c>
      <c r="R829" s="40" t="n">
        <f aca="true">RAND()</f>
        <v>0.0100937089218594</v>
      </c>
      <c r="S829" s="40" t="n">
        <f aca="true">RAND()</f>
        <v>0.0193551647477154</v>
      </c>
      <c r="T829" s="40" t="n">
        <f aca="true">RAND()</f>
        <v>0.395897107506102</v>
      </c>
      <c r="U829" s="40" t="n">
        <f aca="true">RAND()</f>
        <v>0.968292327576317</v>
      </c>
    </row>
    <row r="830" customFormat="false" ht="15" hidden="false" customHeight="false" outlineLevel="0" collapsed="false">
      <c r="A830" s="36" t="n">
        <v>750</v>
      </c>
      <c r="B830" s="37" t="n">
        <f aca="false">1+IF($G$6=$E$6,$F$6,IF(P830&lt;($F$6-$E$6)/($G$6-$E$6),$E$6+SQRT(P830*($G$6-$E$6)*($F$6-$E$6)),$G$6-SQRT((1-P830)*($G$6-$E$6)*($G$6-$F$6))))</f>
        <v>0.990248956524224</v>
      </c>
      <c r="C830" s="37" t="n">
        <f aca="false">1+IF($G$7=$E$7,$F$7,IF(Q830&lt;($F$7-$E$7)/($G$7-$E$7),$E$7+SQRT(Q830*($G$7-$E$7)*($F$7-$E$7)),$G$7-SQRT((1-Q830)*($G$7-$E$7)*($G$7-$F$7))))</f>
        <v>1.10152816781678</v>
      </c>
      <c r="D830" s="37" t="n">
        <f aca="false">1+IF($G$8=$E$8,$F$8,IF(R830&lt;($F$8-$E$8)/($G$8-$E$8),$E$8+SQRT(R830*($G$8-$E$8)*($F$8-$E$8)),$G$8-SQRT((1-R830)*($G$8-$E$8)*($G$8-$F$8))))</f>
        <v>0.987466672918073</v>
      </c>
      <c r="E830" s="37" t="n">
        <f aca="false">1+IF($G$9=$E$9,$F$9,IF(S830&lt;($F$9-$E$9)/($G$9-$E$9),$E$9+SQRT(S830*($G$9-$E$9)*($F$9-$E$9)),$G$9-SQRT((1-S830)*($G$9-$E$9)*($G$9-$F$9))))</f>
        <v>0.97914406092504</v>
      </c>
      <c r="F830" s="37" t="n">
        <f aca="false">1+IF($G$10=$E$10,$F$10,IF(T830&lt;($F$10-$E$10)/($G$10-$E$10),$E$10+SQRT(T830*($G$10-$E$10)*($F$10-$E$10)),$G$10-SQRT((1-T830)*($G$10-$E$10)*($G$10-$F$10))))</f>
        <v>1.05952103476381</v>
      </c>
      <c r="G830" s="38" t="n">
        <f aca="false">IF($G$11=$E$11,$F$11,IF(U830&lt;($F$11-$E$11)/($G$11-$E$11),$E$11+SQRT(U830*($G$11-$E$11)*($F$11-$E$11)),$G$11-SQRT((1-U830)*($G$11-$E$11)*($G$11-$F$11))))</f>
        <v>0.0958901227015747</v>
      </c>
      <c r="H830" s="39" t="n">
        <f aca="false">(('Business Case'!B11*$C830*'Business Case'!B12*$B830)-'Business Case'!B11*$C830*'Business Case'!B13*$D830-'Business Case'!B14*$E830)-MAX(0,(('Business Case'!B11*$C830*'Business Case'!B12*$B830)-'Business Case'!B11*$C830*'Business Case'!B13*$D830-'Business Case'!B14*$E830))*'Business Case'!$B$7-'Business Case'!$B$8*('Business Case'!B11*$C830*'Business Case'!B12*$B830)-'Business Case'!B15*$F830</f>
        <v>-2119042069.52762</v>
      </c>
      <c r="I830" s="39" t="n">
        <f aca="false">(('Business Case'!C11*$C830*'Business Case'!C12*$B830)-'Business Case'!C11*$C830*'Business Case'!C13*$D830-'Business Case'!C14*$E830)-MAX(0,(('Business Case'!C11*$C830*'Business Case'!C12*$B830)-'Business Case'!C11*$C830*'Business Case'!C13*$D830-'Business Case'!C14*$E830))*'Business Case'!$B$7-'Business Case'!$B$8*(('Business Case'!C11*$C830*'Business Case'!C12*$B830)-('Business Case'!B11*$C830*'Business Case'!B12*$B830))-'Business Case'!C15*$F830</f>
        <v>34873565.7911681</v>
      </c>
      <c r="J830" s="39" t="n">
        <f aca="false">(('Business Case'!D11*$C830*'Business Case'!D12*$B830)-'Business Case'!D11*$C830*'Business Case'!D13*$D830-'Business Case'!D14*$E830)-MAX(0,(('Business Case'!D11*$C830*'Business Case'!D12*$B830)-'Business Case'!D11*$C830*'Business Case'!D13*$D830-'Business Case'!D14*$E830))*'Business Case'!$B$7-'Business Case'!$B$8*(('Business Case'!D11*$C830*'Business Case'!D12*$B830)-('Business Case'!C11*$C830*'Business Case'!C12*$B830))-'Business Case'!D15*$F830</f>
        <v>371479924.758912</v>
      </c>
      <c r="K830" s="39" t="n">
        <f aca="false">(('Business Case'!E11*$C830*'Business Case'!E12*$B830)-'Business Case'!E11*$C830*'Business Case'!E13*$D830-'Business Case'!E14*$E830)-MAX(0,(('Business Case'!E11*$C830*'Business Case'!E12*$B830)-'Business Case'!E11*$C830*'Business Case'!E13*$D830-'Business Case'!E14*$E830))*'Business Case'!$B$7-'Business Case'!$B$8*(('Business Case'!E11*$C830*'Business Case'!E12*$B830)-('Business Case'!D11*$C830*'Business Case'!D12*$B830))-'Business Case'!E15*$F830</f>
        <v>761062335.464846</v>
      </c>
      <c r="L830" s="39" t="n">
        <f aca="false">(('Business Case'!F11*$C830*'Business Case'!F12*$B830)-'Business Case'!F11*$C830*'Business Case'!F13*$D830-'Business Case'!F14*$E830)-MAX(0,(('Business Case'!F11*$C830*'Business Case'!F12*$B830)-'Business Case'!F11*$C830*'Business Case'!F13*$D830-'Business Case'!F14*$E830))*'Business Case'!$B$7-'Business Case'!$B$8*(('Business Case'!F11*$C830*'Business Case'!F12*$B830)-('Business Case'!E11*$C830*'Business Case'!E12*$B830))-'Business Case'!F15*$F830</f>
        <v>910962057.945196</v>
      </c>
      <c r="M830" s="39" t="n">
        <f aca="false">(('Business Case'!G11*$C830*'Business Case'!G12*$B830)-'Business Case'!G11*$C830*'Business Case'!G13*$D830-'Business Case'!G14*$E830)-MAX(0,(('Business Case'!G11*$C830*'Business Case'!G12*$B830)-'Business Case'!G11*$C830*'Business Case'!G13*$D830-'Business Case'!G14*$E830))*'Business Case'!$B$7-'Business Case'!$B$8*(('Business Case'!G11*$C830*'Business Case'!G12*$B830)-('Business Case'!F11*$C830*'Business Case'!F12*$B830))-'Business Case'!G15*$F830+'Business Case'!$B$8*('Business Case'!G11*$C830*'Business Case'!G12*$B830)</f>
        <v>1118298873.47959</v>
      </c>
      <c r="N830" s="39" t="n">
        <f aca="false">IF(COUNT('Business Case'!B11:G11)=0,"",H830+NPV(G830,I830:M830))</f>
        <v>139429768.17723</v>
      </c>
      <c r="P830" s="40" t="n">
        <f aca="true">RAND()</f>
        <v>0.514053738827328</v>
      </c>
      <c r="Q830" s="40" t="n">
        <f aca="true">RAND()</f>
        <v>0.955247266377179</v>
      </c>
      <c r="R830" s="40" t="n">
        <f aca="true">RAND()</f>
        <v>0.215961781469205</v>
      </c>
      <c r="S830" s="40" t="n">
        <f aca="true">RAND()</f>
        <v>0.113250171626989</v>
      </c>
      <c r="T830" s="40" t="n">
        <f aca="true">RAND()</f>
        <v>0.605313206523395</v>
      </c>
      <c r="U830" s="40" t="n">
        <f aca="true">RAND()</f>
        <v>0.115645151465352</v>
      </c>
    </row>
    <row r="831" customFormat="false" ht="15" hidden="false" customHeight="false" outlineLevel="0" collapsed="false">
      <c r="A831" s="36" t="n">
        <v>751</v>
      </c>
      <c r="B831" s="37" t="n">
        <f aca="false">1+IF($G$6=$E$6,$F$6,IF(P831&lt;($F$6-$E$6)/($G$6-$E$6),$E$6+SQRT(P831*($G$6-$E$6)*($F$6-$E$6)),$G$6-SQRT((1-P831)*($G$6-$E$6)*($G$6-$F$6))))</f>
        <v>0.993896056489346</v>
      </c>
      <c r="C831" s="37" t="n">
        <f aca="false">1+IF($G$7=$E$7,$F$7,IF(Q831&lt;($F$7-$E$7)/($G$7-$E$7),$E$7+SQRT(Q831*($G$7-$E$7)*($F$7-$E$7)),$G$7-SQRT((1-Q831)*($G$7-$E$7)*($G$7-$F$7))))</f>
        <v>1.02720149972856</v>
      </c>
      <c r="D831" s="37" t="n">
        <f aca="false">1+IF($G$8=$E$8,$F$8,IF(R831&lt;($F$8-$E$8)/($G$8-$E$8),$E$8+SQRT(R831*($G$8-$E$8)*($F$8-$E$8)),$G$8-SQRT((1-R831)*($G$8-$E$8)*($G$8-$F$8))))</f>
        <v>1.04931932453491</v>
      </c>
      <c r="E831" s="37" t="n">
        <f aca="false">1+IF($G$9=$E$9,$F$9,IF(S831&lt;($F$9-$E$9)/($G$9-$E$9),$E$9+SQRT(S831*($G$9-$E$9)*($F$9-$E$9)),$G$9-SQRT((1-S831)*($G$9-$E$9)*($G$9-$F$9))))</f>
        <v>1.04728374578049</v>
      </c>
      <c r="F831" s="37" t="n">
        <f aca="false">1+IF($G$10=$E$10,$F$10,IF(T831&lt;($F$10-$E$10)/($G$10-$E$10),$E$10+SQRT(T831*($G$10-$E$10)*($F$10-$E$10)),$G$10-SQRT((1-T831)*($G$10-$E$10)*($G$10-$F$10))))</f>
        <v>1.04122453092828</v>
      </c>
      <c r="G831" s="38" t="n">
        <f aca="false">IF($G$11=$E$11,$F$11,IF(U831&lt;($F$11-$E$11)/($G$11-$E$11),$E$11+SQRT(U831*($G$11-$E$11)*($F$11-$E$11)),$G$11-SQRT((1-U831)*($G$11-$E$11)*($G$11-$F$11))))</f>
        <v>0.108062825662085</v>
      </c>
      <c r="H831" s="39" t="n">
        <f aca="false">(('Business Case'!B11*$C831*'Business Case'!B12*$B831)-'Business Case'!B11*$C831*'Business Case'!B13*$D831-'Business Case'!B14*$E831)-MAX(0,(('Business Case'!B11*$C831*'Business Case'!B12*$B831)-'Business Case'!B11*$C831*'Business Case'!B13*$D831-'Business Case'!B14*$E831))*'Business Case'!$B$7-'Business Case'!$B$8*('Business Case'!B11*$C831*'Business Case'!B12*$B831)-'Business Case'!B15*$F831</f>
        <v>-2082449061.85655</v>
      </c>
      <c r="I831" s="39" t="n">
        <f aca="false">(('Business Case'!C11*$C831*'Business Case'!C12*$B831)-'Business Case'!C11*$C831*'Business Case'!C13*$D831-'Business Case'!C14*$E831)-MAX(0,(('Business Case'!C11*$C831*'Business Case'!C12*$B831)-'Business Case'!C11*$C831*'Business Case'!C13*$D831-'Business Case'!C14*$E831))*'Business Case'!$B$7-'Business Case'!$B$8*(('Business Case'!C11*$C831*'Business Case'!C12*$B831)-('Business Case'!B11*$C831*'Business Case'!B12*$B831))-'Business Case'!C15*$F831</f>
        <v>-21534181.487277</v>
      </c>
      <c r="J831" s="39" t="n">
        <f aca="false">(('Business Case'!D11*$C831*'Business Case'!D12*$B831)-'Business Case'!D11*$C831*'Business Case'!D13*$D831-'Business Case'!D14*$E831)-MAX(0,(('Business Case'!D11*$C831*'Business Case'!D12*$B831)-'Business Case'!D11*$C831*'Business Case'!D13*$D831-'Business Case'!D14*$E831))*'Business Case'!$B$7-'Business Case'!$B$8*(('Business Case'!D11*$C831*'Business Case'!D12*$B831)-('Business Case'!C11*$C831*'Business Case'!C12*$B831))-'Business Case'!D15*$F831</f>
        <v>262902928.7547</v>
      </c>
      <c r="K831" s="39" t="n">
        <f aca="false">(('Business Case'!E11*$C831*'Business Case'!E12*$B831)-'Business Case'!E11*$C831*'Business Case'!E13*$D831-'Business Case'!E14*$E831)-MAX(0,(('Business Case'!E11*$C831*'Business Case'!E12*$B831)-'Business Case'!E11*$C831*'Business Case'!E13*$D831-'Business Case'!E14*$E831))*'Business Case'!$B$7-'Business Case'!$B$8*(('Business Case'!E11*$C831*'Business Case'!E12*$B831)-('Business Case'!D11*$C831*'Business Case'!D12*$B831))-'Business Case'!E15*$F831</f>
        <v>599401265.54309</v>
      </c>
      <c r="L831" s="39" t="n">
        <f aca="false">(('Business Case'!F11*$C831*'Business Case'!F12*$B831)-'Business Case'!F11*$C831*'Business Case'!F13*$D831-'Business Case'!F14*$E831)-MAX(0,(('Business Case'!F11*$C831*'Business Case'!F12*$B831)-'Business Case'!F11*$C831*'Business Case'!F13*$D831-'Business Case'!F14*$E831))*'Business Case'!$B$7-'Business Case'!$B$8*(('Business Case'!F11*$C831*'Business Case'!F12*$B831)-('Business Case'!E11*$C831*'Business Case'!E12*$B831))-'Business Case'!F15*$F831</f>
        <v>729497028.948042</v>
      </c>
      <c r="M831" s="39" t="n">
        <f aca="false">(('Business Case'!G11*$C831*'Business Case'!G12*$B831)-'Business Case'!G11*$C831*'Business Case'!G13*$D831-'Business Case'!G14*$E831)-MAX(0,(('Business Case'!G11*$C831*'Business Case'!G12*$B831)-'Business Case'!G11*$C831*'Business Case'!G13*$D831-'Business Case'!G14*$E831))*'Business Case'!$B$7-'Business Case'!$B$8*(('Business Case'!G11*$C831*'Business Case'!G12*$B831)-('Business Case'!F11*$C831*'Business Case'!F12*$B831))-'Business Case'!G15*$F831+'Business Case'!$B$8*('Business Case'!G11*$C831*'Business Case'!G12*$B831)</f>
        <v>923555692.231655</v>
      </c>
      <c r="N831" s="39" t="n">
        <f aca="false">IF(COUNT('Business Case'!B11:G11)=0,"",H831+NPV(G831,I831:M831))</f>
        <v>-410374137.470419</v>
      </c>
      <c r="P831" s="40" t="n">
        <f aca="true">RAND()</f>
        <v>0.568815329653806</v>
      </c>
      <c r="Q831" s="40" t="n">
        <f aca="true">RAND()</f>
        <v>0.712771968211131</v>
      </c>
      <c r="R831" s="40" t="n">
        <f aca="true">RAND()</f>
        <v>0.909490014712088</v>
      </c>
      <c r="S831" s="40" t="n">
        <f aca="true">RAND()</f>
        <v>0.81473310273761</v>
      </c>
      <c r="T831" s="40" t="n">
        <f aca="true">RAND()</f>
        <v>0.495807008421082</v>
      </c>
      <c r="U831" s="40" t="n">
        <f aca="true">RAND()</f>
        <v>0.762506448043711</v>
      </c>
    </row>
    <row r="832" customFormat="false" ht="15" hidden="false" customHeight="false" outlineLevel="0" collapsed="false">
      <c r="A832" s="36" t="n">
        <v>752</v>
      </c>
      <c r="B832" s="37" t="n">
        <f aca="false">1+IF($G$6=$E$6,$F$6,IF(P832&lt;($F$6-$E$6)/($G$6-$E$6),$E$6+SQRT(P832*($G$6-$E$6)*($F$6-$E$6)),$G$6-SQRT((1-P832)*($G$6-$E$6)*($G$6-$F$6))))</f>
        <v>0.991522175407015</v>
      </c>
      <c r="C832" s="37" t="n">
        <f aca="false">1+IF($G$7=$E$7,$F$7,IF(Q832&lt;($F$7-$E$7)/($G$7-$E$7),$E$7+SQRT(Q832*($G$7-$E$7)*($F$7-$E$7)),$G$7-SQRT((1-Q832)*($G$7-$E$7)*($G$7-$F$7))))</f>
        <v>0.98129290754382</v>
      </c>
      <c r="D832" s="37" t="n">
        <f aca="false">1+IF($G$8=$E$8,$F$8,IF(R832&lt;($F$8-$E$8)/($G$8-$E$8),$E$8+SQRT(R832*($G$8-$E$8)*($F$8-$E$8)),$G$8-SQRT((1-R832)*($G$8-$E$8)*($G$8-$F$8))))</f>
        <v>1.02114677753932</v>
      </c>
      <c r="E832" s="37" t="n">
        <f aca="false">1+IF($G$9=$E$9,$F$9,IF(S832&lt;($F$9-$E$9)/($G$9-$E$9),$E$9+SQRT(S832*($G$9-$E$9)*($F$9-$E$9)),$G$9-SQRT((1-S832)*($G$9-$E$9)*($G$9-$F$9))))</f>
        <v>1.05172593925253</v>
      </c>
      <c r="F832" s="37" t="n">
        <f aca="false">1+IF($G$10=$E$10,$F$10,IF(T832&lt;($F$10-$E$10)/($G$10-$E$10),$E$10+SQRT(T832*($G$10-$E$10)*($F$10-$E$10)),$G$10-SQRT((1-T832)*($G$10-$E$10)*($G$10-$F$10))))</f>
        <v>1.01441764998481</v>
      </c>
      <c r="G832" s="38" t="n">
        <f aca="false">IF($G$11=$E$11,$F$11,IF(U832&lt;($F$11-$E$11)/($G$11-$E$11),$E$11+SQRT(U832*($G$11-$E$11)*($F$11-$E$11)),$G$11-SQRT((1-U832)*($G$11-$E$11)*($G$11-$F$11))))</f>
        <v>0.107200662188513</v>
      </c>
      <c r="H832" s="39" t="n">
        <f aca="false">(('Business Case'!B11*$C832*'Business Case'!B12*$B832)-'Business Case'!B11*$C832*'Business Case'!B13*$D832-'Business Case'!B14*$E832)-MAX(0,(('Business Case'!B11*$C832*'Business Case'!B12*$B832)-'Business Case'!B11*$C832*'Business Case'!B13*$D832-'Business Case'!B14*$E832))*'Business Case'!$B$7-'Business Case'!$B$8*('Business Case'!B11*$C832*'Business Case'!B12*$B832)-'Business Case'!B15*$F832</f>
        <v>-2028835299.96962</v>
      </c>
      <c r="I832" s="39" t="n">
        <f aca="false">(('Business Case'!C11*$C832*'Business Case'!C12*$B832)-'Business Case'!C11*$C832*'Business Case'!C13*$D832-'Business Case'!C14*$E832)-MAX(0,(('Business Case'!C11*$C832*'Business Case'!C12*$B832)-'Business Case'!C11*$C832*'Business Case'!C13*$D832-'Business Case'!C14*$E832))*'Business Case'!$B$7-'Business Case'!$B$8*(('Business Case'!C11*$C832*'Business Case'!C12*$B832)-('Business Case'!B11*$C832*'Business Case'!B12*$B832))-'Business Case'!C15*$F832</f>
        <v>-17467063.0718983</v>
      </c>
      <c r="J832" s="39" t="n">
        <f aca="false">(('Business Case'!D11*$C832*'Business Case'!D12*$B832)-'Business Case'!D11*$C832*'Business Case'!D13*$D832-'Business Case'!D14*$E832)-MAX(0,(('Business Case'!D11*$C832*'Business Case'!D12*$B832)-'Business Case'!D11*$C832*'Business Case'!D13*$D832-'Business Case'!D14*$E832))*'Business Case'!$B$7-'Business Case'!$B$8*(('Business Case'!D11*$C832*'Business Case'!D12*$B832)-('Business Case'!C11*$C832*'Business Case'!C12*$B832))-'Business Case'!D15*$F832</f>
        <v>266502022.904616</v>
      </c>
      <c r="K832" s="39" t="n">
        <f aca="false">(('Business Case'!E11*$C832*'Business Case'!E12*$B832)-'Business Case'!E11*$C832*'Business Case'!E13*$D832-'Business Case'!E14*$E832)-MAX(0,(('Business Case'!E11*$C832*'Business Case'!E12*$B832)-'Business Case'!E11*$C832*'Business Case'!E13*$D832-'Business Case'!E14*$E832))*'Business Case'!$B$7-'Business Case'!$B$8*(('Business Case'!E11*$C832*'Business Case'!E12*$B832)-('Business Case'!D11*$C832*'Business Case'!D12*$B832))-'Business Case'!E15*$F832</f>
        <v>601191991.38037</v>
      </c>
      <c r="L832" s="39" t="n">
        <f aca="false">(('Business Case'!F11*$C832*'Business Case'!F12*$B832)-'Business Case'!F11*$C832*'Business Case'!F13*$D832-'Business Case'!F14*$E832)-MAX(0,(('Business Case'!F11*$C832*'Business Case'!F12*$B832)-'Business Case'!F11*$C832*'Business Case'!F13*$D832-'Business Case'!F14*$E832))*'Business Case'!$B$7-'Business Case'!$B$8*(('Business Case'!F11*$C832*'Business Case'!F12*$B832)-('Business Case'!E11*$C832*'Business Case'!E12*$B832))-'Business Case'!F15*$F832</f>
        <v>729474323.698022</v>
      </c>
      <c r="M832" s="39" t="n">
        <f aca="false">(('Business Case'!G11*$C832*'Business Case'!G12*$B832)-'Business Case'!G11*$C832*'Business Case'!G13*$D832-'Business Case'!G14*$E832)-MAX(0,(('Business Case'!G11*$C832*'Business Case'!G12*$B832)-'Business Case'!G11*$C832*'Business Case'!G13*$D832-'Business Case'!G14*$E832))*'Business Case'!$B$7-'Business Case'!$B$8*(('Business Case'!G11*$C832*'Business Case'!G12*$B832)-('Business Case'!F11*$C832*'Business Case'!F12*$B832))-'Business Case'!G15*$F832+'Business Case'!$B$8*('Business Case'!G11*$C832*'Business Case'!G12*$B832)</f>
        <v>914417160.488165</v>
      </c>
      <c r="N832" s="39" t="n">
        <f aca="false">IF(COUNT('Business Case'!B11:G11)=0,"",H832+NPV(G832,I832:M832))</f>
        <v>-349325586.143086</v>
      </c>
      <c r="P832" s="40" t="n">
        <f aca="true">RAND()</f>
        <v>0.532856414057482</v>
      </c>
      <c r="Q832" s="40" t="n">
        <f aca="true">RAND()</f>
        <v>0.469530261795599</v>
      </c>
      <c r="R832" s="40" t="n">
        <f aca="true">RAND()</f>
        <v>0.666951750576269</v>
      </c>
      <c r="S832" s="40" t="n">
        <f aca="true">RAND()</f>
        <v>0.844641003929999</v>
      </c>
      <c r="T832" s="40" t="n">
        <f aca="true">RAND()</f>
        <v>0.311183827256786</v>
      </c>
      <c r="U832" s="40" t="n">
        <f aca="true">RAND()</f>
        <v>0.726961585979051</v>
      </c>
    </row>
    <row r="833" customFormat="false" ht="15" hidden="false" customHeight="false" outlineLevel="0" collapsed="false">
      <c r="A833" s="36" t="n">
        <v>753</v>
      </c>
      <c r="B833" s="37" t="n">
        <f aca="false">1+IF($G$6=$E$6,$F$6,IF(P833&lt;($F$6-$E$6)/($G$6-$E$6),$E$6+SQRT(P833*($G$6-$E$6)*($F$6-$E$6)),$G$6-SQRT((1-P833)*($G$6-$E$6)*($G$6-$F$6))))</f>
        <v>0.982350734730656</v>
      </c>
      <c r="C833" s="37" t="n">
        <f aca="false">1+IF($G$7=$E$7,$F$7,IF(Q833&lt;($F$7-$E$7)/($G$7-$E$7),$E$7+SQRT(Q833*($G$7-$E$7)*($F$7-$E$7)),$G$7-SQRT((1-Q833)*($G$7-$E$7)*($G$7-$F$7))))</f>
        <v>1.10083297575531</v>
      </c>
      <c r="D833" s="37" t="n">
        <f aca="false">1+IF($G$8=$E$8,$F$8,IF(R833&lt;($F$8-$E$8)/($G$8-$E$8),$E$8+SQRT(R833*($G$8-$E$8)*($F$8-$E$8)),$G$8-SQRT((1-R833)*($G$8-$E$8)*($G$8-$F$8))))</f>
        <v>0.996318616929111</v>
      </c>
      <c r="E833" s="37" t="n">
        <f aca="false">1+IF($G$9=$E$9,$F$9,IF(S833&lt;($F$9-$E$9)/($G$9-$E$9),$E$9+SQRT(S833*($G$9-$E$9)*($F$9-$E$9)),$G$9-SQRT((1-S833)*($G$9-$E$9)*($G$9-$F$9))))</f>
        <v>0.971203166378155</v>
      </c>
      <c r="F833" s="37" t="n">
        <f aca="false">1+IF($G$10=$E$10,$F$10,IF(T833&lt;($F$10-$E$10)/($G$10-$E$10),$E$10+SQRT(T833*($G$10-$E$10)*($F$10-$E$10)),$G$10-SQRT((1-T833)*($G$10-$E$10)*($G$10-$F$10))))</f>
        <v>1.03596057996155</v>
      </c>
      <c r="G833" s="38" t="n">
        <f aca="false">IF($G$11=$E$11,$F$11,IF(U833&lt;($F$11-$E$11)/($G$11-$E$11),$E$11+SQRT(U833*($G$11-$E$11)*($F$11-$E$11)),$G$11-SQRT((1-U833)*($G$11-$E$11)*($G$11-$F$11))))</f>
        <v>0.112954376183541</v>
      </c>
      <c r="H833" s="39" t="n">
        <f aca="false">(('Business Case'!B11*$C833*'Business Case'!B12*$B833)-'Business Case'!B11*$C833*'Business Case'!B13*$D833-'Business Case'!B14*$E833)-MAX(0,(('Business Case'!B11*$C833*'Business Case'!B12*$B833)-'Business Case'!B11*$C833*'Business Case'!B13*$D833-'Business Case'!B14*$E833))*'Business Case'!$B$7-'Business Case'!$B$8*('Business Case'!B11*$C833*'Business Case'!B12*$B833)-'Business Case'!B15*$F833</f>
        <v>-2071921159.9231</v>
      </c>
      <c r="I833" s="39" t="n">
        <f aca="false">(('Business Case'!C11*$C833*'Business Case'!C12*$B833)-'Business Case'!C11*$C833*'Business Case'!C13*$D833-'Business Case'!C14*$E833)-MAX(0,(('Business Case'!C11*$C833*'Business Case'!C12*$B833)-'Business Case'!C11*$C833*'Business Case'!C13*$D833-'Business Case'!C14*$E833))*'Business Case'!$B$7-'Business Case'!$B$8*(('Business Case'!C11*$C833*'Business Case'!C12*$B833)-('Business Case'!B11*$C833*'Business Case'!B12*$B833))-'Business Case'!C15*$F833</f>
        <v>26522852.6463698</v>
      </c>
      <c r="J833" s="39" t="n">
        <f aca="false">(('Business Case'!D11*$C833*'Business Case'!D12*$B833)-'Business Case'!D11*$C833*'Business Case'!D13*$D833-'Business Case'!D14*$E833)-MAX(0,(('Business Case'!D11*$C833*'Business Case'!D12*$B833)-'Business Case'!D11*$C833*'Business Case'!D13*$D833-'Business Case'!D14*$E833))*'Business Case'!$B$7-'Business Case'!$B$8*(('Business Case'!D11*$C833*'Business Case'!D12*$B833)-('Business Case'!C11*$C833*'Business Case'!C12*$B833))-'Business Case'!D15*$F833</f>
        <v>350806841.187207</v>
      </c>
      <c r="K833" s="39" t="n">
        <f aca="false">(('Business Case'!E11*$C833*'Business Case'!E12*$B833)-'Business Case'!E11*$C833*'Business Case'!E13*$D833-'Business Case'!E14*$E833)-MAX(0,(('Business Case'!E11*$C833*'Business Case'!E12*$B833)-'Business Case'!E11*$C833*'Business Case'!E13*$D833-'Business Case'!E14*$E833))*'Business Case'!$B$7-'Business Case'!$B$8*(('Business Case'!E11*$C833*'Business Case'!E12*$B833)-('Business Case'!D11*$C833*'Business Case'!D12*$B833))-'Business Case'!E15*$F833</f>
        <v>726888858.726121</v>
      </c>
      <c r="L833" s="39" t="n">
        <f aca="false">(('Business Case'!F11*$C833*'Business Case'!F12*$B833)-'Business Case'!F11*$C833*'Business Case'!F13*$D833-'Business Case'!F14*$E833)-MAX(0,(('Business Case'!F11*$C833*'Business Case'!F12*$B833)-'Business Case'!F11*$C833*'Business Case'!F13*$D833-'Business Case'!F14*$E833))*'Business Case'!$B$7-'Business Case'!$B$8*(('Business Case'!F11*$C833*'Business Case'!F12*$B833)-('Business Case'!E11*$C833*'Business Case'!E12*$B833))-'Business Case'!F15*$F833</f>
        <v>872356846.665959</v>
      </c>
      <c r="M833" s="39" t="n">
        <f aca="false">(('Business Case'!G11*$C833*'Business Case'!G12*$B833)-'Business Case'!G11*$C833*'Business Case'!G13*$D833-'Business Case'!G14*$E833)-MAX(0,(('Business Case'!G11*$C833*'Business Case'!G12*$B833)-'Business Case'!G11*$C833*'Business Case'!G13*$D833-'Business Case'!G14*$E833))*'Business Case'!$B$7-'Business Case'!$B$8*(('Business Case'!G11*$C833*'Business Case'!G12*$B833)-('Business Case'!F11*$C833*'Business Case'!F12*$B833))-'Business Case'!G15*$F833+'Business Case'!$B$8*('Business Case'!G11*$C833*'Business Case'!G12*$B833)</f>
        <v>1077910134.67687</v>
      </c>
      <c r="N833" s="39" t="n">
        <f aca="false">IF(COUNT('Business Case'!B11:G11)=0,"",H833+NPV(G833,I833:M833))</f>
        <v>-37790723.6185243</v>
      </c>
      <c r="P833" s="40" t="n">
        <f aca="true">RAND()</f>
        <v>0.404959804317983</v>
      </c>
      <c r="Q833" s="40" t="n">
        <f aca="true">RAND()</f>
        <v>0.953954356703278</v>
      </c>
      <c r="R833" s="40" t="n">
        <f aca="true">RAND()</f>
        <v>0.330063734496265</v>
      </c>
      <c r="S833" s="40" t="n">
        <f aca="true">RAND()</f>
        <v>0.0599432352612953</v>
      </c>
      <c r="T833" s="40" t="n">
        <f aca="true">RAND()</f>
        <v>0.461821373468986</v>
      </c>
      <c r="U833" s="40" t="n">
        <f aca="true">RAND()</f>
        <v>0.917265308394908</v>
      </c>
    </row>
    <row r="834" customFormat="false" ht="15" hidden="false" customHeight="false" outlineLevel="0" collapsed="false">
      <c r="A834" s="36" t="n">
        <v>754</v>
      </c>
      <c r="B834" s="37" t="n">
        <f aca="false">1+IF($G$6=$E$6,$F$6,IF(P834&lt;($F$6-$E$6)/($G$6-$E$6),$E$6+SQRT(P834*($G$6-$E$6)*($F$6-$E$6)),$G$6-SQRT((1-P834)*($G$6-$E$6)*($G$6-$F$6))))</f>
        <v>0.967729772748413</v>
      </c>
      <c r="C834" s="37" t="n">
        <f aca="false">1+IF($G$7=$E$7,$F$7,IF(Q834&lt;($F$7-$E$7)/($G$7-$E$7),$E$7+SQRT(Q834*($G$7-$E$7)*($F$7-$E$7)),$G$7-SQRT((1-Q834)*($G$7-$E$7)*($G$7-$F$7))))</f>
        <v>0.877843265385591</v>
      </c>
      <c r="D834" s="37" t="n">
        <f aca="false">1+IF($G$8=$E$8,$F$8,IF(R834&lt;($F$8-$E$8)/($G$8-$E$8),$E$8+SQRT(R834*($G$8-$E$8)*($F$8-$E$8)),$G$8-SQRT((1-R834)*($G$8-$E$8)*($G$8-$F$8))))</f>
        <v>1.02446503346996</v>
      </c>
      <c r="E834" s="37" t="n">
        <f aca="false">1+IF($G$9=$E$9,$F$9,IF(S834&lt;($F$9-$E$9)/($G$9-$E$9),$E$9+SQRT(S834*($G$9-$E$9)*($F$9-$E$9)),$G$9-SQRT((1-S834)*($G$9-$E$9)*($G$9-$F$9))))</f>
        <v>1.02334814978156</v>
      </c>
      <c r="F834" s="37" t="n">
        <f aca="false">1+IF($G$10=$E$10,$F$10,IF(T834&lt;($F$10-$E$10)/($G$10-$E$10),$E$10+SQRT(T834*($G$10-$E$10)*($F$10-$E$10)),$G$10-SQRT((1-T834)*($G$10-$E$10)*($G$10-$F$10))))</f>
        <v>1.04166122900824</v>
      </c>
      <c r="G834" s="38" t="n">
        <f aca="false">IF($G$11=$E$11,$F$11,IF(U834&lt;($F$11-$E$11)/($G$11-$E$11),$E$11+SQRT(U834*($G$11-$E$11)*($F$11-$E$11)),$G$11-SQRT((1-U834)*($G$11-$E$11)*($G$11-$F$11))))</f>
        <v>0.0957288644349114</v>
      </c>
      <c r="H834" s="39" t="n">
        <f aca="false">(('Business Case'!B11*$C834*'Business Case'!B12*$B834)-'Business Case'!B11*$C834*'Business Case'!B13*$D834-'Business Case'!B14*$E834)-MAX(0,(('Business Case'!B11*$C834*'Business Case'!B12*$B834)-'Business Case'!B11*$C834*'Business Case'!B13*$D834-'Business Case'!B14*$E834))*'Business Case'!$B$7-'Business Case'!$B$8*('Business Case'!B11*$C834*'Business Case'!B12*$B834)-'Business Case'!B15*$F834</f>
        <v>-2083322458.01647</v>
      </c>
      <c r="I834" s="39" t="n">
        <f aca="false">(('Business Case'!C11*$C834*'Business Case'!C12*$B834)-'Business Case'!C11*$C834*'Business Case'!C13*$D834-'Business Case'!C14*$E834)-MAX(0,(('Business Case'!C11*$C834*'Business Case'!C12*$B834)-'Business Case'!C11*$C834*'Business Case'!C13*$D834-'Business Case'!C14*$E834))*'Business Case'!$B$7-'Business Case'!$B$8*(('Business Case'!C11*$C834*'Business Case'!C12*$B834)-('Business Case'!B11*$C834*'Business Case'!B12*$B834))-'Business Case'!C15*$F834</f>
        <v>-58290844.7434417</v>
      </c>
      <c r="J834" s="39" t="n">
        <f aca="false">(('Business Case'!D11*$C834*'Business Case'!D12*$B834)-'Business Case'!D11*$C834*'Business Case'!D13*$D834-'Business Case'!D14*$E834)-MAX(0,(('Business Case'!D11*$C834*'Business Case'!D12*$B834)-'Business Case'!D11*$C834*'Business Case'!D13*$D834-'Business Case'!D14*$E834))*'Business Case'!$B$7-'Business Case'!$B$8*(('Business Case'!D11*$C834*'Business Case'!D12*$B834)-('Business Case'!C11*$C834*'Business Case'!C12*$B834))-'Business Case'!D15*$F834</f>
        <v>177143401.216139</v>
      </c>
      <c r="K834" s="39" t="n">
        <f aca="false">(('Business Case'!E11*$C834*'Business Case'!E12*$B834)-'Business Case'!E11*$C834*'Business Case'!E13*$D834-'Business Case'!E14*$E834)-MAX(0,(('Business Case'!E11*$C834*'Business Case'!E12*$B834)-'Business Case'!E11*$C834*'Business Case'!E13*$D834-'Business Case'!E14*$E834))*'Business Case'!$B$7-'Business Case'!$B$8*(('Business Case'!E11*$C834*'Business Case'!E12*$B834)-('Business Case'!D11*$C834*'Business Case'!D12*$B834))-'Business Case'!E15*$F834</f>
        <v>464660708.626132</v>
      </c>
      <c r="L834" s="39" t="n">
        <f aca="false">(('Business Case'!F11*$C834*'Business Case'!F12*$B834)-'Business Case'!F11*$C834*'Business Case'!F13*$D834-'Business Case'!F14*$E834)-MAX(0,(('Business Case'!F11*$C834*'Business Case'!F12*$B834)-'Business Case'!F11*$C834*'Business Case'!F13*$D834-'Business Case'!F14*$E834))*'Business Case'!$B$7-'Business Case'!$B$8*(('Business Case'!F11*$C834*'Business Case'!F12*$B834)-('Business Case'!E11*$C834*'Business Case'!E12*$B834))-'Business Case'!F15*$F834</f>
        <v>572498031.214834</v>
      </c>
      <c r="M834" s="39" t="n">
        <f aca="false">(('Business Case'!G11*$C834*'Business Case'!G12*$B834)-'Business Case'!G11*$C834*'Business Case'!G13*$D834-'Business Case'!G14*$E834)-MAX(0,(('Business Case'!G11*$C834*'Business Case'!G12*$B834)-'Business Case'!G11*$C834*'Business Case'!G13*$D834-'Business Case'!G14*$E834))*'Business Case'!$B$7-'Business Case'!$B$8*(('Business Case'!G11*$C834*'Business Case'!G12*$B834)-('Business Case'!F11*$C834*'Business Case'!F12*$B834))-'Business Case'!G15*$F834+'Business Case'!$B$8*('Business Case'!G11*$C834*'Business Case'!G12*$B834)</f>
        <v>733973854.526793</v>
      </c>
      <c r="N834" s="39" t="n">
        <f aca="false">IF(COUNT('Business Case'!B11:G11)=0,"",H834+NPV(G834,I834:M834))</f>
        <v>-773924506.612132</v>
      </c>
      <c r="P834" s="40" t="n">
        <f aca="true">RAND()</f>
        <v>0.237305334022409</v>
      </c>
      <c r="Q834" s="40" t="n">
        <f aca="true">RAND()</f>
        <v>0.0865653423698789</v>
      </c>
      <c r="R834" s="40" t="n">
        <f aca="true">RAND()</f>
        <v>0.703448797356512</v>
      </c>
      <c r="S834" s="40" t="n">
        <f aca="true">RAND()</f>
        <v>0.608299590539301</v>
      </c>
      <c r="T834" s="40" t="n">
        <f aca="true">RAND()</f>
        <v>0.498576672016362</v>
      </c>
      <c r="U834" s="40" t="n">
        <f aca="true">RAND()</f>
        <v>0.109399625711975</v>
      </c>
    </row>
    <row r="835" customFormat="false" ht="15" hidden="false" customHeight="false" outlineLevel="0" collapsed="false">
      <c r="A835" s="36" t="n">
        <v>755</v>
      </c>
      <c r="B835" s="37" t="n">
        <f aca="false">1+IF($G$6=$E$6,$F$6,IF(P835&lt;($F$6-$E$6)/($G$6-$E$6),$E$6+SQRT(P835*($G$6-$E$6)*($F$6-$E$6)),$G$6-SQRT((1-P835)*($G$6-$E$6)*($G$6-$F$6))))</f>
        <v>0.99415853602092</v>
      </c>
      <c r="C835" s="37" t="n">
        <f aca="false">1+IF($G$7=$E$7,$F$7,IF(Q835&lt;($F$7-$E$7)/($G$7-$E$7),$E$7+SQRT(Q835*($G$7-$E$7)*($F$7-$E$7)),$G$7-SQRT((1-Q835)*($G$7-$E$7)*($G$7-$F$7))))</f>
        <v>0.964412996405925</v>
      </c>
      <c r="D835" s="37" t="n">
        <f aca="false">1+IF($G$8=$E$8,$F$8,IF(R835&lt;($F$8-$E$8)/($G$8-$E$8),$E$8+SQRT(R835*($G$8-$E$8)*($F$8-$E$8)),$G$8-SQRT((1-R835)*($G$8-$E$8)*($G$8-$F$8))))</f>
        <v>1.06187408255009</v>
      </c>
      <c r="E835" s="37" t="n">
        <f aca="false">1+IF($G$9=$E$9,$F$9,IF(S835&lt;($F$9-$E$9)/($G$9-$E$9),$E$9+SQRT(S835*($G$9-$E$9)*($F$9-$E$9)),$G$9-SQRT((1-S835)*($G$9-$E$9)*($G$9-$F$9))))</f>
        <v>0.97929303190375</v>
      </c>
      <c r="F835" s="37" t="n">
        <f aca="false">1+IF($G$10=$E$10,$F$10,IF(T835&lt;($F$10-$E$10)/($G$10-$E$10),$E$10+SQRT(T835*($G$10-$E$10)*($F$10-$E$10)),$G$10-SQRT((1-T835)*($G$10-$E$10)*($G$10-$F$10))))</f>
        <v>1.15675192914595</v>
      </c>
      <c r="G835" s="38" t="n">
        <f aca="false">IF($G$11=$E$11,$F$11,IF(U835&lt;($F$11-$E$11)/($G$11-$E$11),$E$11+SQRT(U835*($G$11-$E$11)*($F$11-$E$11)),$G$11-SQRT((1-U835)*($G$11-$E$11)*($G$11-$F$11))))</f>
        <v>0.105472234337693</v>
      </c>
      <c r="H835" s="39" t="n">
        <f aca="false">(('Business Case'!B11*$C835*'Business Case'!B12*$B835)-'Business Case'!B11*$C835*'Business Case'!B13*$D835-'Business Case'!B14*$E835)-MAX(0,(('Business Case'!B11*$C835*'Business Case'!B12*$B835)-'Business Case'!B11*$C835*'Business Case'!B13*$D835-'Business Case'!B14*$E835))*'Business Case'!$B$7-'Business Case'!$B$8*('Business Case'!B11*$C835*'Business Case'!B12*$B835)-'Business Case'!B15*$F835</f>
        <v>-2313503858.29189</v>
      </c>
      <c r="I835" s="39" t="n">
        <f aca="false">(('Business Case'!C11*$C835*'Business Case'!C12*$B835)-'Business Case'!C11*$C835*'Business Case'!C13*$D835-'Business Case'!C14*$E835)-MAX(0,(('Business Case'!C11*$C835*'Business Case'!C12*$B835)-'Business Case'!C11*$C835*'Business Case'!C13*$D835-'Business Case'!C14*$E835))*'Business Case'!$B$7-'Business Case'!$B$8*(('Business Case'!C11*$C835*'Business Case'!C12*$B835)-('Business Case'!B11*$C835*'Business Case'!B12*$B835))-'Business Case'!C15*$F835</f>
        <v>-43574093.7978765</v>
      </c>
      <c r="J835" s="39" t="n">
        <f aca="false">(('Business Case'!D11*$C835*'Business Case'!D12*$B835)-'Business Case'!D11*$C835*'Business Case'!D13*$D835-'Business Case'!D14*$E835)-MAX(0,(('Business Case'!D11*$C835*'Business Case'!D12*$B835)-'Business Case'!D11*$C835*'Business Case'!D13*$D835-'Business Case'!D14*$E835))*'Business Case'!$B$7-'Business Case'!$B$8*(('Business Case'!D11*$C835*'Business Case'!D12*$B835)-('Business Case'!C11*$C835*'Business Case'!C12*$B835))-'Business Case'!D15*$F835</f>
        <v>217485599.206111</v>
      </c>
      <c r="K835" s="39" t="n">
        <f aca="false">(('Business Case'!E11*$C835*'Business Case'!E12*$B835)-'Business Case'!E11*$C835*'Business Case'!E13*$D835-'Business Case'!E14*$E835)-MAX(0,(('Business Case'!E11*$C835*'Business Case'!E12*$B835)-'Business Case'!E11*$C835*'Business Case'!E13*$D835-'Business Case'!E14*$E835))*'Business Case'!$B$7-'Business Case'!$B$8*(('Business Case'!E11*$C835*'Business Case'!E12*$B835)-('Business Case'!D11*$C835*'Business Case'!D12*$B835))-'Business Case'!E15*$F835</f>
        <v>536382888.667395</v>
      </c>
      <c r="L835" s="39" t="n">
        <f aca="false">(('Business Case'!F11*$C835*'Business Case'!F12*$B835)-'Business Case'!F11*$C835*'Business Case'!F13*$D835-'Business Case'!F14*$E835)-MAX(0,(('Business Case'!F11*$C835*'Business Case'!F12*$B835)-'Business Case'!F11*$C835*'Business Case'!F13*$D835-'Business Case'!F14*$E835))*'Business Case'!$B$7-'Business Case'!$B$8*(('Business Case'!F11*$C835*'Business Case'!F12*$B835)-('Business Case'!E11*$C835*'Business Case'!E12*$B835))-'Business Case'!F15*$F835</f>
        <v>656538202.835761</v>
      </c>
      <c r="M835" s="39" t="n">
        <f aca="false">(('Business Case'!G11*$C835*'Business Case'!G12*$B835)-'Business Case'!G11*$C835*'Business Case'!G13*$D835-'Business Case'!G14*$E835)-MAX(0,(('Business Case'!G11*$C835*'Business Case'!G12*$B835)-'Business Case'!G11*$C835*'Business Case'!G13*$D835-'Business Case'!G14*$E835))*'Business Case'!$B$7-'Business Case'!$B$8*(('Business Case'!G11*$C835*'Business Case'!G12*$B835)-('Business Case'!F11*$C835*'Business Case'!F12*$B835))-'Business Case'!G15*$F835+'Business Case'!$B$8*('Business Case'!G11*$C835*'Business Case'!G12*$B835)</f>
        <v>838782993.587799</v>
      </c>
      <c r="N835" s="39" t="n">
        <f aca="false">IF(COUNT('Business Case'!B11:G11)=0,"",H835+NPV(G835,I835:M835))</f>
        <v>-830252372.388624</v>
      </c>
      <c r="P835" s="40" t="n">
        <f aca="true">RAND()</f>
        <v>0.572863381746471</v>
      </c>
      <c r="Q835" s="40" t="n">
        <f aca="true">RAND()</f>
        <v>0.386166191245355</v>
      </c>
      <c r="R835" s="40" t="n">
        <f aca="true">RAND()</f>
        <v>0.968408761211438</v>
      </c>
      <c r="S835" s="40" t="n">
        <f aca="true">RAND()</f>
        <v>0.114410895748549</v>
      </c>
      <c r="T835" s="40" t="n">
        <f aca="true">RAND()</f>
        <v>0.962592087348053</v>
      </c>
      <c r="U835" s="40" t="n">
        <f aca="true">RAND()</f>
        <v>0.648240041435169</v>
      </c>
    </row>
    <row r="836" customFormat="false" ht="15" hidden="false" customHeight="false" outlineLevel="0" collapsed="false">
      <c r="A836" s="36" t="n">
        <v>756</v>
      </c>
      <c r="B836" s="37" t="n">
        <f aca="false">1+IF($G$6=$E$6,$F$6,IF(P836&lt;($F$6-$E$6)/($G$6-$E$6),$E$6+SQRT(P836*($G$6-$E$6)*($F$6-$E$6)),$G$6-SQRT((1-P836)*($G$6-$E$6)*($G$6-$F$6))))</f>
        <v>0.987106371682508</v>
      </c>
      <c r="C836" s="37" t="n">
        <f aca="false">1+IF($G$7=$E$7,$F$7,IF(Q836&lt;($F$7-$E$7)/($G$7-$E$7),$E$7+SQRT(Q836*($G$7-$E$7)*($F$7-$E$7)),$G$7-SQRT((1-Q836)*($G$7-$E$7)*($G$7-$F$7))))</f>
        <v>0.990260509187084</v>
      </c>
      <c r="D836" s="37" t="n">
        <f aca="false">1+IF($G$8=$E$8,$F$8,IF(R836&lt;($F$8-$E$8)/($G$8-$E$8),$E$8+SQRT(R836*($G$8-$E$8)*($F$8-$E$8)),$G$8-SQRT((1-R836)*($G$8-$E$8)*($G$8-$F$8))))</f>
        <v>1.0059757116628</v>
      </c>
      <c r="E836" s="37" t="n">
        <f aca="false">1+IF($G$9=$E$9,$F$9,IF(S836&lt;($F$9-$E$9)/($G$9-$E$9),$E$9+SQRT(S836*($G$9-$E$9)*($F$9-$E$9)),$G$9-SQRT((1-S836)*($G$9-$E$9)*($G$9-$F$9))))</f>
        <v>1.03825294807427</v>
      </c>
      <c r="F836" s="37" t="n">
        <f aca="false">1+IF($G$10=$E$10,$F$10,IF(T836&lt;($F$10-$E$10)/($G$10-$E$10),$E$10+SQRT(T836*($G$10-$E$10)*($F$10-$E$10)),$G$10-SQRT((1-T836)*($G$10-$E$10)*($G$10-$F$10))))</f>
        <v>0.967361048628863</v>
      </c>
      <c r="G836" s="38" t="n">
        <f aca="false">IF($G$11=$E$11,$F$11,IF(U836&lt;($F$11-$E$11)/($G$11-$E$11),$E$11+SQRT(U836*($G$11-$E$11)*($F$11-$E$11)),$G$11-SQRT((1-U836)*($G$11-$E$11)*($G$11-$F$11))))</f>
        <v>0.109715855764588</v>
      </c>
      <c r="H836" s="39" t="n">
        <f aca="false">(('Business Case'!B11*$C836*'Business Case'!B12*$B836)-'Business Case'!B11*$C836*'Business Case'!B13*$D836-'Business Case'!B14*$E836)-MAX(0,(('Business Case'!B11*$C836*'Business Case'!B12*$B836)-'Business Case'!B11*$C836*'Business Case'!B13*$D836-'Business Case'!B14*$E836))*'Business Case'!$B$7-'Business Case'!$B$8*('Business Case'!B11*$C836*'Business Case'!B12*$B836)-'Business Case'!B15*$F836</f>
        <v>-1934722097.25773</v>
      </c>
      <c r="I836" s="39" t="n">
        <f aca="false">(('Business Case'!C11*$C836*'Business Case'!C12*$B836)-'Business Case'!C11*$C836*'Business Case'!C13*$D836-'Business Case'!C14*$E836)-MAX(0,(('Business Case'!C11*$C836*'Business Case'!C12*$B836)-'Business Case'!C11*$C836*'Business Case'!C13*$D836-'Business Case'!C14*$E836))*'Business Case'!$B$7-'Business Case'!$B$8*(('Business Case'!C11*$C836*'Business Case'!C12*$B836)-('Business Case'!B11*$C836*'Business Case'!B12*$B836))-'Business Case'!C15*$F836</f>
        <v>-4375632.58989996</v>
      </c>
      <c r="J836" s="39" t="n">
        <f aca="false">(('Business Case'!D11*$C836*'Business Case'!D12*$B836)-'Business Case'!D11*$C836*'Business Case'!D13*$D836-'Business Case'!D14*$E836)-MAX(0,(('Business Case'!D11*$C836*'Business Case'!D12*$B836)-'Business Case'!D11*$C836*'Business Case'!D13*$D836-'Business Case'!D14*$E836))*'Business Case'!$B$7-'Business Case'!$B$8*(('Business Case'!D11*$C836*'Business Case'!D12*$B836)-('Business Case'!C11*$C836*'Business Case'!C12*$B836))-'Business Case'!D15*$F836</f>
        <v>286297617.934623</v>
      </c>
      <c r="K836" s="39" t="n">
        <f aca="false">(('Business Case'!E11*$C836*'Business Case'!E12*$B836)-'Business Case'!E11*$C836*'Business Case'!E13*$D836-'Business Case'!E14*$E836)-MAX(0,(('Business Case'!E11*$C836*'Business Case'!E12*$B836)-'Business Case'!E11*$C836*'Business Case'!E13*$D836-'Business Case'!E14*$E836))*'Business Case'!$B$7-'Business Case'!$B$8*(('Business Case'!E11*$C836*'Business Case'!E12*$B836)-('Business Case'!D11*$C836*'Business Case'!D12*$B836))-'Business Case'!E15*$F836</f>
        <v>625338920.890589</v>
      </c>
      <c r="L836" s="39" t="n">
        <f aca="false">(('Business Case'!F11*$C836*'Business Case'!F12*$B836)-'Business Case'!F11*$C836*'Business Case'!F13*$D836-'Business Case'!F14*$E836)-MAX(0,(('Business Case'!F11*$C836*'Business Case'!F12*$B836)-'Business Case'!F11*$C836*'Business Case'!F13*$D836-'Business Case'!F14*$E836))*'Business Case'!$B$7-'Business Case'!$B$8*(('Business Case'!F11*$C836*'Business Case'!F12*$B836)-('Business Case'!E11*$C836*'Business Case'!E12*$B836))-'Business Case'!F15*$F836</f>
        <v>756012143.755681</v>
      </c>
      <c r="M836" s="39" t="n">
        <f aca="false">(('Business Case'!G11*$C836*'Business Case'!G12*$B836)-'Business Case'!G11*$C836*'Business Case'!G13*$D836-'Business Case'!G14*$E836)-MAX(0,(('Business Case'!G11*$C836*'Business Case'!G12*$B836)-'Business Case'!G11*$C836*'Business Case'!G13*$D836-'Business Case'!G14*$E836))*'Business Case'!$B$7-'Business Case'!$B$8*(('Business Case'!G11*$C836*'Business Case'!G12*$B836)-('Business Case'!F11*$C836*'Business Case'!F12*$B836))-'Business Case'!G15*$F836+'Business Case'!$B$8*('Business Case'!G11*$C836*'Business Case'!G12*$B836)</f>
        <v>941813910.218726</v>
      </c>
      <c r="N836" s="39" t="n">
        <f aca="false">IF(COUNT('Business Case'!B11:G11)=0,"",H836+NPV(G836,I836:M836))</f>
        <v>-190431267.190357</v>
      </c>
      <c r="P836" s="40" t="n">
        <f aca="true">RAND()</f>
        <v>0.469090116707387</v>
      </c>
      <c r="Q836" s="40" t="n">
        <f aca="true">RAND()</f>
        <v>0.517129447944695</v>
      </c>
      <c r="R836" s="40" t="n">
        <f aca="true">RAND()</f>
        <v>0.473115840016457</v>
      </c>
      <c r="S836" s="40" t="n">
        <f aca="true">RAND()</f>
        <v>0.745820105232044</v>
      </c>
      <c r="T836" s="40" t="n">
        <f aca="true">RAND()</f>
        <v>0.0241124807595008</v>
      </c>
      <c r="U836" s="40" t="n">
        <f aca="true">RAND()</f>
        <v>0.823727295575409</v>
      </c>
    </row>
    <row r="837" customFormat="false" ht="15" hidden="false" customHeight="false" outlineLevel="0" collapsed="false">
      <c r="A837" s="36" t="n">
        <v>757</v>
      </c>
      <c r="B837" s="37" t="n">
        <f aca="false">1+IF($G$6=$E$6,$F$6,IF(P837&lt;($F$6-$E$6)/($G$6-$E$6),$E$6+SQRT(P837*($G$6-$E$6)*($F$6-$E$6)),$G$6-SQRT((1-P837)*($G$6-$E$6)*($G$6-$F$6))))</f>
        <v>0.9835585688006</v>
      </c>
      <c r="C837" s="37" t="n">
        <f aca="false">1+IF($G$7=$E$7,$F$7,IF(Q837&lt;($F$7-$E$7)/($G$7-$E$7),$E$7+SQRT(Q837*($G$7-$E$7)*($F$7-$E$7)),$G$7-SQRT((1-Q837)*($G$7-$E$7)*($G$7-$F$7))))</f>
        <v>1.05387353771821</v>
      </c>
      <c r="D837" s="37" t="n">
        <f aca="false">1+IF($G$8=$E$8,$F$8,IF(R837&lt;($F$8-$E$8)/($G$8-$E$8),$E$8+SQRT(R837*($G$8-$E$8)*($F$8-$E$8)),$G$8-SQRT((1-R837)*($G$8-$E$8)*($G$8-$F$8))))</f>
        <v>1.03771007678161</v>
      </c>
      <c r="E837" s="37" t="n">
        <f aca="false">1+IF($G$9=$E$9,$F$9,IF(S837&lt;($F$9-$E$9)/($G$9-$E$9),$E$9+SQRT(S837*($G$9-$E$9)*($F$9-$E$9)),$G$9-SQRT((1-S837)*($G$9-$E$9)*($G$9-$F$9))))</f>
        <v>1.06213596026181</v>
      </c>
      <c r="F837" s="37" t="n">
        <f aca="false">1+IF($G$10=$E$10,$F$10,IF(T837&lt;($F$10-$E$10)/($G$10-$E$10),$E$10+SQRT(T837*($G$10-$E$10)*($F$10-$E$10)),$G$10-SQRT((1-T837)*($G$10-$E$10)*($G$10-$F$10))))</f>
        <v>1.04319066954099</v>
      </c>
      <c r="G837" s="38" t="n">
        <f aca="false">IF($G$11=$E$11,$F$11,IF(U837&lt;($F$11-$E$11)/($G$11-$E$11),$E$11+SQRT(U837*($G$11-$E$11)*($F$11-$E$11)),$G$11-SQRT((1-U837)*($G$11-$E$11)*($G$11-$F$11))))</f>
        <v>0.117915063173694</v>
      </c>
      <c r="H837" s="39" t="n">
        <f aca="false">(('Business Case'!B11*$C837*'Business Case'!B12*$B837)-'Business Case'!B11*$C837*'Business Case'!B13*$D837-'Business Case'!B14*$E837)-MAX(0,(('Business Case'!B11*$C837*'Business Case'!B12*$B837)-'Business Case'!B11*$C837*'Business Case'!B13*$D837-'Business Case'!B14*$E837))*'Business Case'!$B$7-'Business Case'!$B$8*('Business Case'!B11*$C837*'Business Case'!B12*$B837)-'Business Case'!B15*$F837</f>
        <v>-2086381339.08198</v>
      </c>
      <c r="I837" s="39" t="n">
        <f aca="false">(('Business Case'!C11*$C837*'Business Case'!C12*$B837)-'Business Case'!C11*$C837*'Business Case'!C13*$D837-'Business Case'!C14*$E837)-MAX(0,(('Business Case'!C11*$C837*'Business Case'!C12*$B837)-'Business Case'!C11*$C837*'Business Case'!C13*$D837-'Business Case'!C14*$E837))*'Business Case'!$B$7-'Business Case'!$B$8*(('Business Case'!C11*$C837*'Business Case'!C12*$B837)-('Business Case'!B11*$C837*'Business Case'!B12*$B837))-'Business Case'!C15*$F837</f>
        <v>-19926760.4191201</v>
      </c>
      <c r="J837" s="39" t="n">
        <f aca="false">(('Business Case'!D11*$C837*'Business Case'!D12*$B837)-'Business Case'!D11*$C837*'Business Case'!D13*$D837-'Business Case'!D14*$E837)-MAX(0,(('Business Case'!D11*$C837*'Business Case'!D12*$B837)-'Business Case'!D11*$C837*'Business Case'!D13*$D837-'Business Case'!D14*$E837))*'Business Case'!$B$7-'Business Case'!$B$8*(('Business Case'!D11*$C837*'Business Case'!D12*$B837)-('Business Case'!C11*$C837*'Business Case'!C12*$B837))-'Business Case'!D15*$F837</f>
        <v>269235842.368993</v>
      </c>
      <c r="K837" s="39" t="n">
        <f aca="false">(('Business Case'!E11*$C837*'Business Case'!E12*$B837)-'Business Case'!E11*$C837*'Business Case'!E13*$D837-'Business Case'!E14*$E837)-MAX(0,(('Business Case'!E11*$C837*'Business Case'!E12*$B837)-'Business Case'!E11*$C837*'Business Case'!E13*$D837-'Business Case'!E14*$E837))*'Business Case'!$B$7-'Business Case'!$B$8*(('Business Case'!E11*$C837*'Business Case'!E12*$B837)-('Business Case'!D11*$C837*'Business Case'!D12*$B837))-'Business Case'!E15*$F837</f>
        <v>610557978.634157</v>
      </c>
      <c r="L837" s="39" t="n">
        <f aca="false">(('Business Case'!F11*$C837*'Business Case'!F12*$B837)-'Business Case'!F11*$C837*'Business Case'!F13*$D837-'Business Case'!F14*$E837)-MAX(0,(('Business Case'!F11*$C837*'Business Case'!F12*$B837)-'Business Case'!F11*$C837*'Business Case'!F13*$D837-'Business Case'!F14*$E837))*'Business Case'!$B$7-'Business Case'!$B$8*(('Business Case'!F11*$C837*'Business Case'!F12*$B837)-('Business Case'!E11*$C837*'Business Case'!E12*$B837))-'Business Case'!F15*$F837</f>
        <v>742768554.699464</v>
      </c>
      <c r="M837" s="39" t="n">
        <f aca="false">(('Business Case'!G11*$C837*'Business Case'!G12*$B837)-'Business Case'!G11*$C837*'Business Case'!G13*$D837-'Business Case'!G14*$E837)-MAX(0,(('Business Case'!G11*$C837*'Business Case'!G12*$B837)-'Business Case'!G11*$C837*'Business Case'!G13*$D837-'Business Case'!G14*$E837))*'Business Case'!$B$7-'Business Case'!$B$8*(('Business Case'!G11*$C837*'Business Case'!G12*$B837)-('Business Case'!F11*$C837*'Business Case'!F12*$B837))-'Business Case'!G15*$F837+'Business Case'!$B$8*('Business Case'!G11*$C837*'Business Case'!G12*$B837)</f>
        <v>939795284.613782</v>
      </c>
      <c r="N837" s="39" t="n">
        <f aca="false">IF(COUNT('Business Case'!B11:G11)=0,"",H837+NPV(G837,I837:M837))</f>
        <v>-437921985.207489</v>
      </c>
      <c r="P837" s="40" t="n">
        <f aca="true">RAND()</f>
        <v>0.420801215414652</v>
      </c>
      <c r="Q837" s="40" t="n">
        <f aca="true">RAND()</f>
        <v>0.823994347603588</v>
      </c>
      <c r="R837" s="40" t="n">
        <f aca="true">RAND()</f>
        <v>0.828034845594475</v>
      </c>
      <c r="S837" s="40" t="n">
        <f aca="true">RAND()</f>
        <v>0.904420966313666</v>
      </c>
      <c r="T837" s="40" t="n">
        <f aca="true">RAND()</f>
        <v>0.508216677619954</v>
      </c>
      <c r="U837" s="40" t="n">
        <f aca="true">RAND()</f>
        <v>0.992755064050522</v>
      </c>
    </row>
    <row r="838" customFormat="false" ht="15" hidden="false" customHeight="false" outlineLevel="0" collapsed="false">
      <c r="A838" s="36" t="n">
        <v>758</v>
      </c>
      <c r="B838" s="37" t="n">
        <f aca="false">1+IF($G$6=$E$6,$F$6,IF(P838&lt;($F$6-$E$6)/($G$6-$E$6),$E$6+SQRT(P838*($G$6-$E$6)*($F$6-$E$6)),$G$6-SQRT((1-P838)*($G$6-$E$6)*($G$6-$F$6))))</f>
        <v>0.966674102663815</v>
      </c>
      <c r="C838" s="37" t="n">
        <f aca="false">1+IF($G$7=$E$7,$F$7,IF(Q838&lt;($F$7-$E$7)/($G$7-$E$7),$E$7+SQRT(Q838*($G$7-$E$7)*($F$7-$E$7)),$G$7-SQRT((1-Q838)*($G$7-$E$7)*($G$7-$F$7))))</f>
        <v>0.992874517592826</v>
      </c>
      <c r="D838" s="37" t="n">
        <f aca="false">1+IF($G$8=$E$8,$F$8,IF(R838&lt;($F$8-$E$8)/($G$8-$E$8),$E$8+SQRT(R838*($G$8-$E$8)*($F$8-$E$8)),$G$8-SQRT((1-R838)*($G$8-$E$8)*($G$8-$F$8))))</f>
        <v>0.986390874331613</v>
      </c>
      <c r="E838" s="37" t="n">
        <f aca="false">1+IF($G$9=$E$9,$F$9,IF(S838&lt;($F$9-$E$9)/($G$9-$E$9),$E$9+SQRT(S838*($G$9-$E$9)*($F$9-$E$9)),$G$9-SQRT((1-S838)*($G$9-$E$9)*($G$9-$F$9))))</f>
        <v>1.09193786050343</v>
      </c>
      <c r="F838" s="37" t="n">
        <f aca="false">1+IF($G$10=$E$10,$F$10,IF(T838&lt;($F$10-$E$10)/($G$10-$E$10),$E$10+SQRT(T838*($G$10-$E$10)*($F$10-$E$10)),$G$10-SQRT((1-T838)*($G$10-$E$10)*($G$10-$F$10))))</f>
        <v>1.03286382947311</v>
      </c>
      <c r="G838" s="38" t="n">
        <f aca="false">IF($G$11=$E$11,$F$11,IF(U838&lt;($F$11-$E$11)/($G$11-$E$11),$E$11+SQRT(U838*($G$11-$E$11)*($F$11-$E$11)),$G$11-SQRT((1-U838)*($G$11-$E$11)*($G$11-$F$11))))</f>
        <v>0.0932449549269179</v>
      </c>
      <c r="H838" s="39" t="n">
        <f aca="false">(('Business Case'!B11*$C838*'Business Case'!B12*$B838)-'Business Case'!B11*$C838*'Business Case'!B13*$D838-'Business Case'!B14*$E838)-MAX(0,(('Business Case'!B11*$C838*'Business Case'!B12*$B838)-'Business Case'!B11*$C838*'Business Case'!B13*$D838-'Business Case'!B14*$E838))*'Business Case'!$B$7-'Business Case'!$B$8*('Business Case'!B11*$C838*'Business Case'!B12*$B838)-'Business Case'!B15*$F838</f>
        <v>-2065727658.94621</v>
      </c>
      <c r="I838" s="39" t="n">
        <f aca="false">(('Business Case'!C11*$C838*'Business Case'!C12*$B838)-'Business Case'!C11*$C838*'Business Case'!C13*$D838-'Business Case'!C14*$E838)-MAX(0,(('Business Case'!C11*$C838*'Business Case'!C12*$B838)-'Business Case'!C11*$C838*'Business Case'!C13*$D838-'Business Case'!C14*$E838))*'Business Case'!$B$7-'Business Case'!$B$8*(('Business Case'!C11*$C838*'Business Case'!C12*$B838)-('Business Case'!B11*$C838*'Business Case'!B12*$B838))-'Business Case'!C15*$F838</f>
        <v>-23536531.5367412</v>
      </c>
      <c r="J838" s="39" t="n">
        <f aca="false">(('Business Case'!D11*$C838*'Business Case'!D12*$B838)-'Business Case'!D11*$C838*'Business Case'!D13*$D838-'Business Case'!D14*$E838)-MAX(0,(('Business Case'!D11*$C838*'Business Case'!D12*$B838)-'Business Case'!D11*$C838*'Business Case'!D13*$D838-'Business Case'!D14*$E838))*'Business Case'!$B$7-'Business Case'!$B$8*(('Business Case'!D11*$C838*'Business Case'!D12*$B838)-('Business Case'!C11*$C838*'Business Case'!C12*$B838))-'Business Case'!D15*$F838</f>
        <v>261242194.198374</v>
      </c>
      <c r="K838" s="39" t="n">
        <f aca="false">(('Business Case'!E11*$C838*'Business Case'!E12*$B838)-'Business Case'!E11*$C838*'Business Case'!E13*$D838-'Business Case'!E14*$E838)-MAX(0,(('Business Case'!E11*$C838*'Business Case'!E12*$B838)-'Business Case'!E11*$C838*'Business Case'!E13*$D838-'Business Case'!E14*$E838))*'Business Case'!$B$7-'Business Case'!$B$8*(('Business Case'!E11*$C838*'Business Case'!E12*$B838)-('Business Case'!D11*$C838*'Business Case'!D12*$B838))-'Business Case'!E15*$F838</f>
        <v>597664111.407144</v>
      </c>
      <c r="L838" s="39" t="n">
        <f aca="false">(('Business Case'!F11*$C838*'Business Case'!F12*$B838)-'Business Case'!F11*$C838*'Business Case'!F13*$D838-'Business Case'!F14*$E838)-MAX(0,(('Business Case'!F11*$C838*'Business Case'!F12*$B838)-'Business Case'!F11*$C838*'Business Case'!F13*$D838-'Business Case'!F14*$E838))*'Business Case'!$B$7-'Business Case'!$B$8*(('Business Case'!F11*$C838*'Business Case'!F12*$B838)-('Business Case'!E11*$C838*'Business Case'!E12*$B838))-'Business Case'!F15*$F838</f>
        <v>725760560.359487</v>
      </c>
      <c r="M838" s="39" t="n">
        <f aca="false">(('Business Case'!G11*$C838*'Business Case'!G12*$B838)-'Business Case'!G11*$C838*'Business Case'!G13*$D838-'Business Case'!G14*$E838)-MAX(0,(('Business Case'!G11*$C838*'Business Case'!G12*$B838)-'Business Case'!G11*$C838*'Business Case'!G13*$D838-'Business Case'!G14*$E838))*'Business Case'!$B$7-'Business Case'!$B$8*(('Business Case'!G11*$C838*'Business Case'!G12*$B838)-('Business Case'!F11*$C838*'Business Case'!F12*$B838))-'Business Case'!G15*$F838+'Business Case'!$B$8*('Business Case'!G11*$C838*'Business Case'!G12*$B838)</f>
        <v>908196699.083</v>
      </c>
      <c r="N838" s="39" t="n">
        <f aca="false">IF(COUNT('Business Case'!B11:G11)=0,"",H838+NPV(G838,I838:M838))</f>
        <v>-321641561.747819</v>
      </c>
      <c r="P838" s="40" t="n">
        <f aca="true">RAND()</f>
        <v>0.226924152028372</v>
      </c>
      <c r="Q838" s="40" t="n">
        <f aca="true">RAND()</f>
        <v>0.531436850523788</v>
      </c>
      <c r="R838" s="40" t="n">
        <f aca="true">RAND()</f>
        <v>0.203737805326036</v>
      </c>
      <c r="S838" s="40" t="n">
        <f aca="true">RAND()</f>
        <v>0.995666793782519</v>
      </c>
      <c r="T838" s="40" t="n">
        <f aca="true">RAND()</f>
        <v>0.441310010032104</v>
      </c>
      <c r="U838" s="40" t="n">
        <f aca="true">RAND()</f>
        <v>0.0350991082590948</v>
      </c>
    </row>
    <row r="839" customFormat="false" ht="15" hidden="false" customHeight="false" outlineLevel="0" collapsed="false">
      <c r="A839" s="36" t="n">
        <v>759</v>
      </c>
      <c r="B839" s="37" t="n">
        <f aca="false">1+IF($G$6=$E$6,$F$6,IF(P839&lt;($F$6-$E$6)/($G$6-$E$6),$E$6+SQRT(P839*($G$6-$E$6)*($F$6-$E$6)),$G$6-SQRT((1-P839)*($G$6-$E$6)*($G$6-$F$6))))</f>
        <v>1.02224485267768</v>
      </c>
      <c r="C839" s="37" t="n">
        <f aca="false">1+IF($G$7=$E$7,$F$7,IF(Q839&lt;($F$7-$E$7)/($G$7-$E$7),$E$7+SQRT(Q839*($G$7-$E$7)*($F$7-$E$7)),$G$7-SQRT((1-Q839)*($G$7-$E$7)*($G$7-$F$7))))</f>
        <v>0.892749129813311</v>
      </c>
      <c r="D839" s="37" t="n">
        <f aca="false">1+IF($G$8=$E$8,$F$8,IF(R839&lt;($F$8-$E$8)/($G$8-$E$8),$E$8+SQRT(R839*($G$8-$E$8)*($F$8-$E$8)),$G$8-SQRT((1-R839)*($G$8-$E$8)*($G$8-$F$8))))</f>
        <v>0.983627885219791</v>
      </c>
      <c r="E839" s="37" t="n">
        <f aca="false">1+IF($G$9=$E$9,$F$9,IF(S839&lt;($F$9-$E$9)/($G$9-$E$9),$E$9+SQRT(S839*($G$9-$E$9)*($F$9-$E$9)),$G$9-SQRT((1-S839)*($G$9-$E$9)*($G$9-$F$9))))</f>
        <v>1.02301143924992</v>
      </c>
      <c r="F839" s="37" t="n">
        <f aca="false">1+IF($G$10=$E$10,$F$10,IF(T839&lt;($F$10-$E$10)/($G$10-$E$10),$E$10+SQRT(T839*($G$10-$E$10)*($F$10-$E$10)),$G$10-SQRT((1-T839)*($G$10-$E$10)*($G$10-$F$10))))</f>
        <v>1.11285851115936</v>
      </c>
      <c r="G839" s="38" t="n">
        <f aca="false">IF($G$11=$E$11,$F$11,IF(U839&lt;($F$11-$E$11)/($G$11-$E$11),$E$11+SQRT(U839*($G$11-$E$11)*($F$11-$E$11)),$G$11-SQRT((1-U839)*($G$11-$E$11)*($G$11-$F$11))))</f>
        <v>0.0975284186602439</v>
      </c>
      <c r="H839" s="39" t="n">
        <f aca="false">(('Business Case'!B11*$C839*'Business Case'!B12*$B839)-'Business Case'!B11*$C839*'Business Case'!B13*$D839-'Business Case'!B14*$E839)-MAX(0,(('Business Case'!B11*$C839*'Business Case'!B12*$B839)-'Business Case'!B11*$C839*'Business Case'!B13*$D839-'Business Case'!B14*$E839))*'Business Case'!$B$7-'Business Case'!$B$8*('Business Case'!B11*$C839*'Business Case'!B12*$B839)-'Business Case'!B15*$F839</f>
        <v>-2225717022.31873</v>
      </c>
      <c r="I839" s="39" t="n">
        <f aca="false">(('Business Case'!C11*$C839*'Business Case'!C12*$B839)-'Business Case'!C11*$C839*'Business Case'!C13*$D839-'Business Case'!C14*$E839)-MAX(0,(('Business Case'!C11*$C839*'Business Case'!C12*$B839)-'Business Case'!C11*$C839*'Business Case'!C13*$D839-'Business Case'!C14*$E839))*'Business Case'!$B$7-'Business Case'!$B$8*(('Business Case'!C11*$C839*'Business Case'!C12*$B839)-('Business Case'!B11*$C839*'Business Case'!B12*$B839))-'Business Case'!C15*$F839</f>
        <v>-6109675.13855407</v>
      </c>
      <c r="J839" s="39" t="n">
        <f aca="false">(('Business Case'!D11*$C839*'Business Case'!D12*$B839)-'Business Case'!D11*$C839*'Business Case'!D13*$D839-'Business Case'!D14*$E839)-MAX(0,(('Business Case'!D11*$C839*'Business Case'!D12*$B839)-'Business Case'!D11*$C839*'Business Case'!D13*$D839-'Business Case'!D14*$E839))*'Business Case'!$B$7-'Business Case'!$B$8*(('Business Case'!D11*$C839*'Business Case'!D12*$B839)-('Business Case'!C11*$C839*'Business Case'!C12*$B839))-'Business Case'!D15*$F839</f>
        <v>291848336.727313</v>
      </c>
      <c r="K839" s="39" t="n">
        <f aca="false">(('Business Case'!E11*$C839*'Business Case'!E12*$B839)-'Business Case'!E11*$C839*'Business Case'!E13*$D839-'Business Case'!E14*$E839)-MAX(0,(('Business Case'!E11*$C839*'Business Case'!E12*$B839)-'Business Case'!E11*$C839*'Business Case'!E13*$D839-'Business Case'!E14*$E839))*'Business Case'!$B$7-'Business Case'!$B$8*(('Business Case'!E11*$C839*'Business Case'!E12*$B839)-('Business Case'!D11*$C839*'Business Case'!D12*$B839))-'Business Case'!E15*$F839</f>
        <v>645449274.151147</v>
      </c>
      <c r="L839" s="39" t="n">
        <f aca="false">(('Business Case'!F11*$C839*'Business Case'!F12*$B839)-'Business Case'!F11*$C839*'Business Case'!F13*$D839-'Business Case'!F14*$E839)-MAX(0,(('Business Case'!F11*$C839*'Business Case'!F12*$B839)-'Business Case'!F11*$C839*'Business Case'!F13*$D839-'Business Case'!F14*$E839))*'Business Case'!$B$7-'Business Case'!$B$8*(('Business Case'!F11*$C839*'Business Case'!F12*$B839)-('Business Case'!E11*$C839*'Business Case'!E12*$B839))-'Business Case'!F15*$F839</f>
        <v>776308350.924533</v>
      </c>
      <c r="M839" s="39" t="n">
        <f aca="false">(('Business Case'!G11*$C839*'Business Case'!G12*$B839)-'Business Case'!G11*$C839*'Business Case'!G13*$D839-'Business Case'!G14*$E839)-MAX(0,(('Business Case'!G11*$C839*'Business Case'!G12*$B839)-'Business Case'!G11*$C839*'Business Case'!G13*$D839-'Business Case'!G14*$E839))*'Business Case'!$B$7-'Business Case'!$B$8*(('Business Case'!G11*$C839*'Business Case'!G12*$B839)-('Business Case'!F11*$C839*'Business Case'!F12*$B839))-'Business Case'!G15*$F839+'Business Case'!$B$8*('Business Case'!G11*$C839*'Business Case'!G12*$B839)</f>
        <v>949776918.090733</v>
      </c>
      <c r="N839" s="39" t="n">
        <f aca="false">IF(COUNT('Business Case'!B11:G11)=0,"",H839+NPV(G839,I839:M839))</f>
        <v>-369351707.305999</v>
      </c>
      <c r="P839" s="40" t="n">
        <f aca="true">RAND()</f>
        <v>0.934323904908878</v>
      </c>
      <c r="Q839" s="40" t="n">
        <f aca="true">RAND()</f>
        <v>0.122891444016093</v>
      </c>
      <c r="R839" s="40" t="n">
        <f aca="true">RAND()</f>
        <v>0.17397456374699</v>
      </c>
      <c r="S839" s="40" t="n">
        <f aca="true">RAND()</f>
        <v>0.604850767575427</v>
      </c>
      <c r="T839" s="40" t="n">
        <f aca="true">RAND()</f>
        <v>0.848127218452744</v>
      </c>
      <c r="U839" s="40" t="n">
        <f aca="true">RAND()</f>
        <v>0.188923625079693</v>
      </c>
    </row>
    <row r="840" customFormat="false" ht="15" hidden="false" customHeight="false" outlineLevel="0" collapsed="false">
      <c r="A840" s="36" t="n">
        <v>760</v>
      </c>
      <c r="B840" s="37" t="n">
        <f aca="false">1+IF($G$6=$E$6,$F$6,IF(P840&lt;($F$6-$E$6)/($G$6-$E$6),$E$6+SQRT(P840*($G$6-$E$6)*($F$6-$E$6)),$G$6-SQRT((1-P840)*($G$6-$E$6)*($G$6-$F$6))))</f>
        <v>0.977752898171849</v>
      </c>
      <c r="C840" s="37" t="n">
        <f aca="false">1+IF($G$7=$E$7,$F$7,IF(Q840&lt;($F$7-$E$7)/($G$7-$E$7),$E$7+SQRT(Q840*($G$7-$E$7)*($F$7-$E$7)),$G$7-SQRT((1-Q840)*($G$7-$E$7)*($G$7-$F$7))))</f>
        <v>0.842069171884591</v>
      </c>
      <c r="D840" s="37" t="n">
        <f aca="false">1+IF($G$8=$E$8,$F$8,IF(R840&lt;($F$8-$E$8)/($G$8-$E$8),$E$8+SQRT(R840*($G$8-$E$8)*($F$8-$E$8)),$G$8-SQRT((1-R840)*($G$8-$E$8)*($G$8-$F$8))))</f>
        <v>0.984886368055847</v>
      </c>
      <c r="E840" s="37" t="n">
        <f aca="false">1+IF($G$9=$E$9,$F$9,IF(S840&lt;($F$9-$E$9)/($G$9-$E$9),$E$9+SQRT(S840*($G$9-$E$9)*($F$9-$E$9)),$G$9-SQRT((1-S840)*($G$9-$E$9)*($G$9-$F$9))))</f>
        <v>1.05351825439344</v>
      </c>
      <c r="F840" s="37" t="n">
        <f aca="false">1+IF($G$10=$E$10,$F$10,IF(T840&lt;($F$10-$E$10)/($G$10-$E$10),$E$10+SQRT(T840*($G$10-$E$10)*($F$10-$E$10)),$G$10-SQRT((1-T840)*($G$10-$E$10)*($G$10-$F$10))))</f>
        <v>1.0048648386889</v>
      </c>
      <c r="G840" s="38" t="n">
        <f aca="false">IF($G$11=$E$11,$F$11,IF(U840&lt;($F$11-$E$11)/($G$11-$E$11),$E$11+SQRT(U840*($G$11-$E$11)*($F$11-$E$11)),$G$11-SQRT((1-U840)*($G$11-$E$11)*($G$11-$F$11))))</f>
        <v>0.0974990310885612</v>
      </c>
      <c r="H840" s="39" t="n">
        <f aca="false">(('Business Case'!B11*$C840*'Business Case'!B12*$B840)-'Business Case'!B11*$C840*'Business Case'!B13*$D840-'Business Case'!B14*$E840)-MAX(0,(('Business Case'!B11*$C840*'Business Case'!B12*$B840)-'Business Case'!B11*$C840*'Business Case'!B13*$D840-'Business Case'!B14*$E840))*'Business Case'!$B$7-'Business Case'!$B$8*('Business Case'!B11*$C840*'Business Case'!B12*$B840)-'Business Case'!B15*$F840</f>
        <v>-2009729677.3778</v>
      </c>
      <c r="I840" s="39" t="n">
        <f aca="false">(('Business Case'!C11*$C840*'Business Case'!C12*$B840)-'Business Case'!C11*$C840*'Business Case'!C13*$D840-'Business Case'!C14*$E840)-MAX(0,(('Business Case'!C11*$C840*'Business Case'!C12*$B840)-'Business Case'!C11*$C840*'Business Case'!C13*$D840-'Business Case'!C14*$E840))*'Business Case'!$B$7-'Business Case'!$B$8*(('Business Case'!C11*$C840*'Business Case'!C12*$B840)-('Business Case'!B11*$C840*'Business Case'!B12*$B840))-'Business Case'!C15*$F840</f>
        <v>-43164367.2504561</v>
      </c>
      <c r="J840" s="39" t="n">
        <f aca="false">(('Business Case'!D11*$C840*'Business Case'!D12*$B840)-'Business Case'!D11*$C840*'Business Case'!D13*$D840-'Business Case'!D14*$E840)-MAX(0,(('Business Case'!D11*$C840*'Business Case'!D12*$B840)-'Business Case'!D11*$C840*'Business Case'!D13*$D840-'Business Case'!D14*$E840))*'Business Case'!$B$7-'Business Case'!$B$8*(('Business Case'!D11*$C840*'Business Case'!D12*$B840)-('Business Case'!C11*$C840*'Business Case'!C12*$B840))-'Business Case'!D15*$F840</f>
        <v>206649761.26111</v>
      </c>
      <c r="K840" s="39" t="n">
        <f aca="false">(('Business Case'!E11*$C840*'Business Case'!E12*$B840)-'Business Case'!E11*$C840*'Business Case'!E13*$D840-'Business Case'!E14*$E840)-MAX(0,(('Business Case'!E11*$C840*'Business Case'!E12*$B840)-'Business Case'!E11*$C840*'Business Case'!E13*$D840-'Business Case'!E14*$E840))*'Business Case'!$B$7-'Business Case'!$B$8*(('Business Case'!E11*$C840*'Business Case'!E12*$B840)-('Business Case'!D11*$C840*'Business Case'!D12*$B840))-'Business Case'!E15*$F840</f>
        <v>506707131.70712</v>
      </c>
      <c r="L840" s="39" t="n">
        <f aca="false">(('Business Case'!F11*$C840*'Business Case'!F12*$B840)-'Business Case'!F11*$C840*'Business Case'!F13*$D840-'Business Case'!F14*$E840)-MAX(0,(('Business Case'!F11*$C840*'Business Case'!F12*$B840)-'Business Case'!F11*$C840*'Business Case'!F13*$D840-'Business Case'!F14*$E840))*'Business Case'!$B$7-'Business Case'!$B$8*(('Business Case'!F11*$C840*'Business Case'!F12*$B840)-('Business Case'!E11*$C840*'Business Case'!E12*$B840))-'Business Case'!F15*$F840</f>
        <v>618432985.2899</v>
      </c>
      <c r="M840" s="39" t="n">
        <f aca="false">(('Business Case'!G11*$C840*'Business Case'!G12*$B840)-'Business Case'!G11*$C840*'Business Case'!G13*$D840-'Business Case'!G14*$E840)-MAX(0,(('Business Case'!G11*$C840*'Business Case'!G12*$B840)-'Business Case'!G11*$C840*'Business Case'!G13*$D840-'Business Case'!G14*$E840))*'Business Case'!$B$7-'Business Case'!$B$8*(('Business Case'!G11*$C840*'Business Case'!G12*$B840)-('Business Case'!F11*$C840*'Business Case'!F12*$B840))-'Business Case'!G15*$F840+'Business Case'!$B$8*('Business Case'!G11*$C840*'Business Case'!G12*$B840)</f>
        <v>774932611.057314</v>
      </c>
      <c r="N840" s="39" t="n">
        <f aca="false">IF(COUNT('Business Case'!B11:G11)=0,"",H840+NPV(G840,I840:M840))</f>
        <v>-581249036.782499</v>
      </c>
      <c r="P840" s="40" t="n">
        <f aca="true">RAND()</f>
        <v>0.347437213255</v>
      </c>
      <c r="Q840" s="40" t="n">
        <f aca="true">RAND()</f>
        <v>0.0252830746150756</v>
      </c>
      <c r="R840" s="40" t="n">
        <f aca="true">RAND()</f>
        <v>0.187239796327389</v>
      </c>
      <c r="S840" s="40" t="n">
        <f aca="true">RAND()</f>
        <v>0.855963155024443</v>
      </c>
      <c r="T840" s="40" t="n">
        <f aca="true">RAND()</f>
        <v>0.238445376401804</v>
      </c>
      <c r="U840" s="40" t="n">
        <f aca="true">RAND()</f>
        <v>0.187451557557357</v>
      </c>
    </row>
    <row r="841" customFormat="false" ht="15" hidden="false" customHeight="false" outlineLevel="0" collapsed="false">
      <c r="A841" s="36" t="n">
        <v>761</v>
      </c>
      <c r="B841" s="37" t="n">
        <f aca="false">1+IF($G$6=$E$6,$F$6,IF(P841&lt;($F$6-$E$6)/($G$6-$E$6),$E$6+SQRT(P841*($G$6-$E$6)*($F$6-$E$6)),$G$6-SQRT((1-P841)*($G$6-$E$6)*($G$6-$F$6))))</f>
        <v>0.983560335245853</v>
      </c>
      <c r="C841" s="37" t="n">
        <f aca="false">1+IF($G$7=$E$7,$F$7,IF(Q841&lt;($F$7-$E$7)/($G$7-$E$7),$E$7+SQRT(Q841*($G$7-$E$7)*($F$7-$E$7)),$G$7-SQRT((1-Q841)*($G$7-$E$7)*($G$7-$F$7))))</f>
        <v>1.06203127511472</v>
      </c>
      <c r="D841" s="37" t="n">
        <f aca="false">1+IF($G$8=$E$8,$F$8,IF(R841&lt;($F$8-$E$8)/($G$8-$E$8),$E$8+SQRT(R841*($G$8-$E$8)*($F$8-$E$8)),$G$8-SQRT((1-R841)*($G$8-$E$8)*($G$8-$F$8))))</f>
        <v>0.992870847284141</v>
      </c>
      <c r="E841" s="37" t="n">
        <f aca="false">1+IF($G$9=$E$9,$F$9,IF(S841&lt;($F$9-$E$9)/($G$9-$E$9),$E$9+SQRT(S841*($G$9-$E$9)*($F$9-$E$9)),$G$9-SQRT((1-S841)*($G$9-$E$9)*($G$9-$F$9))))</f>
        <v>0.994810856877161</v>
      </c>
      <c r="F841" s="37" t="n">
        <f aca="false">1+IF($G$10=$E$10,$F$10,IF(T841&lt;($F$10-$E$10)/($G$10-$E$10),$E$10+SQRT(T841*($G$10-$E$10)*($F$10-$E$10)),$G$10-SQRT((1-T841)*($G$10-$E$10)*($G$10-$F$10))))</f>
        <v>0.984043891401602</v>
      </c>
      <c r="G841" s="38" t="n">
        <f aca="false">IF($G$11=$E$11,$F$11,IF(U841&lt;($F$11-$E$11)/($G$11-$E$11),$E$11+SQRT(U841*($G$11-$E$11)*($F$11-$E$11)),$G$11-SQRT((1-U841)*($G$11-$E$11)*($G$11-$F$11))))</f>
        <v>0.0991379623558148</v>
      </c>
      <c r="H841" s="39" t="n">
        <f aca="false">(('Business Case'!B11*$C841*'Business Case'!B12*$B841)-'Business Case'!B11*$C841*'Business Case'!B13*$D841-'Business Case'!B14*$E841)-MAX(0,(('Business Case'!B11*$C841*'Business Case'!B12*$B841)-'Business Case'!B11*$C841*'Business Case'!B13*$D841-'Business Case'!B14*$E841))*'Business Case'!$B$7-'Business Case'!$B$8*('Business Case'!B11*$C841*'Business Case'!B12*$B841)-'Business Case'!B15*$F841</f>
        <v>-1968087782.8032</v>
      </c>
      <c r="I841" s="39" t="n">
        <f aca="false">(('Business Case'!C11*$C841*'Business Case'!C12*$B841)-'Business Case'!C11*$C841*'Business Case'!C13*$D841-'Business Case'!C14*$E841)-MAX(0,(('Business Case'!C11*$C841*'Business Case'!C12*$B841)-'Business Case'!C11*$C841*'Business Case'!C13*$D841-'Business Case'!C14*$E841))*'Business Case'!$B$7-'Business Case'!$B$8*(('Business Case'!C11*$C841*'Business Case'!C12*$B841)-('Business Case'!B11*$C841*'Business Case'!B12*$B841))-'Business Case'!C15*$F841</f>
        <v>21763338.7571071</v>
      </c>
      <c r="J841" s="39" t="n">
        <f aca="false">(('Business Case'!D11*$C841*'Business Case'!D12*$B841)-'Business Case'!D11*$C841*'Business Case'!D13*$D841-'Business Case'!D14*$E841)-MAX(0,(('Business Case'!D11*$C841*'Business Case'!D12*$B841)-'Business Case'!D11*$C841*'Business Case'!D13*$D841-'Business Case'!D14*$E841))*'Business Case'!$B$7-'Business Case'!$B$8*(('Business Case'!D11*$C841*'Business Case'!D12*$B841)-('Business Case'!C11*$C841*'Business Case'!C12*$B841))-'Business Case'!D15*$F841</f>
        <v>337543774.532045</v>
      </c>
      <c r="K841" s="39" t="n">
        <f aca="false">(('Business Case'!E11*$C841*'Business Case'!E12*$B841)-'Business Case'!E11*$C841*'Business Case'!E13*$D841-'Business Case'!E14*$E841)-MAX(0,(('Business Case'!E11*$C841*'Business Case'!E12*$B841)-'Business Case'!E11*$C841*'Business Case'!E13*$D841-'Business Case'!E14*$E841))*'Business Case'!$B$7-'Business Case'!$B$8*(('Business Case'!E11*$C841*'Business Case'!E12*$B841)-('Business Case'!D11*$C841*'Business Case'!D12*$B841))-'Business Case'!E15*$F841</f>
        <v>702526404.877064</v>
      </c>
      <c r="L841" s="39" t="n">
        <f aca="false">(('Business Case'!F11*$C841*'Business Case'!F12*$B841)-'Business Case'!F11*$C841*'Business Case'!F13*$D841-'Business Case'!F14*$E841)-MAX(0,(('Business Case'!F11*$C841*'Business Case'!F12*$B841)-'Business Case'!F11*$C841*'Business Case'!F13*$D841-'Business Case'!F14*$E841))*'Business Case'!$B$7-'Business Case'!$B$8*(('Business Case'!F11*$C841*'Business Case'!F12*$B841)-('Business Case'!E11*$C841*'Business Case'!E12*$B841))-'Business Case'!F15*$F841</f>
        <v>843886952.821869</v>
      </c>
      <c r="M841" s="39" t="n">
        <f aca="false">(('Business Case'!G11*$C841*'Business Case'!G12*$B841)-'Business Case'!G11*$C841*'Business Case'!G13*$D841-'Business Case'!G14*$E841)-MAX(0,(('Business Case'!G11*$C841*'Business Case'!G12*$B841)-'Business Case'!G11*$C841*'Business Case'!G13*$D841-'Business Case'!G14*$E841))*'Business Case'!$B$7-'Business Case'!$B$8*(('Business Case'!G11*$C841*'Business Case'!G12*$B841)-('Business Case'!F11*$C841*'Business Case'!F12*$B841))-'Business Case'!G15*$F841+'Business Case'!$B$8*('Business Case'!G11*$C841*'Business Case'!G12*$B841)</f>
        <v>1042439167.59758</v>
      </c>
      <c r="N841" s="39" t="n">
        <f aca="false">IF(COUNT('Business Case'!B11:G11)=0,"",H841+NPV(G841,I841:M841))</f>
        <v>88184868.6093574</v>
      </c>
      <c r="P841" s="40" t="n">
        <f aca="true">RAND()</f>
        <v>0.420824605892217</v>
      </c>
      <c r="Q841" s="40" t="n">
        <f aca="true">RAND()</f>
        <v>0.852600065563008</v>
      </c>
      <c r="R841" s="40" t="n">
        <f aca="true">RAND()</f>
        <v>0.282755314901566</v>
      </c>
      <c r="S841" s="40" t="n">
        <f aca="true">RAND()</f>
        <v>0.267735052542055</v>
      </c>
      <c r="T841" s="40" t="n">
        <f aca="true">RAND()</f>
        <v>0.0927189233411264</v>
      </c>
      <c r="U841" s="40" t="n">
        <f aca="true">RAND()</f>
        <v>0.278341186720962</v>
      </c>
    </row>
    <row r="842" customFormat="false" ht="15" hidden="false" customHeight="false" outlineLevel="0" collapsed="false">
      <c r="A842" s="36" t="n">
        <v>762</v>
      </c>
      <c r="B842" s="37" t="n">
        <f aca="false">1+IF($G$6=$E$6,$F$6,IF(P842&lt;($F$6-$E$6)/($G$6-$E$6),$E$6+SQRT(P842*($G$6-$E$6)*($F$6-$E$6)),$G$6-SQRT((1-P842)*($G$6-$E$6)*($G$6-$F$6))))</f>
        <v>0.991980297919727</v>
      </c>
      <c r="C842" s="37" t="n">
        <f aca="false">1+IF($G$7=$E$7,$F$7,IF(Q842&lt;($F$7-$E$7)/($G$7-$E$7),$E$7+SQRT(Q842*($G$7-$E$7)*($F$7-$E$7)),$G$7-SQRT((1-Q842)*($G$7-$E$7)*($G$7-$F$7))))</f>
        <v>0.984086995077065</v>
      </c>
      <c r="D842" s="37" t="n">
        <f aca="false">1+IF($G$8=$E$8,$F$8,IF(R842&lt;($F$8-$E$8)/($G$8-$E$8),$E$8+SQRT(R842*($G$8-$E$8)*($F$8-$E$8)),$G$8-SQRT((1-R842)*($G$8-$E$8)*($G$8-$F$8))))</f>
        <v>0.980462284184458</v>
      </c>
      <c r="E842" s="37" t="n">
        <f aca="false">1+IF($G$9=$E$9,$F$9,IF(S842&lt;($F$9-$E$9)/($G$9-$E$9),$E$9+SQRT(S842*($G$9-$E$9)*($F$9-$E$9)),$G$9-SQRT((1-S842)*($G$9-$E$9)*($G$9-$F$9))))</f>
        <v>1.0401865517731</v>
      </c>
      <c r="F842" s="37" t="n">
        <f aca="false">1+IF($G$10=$E$10,$F$10,IF(T842&lt;($F$10-$E$10)/($G$10-$E$10),$E$10+SQRT(T842*($G$10-$E$10)*($F$10-$E$10)),$G$10-SQRT((1-T842)*($G$10-$E$10)*($G$10-$F$10))))</f>
        <v>1.02023349176797</v>
      </c>
      <c r="G842" s="38" t="n">
        <f aca="false">IF($G$11=$E$11,$F$11,IF(U842&lt;($F$11-$E$11)/($G$11-$E$11),$E$11+SQRT(U842*($G$11-$E$11)*($F$11-$E$11)),$G$11-SQRT((1-U842)*($G$11-$E$11)*($G$11-$F$11))))</f>
        <v>0.10285149523107</v>
      </c>
      <c r="H842" s="39" t="n">
        <f aca="false">(('Business Case'!B11*$C842*'Business Case'!B12*$B842)-'Business Case'!B11*$C842*'Business Case'!B13*$D842-'Business Case'!B14*$E842)-MAX(0,(('Business Case'!B11*$C842*'Business Case'!B12*$B842)-'Business Case'!B11*$C842*'Business Case'!B13*$D842-'Business Case'!B14*$E842))*'Business Case'!$B$7-'Business Case'!$B$8*('Business Case'!B11*$C842*'Business Case'!B12*$B842)-'Business Case'!B15*$F842</f>
        <v>-2040466983.53593</v>
      </c>
      <c r="I842" s="39" t="n">
        <f aca="false">(('Business Case'!C11*$C842*'Business Case'!C12*$B842)-'Business Case'!C11*$C842*'Business Case'!C13*$D842-'Business Case'!C14*$E842)-MAX(0,(('Business Case'!C11*$C842*'Business Case'!C12*$B842)-'Business Case'!C11*$C842*'Business Case'!C13*$D842-'Business Case'!C14*$E842))*'Business Case'!$B$7-'Business Case'!$B$8*(('Business Case'!C11*$C842*'Business Case'!C12*$B842)-('Business Case'!B11*$C842*'Business Case'!B12*$B842))-'Business Case'!C15*$F842</f>
        <v>5098871.87991712</v>
      </c>
      <c r="J842" s="39" t="n">
        <f aca="false">(('Business Case'!D11*$C842*'Business Case'!D12*$B842)-'Business Case'!D11*$C842*'Business Case'!D13*$D842-'Business Case'!D14*$E842)-MAX(0,(('Business Case'!D11*$C842*'Business Case'!D12*$B842)-'Business Case'!D11*$C842*'Business Case'!D13*$D842-'Business Case'!D14*$E842))*'Business Case'!$B$7-'Business Case'!$B$8*(('Business Case'!D11*$C842*'Business Case'!D12*$B842)-('Business Case'!C11*$C842*'Business Case'!C12*$B842))-'Business Case'!D15*$F842</f>
        <v>310741564.761961</v>
      </c>
      <c r="K842" s="39" t="n">
        <f aca="false">(('Business Case'!E11*$C842*'Business Case'!E12*$B842)-'Business Case'!E11*$C842*'Business Case'!E13*$D842-'Business Case'!E14*$E842)-MAX(0,(('Business Case'!E11*$C842*'Business Case'!E12*$B842)-'Business Case'!E11*$C842*'Business Case'!E13*$D842-'Business Case'!E14*$E842))*'Business Case'!$B$7-'Business Case'!$B$8*(('Business Case'!E11*$C842*'Business Case'!E12*$B842)-('Business Case'!D11*$C842*'Business Case'!D12*$B842))-'Business Case'!E15*$F842</f>
        <v>667395932.232404</v>
      </c>
      <c r="L842" s="39" t="n">
        <f aca="false">(('Business Case'!F11*$C842*'Business Case'!F12*$B842)-'Business Case'!F11*$C842*'Business Case'!F13*$D842-'Business Case'!F14*$E842)-MAX(0,(('Business Case'!F11*$C842*'Business Case'!F12*$B842)-'Business Case'!F11*$C842*'Business Case'!F13*$D842-'Business Case'!F14*$E842))*'Business Case'!$B$7-'Business Case'!$B$8*(('Business Case'!F11*$C842*'Business Case'!F12*$B842)-('Business Case'!E11*$C842*'Business Case'!E12*$B842))-'Business Case'!F15*$F842</f>
        <v>803014125.968549</v>
      </c>
      <c r="M842" s="39" t="n">
        <f aca="false">(('Business Case'!G11*$C842*'Business Case'!G12*$B842)-'Business Case'!G11*$C842*'Business Case'!G13*$D842-'Business Case'!G14*$E842)-MAX(0,(('Business Case'!G11*$C842*'Business Case'!G12*$B842)-'Business Case'!G11*$C842*'Business Case'!G13*$D842-'Business Case'!G14*$E842))*'Business Case'!$B$7-'Business Case'!$B$8*(('Business Case'!G11*$C842*'Business Case'!G12*$B842)-('Business Case'!F11*$C842*'Business Case'!F12*$B842))-'Business Case'!G15*$F842+'Business Case'!$B$8*('Business Case'!G11*$C842*'Business Case'!G12*$B842)</f>
        <v>988569254.566934</v>
      </c>
      <c r="N842" s="39" t="n">
        <f aca="false">IF(COUNT('Business Case'!B11:G11)=0,"",H842+NPV(G842,I842:M842))</f>
        <v>-134065367.022869</v>
      </c>
      <c r="P842" s="40" t="n">
        <f aca="true">RAND()</f>
        <v>0.539704509230483</v>
      </c>
      <c r="Q842" s="40" t="n">
        <f aca="true">RAND()</f>
        <v>0.484114596521478</v>
      </c>
      <c r="R842" s="40" t="n">
        <f aca="true">RAND()</f>
        <v>0.142761655036104</v>
      </c>
      <c r="S842" s="40" t="n">
        <f aca="true">RAND()</f>
        <v>0.761490094080499</v>
      </c>
      <c r="T842" s="40" t="n">
        <f aca="true">RAND()</f>
        <v>0.353680050361246</v>
      </c>
      <c r="U842" s="40" t="n">
        <f aca="true">RAND()</f>
        <v>0.509881306983284</v>
      </c>
    </row>
    <row r="843" customFormat="false" ht="15" hidden="false" customHeight="false" outlineLevel="0" collapsed="false">
      <c r="A843" s="36" t="n">
        <v>763</v>
      </c>
      <c r="B843" s="37" t="n">
        <f aca="false">1+IF($G$6=$E$6,$F$6,IF(P843&lt;($F$6-$E$6)/($G$6-$E$6),$E$6+SQRT(P843*($G$6-$E$6)*($F$6-$E$6)),$G$6-SQRT((1-P843)*($G$6-$E$6)*($G$6-$F$6))))</f>
        <v>1.03270593170765</v>
      </c>
      <c r="C843" s="37" t="n">
        <f aca="false">1+IF($G$7=$E$7,$F$7,IF(Q843&lt;($F$7-$E$7)/($G$7-$E$7),$E$7+SQRT(Q843*($G$7-$E$7)*($F$7-$E$7)),$G$7-SQRT((1-Q843)*($G$7-$E$7)*($G$7-$F$7))))</f>
        <v>0.880346013493807</v>
      </c>
      <c r="D843" s="37" t="n">
        <f aca="false">1+IF($G$8=$E$8,$F$8,IF(R843&lt;($F$8-$E$8)/($G$8-$E$8),$E$8+SQRT(R843*($G$8-$E$8)*($F$8-$E$8)),$G$8-SQRT((1-R843)*($G$8-$E$8)*($G$8-$F$8))))</f>
        <v>1.06778153060543</v>
      </c>
      <c r="E843" s="37" t="n">
        <f aca="false">1+IF($G$9=$E$9,$F$9,IF(S843&lt;($F$9-$E$9)/($G$9-$E$9),$E$9+SQRT(S843*($G$9-$E$9)*($F$9-$E$9)),$G$9-SQRT((1-S843)*($G$9-$E$9)*($G$9-$F$9))))</f>
        <v>0.97494406890394</v>
      </c>
      <c r="F843" s="37" t="n">
        <f aca="false">1+IF($G$10=$E$10,$F$10,IF(T843&lt;($F$10-$E$10)/($G$10-$E$10),$E$10+SQRT(T843*($G$10-$E$10)*($F$10-$E$10)),$G$10-SQRT((1-T843)*($G$10-$E$10)*($G$10-$F$10))))</f>
        <v>1.00251299851657</v>
      </c>
      <c r="G843" s="38" t="n">
        <f aca="false">IF($G$11=$E$11,$F$11,IF(U843&lt;($F$11-$E$11)/($G$11-$E$11),$E$11+SQRT(U843*($G$11-$E$11)*($F$11-$E$11)),$G$11-SQRT((1-U843)*($G$11-$E$11)*($G$11-$F$11))))</f>
        <v>0.108648822876376</v>
      </c>
      <c r="H843" s="39" t="n">
        <f aca="false">(('Business Case'!B11*$C843*'Business Case'!B12*$B843)-'Business Case'!B11*$C843*'Business Case'!B13*$D843-'Business Case'!B14*$E843)-MAX(0,(('Business Case'!B11*$C843*'Business Case'!B12*$B843)-'Business Case'!B11*$C843*'Business Case'!B13*$D843-'Business Case'!B14*$E843))*'Business Case'!$B$7-'Business Case'!$B$8*('Business Case'!B11*$C843*'Business Case'!B12*$B843)-'Business Case'!B15*$F843</f>
        <v>-2005025997.03313</v>
      </c>
      <c r="I843" s="39" t="n">
        <f aca="false">(('Business Case'!C11*$C843*'Business Case'!C12*$B843)-'Business Case'!C11*$C843*'Business Case'!C13*$D843-'Business Case'!C14*$E843)-MAX(0,(('Business Case'!C11*$C843*'Business Case'!C12*$B843)-'Business Case'!C11*$C843*'Business Case'!C13*$D843-'Business Case'!C14*$E843))*'Business Case'!$B$7-'Business Case'!$B$8*(('Business Case'!C11*$C843*'Business Case'!C12*$B843)-('Business Case'!B11*$C843*'Business Case'!B12*$B843))-'Business Case'!C15*$F843</f>
        <v>-22581770.4502749</v>
      </c>
      <c r="J843" s="39" t="n">
        <f aca="false">(('Business Case'!D11*$C843*'Business Case'!D12*$B843)-'Business Case'!D11*$C843*'Business Case'!D13*$D843-'Business Case'!D14*$E843)-MAX(0,(('Business Case'!D11*$C843*'Business Case'!D12*$B843)-'Business Case'!D11*$C843*'Business Case'!D13*$D843-'Business Case'!D14*$E843))*'Business Case'!$B$7-'Business Case'!$B$8*(('Business Case'!D11*$C843*'Business Case'!D12*$B843)-('Business Case'!C11*$C843*'Business Case'!C12*$B843))-'Business Case'!D15*$F843</f>
        <v>240854547.985925</v>
      </c>
      <c r="K843" s="39" t="n">
        <f aca="false">(('Business Case'!E11*$C843*'Business Case'!E12*$B843)-'Business Case'!E11*$C843*'Business Case'!E13*$D843-'Business Case'!E14*$E843)-MAX(0,(('Business Case'!E11*$C843*'Business Case'!E12*$B843)-'Business Case'!E11*$C843*'Business Case'!E13*$D843-'Business Case'!E14*$E843))*'Business Case'!$B$7-'Business Case'!$B$8*(('Business Case'!E11*$C843*'Business Case'!E12*$B843)-('Business Case'!D11*$C843*'Business Case'!D12*$B843))-'Business Case'!E15*$F843</f>
        <v>554416516.347953</v>
      </c>
      <c r="L843" s="39" t="n">
        <f aca="false">(('Business Case'!F11*$C843*'Business Case'!F12*$B843)-'Business Case'!F11*$C843*'Business Case'!F13*$D843-'Business Case'!F14*$E843)-MAX(0,(('Business Case'!F11*$C843*'Business Case'!F12*$B843)-'Business Case'!F11*$C843*'Business Case'!F13*$D843-'Business Case'!F14*$E843))*'Business Case'!$B$7-'Business Case'!$B$8*(('Business Case'!F11*$C843*'Business Case'!F12*$B843)-('Business Case'!E11*$C843*'Business Case'!E12*$B843))-'Business Case'!F15*$F843</f>
        <v>673648450.784471</v>
      </c>
      <c r="M843" s="39" t="n">
        <f aca="false">(('Business Case'!G11*$C843*'Business Case'!G12*$B843)-'Business Case'!G11*$C843*'Business Case'!G13*$D843-'Business Case'!G14*$E843)-MAX(0,(('Business Case'!G11*$C843*'Business Case'!G12*$B843)-'Business Case'!G11*$C843*'Business Case'!G13*$D843-'Business Case'!G14*$E843))*'Business Case'!$B$7-'Business Case'!$B$8*(('Business Case'!G11*$C843*'Business Case'!G12*$B843)-('Business Case'!F11*$C843*'Business Case'!F12*$B843))-'Business Case'!G15*$F843+'Business Case'!$B$8*('Business Case'!G11*$C843*'Business Case'!G12*$B843)</f>
        <v>846457506.385624</v>
      </c>
      <c r="N843" s="39" t="n">
        <f aca="false">IF(COUNT('Business Case'!B11:G11)=0,"",H843+NPV(G843,I843:M843))</f>
        <v>-471246122.89023</v>
      </c>
      <c r="P843" s="40" t="n">
        <f aca="true">RAND()</f>
        <v>0.988915951613859</v>
      </c>
      <c r="Q843" s="40" t="n">
        <f aca="true">RAND()</f>
        <v>0.092221169776386</v>
      </c>
      <c r="R843" s="40" t="n">
        <f aca="true">RAND()</f>
        <v>0.985645096697487</v>
      </c>
      <c r="S843" s="40" t="n">
        <f aca="true">RAND()</f>
        <v>0.0829608764646025</v>
      </c>
      <c r="T843" s="40" t="n">
        <f aca="true">RAND()</f>
        <v>0.219977684901635</v>
      </c>
      <c r="U843" s="40" t="n">
        <f aca="true">RAND()</f>
        <v>0.78525129651354</v>
      </c>
    </row>
    <row r="844" customFormat="false" ht="15" hidden="false" customHeight="false" outlineLevel="0" collapsed="false">
      <c r="A844" s="36" t="n">
        <v>764</v>
      </c>
      <c r="B844" s="37" t="n">
        <f aca="false">1+IF($G$6=$E$6,$F$6,IF(P844&lt;($F$6-$E$6)/($G$6-$E$6),$E$6+SQRT(P844*($G$6-$E$6)*($F$6-$E$6)),$G$6-SQRT((1-P844)*($G$6-$E$6)*($G$6-$F$6))))</f>
        <v>0.95655803052013</v>
      </c>
      <c r="C844" s="37" t="n">
        <f aca="false">1+IF($G$7=$E$7,$F$7,IF(Q844&lt;($F$7-$E$7)/($G$7-$E$7),$E$7+SQRT(Q844*($G$7-$E$7)*($F$7-$E$7)),$G$7-SQRT((1-Q844)*($G$7-$E$7)*($G$7-$F$7))))</f>
        <v>0.930228628837314</v>
      </c>
      <c r="D844" s="37" t="n">
        <f aca="false">1+IF($G$8=$E$8,$F$8,IF(R844&lt;($F$8-$E$8)/($G$8-$E$8),$E$8+SQRT(R844*($G$8-$E$8)*($F$8-$E$8)),$G$8-SQRT((1-R844)*($G$8-$E$8)*($G$8-$F$8))))</f>
        <v>1.03174535027567</v>
      </c>
      <c r="E844" s="37" t="n">
        <f aca="false">1+IF($G$9=$E$9,$F$9,IF(S844&lt;($F$9-$E$9)/($G$9-$E$9),$E$9+SQRT(S844*($G$9-$E$9)*($F$9-$E$9)),$G$9-SQRT((1-S844)*($G$9-$E$9)*($G$9-$F$9))))</f>
        <v>0.987502410437503</v>
      </c>
      <c r="F844" s="37" t="n">
        <f aca="false">1+IF($G$10=$E$10,$F$10,IF(T844&lt;($F$10-$E$10)/($G$10-$E$10),$E$10+SQRT(T844*($G$10-$E$10)*($F$10-$E$10)),$G$10-SQRT((1-T844)*($G$10-$E$10)*($G$10-$F$10))))</f>
        <v>1.14041996524375</v>
      </c>
      <c r="G844" s="38" t="n">
        <f aca="false">IF($G$11=$E$11,$F$11,IF(U844&lt;($F$11-$E$11)/($G$11-$E$11),$E$11+SQRT(U844*($G$11-$E$11)*($F$11-$E$11)),$G$11-SQRT((1-U844)*($G$11-$E$11)*($G$11-$F$11))))</f>
        <v>0.100146867670009</v>
      </c>
      <c r="H844" s="39" t="n">
        <f aca="false">(('Business Case'!B11*$C844*'Business Case'!B12*$B844)-'Business Case'!B11*$C844*'Business Case'!B13*$D844-'Business Case'!B14*$E844)-MAX(0,(('Business Case'!B11*$C844*'Business Case'!B12*$B844)-'Business Case'!B11*$C844*'Business Case'!B13*$D844-'Business Case'!B14*$E844))*'Business Case'!$B$7-'Business Case'!$B$8*('Business Case'!B11*$C844*'Business Case'!B12*$B844)-'Business Case'!B15*$F844</f>
        <v>-2280839930.4875</v>
      </c>
      <c r="I844" s="39" t="n">
        <f aca="false">(('Business Case'!C11*$C844*'Business Case'!C12*$B844)-'Business Case'!C11*$C844*'Business Case'!C13*$D844-'Business Case'!C14*$E844)-MAX(0,(('Business Case'!C11*$C844*'Business Case'!C12*$B844)-'Business Case'!C11*$C844*'Business Case'!C13*$D844-'Business Case'!C14*$E844))*'Business Case'!$B$7-'Business Case'!$B$8*(('Business Case'!C11*$C844*'Business Case'!C12*$B844)-('Business Case'!B11*$C844*'Business Case'!B12*$B844))-'Business Case'!C15*$F844</f>
        <v>-63088111.7055104</v>
      </c>
      <c r="J844" s="39" t="n">
        <f aca="false">(('Business Case'!D11*$C844*'Business Case'!D12*$B844)-'Business Case'!D11*$C844*'Business Case'!D13*$D844-'Business Case'!D14*$E844)-MAX(0,(('Business Case'!D11*$C844*'Business Case'!D12*$B844)-'Business Case'!D11*$C844*'Business Case'!D13*$D844-'Business Case'!D14*$E844))*'Business Case'!$B$7-'Business Case'!$B$8*(('Business Case'!D11*$C844*'Business Case'!D12*$B844)-('Business Case'!C11*$C844*'Business Case'!C12*$B844))-'Business Case'!D15*$F844</f>
        <v>174416763.638117</v>
      </c>
      <c r="K844" s="39" t="n">
        <f aca="false">(('Business Case'!E11*$C844*'Business Case'!E12*$B844)-'Business Case'!E11*$C844*'Business Case'!E13*$D844-'Business Case'!E14*$E844)-MAX(0,(('Business Case'!E11*$C844*'Business Case'!E12*$B844)-'Business Case'!E11*$C844*'Business Case'!E13*$D844-'Business Case'!E14*$E844))*'Business Case'!$B$7-'Business Case'!$B$8*(('Business Case'!E11*$C844*'Business Case'!E12*$B844)-('Business Case'!D11*$C844*'Business Case'!D12*$B844))-'Business Case'!E15*$F844</f>
        <v>468942637.243931</v>
      </c>
      <c r="L844" s="39" t="n">
        <f aca="false">(('Business Case'!F11*$C844*'Business Case'!F12*$B844)-'Business Case'!F11*$C844*'Business Case'!F13*$D844-'Business Case'!F14*$E844)-MAX(0,(('Business Case'!F11*$C844*'Business Case'!F12*$B844)-'Business Case'!F11*$C844*'Business Case'!F13*$D844-'Business Case'!F14*$E844))*'Business Case'!$B$7-'Business Case'!$B$8*(('Business Case'!F11*$C844*'Business Case'!F12*$B844)-('Business Case'!E11*$C844*'Business Case'!E12*$B844))-'Business Case'!F15*$F844</f>
        <v>578863027.532174</v>
      </c>
      <c r="M844" s="39" t="n">
        <f aca="false">(('Business Case'!G11*$C844*'Business Case'!G12*$B844)-'Business Case'!G11*$C844*'Business Case'!G13*$D844-'Business Case'!G14*$E844)-MAX(0,(('Business Case'!G11*$C844*'Business Case'!G12*$B844)-'Business Case'!G11*$C844*'Business Case'!G13*$D844-'Business Case'!G14*$E844))*'Business Case'!$B$7-'Business Case'!$B$8*(('Business Case'!G11*$C844*'Business Case'!G12*$B844)-('Business Case'!F11*$C844*'Business Case'!F12*$B844))-'Business Case'!G15*$F844+'Business Case'!$B$8*('Business Case'!G11*$C844*'Business Case'!G12*$B844)</f>
        <v>747999569.320856</v>
      </c>
      <c r="N844" s="39" t="n">
        <f aca="false">IF(COUNT('Business Case'!B11:G11)=0,"",H844+NPV(G844,I844:M844))</f>
        <v>-982595938.946118</v>
      </c>
      <c r="P844" s="40" t="n">
        <f aca="true">RAND()</f>
        <v>0.139217666199038</v>
      </c>
      <c r="Q844" s="40" t="n">
        <f aca="true">RAND()</f>
        <v>0.242278510983526</v>
      </c>
      <c r="R844" s="40" t="n">
        <f aca="true">RAND()</f>
        <v>0.776104690382889</v>
      </c>
      <c r="S844" s="40" t="n">
        <f aca="true">RAND()</f>
        <v>0.187524105149725</v>
      </c>
      <c r="T844" s="40" t="n">
        <f aca="true">RAND()</f>
        <v>0.929004389168877</v>
      </c>
      <c r="U844" s="40" t="n">
        <f aca="true">RAND()</f>
        <v>0.343088561146449</v>
      </c>
    </row>
    <row r="845" customFormat="false" ht="15" hidden="false" customHeight="false" outlineLevel="0" collapsed="false">
      <c r="A845" s="36" t="n">
        <v>765</v>
      </c>
      <c r="B845" s="37" t="n">
        <f aca="false">1+IF($G$6=$E$6,$F$6,IF(P845&lt;($F$6-$E$6)/($G$6-$E$6),$E$6+SQRT(P845*($G$6-$E$6)*($F$6-$E$6)),$G$6-SQRT((1-P845)*($G$6-$E$6)*($G$6-$F$6))))</f>
        <v>0.967982213926158</v>
      </c>
      <c r="C845" s="37" t="n">
        <f aca="false">1+IF($G$7=$E$7,$F$7,IF(Q845&lt;($F$7-$E$7)/($G$7-$E$7),$E$7+SQRT(Q845*($G$7-$E$7)*($F$7-$E$7)),$G$7-SQRT((1-Q845)*($G$7-$E$7)*($G$7-$F$7))))</f>
        <v>1.08711811787714</v>
      </c>
      <c r="D845" s="37" t="n">
        <f aca="false">1+IF($G$8=$E$8,$F$8,IF(R845&lt;($F$8-$E$8)/($G$8-$E$8),$E$8+SQRT(R845*($G$8-$E$8)*($F$8-$E$8)),$G$8-SQRT((1-R845)*($G$8-$E$8)*($G$8-$F$8))))</f>
        <v>1.00597057434554</v>
      </c>
      <c r="E845" s="37" t="n">
        <f aca="false">1+IF($G$9=$E$9,$F$9,IF(S845&lt;($F$9-$E$9)/($G$9-$E$9),$E$9+SQRT(S845*($G$9-$E$9)*($F$9-$E$9)),$G$9-SQRT((1-S845)*($G$9-$E$9)*($G$9-$F$9))))</f>
        <v>1.02032249188225</v>
      </c>
      <c r="F845" s="37" t="n">
        <f aca="false">1+IF($G$10=$E$10,$F$10,IF(T845&lt;($F$10-$E$10)/($G$10-$E$10),$E$10+SQRT(T845*($G$10-$E$10)*($F$10-$E$10)),$G$10-SQRT((1-T845)*($G$10-$E$10)*($G$10-$F$10))))</f>
        <v>1.10171959729207</v>
      </c>
      <c r="G845" s="38" t="n">
        <f aca="false">IF($G$11=$E$11,$F$11,IF(U845&lt;($F$11-$E$11)/($G$11-$E$11),$E$11+SQRT(U845*($G$11-$E$11)*($F$11-$E$11)),$G$11-SQRT((1-U845)*($G$11-$E$11)*($G$11-$F$11))))</f>
        <v>0.108961692705356</v>
      </c>
      <c r="H845" s="39" t="n">
        <f aca="false">(('Business Case'!B11*$C845*'Business Case'!B12*$B845)-'Business Case'!B11*$C845*'Business Case'!B13*$D845-'Business Case'!B14*$E845)-MAX(0,(('Business Case'!B11*$C845*'Business Case'!B12*$B845)-'Business Case'!B11*$C845*'Business Case'!B13*$D845-'Business Case'!B14*$E845))*'Business Case'!$B$7-'Business Case'!$B$8*('Business Case'!B11*$C845*'Business Case'!B12*$B845)-'Business Case'!B15*$F845</f>
        <v>-2203439194.58413</v>
      </c>
      <c r="I845" s="39" t="n">
        <f aca="false">(('Business Case'!C11*$C845*'Business Case'!C12*$B845)-'Business Case'!C11*$C845*'Business Case'!C13*$D845-'Business Case'!C14*$E845)-MAX(0,(('Business Case'!C11*$C845*'Business Case'!C12*$B845)-'Business Case'!C11*$C845*'Business Case'!C13*$D845-'Business Case'!C14*$E845))*'Business Case'!$B$7-'Business Case'!$B$8*(('Business Case'!C11*$C845*'Business Case'!C12*$B845)-('Business Case'!B11*$C845*'Business Case'!B12*$B845))-'Business Case'!C15*$F845</f>
        <v>-7735379.02582294</v>
      </c>
      <c r="J845" s="39" t="n">
        <f aca="false">(('Business Case'!D11*$C845*'Business Case'!D12*$B845)-'Business Case'!D11*$C845*'Business Case'!D13*$D845-'Business Case'!D14*$E845)-MAX(0,(('Business Case'!D11*$C845*'Business Case'!D12*$B845)-'Business Case'!D11*$C845*'Business Case'!D13*$D845-'Business Case'!D14*$E845))*'Business Case'!$B$7-'Business Case'!$B$8*(('Business Case'!D11*$C845*'Business Case'!D12*$B845)-('Business Case'!C11*$C845*'Business Case'!C12*$B845))-'Business Case'!D15*$F845</f>
        <v>294342862.394991</v>
      </c>
      <c r="K845" s="39" t="n">
        <f aca="false">(('Business Case'!E11*$C845*'Business Case'!E12*$B845)-'Business Case'!E11*$C845*'Business Case'!E13*$D845-'Business Case'!E14*$E845)-MAX(0,(('Business Case'!E11*$C845*'Business Case'!E12*$B845)-'Business Case'!E11*$C845*'Business Case'!E13*$D845-'Business Case'!E14*$E845))*'Business Case'!$B$7-'Business Case'!$B$8*(('Business Case'!E11*$C845*'Business Case'!E12*$B845)-('Business Case'!D11*$C845*'Business Case'!D12*$B845))-'Business Case'!E15*$F845</f>
        <v>651507083.680409</v>
      </c>
      <c r="L845" s="39" t="n">
        <f aca="false">(('Business Case'!F11*$C845*'Business Case'!F12*$B845)-'Business Case'!F11*$C845*'Business Case'!F13*$D845-'Business Case'!F14*$E845)-MAX(0,(('Business Case'!F11*$C845*'Business Case'!F12*$B845)-'Business Case'!F11*$C845*'Business Case'!F13*$D845-'Business Case'!F14*$E845))*'Business Case'!$B$7-'Business Case'!$B$8*(('Business Case'!F11*$C845*'Business Case'!F12*$B845)-('Business Case'!E11*$C845*'Business Case'!E12*$B845))-'Business Case'!F15*$F845</f>
        <v>788567699.06853</v>
      </c>
      <c r="M845" s="39" t="n">
        <f aca="false">(('Business Case'!G11*$C845*'Business Case'!G12*$B845)-'Business Case'!G11*$C845*'Business Case'!G13*$D845-'Business Case'!G14*$E845)-MAX(0,(('Business Case'!G11*$C845*'Business Case'!G12*$B845)-'Business Case'!G11*$C845*'Business Case'!G13*$D845-'Business Case'!G14*$E845))*'Business Case'!$B$7-'Business Case'!$B$8*(('Business Case'!G11*$C845*'Business Case'!G12*$B845)-('Business Case'!F11*$C845*'Business Case'!F12*$B845))-'Business Case'!G15*$F845+'Business Case'!$B$8*('Business Case'!G11*$C845*'Business Case'!G12*$B845)</f>
        <v>988590974.431704</v>
      </c>
      <c r="N845" s="39" t="n">
        <f aca="false">IF(COUNT('Business Case'!B11:G11)=0,"",H845+NPV(G845,I845:M845))</f>
        <v>-382521586.239159</v>
      </c>
      <c r="P845" s="40" t="n">
        <f aca="true">RAND()</f>
        <v>0.239822172214126</v>
      </c>
      <c r="Q845" s="40" t="n">
        <f aca="true">RAND()</f>
        <v>0.924683217155942</v>
      </c>
      <c r="R845" s="40" t="n">
        <f aca="true">RAND()</f>
        <v>0.473042705506804</v>
      </c>
      <c r="S845" s="40" t="n">
        <f aca="true">RAND()</f>
        <v>0.576766313343023</v>
      </c>
      <c r="T845" s="40" t="n">
        <f aca="true">RAND()</f>
        <v>0.806819248871327</v>
      </c>
      <c r="U845" s="40" t="n">
        <f aca="true">RAND()</f>
        <v>0.796926286781669</v>
      </c>
    </row>
    <row r="846" customFormat="false" ht="15" hidden="false" customHeight="false" outlineLevel="0" collapsed="false">
      <c r="A846" s="36" t="n">
        <v>766</v>
      </c>
      <c r="B846" s="37" t="n">
        <f aca="false">1+IF($G$6=$E$6,$F$6,IF(P846&lt;($F$6-$E$6)/($G$6-$E$6),$E$6+SQRT(P846*($G$6-$E$6)*($F$6-$E$6)),$G$6-SQRT((1-P846)*($G$6-$E$6)*($G$6-$F$6))))</f>
        <v>0.923696373466683</v>
      </c>
      <c r="C846" s="37" t="n">
        <f aca="false">1+IF($G$7=$E$7,$F$7,IF(Q846&lt;($F$7-$E$7)/($G$7-$E$7),$E$7+SQRT(Q846*($G$7-$E$7)*($F$7-$E$7)),$G$7-SQRT((1-Q846)*($G$7-$E$7)*($G$7-$F$7))))</f>
        <v>0.866696660887535</v>
      </c>
      <c r="D846" s="37" t="n">
        <f aca="false">1+IF($G$8=$E$8,$F$8,IF(R846&lt;($F$8-$E$8)/($G$8-$E$8),$E$8+SQRT(R846*($G$8-$E$8)*($F$8-$E$8)),$G$8-SQRT((1-R846)*($G$8-$E$8)*($G$8-$F$8))))</f>
        <v>0.960416525210236</v>
      </c>
      <c r="E846" s="37" t="n">
        <f aca="false">1+IF($G$9=$E$9,$F$9,IF(S846&lt;($F$9-$E$9)/($G$9-$E$9),$E$9+SQRT(S846*($G$9-$E$9)*($F$9-$E$9)),$G$9-SQRT((1-S846)*($G$9-$E$9)*($G$9-$F$9))))</f>
        <v>1.06080292593905</v>
      </c>
      <c r="F846" s="37" t="n">
        <f aca="false">1+IF($G$10=$E$10,$F$10,IF(T846&lt;($F$10-$E$10)/($G$10-$E$10),$E$10+SQRT(T846*($G$10-$E$10)*($F$10-$E$10)),$G$10-SQRT((1-T846)*($G$10-$E$10)*($G$10-$F$10))))</f>
        <v>1.00674031618416</v>
      </c>
      <c r="G846" s="38" t="n">
        <f aca="false">IF($G$11=$E$11,$F$11,IF(U846&lt;($F$11-$E$11)/($G$11-$E$11),$E$11+SQRT(U846*($G$11-$E$11)*($F$11-$E$11)),$G$11-SQRT((1-U846)*($G$11-$E$11)*($G$11-$F$11))))</f>
        <v>0.108271639423489</v>
      </c>
      <c r="H846" s="39" t="n">
        <f aca="false">(('Business Case'!B11*$C846*'Business Case'!B12*$B846)-'Business Case'!B11*$C846*'Business Case'!B13*$D846-'Business Case'!B14*$E846)-MAX(0,(('Business Case'!B11*$C846*'Business Case'!B12*$B846)-'Business Case'!B11*$C846*'Business Case'!B13*$D846-'Business Case'!B14*$E846))*'Business Case'!$B$7-'Business Case'!$B$8*('Business Case'!B11*$C846*'Business Case'!B12*$B846)-'Business Case'!B15*$F846</f>
        <v>-2013480632.36832</v>
      </c>
      <c r="I846" s="39" t="n">
        <f aca="false">(('Business Case'!C11*$C846*'Business Case'!C12*$B846)-'Business Case'!C11*$C846*'Business Case'!C13*$D846-'Business Case'!C14*$E846)-MAX(0,(('Business Case'!C11*$C846*'Business Case'!C12*$B846)-'Business Case'!C11*$C846*'Business Case'!C13*$D846-'Business Case'!C14*$E846))*'Business Case'!$B$7-'Business Case'!$B$8*(('Business Case'!C11*$C846*'Business Case'!C12*$B846)-('Business Case'!B11*$C846*'Business Case'!B12*$B846))-'Business Case'!C15*$F846</f>
        <v>-63418441.319188</v>
      </c>
      <c r="J846" s="39" t="n">
        <f aca="false">(('Business Case'!D11*$C846*'Business Case'!D12*$B846)-'Business Case'!D11*$C846*'Business Case'!D13*$D846-'Business Case'!D14*$E846)-MAX(0,(('Business Case'!D11*$C846*'Business Case'!D12*$B846)-'Business Case'!D11*$C846*'Business Case'!D13*$D846-'Business Case'!D14*$E846))*'Business Case'!$B$7-'Business Case'!$B$8*(('Business Case'!D11*$C846*'Business Case'!D12*$B846)-('Business Case'!C11*$C846*'Business Case'!C12*$B846))-'Business Case'!D15*$F846</f>
        <v>166184591.971554</v>
      </c>
      <c r="K846" s="39" t="n">
        <f aca="false">(('Business Case'!E11*$C846*'Business Case'!E12*$B846)-'Business Case'!E11*$C846*'Business Case'!E13*$D846-'Business Case'!E14*$E846)-MAX(0,(('Business Case'!E11*$C846*'Business Case'!E12*$B846)-'Business Case'!E11*$C846*'Business Case'!E13*$D846-'Business Case'!E14*$E846))*'Business Case'!$B$7-'Business Case'!$B$8*(('Business Case'!E11*$C846*'Business Case'!E12*$B846)-('Business Case'!D11*$C846*'Business Case'!D12*$B846))-'Business Case'!E15*$F846</f>
        <v>446124641.071504</v>
      </c>
      <c r="L846" s="39" t="n">
        <f aca="false">(('Business Case'!F11*$C846*'Business Case'!F12*$B846)-'Business Case'!F11*$C846*'Business Case'!F13*$D846-'Business Case'!F14*$E846)-MAX(0,(('Business Case'!F11*$C846*'Business Case'!F12*$B846)-'Business Case'!F11*$C846*'Business Case'!F13*$D846-'Business Case'!F14*$E846))*'Business Case'!$B$7-'Business Case'!$B$8*(('Business Case'!F11*$C846*'Business Case'!F12*$B846)-('Business Case'!E11*$C846*'Business Case'!E12*$B846))-'Business Case'!F15*$F846</f>
        <v>550326496.783739</v>
      </c>
      <c r="M846" s="39" t="n">
        <f aca="false">(('Business Case'!G11*$C846*'Business Case'!G12*$B846)-'Business Case'!G11*$C846*'Business Case'!G13*$D846-'Business Case'!G14*$E846)-MAX(0,(('Business Case'!G11*$C846*'Business Case'!G12*$B846)-'Business Case'!G11*$C846*'Business Case'!G13*$D846-'Business Case'!G14*$E846))*'Business Case'!$B$7-'Business Case'!$B$8*(('Business Case'!G11*$C846*'Business Case'!G12*$B846)-('Business Case'!F11*$C846*'Business Case'!F12*$B846))-'Business Case'!G15*$F846+'Business Case'!$B$8*('Business Case'!G11*$C846*'Business Case'!G12*$B846)</f>
        <v>702497808.834668</v>
      </c>
      <c r="N846" s="39" t="n">
        <f aca="false">IF(COUNT('Business Case'!B11:G11)=0,"",H846+NPV(G846,I846:M846))</f>
        <v>-822729282.042432</v>
      </c>
      <c r="P846" s="40" t="n">
        <f aca="true">RAND()</f>
        <v>0.00142324758387494</v>
      </c>
      <c r="Q846" s="40" t="n">
        <f aca="true">RAND()</f>
        <v>0.0635492081935263</v>
      </c>
      <c r="R846" s="40" t="n">
        <f aca="true">RAND()</f>
        <v>0.0166929226854596</v>
      </c>
      <c r="S846" s="40" t="n">
        <f aca="true">RAND()</f>
        <v>0.897572625670704</v>
      </c>
      <c r="T846" s="40" t="n">
        <f aca="true">RAND()</f>
        <v>0.25301389222802</v>
      </c>
      <c r="U846" s="40" t="n">
        <f aca="true">RAND()</f>
        <v>0.770742596978907</v>
      </c>
    </row>
    <row r="847" customFormat="false" ht="15" hidden="false" customHeight="false" outlineLevel="0" collapsed="false">
      <c r="A847" s="36" t="n">
        <v>767</v>
      </c>
      <c r="B847" s="37" t="n">
        <f aca="false">1+IF($G$6=$E$6,$F$6,IF(P847&lt;($F$6-$E$6)/($G$6-$E$6),$E$6+SQRT(P847*($G$6-$E$6)*($F$6-$E$6)),$G$6-SQRT((1-P847)*($G$6-$E$6)*($G$6-$F$6))))</f>
        <v>0.980131381604765</v>
      </c>
      <c r="C847" s="37" t="n">
        <f aca="false">1+IF($G$7=$E$7,$F$7,IF(Q847&lt;($F$7-$E$7)/($G$7-$E$7),$E$7+SQRT(Q847*($G$7-$E$7)*($F$7-$E$7)),$G$7-SQRT((1-Q847)*($G$7-$E$7)*($G$7-$F$7))))</f>
        <v>0.920141584700481</v>
      </c>
      <c r="D847" s="37" t="n">
        <f aca="false">1+IF($G$8=$E$8,$F$8,IF(R847&lt;($F$8-$E$8)/($G$8-$E$8),$E$8+SQRT(R847*($G$8-$E$8)*($F$8-$E$8)),$G$8-SQRT((1-R847)*($G$8-$E$8)*($G$8-$F$8))))</f>
        <v>1.00255812588811</v>
      </c>
      <c r="E847" s="37" t="n">
        <f aca="false">1+IF($G$9=$E$9,$F$9,IF(S847&lt;($F$9-$E$9)/($G$9-$E$9),$E$9+SQRT(S847*($G$9-$E$9)*($F$9-$E$9)),$G$9-SQRT((1-S847)*($G$9-$E$9)*($G$9-$F$9))))</f>
        <v>1.05423777548862</v>
      </c>
      <c r="F847" s="37" t="n">
        <f aca="false">1+IF($G$10=$E$10,$F$10,IF(T847&lt;($F$10-$E$10)/($G$10-$E$10),$E$10+SQRT(T847*($G$10-$E$10)*($F$10-$E$10)),$G$10-SQRT((1-T847)*($G$10-$E$10)*($G$10-$F$10))))</f>
        <v>0.997758123173595</v>
      </c>
      <c r="G847" s="38" t="n">
        <f aca="false">IF($G$11=$E$11,$F$11,IF(U847&lt;($F$11-$E$11)/($G$11-$E$11),$E$11+SQRT(U847*($G$11-$E$11)*($F$11-$E$11)),$G$11-SQRT((1-U847)*($G$11-$E$11)*($G$11-$F$11))))</f>
        <v>0.092081400494501</v>
      </c>
      <c r="H847" s="39" t="n">
        <f aca="false">(('Business Case'!B11*$C847*'Business Case'!B12*$B847)-'Business Case'!B11*$C847*'Business Case'!B13*$D847-'Business Case'!B14*$E847)-MAX(0,(('Business Case'!B11*$C847*'Business Case'!B12*$B847)-'Business Case'!B11*$C847*'Business Case'!B13*$D847-'Business Case'!B14*$E847))*'Business Case'!$B$7-'Business Case'!$B$8*('Business Case'!B11*$C847*'Business Case'!B12*$B847)-'Business Case'!B15*$F847</f>
        <v>-1995516246.34719</v>
      </c>
      <c r="I847" s="39" t="n">
        <f aca="false">(('Business Case'!C11*$C847*'Business Case'!C12*$B847)-'Business Case'!C11*$C847*'Business Case'!C13*$D847-'Business Case'!C14*$E847)-MAX(0,(('Business Case'!C11*$C847*'Business Case'!C12*$B847)-'Business Case'!C11*$C847*'Business Case'!C13*$D847-'Business Case'!C14*$E847))*'Business Case'!$B$7-'Business Case'!$B$8*(('Business Case'!C11*$C847*'Business Case'!C12*$B847)-('Business Case'!B11*$C847*'Business Case'!B12*$B847))-'Business Case'!C15*$F847</f>
        <v>-29996703.4089503</v>
      </c>
      <c r="J847" s="39" t="n">
        <f aca="false">(('Business Case'!D11*$C847*'Business Case'!D12*$B847)-'Business Case'!D11*$C847*'Business Case'!D13*$D847-'Business Case'!D14*$E847)-MAX(0,(('Business Case'!D11*$C847*'Business Case'!D12*$B847)-'Business Case'!D11*$C847*'Business Case'!D13*$D847-'Business Case'!D14*$E847))*'Business Case'!$B$7-'Business Case'!$B$8*(('Business Case'!D11*$C847*'Business Case'!D12*$B847)-('Business Case'!C11*$C847*'Business Case'!C12*$B847))-'Business Case'!D15*$F847</f>
        <v>236447421.050704</v>
      </c>
      <c r="K847" s="39" t="n">
        <f aca="false">(('Business Case'!E11*$C847*'Business Case'!E12*$B847)-'Business Case'!E11*$C847*'Business Case'!E13*$D847-'Business Case'!E14*$E847)-MAX(0,(('Business Case'!E11*$C847*'Business Case'!E12*$B847)-'Business Case'!E11*$C847*'Business Case'!E13*$D847-'Business Case'!E14*$E847))*'Business Case'!$B$7-'Business Case'!$B$8*(('Business Case'!E11*$C847*'Business Case'!E12*$B847)-('Business Case'!D11*$C847*'Business Case'!D12*$B847))-'Business Case'!E15*$F847</f>
        <v>552779451.669038</v>
      </c>
      <c r="L847" s="39" t="n">
        <f aca="false">(('Business Case'!F11*$C847*'Business Case'!F12*$B847)-'Business Case'!F11*$C847*'Business Case'!F13*$D847-'Business Case'!F14*$E847)-MAX(0,(('Business Case'!F11*$C847*'Business Case'!F12*$B847)-'Business Case'!F11*$C847*'Business Case'!F13*$D847-'Business Case'!F14*$E847))*'Business Case'!$B$7-'Business Case'!$B$8*(('Business Case'!F11*$C847*'Business Case'!F12*$B847)-('Business Case'!E11*$C847*'Business Case'!E12*$B847))-'Business Case'!F15*$F847</f>
        <v>672762429.073432</v>
      </c>
      <c r="M847" s="39" t="n">
        <f aca="false">(('Business Case'!G11*$C847*'Business Case'!G12*$B847)-'Business Case'!G11*$C847*'Business Case'!G13*$D847-'Business Case'!G14*$E847)-MAX(0,(('Business Case'!G11*$C847*'Business Case'!G12*$B847)-'Business Case'!G11*$C847*'Business Case'!G13*$D847-'Business Case'!G14*$E847))*'Business Case'!$B$7-'Business Case'!$B$8*(('Business Case'!G11*$C847*'Business Case'!G12*$B847)-('Business Case'!F11*$C847*'Business Case'!F12*$B847))-'Business Case'!G15*$F847+'Business Case'!$B$8*('Business Case'!G11*$C847*'Business Case'!G12*$B847)</f>
        <v>844187909.954898</v>
      </c>
      <c r="N847" s="39" t="n">
        <f aca="false">IF(COUNT('Business Case'!B11:G11)=0,"",H847+NPV(G847,I847:M847))</f>
        <v>-383882875.250877</v>
      </c>
      <c r="P847" s="40" t="n">
        <f aca="true">RAND()</f>
        <v>0.376644068093534</v>
      </c>
      <c r="Q847" s="40" t="n">
        <f aca="true">RAND()</f>
        <v>0.206200005347756</v>
      </c>
      <c r="R847" s="40" t="n">
        <f aca="true">RAND()</f>
        <v>0.423341935965278</v>
      </c>
      <c r="S847" s="40" t="n">
        <f aca="true">RAND()</f>
        <v>0.860387920517996</v>
      </c>
      <c r="T847" s="40" t="n">
        <f aca="true">RAND()</f>
        <v>0.182467066325143</v>
      </c>
      <c r="U847" s="40" t="n">
        <f aca="true">RAND()</f>
        <v>0.0144407600616966</v>
      </c>
    </row>
    <row r="848" customFormat="false" ht="15" hidden="false" customHeight="false" outlineLevel="0" collapsed="false">
      <c r="A848" s="36" t="n">
        <v>768</v>
      </c>
      <c r="B848" s="37" t="n">
        <f aca="false">1+IF($G$6=$E$6,$F$6,IF(P848&lt;($F$6-$E$6)/($G$6-$E$6),$E$6+SQRT(P848*($G$6-$E$6)*($F$6-$E$6)),$G$6-SQRT((1-P848)*($G$6-$E$6)*($G$6-$F$6))))</f>
        <v>0.991556099477703</v>
      </c>
      <c r="C848" s="37" t="n">
        <f aca="false">1+IF($G$7=$E$7,$F$7,IF(Q848&lt;($F$7-$E$7)/($G$7-$E$7),$E$7+SQRT(Q848*($G$7-$E$7)*($F$7-$E$7)),$G$7-SQRT((1-Q848)*($G$7-$E$7)*($G$7-$F$7))))</f>
        <v>1.13742182952206</v>
      </c>
      <c r="D848" s="37" t="n">
        <f aca="false">1+IF($G$8=$E$8,$F$8,IF(R848&lt;($F$8-$E$8)/($G$8-$E$8),$E$8+SQRT(R848*($G$8-$E$8)*($F$8-$E$8)),$G$8-SQRT((1-R848)*($G$8-$E$8)*($G$8-$F$8))))</f>
        <v>1.00341697430358</v>
      </c>
      <c r="E848" s="37" t="n">
        <f aca="false">1+IF($G$9=$E$9,$F$9,IF(S848&lt;($F$9-$E$9)/($G$9-$E$9),$E$9+SQRT(S848*($G$9-$E$9)*($F$9-$E$9)),$G$9-SQRT((1-S848)*($G$9-$E$9)*($G$9-$F$9))))</f>
        <v>1.05389422752463</v>
      </c>
      <c r="F848" s="37" t="n">
        <f aca="false">1+IF($G$10=$E$10,$F$10,IF(T848&lt;($F$10-$E$10)/($G$10-$E$10),$E$10+SQRT(T848*($G$10-$E$10)*($F$10-$E$10)),$G$10-SQRT((1-T848)*($G$10-$E$10)*($G$10-$F$10))))</f>
        <v>1.11193230805788</v>
      </c>
      <c r="G848" s="38" t="n">
        <f aca="false">IF($G$11=$E$11,$F$11,IF(U848&lt;($F$11-$E$11)/($G$11-$E$11),$E$11+SQRT(U848*($G$11-$E$11)*($F$11-$E$11)),$G$11-SQRT((1-U848)*($G$11-$E$11)*($G$11-$F$11))))</f>
        <v>0.111237505711516</v>
      </c>
      <c r="H848" s="39" t="n">
        <f aca="false">(('Business Case'!B11*$C848*'Business Case'!B12*$B848)-'Business Case'!B11*$C848*'Business Case'!B13*$D848-'Business Case'!B14*$E848)-MAX(0,(('Business Case'!B11*$C848*'Business Case'!B12*$B848)-'Business Case'!B11*$C848*'Business Case'!B13*$D848-'Business Case'!B14*$E848))*'Business Case'!$B$7-'Business Case'!$B$8*('Business Case'!B11*$C848*'Business Case'!B12*$B848)-'Business Case'!B15*$F848</f>
        <v>-2223864616.11575</v>
      </c>
      <c r="I848" s="39" t="n">
        <f aca="false">(('Business Case'!C11*$C848*'Business Case'!C12*$B848)-'Business Case'!C11*$C848*'Business Case'!C13*$D848-'Business Case'!C14*$E848)-MAX(0,(('Business Case'!C11*$C848*'Business Case'!C12*$B848)-'Business Case'!C11*$C848*'Business Case'!C13*$D848-'Business Case'!C14*$E848))*'Business Case'!$B$7-'Business Case'!$B$8*(('Business Case'!C11*$C848*'Business Case'!C12*$B848)-('Business Case'!B11*$C848*'Business Case'!B12*$B848))-'Business Case'!C15*$F848</f>
        <v>19982145.5438076</v>
      </c>
      <c r="J848" s="39" t="n">
        <f aca="false">(('Business Case'!D11*$C848*'Business Case'!D12*$B848)-'Business Case'!D11*$C848*'Business Case'!D13*$D848-'Business Case'!D14*$E848)-MAX(0,(('Business Case'!D11*$C848*'Business Case'!D12*$B848)-'Business Case'!D11*$C848*'Business Case'!D13*$D848-'Business Case'!D14*$E848))*'Business Case'!$B$7-'Business Case'!$B$8*(('Business Case'!D11*$C848*'Business Case'!D12*$B848)-('Business Case'!C11*$C848*'Business Case'!C12*$B848))-'Business Case'!D15*$F848</f>
        <v>359487342.981534</v>
      </c>
      <c r="K848" s="39" t="n">
        <f aca="false">(('Business Case'!E11*$C848*'Business Case'!E12*$B848)-'Business Case'!E11*$C848*'Business Case'!E13*$D848-'Business Case'!E14*$E848)-MAX(0,(('Business Case'!E11*$C848*'Business Case'!E12*$B848)-'Business Case'!E11*$C848*'Business Case'!E13*$D848-'Business Case'!E14*$E848))*'Business Case'!$B$7-'Business Case'!$B$8*(('Business Case'!E11*$C848*'Business Case'!E12*$B848)-('Business Case'!D11*$C848*'Business Case'!D12*$B848))-'Business Case'!E15*$F848</f>
        <v>754589155.822153</v>
      </c>
      <c r="L848" s="39" t="n">
        <f aca="false">(('Business Case'!F11*$C848*'Business Case'!F12*$B848)-'Business Case'!F11*$C848*'Business Case'!F13*$D848-'Business Case'!F14*$E848)-MAX(0,(('Business Case'!F11*$C848*'Business Case'!F12*$B848)-'Business Case'!F11*$C848*'Business Case'!F13*$D848-'Business Case'!F14*$E848))*'Business Case'!$B$7-'Business Case'!$B$8*(('Business Case'!F11*$C848*'Business Case'!F12*$B848)-('Business Case'!E11*$C848*'Business Case'!E12*$B848))-'Business Case'!F15*$F848</f>
        <v>906734929.590814</v>
      </c>
      <c r="M848" s="39" t="n">
        <f aca="false">(('Business Case'!G11*$C848*'Business Case'!G12*$B848)-'Business Case'!G11*$C848*'Business Case'!G13*$D848-'Business Case'!G14*$E848)-MAX(0,(('Business Case'!G11*$C848*'Business Case'!G12*$B848)-'Business Case'!G11*$C848*'Business Case'!G13*$D848-'Business Case'!G14*$E848))*'Business Case'!$B$7-'Business Case'!$B$8*(('Business Case'!G11*$C848*'Business Case'!G12*$B848)-('Business Case'!F11*$C848*'Business Case'!F12*$B848))-'Business Case'!G15*$F848+'Business Case'!$B$8*('Business Case'!G11*$C848*'Business Case'!G12*$B848)</f>
        <v>1121110490.01595</v>
      </c>
      <c r="N848" s="39" t="n">
        <f aca="false">IF(COUNT('Business Case'!B11:G11)=0,"",H848+NPV(G848,I848:M848))</f>
        <v>-108590112.179819</v>
      </c>
      <c r="P848" s="40" t="n">
        <f aca="true">RAND()</f>
        <v>0.533362017964883</v>
      </c>
      <c r="Q848" s="40" t="n">
        <f aca="true">RAND()</f>
        <v>0.996986469093863</v>
      </c>
      <c r="R848" s="40" t="n">
        <f aca="true">RAND()</f>
        <v>0.436061555305961</v>
      </c>
      <c r="S848" s="40" t="n">
        <f aca="true">RAND()</f>
        <v>0.85828384962994</v>
      </c>
      <c r="T848" s="40" t="n">
        <f aca="true">RAND()</f>
        <v>0.844881632719747</v>
      </c>
      <c r="U848" s="40" t="n">
        <f aca="true">RAND()</f>
        <v>0.87203115640714</v>
      </c>
    </row>
    <row r="849" customFormat="false" ht="15" hidden="false" customHeight="false" outlineLevel="0" collapsed="false">
      <c r="A849" s="36" t="n">
        <v>769</v>
      </c>
      <c r="B849" s="37" t="n">
        <f aca="false">1+IF($G$6=$E$6,$F$6,IF(P849&lt;($F$6-$E$6)/($G$6-$E$6),$E$6+SQRT(P849*($G$6-$E$6)*($F$6-$E$6)),$G$6-SQRT((1-P849)*($G$6-$E$6)*($G$6-$F$6))))</f>
        <v>0.945994415193475</v>
      </c>
      <c r="C849" s="37" t="n">
        <f aca="false">1+IF($G$7=$E$7,$F$7,IF(Q849&lt;($F$7-$E$7)/($G$7-$E$7),$E$7+SQRT(Q849*($G$7-$E$7)*($F$7-$E$7)),$G$7-SQRT((1-Q849)*($G$7-$E$7)*($G$7-$F$7))))</f>
        <v>0.957536277175181</v>
      </c>
      <c r="D849" s="37" t="n">
        <f aca="false">1+IF($G$8=$E$8,$F$8,IF(R849&lt;($F$8-$E$8)/($G$8-$E$8),$E$8+SQRT(R849*($G$8-$E$8)*($F$8-$E$8)),$G$8-SQRT((1-R849)*($G$8-$E$8)*($G$8-$F$8))))</f>
        <v>1.01706824446948</v>
      </c>
      <c r="E849" s="37" t="n">
        <f aca="false">1+IF($G$9=$E$9,$F$9,IF(S849&lt;($F$9-$E$9)/($G$9-$E$9),$E$9+SQRT(S849*($G$9-$E$9)*($F$9-$E$9)),$G$9-SQRT((1-S849)*($G$9-$E$9)*($G$9-$F$9))))</f>
        <v>1.02028595556813</v>
      </c>
      <c r="F849" s="37" t="n">
        <f aca="false">1+IF($G$10=$E$10,$F$10,IF(T849&lt;($F$10-$E$10)/($G$10-$E$10),$E$10+SQRT(T849*($G$10-$E$10)*($F$10-$E$10)),$G$10-SQRT((1-T849)*($G$10-$E$10)*($G$10-$F$10))))</f>
        <v>0.979686130711661</v>
      </c>
      <c r="G849" s="38" t="n">
        <f aca="false">IF($G$11=$E$11,$F$11,IF(U849&lt;($F$11-$E$11)/($G$11-$E$11),$E$11+SQRT(U849*($G$11-$E$11)*($F$11-$E$11)),$G$11-SQRT((1-U849)*($G$11-$E$11)*($G$11-$F$11))))</f>
        <v>0.113039984507831</v>
      </c>
      <c r="H849" s="39" t="n">
        <f aca="false">(('Business Case'!B11*$C849*'Business Case'!B12*$B849)-'Business Case'!B11*$C849*'Business Case'!B13*$D849-'Business Case'!B14*$E849)-MAX(0,(('Business Case'!B11*$C849*'Business Case'!B12*$B849)-'Business Case'!B11*$C849*'Business Case'!B13*$D849-'Business Case'!B14*$E849))*'Business Case'!$B$7-'Business Case'!$B$8*('Business Case'!B11*$C849*'Business Case'!B12*$B849)-'Business Case'!B15*$F849</f>
        <v>-1959372261.42332</v>
      </c>
      <c r="I849" s="39" t="n">
        <f aca="false">(('Business Case'!C11*$C849*'Business Case'!C12*$B849)-'Business Case'!C11*$C849*'Business Case'!C13*$D849-'Business Case'!C14*$E849)-MAX(0,(('Business Case'!C11*$C849*'Business Case'!C12*$B849)-'Business Case'!C11*$C849*'Business Case'!C13*$D849-'Business Case'!C14*$E849))*'Business Case'!$B$7-'Business Case'!$B$8*(('Business Case'!C11*$C849*'Business Case'!C12*$B849)-('Business Case'!B11*$C849*'Business Case'!B12*$B849))-'Business Case'!C15*$F849</f>
        <v>-46624656.1050059</v>
      </c>
      <c r="J849" s="39" t="n">
        <f aca="false">(('Business Case'!D11*$C849*'Business Case'!D12*$B849)-'Business Case'!D11*$C849*'Business Case'!D13*$D849-'Business Case'!D14*$E849)-MAX(0,(('Business Case'!D11*$C849*'Business Case'!D12*$B849)-'Business Case'!D11*$C849*'Business Case'!D13*$D849-'Business Case'!D14*$E849))*'Business Case'!$B$7-'Business Case'!$B$8*(('Business Case'!D11*$C849*'Business Case'!D12*$B849)-('Business Case'!C11*$C849*'Business Case'!C12*$B849))-'Business Case'!D15*$F849</f>
        <v>196761878.376403</v>
      </c>
      <c r="K849" s="39" t="n">
        <f aca="false">(('Business Case'!E11*$C849*'Business Case'!E12*$B849)-'Business Case'!E11*$C849*'Business Case'!E13*$D849-'Business Case'!E14*$E849)-MAX(0,(('Business Case'!E11*$C849*'Business Case'!E12*$B849)-'Business Case'!E11*$C849*'Business Case'!E13*$D849-'Business Case'!E14*$E849))*'Business Case'!$B$7-'Business Case'!$B$8*(('Business Case'!E11*$C849*'Business Case'!E12*$B849)-('Business Case'!D11*$C849*'Business Case'!D12*$B849))-'Business Case'!E15*$F849</f>
        <v>489132719.393394</v>
      </c>
      <c r="L849" s="39" t="n">
        <f aca="false">(('Business Case'!F11*$C849*'Business Case'!F12*$B849)-'Business Case'!F11*$C849*'Business Case'!F13*$D849-'Business Case'!F14*$E849)-MAX(0,(('Business Case'!F11*$C849*'Business Case'!F12*$B849)-'Business Case'!F11*$C849*'Business Case'!F13*$D849-'Business Case'!F14*$E849))*'Business Case'!$B$7-'Business Case'!$B$8*(('Business Case'!F11*$C849*'Business Case'!F12*$B849)-('Business Case'!E11*$C849*'Business Case'!E12*$B849))-'Business Case'!F15*$F849</f>
        <v>601566840.642838</v>
      </c>
      <c r="M849" s="39" t="n">
        <f aca="false">(('Business Case'!G11*$C849*'Business Case'!G12*$B849)-'Business Case'!G11*$C849*'Business Case'!G13*$D849-'Business Case'!G14*$E849)-MAX(0,(('Business Case'!G11*$C849*'Business Case'!G12*$B849)-'Business Case'!G11*$C849*'Business Case'!G13*$D849-'Business Case'!G14*$E849))*'Business Case'!$B$7-'Business Case'!$B$8*(('Business Case'!G11*$C849*'Business Case'!G12*$B849)-('Business Case'!F11*$C849*'Business Case'!F12*$B849))-'Business Case'!G15*$F849+'Business Case'!$B$8*('Business Case'!G11*$C849*'Business Case'!G12*$B849)</f>
        <v>773745860.965528</v>
      </c>
      <c r="N849" s="39" t="n">
        <f aca="false">IF(COUNT('Business Case'!B11:G11)=0,"",H849+NPV(G849,I849:M849))</f>
        <v>-642806223.555486</v>
      </c>
      <c r="P849" s="40" t="n">
        <f aca="true">RAND()</f>
        <v>0.0703864188802869</v>
      </c>
      <c r="Q849" s="40" t="n">
        <f aca="true">RAND()</f>
        <v>0.354538266088793</v>
      </c>
      <c r="R849" s="40" t="n">
        <f aca="true">RAND()</f>
        <v>0.619191744792942</v>
      </c>
      <c r="S849" s="40" t="n">
        <f aca="true">RAND()</f>
        <v>0.576378074687541</v>
      </c>
      <c r="T849" s="40" t="n">
        <f aca="true">RAND()</f>
        <v>0.0705013085303867</v>
      </c>
      <c r="U849" s="40" t="n">
        <f aca="true">RAND()</f>
        <v>0.91926364058128</v>
      </c>
    </row>
    <row r="850" customFormat="false" ht="15" hidden="false" customHeight="false" outlineLevel="0" collapsed="false">
      <c r="A850" s="36" t="n">
        <v>770</v>
      </c>
      <c r="B850" s="37" t="n">
        <f aca="false">1+IF($G$6=$E$6,$F$6,IF(P850&lt;($F$6-$E$6)/($G$6-$E$6),$E$6+SQRT(P850*($G$6-$E$6)*($F$6-$E$6)),$G$6-SQRT((1-P850)*($G$6-$E$6)*($G$6-$F$6))))</f>
        <v>1.00906778221964</v>
      </c>
      <c r="C850" s="37" t="n">
        <f aca="false">1+IF($G$7=$E$7,$F$7,IF(Q850&lt;($F$7-$E$7)/($G$7-$E$7),$E$7+SQRT(Q850*($G$7-$E$7)*($F$7-$E$7)),$G$7-SQRT((1-Q850)*($G$7-$E$7)*($G$7-$F$7))))</f>
        <v>0.90623764228936</v>
      </c>
      <c r="D850" s="37" t="n">
        <f aca="false">1+IF($G$8=$E$8,$F$8,IF(R850&lt;($F$8-$E$8)/($G$8-$E$8),$E$8+SQRT(R850*($G$8-$E$8)*($F$8-$E$8)),$G$8-SQRT((1-R850)*($G$8-$E$8)*($G$8-$F$8))))</f>
        <v>1.01222526600334</v>
      </c>
      <c r="E850" s="37" t="n">
        <f aca="false">1+IF($G$9=$E$9,$F$9,IF(S850&lt;($F$9-$E$9)/($G$9-$E$9),$E$9+SQRT(S850*($G$9-$E$9)*($F$9-$E$9)),$G$9-SQRT((1-S850)*($G$9-$E$9)*($G$9-$F$9))))</f>
        <v>0.979443910600698</v>
      </c>
      <c r="F850" s="37" t="n">
        <f aca="false">1+IF($G$10=$E$10,$F$10,IF(T850&lt;($F$10-$E$10)/($G$10-$E$10),$E$10+SQRT(T850*($G$10-$E$10)*($F$10-$E$10)),$G$10-SQRT((1-T850)*($G$10-$E$10)*($G$10-$F$10))))</f>
        <v>0.994734746043043</v>
      </c>
      <c r="G850" s="38" t="n">
        <f aca="false">IF($G$11=$E$11,$F$11,IF(U850&lt;($F$11-$E$11)/($G$11-$E$11),$E$11+SQRT(U850*($G$11-$E$11)*($F$11-$E$11)),$G$11-SQRT((1-U850)*($G$11-$E$11)*($G$11-$F$11))))</f>
        <v>0.109001741538958</v>
      </c>
      <c r="H850" s="39" t="n">
        <f aca="false">(('Business Case'!B11*$C850*'Business Case'!B12*$B850)-'Business Case'!B11*$C850*'Business Case'!B13*$D850-'Business Case'!B14*$E850)-MAX(0,(('Business Case'!B11*$C850*'Business Case'!B12*$B850)-'Business Case'!B11*$C850*'Business Case'!B13*$D850-'Business Case'!B14*$E850))*'Business Case'!$B$7-'Business Case'!$B$8*('Business Case'!B11*$C850*'Business Case'!B12*$B850)-'Business Case'!B15*$F850</f>
        <v>-1989469492.08609</v>
      </c>
      <c r="I850" s="39" t="n">
        <f aca="false">(('Business Case'!C11*$C850*'Business Case'!C12*$B850)-'Business Case'!C11*$C850*'Business Case'!C13*$D850-'Business Case'!C14*$E850)-MAX(0,(('Business Case'!C11*$C850*'Business Case'!C12*$B850)-'Business Case'!C11*$C850*'Business Case'!C13*$D850-'Business Case'!C14*$E850))*'Business Case'!$B$7-'Business Case'!$B$8*(('Business Case'!C11*$C850*'Business Case'!C12*$B850)-('Business Case'!B11*$C850*'Business Case'!B12*$B850))-'Business Case'!C15*$F850</f>
        <v>-6743834.24362585</v>
      </c>
      <c r="J850" s="39" t="n">
        <f aca="false">(('Business Case'!D11*$C850*'Business Case'!D12*$B850)-'Business Case'!D11*$C850*'Business Case'!D13*$D850-'Business Case'!D14*$E850)-MAX(0,(('Business Case'!D11*$C850*'Business Case'!D12*$B850)-'Business Case'!D11*$C850*'Business Case'!D13*$D850-'Business Case'!D14*$E850))*'Business Case'!$B$7-'Business Case'!$B$8*(('Business Case'!D11*$C850*'Business Case'!D12*$B850)-('Business Case'!C11*$C850*'Business Case'!C12*$B850))-'Business Case'!D15*$F850</f>
        <v>272668088.180394</v>
      </c>
      <c r="K850" s="39" t="n">
        <f aca="false">(('Business Case'!E11*$C850*'Business Case'!E12*$B850)-'Business Case'!E11*$C850*'Business Case'!E13*$D850-'Business Case'!E14*$E850)-MAX(0,(('Business Case'!E11*$C850*'Business Case'!E12*$B850)-'Business Case'!E11*$C850*'Business Case'!E13*$D850-'Business Case'!E14*$E850))*'Business Case'!$B$7-'Business Case'!$B$8*(('Business Case'!E11*$C850*'Business Case'!E12*$B850)-('Business Case'!D11*$C850*'Business Case'!D12*$B850))-'Business Case'!E15*$F850</f>
        <v>601816747.906567</v>
      </c>
      <c r="L850" s="39" t="n">
        <f aca="false">(('Business Case'!F11*$C850*'Business Case'!F12*$B850)-'Business Case'!F11*$C850*'Business Case'!F13*$D850-'Business Case'!F14*$E850)-MAX(0,(('Business Case'!F11*$C850*'Business Case'!F12*$B850)-'Business Case'!F11*$C850*'Business Case'!F13*$D850-'Business Case'!F14*$E850))*'Business Case'!$B$7-'Business Case'!$B$8*(('Business Case'!F11*$C850*'Business Case'!F12*$B850)-('Business Case'!E11*$C850*'Business Case'!E12*$B850))-'Business Case'!F15*$F850</f>
        <v>726557627.365189</v>
      </c>
      <c r="M850" s="39" t="n">
        <f aca="false">(('Business Case'!G11*$C850*'Business Case'!G12*$B850)-'Business Case'!G11*$C850*'Business Case'!G13*$D850-'Business Case'!G14*$E850)-MAX(0,(('Business Case'!G11*$C850*'Business Case'!G12*$B850)-'Business Case'!G11*$C850*'Business Case'!G13*$D850-'Business Case'!G14*$E850))*'Business Case'!$B$7-'Business Case'!$B$8*(('Business Case'!G11*$C850*'Business Case'!G12*$B850)-('Business Case'!F11*$C850*'Business Case'!F12*$B850))-'Business Case'!G15*$F850+'Business Case'!$B$8*('Business Case'!G11*$C850*'Business Case'!G12*$B850)</f>
        <v>900377273.276905</v>
      </c>
      <c r="N850" s="39" t="n">
        <f aca="false">IF(COUNT('Business Case'!B11:G11)=0,"",H850+NPV(G850,I850:M850))</f>
        <v>-315544889.597498</v>
      </c>
      <c r="P850" s="40" t="n">
        <f aca="true">RAND()</f>
        <v>0.800666229830864</v>
      </c>
      <c r="Q850" s="40" t="n">
        <f aca="true">RAND()</f>
        <v>0.161234809131459</v>
      </c>
      <c r="R850" s="40" t="n">
        <f aca="true">RAND()</f>
        <v>0.558325522277166</v>
      </c>
      <c r="S850" s="40" t="n">
        <f aca="true">RAND()</f>
        <v>0.115592516194918</v>
      </c>
      <c r="T850" s="40" t="n">
        <f aca="true">RAND()</f>
        <v>0.160095800282845</v>
      </c>
      <c r="U850" s="40" t="n">
        <f aca="true">RAND()</f>
        <v>0.798397184706849</v>
      </c>
    </row>
    <row r="851" customFormat="false" ht="15" hidden="false" customHeight="false" outlineLevel="0" collapsed="false">
      <c r="A851" s="36" t="n">
        <v>771</v>
      </c>
      <c r="B851" s="37" t="n">
        <f aca="false">1+IF($G$6=$E$6,$F$6,IF(P851&lt;($F$6-$E$6)/($G$6-$E$6),$E$6+SQRT(P851*($G$6-$E$6)*($F$6-$E$6)),$G$6-SQRT((1-P851)*($G$6-$E$6)*($G$6-$F$6))))</f>
        <v>0.933093225568343</v>
      </c>
      <c r="C851" s="37" t="n">
        <f aca="false">1+IF($G$7=$E$7,$F$7,IF(Q851&lt;($F$7-$E$7)/($G$7-$E$7),$E$7+SQRT(Q851*($G$7-$E$7)*($F$7-$E$7)),$G$7-SQRT((1-Q851)*($G$7-$E$7)*($G$7-$F$7))))</f>
        <v>0.984792216017861</v>
      </c>
      <c r="D851" s="37" t="n">
        <f aca="false">1+IF($G$8=$E$8,$F$8,IF(R851&lt;($F$8-$E$8)/($G$8-$E$8),$E$8+SQRT(R851*($G$8-$E$8)*($F$8-$E$8)),$G$8-SQRT((1-R851)*($G$8-$E$8)*($G$8-$F$8))))</f>
        <v>0.961419981703644</v>
      </c>
      <c r="E851" s="37" t="n">
        <f aca="false">1+IF($G$9=$E$9,$F$9,IF(S851&lt;($F$9-$E$9)/($G$9-$E$9),$E$9+SQRT(S851*($G$9-$E$9)*($F$9-$E$9)),$G$9-SQRT((1-S851)*($G$9-$E$9)*($G$9-$F$9))))</f>
        <v>0.994987035122757</v>
      </c>
      <c r="F851" s="37" t="n">
        <f aca="false">1+IF($G$10=$E$10,$F$10,IF(T851&lt;($F$10-$E$10)/($G$10-$E$10),$E$10+SQRT(T851*($G$10-$E$10)*($F$10-$E$10)),$G$10-SQRT((1-T851)*($G$10-$E$10)*($G$10-$F$10))))</f>
        <v>1.00689078842187</v>
      </c>
      <c r="G851" s="38" t="n">
        <f aca="false">IF($G$11=$E$11,$F$11,IF(U851&lt;($F$11-$E$11)/($G$11-$E$11),$E$11+SQRT(U851*($G$11-$E$11)*($F$11-$E$11)),$G$11-SQRT((1-U851)*($G$11-$E$11)*($G$11-$F$11))))</f>
        <v>0.101810785109695</v>
      </c>
      <c r="H851" s="39" t="n">
        <f aca="false">(('Business Case'!B11*$C851*'Business Case'!B12*$B851)-'Business Case'!B11*$C851*'Business Case'!B13*$D851-'Business Case'!B14*$E851)-MAX(0,(('Business Case'!B11*$C851*'Business Case'!B12*$B851)-'Business Case'!B11*$C851*'Business Case'!B13*$D851-'Business Case'!B14*$E851))*'Business Case'!$B$7-'Business Case'!$B$8*('Business Case'!B11*$C851*'Business Case'!B12*$B851)-'Business Case'!B15*$F851</f>
        <v>-2013781576.84373</v>
      </c>
      <c r="I851" s="39" t="n">
        <f aca="false">(('Business Case'!C11*$C851*'Business Case'!C12*$B851)-'Business Case'!C11*$C851*'Business Case'!C13*$D851-'Business Case'!C14*$E851)-MAX(0,(('Business Case'!C11*$C851*'Business Case'!C12*$B851)-'Business Case'!C11*$C851*'Business Case'!C13*$D851-'Business Case'!C14*$E851))*'Business Case'!$B$7-'Business Case'!$B$8*(('Business Case'!C11*$C851*'Business Case'!C12*$B851)-('Business Case'!B11*$C851*'Business Case'!B12*$B851))-'Business Case'!C15*$F851</f>
        <v>-21849790.8746119</v>
      </c>
      <c r="J851" s="39" t="n">
        <f aca="false">(('Business Case'!D11*$C851*'Business Case'!D12*$B851)-'Business Case'!D11*$C851*'Business Case'!D13*$D851-'Business Case'!D14*$E851)-MAX(0,(('Business Case'!D11*$C851*'Business Case'!D12*$B851)-'Business Case'!D11*$C851*'Business Case'!D13*$D851-'Business Case'!D14*$E851))*'Business Case'!$B$7-'Business Case'!$B$8*(('Business Case'!D11*$C851*'Business Case'!D12*$B851)-('Business Case'!C11*$C851*'Business Case'!C12*$B851))-'Business Case'!D15*$F851</f>
        <v>246112582.174814</v>
      </c>
      <c r="K851" s="39" t="n">
        <f aca="false">(('Business Case'!E11*$C851*'Business Case'!E12*$B851)-'Business Case'!E11*$C851*'Business Case'!E13*$D851-'Business Case'!E14*$E851)-MAX(0,(('Business Case'!E11*$C851*'Business Case'!E12*$B851)-'Business Case'!E11*$C851*'Business Case'!E13*$D851-'Business Case'!E14*$E851))*'Business Case'!$B$7-'Business Case'!$B$8*(('Business Case'!E11*$C851*'Business Case'!E12*$B851)-('Business Case'!D11*$C851*'Business Case'!D12*$B851))-'Business Case'!E15*$F851</f>
        <v>564419494.645334</v>
      </c>
      <c r="L851" s="39" t="n">
        <f aca="false">(('Business Case'!F11*$C851*'Business Case'!F12*$B851)-'Business Case'!F11*$C851*'Business Case'!F13*$D851-'Business Case'!F14*$E851)-MAX(0,(('Business Case'!F11*$C851*'Business Case'!F12*$B851)-'Business Case'!F11*$C851*'Business Case'!F13*$D851-'Business Case'!F14*$E851))*'Business Case'!$B$7-'Business Case'!$B$8*(('Business Case'!F11*$C851*'Business Case'!F12*$B851)-('Business Case'!E11*$C851*'Business Case'!E12*$B851))-'Business Case'!F15*$F851</f>
        <v>685497571.453406</v>
      </c>
      <c r="M851" s="39" t="n">
        <f aca="false">(('Business Case'!G11*$C851*'Business Case'!G12*$B851)-'Business Case'!G11*$C851*'Business Case'!G13*$D851-'Business Case'!G14*$E851)-MAX(0,(('Business Case'!G11*$C851*'Business Case'!G12*$B851)-'Business Case'!G11*$C851*'Business Case'!G13*$D851-'Business Case'!G14*$E851))*'Business Case'!$B$7-'Business Case'!$B$8*(('Business Case'!G11*$C851*'Business Case'!G12*$B851)-('Business Case'!F11*$C851*'Business Case'!F12*$B851))-'Business Case'!G15*$F851+'Business Case'!$B$8*('Business Case'!G11*$C851*'Business Case'!G12*$B851)</f>
        <v>860162643.307188</v>
      </c>
      <c r="N851" s="39" t="n">
        <f aca="false">IF(COUNT('Business Case'!B11:G11)=0,"",H851+NPV(G851,I851:M851))</f>
        <v>-414059511.376597</v>
      </c>
      <c r="P851" s="40" t="n">
        <f aca="true">RAND()</f>
        <v>0.0178575578941146</v>
      </c>
      <c r="Q851" s="40" t="n">
        <f aca="true">RAND()</f>
        <v>0.48783090143988</v>
      </c>
      <c r="R851" s="40" t="n">
        <f aca="true">RAND()</f>
        <v>0.0200639972479339</v>
      </c>
      <c r="S851" s="40" t="n">
        <f aca="true">RAND()</f>
        <v>0.269844443884828</v>
      </c>
      <c r="T851" s="40" t="n">
        <f aca="true">RAND()</f>
        <v>0.254176648073438</v>
      </c>
      <c r="U851" s="40" t="n">
        <f aca="true">RAND()</f>
        <v>0.448587436123857</v>
      </c>
    </row>
    <row r="852" customFormat="false" ht="15" hidden="false" customHeight="false" outlineLevel="0" collapsed="false">
      <c r="A852" s="36" t="n">
        <v>772</v>
      </c>
      <c r="B852" s="37" t="n">
        <f aca="false">1+IF($G$6=$E$6,$F$6,IF(P852&lt;($F$6-$E$6)/($G$6-$E$6),$E$6+SQRT(P852*($G$6-$E$6)*($F$6-$E$6)),$G$6-SQRT((1-P852)*($G$6-$E$6)*($G$6-$F$6))))</f>
        <v>0.990899571477952</v>
      </c>
      <c r="C852" s="37" t="n">
        <f aca="false">1+IF($G$7=$E$7,$F$7,IF(Q852&lt;($F$7-$E$7)/($G$7-$E$7),$E$7+SQRT(Q852*($G$7-$E$7)*($F$7-$E$7)),$G$7-SQRT((1-Q852)*($G$7-$E$7)*($G$7-$F$7))))</f>
        <v>1.05327864734689</v>
      </c>
      <c r="D852" s="37" t="n">
        <f aca="false">1+IF($G$8=$E$8,$F$8,IF(R852&lt;($F$8-$E$8)/($G$8-$E$8),$E$8+SQRT(R852*($G$8-$E$8)*($F$8-$E$8)),$G$8-SQRT((1-R852)*($G$8-$E$8)*($G$8-$F$8))))</f>
        <v>0.99436425286688</v>
      </c>
      <c r="E852" s="37" t="n">
        <f aca="false">1+IF($G$9=$E$9,$F$9,IF(S852&lt;($F$9-$E$9)/($G$9-$E$9),$E$9+SQRT(S852*($G$9-$E$9)*($F$9-$E$9)),$G$9-SQRT((1-S852)*($G$9-$E$9)*($G$9-$F$9))))</f>
        <v>0.970413443130048</v>
      </c>
      <c r="F852" s="37" t="n">
        <f aca="false">1+IF($G$10=$E$10,$F$10,IF(T852&lt;($F$10-$E$10)/($G$10-$E$10),$E$10+SQRT(T852*($G$10-$E$10)*($F$10-$E$10)),$G$10-SQRT((1-T852)*($G$10-$E$10)*($G$10-$F$10))))</f>
        <v>1.07617260666691</v>
      </c>
      <c r="G852" s="38" t="n">
        <f aca="false">IF($G$11=$E$11,$F$11,IF(U852&lt;($F$11-$E$11)/($G$11-$E$11),$E$11+SQRT(U852*($G$11-$E$11)*($F$11-$E$11)),$G$11-SQRT((1-U852)*($G$11-$E$11)*($G$11-$F$11))))</f>
        <v>0.115312113084834</v>
      </c>
      <c r="H852" s="39" t="n">
        <f aca="false">(('Business Case'!B11*$C852*'Business Case'!B12*$B852)-'Business Case'!B11*$C852*'Business Case'!B13*$D852-'Business Case'!B14*$E852)-MAX(0,(('Business Case'!B11*$C852*'Business Case'!B12*$B852)-'Business Case'!B11*$C852*'Business Case'!B13*$D852-'Business Case'!B14*$E852))*'Business Case'!$B$7-'Business Case'!$B$8*('Business Case'!B11*$C852*'Business Case'!B12*$B852)-'Business Case'!B15*$F852</f>
        <v>-2152345213.33381</v>
      </c>
      <c r="I852" s="39" t="n">
        <f aca="false">(('Business Case'!C11*$C852*'Business Case'!C12*$B852)-'Business Case'!C11*$C852*'Business Case'!C13*$D852-'Business Case'!C14*$E852)-MAX(0,(('Business Case'!C11*$C852*'Business Case'!C12*$B852)-'Business Case'!C11*$C852*'Business Case'!C13*$D852-'Business Case'!C14*$E852))*'Business Case'!$B$7-'Business Case'!$B$8*(('Business Case'!C11*$C852*'Business Case'!C12*$B852)-('Business Case'!B11*$C852*'Business Case'!B12*$B852))-'Business Case'!C15*$F852</f>
        <v>18989250.1053353</v>
      </c>
      <c r="J852" s="39" t="n">
        <f aca="false">(('Business Case'!D11*$C852*'Business Case'!D12*$B852)-'Business Case'!D11*$C852*'Business Case'!D13*$D852-'Business Case'!D14*$E852)-MAX(0,(('Business Case'!D11*$C852*'Business Case'!D12*$B852)-'Business Case'!D11*$C852*'Business Case'!D13*$D852-'Business Case'!D14*$E852))*'Business Case'!$B$7-'Business Case'!$B$8*(('Business Case'!D11*$C852*'Business Case'!D12*$B852)-('Business Case'!C11*$C852*'Business Case'!C12*$B852))-'Business Case'!D15*$F852</f>
        <v>337693616.288557</v>
      </c>
      <c r="K852" s="39" t="n">
        <f aca="false">(('Business Case'!E11*$C852*'Business Case'!E12*$B852)-'Business Case'!E11*$C852*'Business Case'!E13*$D852-'Business Case'!E14*$E852)-MAX(0,(('Business Case'!E11*$C852*'Business Case'!E12*$B852)-'Business Case'!E11*$C852*'Business Case'!E13*$D852-'Business Case'!E14*$E852))*'Business Case'!$B$7-'Business Case'!$B$8*(('Business Case'!E11*$C852*'Business Case'!E12*$B852)-('Business Case'!D11*$C852*'Business Case'!D12*$B852))-'Business Case'!E15*$F852</f>
        <v>710206612.805123</v>
      </c>
      <c r="L852" s="39" t="n">
        <f aca="false">(('Business Case'!F11*$C852*'Business Case'!F12*$B852)-'Business Case'!F11*$C852*'Business Case'!F13*$D852-'Business Case'!F14*$E852)-MAX(0,(('Business Case'!F11*$C852*'Business Case'!F12*$B852)-'Business Case'!F11*$C852*'Business Case'!F13*$D852-'Business Case'!F14*$E852))*'Business Case'!$B$7-'Business Case'!$B$8*(('Business Case'!F11*$C852*'Business Case'!F12*$B852)-('Business Case'!E11*$C852*'Business Case'!E12*$B852))-'Business Case'!F15*$F852</f>
        <v>852511444.064932</v>
      </c>
      <c r="M852" s="39" t="n">
        <f aca="false">(('Business Case'!G11*$C852*'Business Case'!G12*$B852)-'Business Case'!G11*$C852*'Business Case'!G13*$D852-'Business Case'!G14*$E852)-MAX(0,(('Business Case'!G11*$C852*'Business Case'!G12*$B852)-'Business Case'!G11*$C852*'Business Case'!G13*$D852-'Business Case'!G14*$E852))*'Business Case'!$B$7-'Business Case'!$B$8*(('Business Case'!G11*$C852*'Business Case'!G12*$B852)-('Business Case'!F11*$C852*'Business Case'!F12*$B852))-'Business Case'!G15*$F852+'Business Case'!$B$8*('Business Case'!G11*$C852*'Business Case'!G12*$B852)</f>
        <v>1050896677.99131</v>
      </c>
      <c r="N852" s="39" t="n">
        <f aca="false">IF(COUNT('Business Case'!B11:G11)=0,"",H852+NPV(G852,I852:M852))</f>
        <v>-192034200.165963</v>
      </c>
      <c r="P852" s="40" t="n">
        <f aca="true">RAND()</f>
        <v>0.52361971205804</v>
      </c>
      <c r="Q852" s="40" t="n">
        <f aca="true">RAND()</f>
        <v>0.821809141732414</v>
      </c>
      <c r="R852" s="40" t="n">
        <f aca="true">RAND()</f>
        <v>0.302797989605603</v>
      </c>
      <c r="S852" s="40" t="n">
        <f aca="true">RAND()</f>
        <v>0.0555611547231578</v>
      </c>
      <c r="T852" s="40" t="n">
        <f aca="true">RAND()</f>
        <v>0.693335533206626</v>
      </c>
      <c r="U852" s="40" t="n">
        <f aca="true">RAND()</f>
        <v>0.963372860451022</v>
      </c>
    </row>
    <row r="853" customFormat="false" ht="15" hidden="false" customHeight="false" outlineLevel="0" collapsed="false">
      <c r="A853" s="36" t="n">
        <v>773</v>
      </c>
      <c r="B853" s="37" t="n">
        <f aca="false">1+IF($G$6=$E$6,$F$6,IF(P853&lt;($F$6-$E$6)/($G$6-$E$6),$E$6+SQRT(P853*($G$6-$E$6)*($F$6-$E$6)),$G$6-SQRT((1-P853)*($G$6-$E$6)*($G$6-$F$6))))</f>
        <v>0.984195067460288</v>
      </c>
      <c r="C853" s="37" t="n">
        <f aca="false">1+IF($G$7=$E$7,$F$7,IF(Q853&lt;($F$7-$E$7)/($G$7-$E$7),$E$7+SQRT(Q853*($G$7-$E$7)*($F$7-$E$7)),$G$7-SQRT((1-Q853)*($G$7-$E$7)*($G$7-$F$7))))</f>
        <v>1.06065962467099</v>
      </c>
      <c r="D853" s="37" t="n">
        <f aca="false">1+IF($G$8=$E$8,$F$8,IF(R853&lt;($F$8-$E$8)/($G$8-$E$8),$E$8+SQRT(R853*($G$8-$E$8)*($F$8-$E$8)),$G$8-SQRT((1-R853)*($G$8-$E$8)*($G$8-$F$8))))</f>
        <v>1.01554664054869</v>
      </c>
      <c r="E853" s="37" t="n">
        <f aca="false">1+IF($G$9=$E$9,$F$9,IF(S853&lt;($F$9-$E$9)/($G$9-$E$9),$E$9+SQRT(S853*($G$9-$E$9)*($F$9-$E$9)),$G$9-SQRT((1-S853)*($G$9-$E$9)*($G$9-$F$9))))</f>
        <v>0.995134726004253</v>
      </c>
      <c r="F853" s="37" t="n">
        <f aca="false">1+IF($G$10=$E$10,$F$10,IF(T853&lt;($F$10-$E$10)/($G$10-$E$10),$E$10+SQRT(T853*($G$10-$E$10)*($F$10-$E$10)),$G$10-SQRT((1-T853)*($G$10-$E$10)*($G$10-$F$10))))</f>
        <v>1.18642382710544</v>
      </c>
      <c r="G853" s="38" t="n">
        <f aca="false">IF($G$11=$E$11,$F$11,IF(U853&lt;($F$11-$E$11)/($G$11-$E$11),$E$11+SQRT(U853*($G$11-$E$11)*($F$11-$E$11)),$G$11-SQRT((1-U853)*($G$11-$E$11)*($G$11-$F$11))))</f>
        <v>0.101745609143309</v>
      </c>
      <c r="H853" s="39" t="n">
        <f aca="false">(('Business Case'!B11*$C853*'Business Case'!B12*$B853)-'Business Case'!B11*$C853*'Business Case'!B13*$D853-'Business Case'!B14*$E853)-MAX(0,(('Business Case'!B11*$C853*'Business Case'!B12*$B853)-'Business Case'!B11*$C853*'Business Case'!B13*$D853-'Business Case'!B14*$E853))*'Business Case'!$B$7-'Business Case'!$B$8*('Business Case'!B11*$C853*'Business Case'!B12*$B853)-'Business Case'!B15*$F853</f>
        <v>-2372847654.21088</v>
      </c>
      <c r="I853" s="39" t="n">
        <f aca="false">(('Business Case'!C11*$C853*'Business Case'!C12*$B853)-'Business Case'!C11*$C853*'Business Case'!C13*$D853-'Business Case'!C14*$E853)-MAX(0,(('Business Case'!C11*$C853*'Business Case'!C12*$B853)-'Business Case'!C11*$C853*'Business Case'!C13*$D853-'Business Case'!C14*$E853))*'Business Case'!$B$7-'Business Case'!$B$8*(('Business Case'!C11*$C853*'Business Case'!C12*$B853)-('Business Case'!B11*$C853*'Business Case'!B12*$B853))-'Business Case'!C15*$F853</f>
        <v>-10654426.4148101</v>
      </c>
      <c r="J853" s="39" t="n">
        <f aca="false">(('Business Case'!D11*$C853*'Business Case'!D12*$B853)-'Business Case'!D11*$C853*'Business Case'!D13*$D853-'Business Case'!D14*$E853)-MAX(0,(('Business Case'!D11*$C853*'Business Case'!D12*$B853)-'Business Case'!D11*$C853*'Business Case'!D13*$D853-'Business Case'!D14*$E853))*'Business Case'!$B$7-'Business Case'!$B$8*(('Business Case'!D11*$C853*'Business Case'!D12*$B853)-('Business Case'!C11*$C853*'Business Case'!C12*$B853))-'Business Case'!D15*$F853</f>
        <v>292957255.047876</v>
      </c>
      <c r="K853" s="39" t="n">
        <f aca="false">(('Business Case'!E11*$C853*'Business Case'!E12*$B853)-'Business Case'!E11*$C853*'Business Case'!E13*$D853-'Business Case'!E14*$E853)-MAX(0,(('Business Case'!E11*$C853*'Business Case'!E12*$B853)-'Business Case'!E11*$C853*'Business Case'!E13*$D853-'Business Case'!E14*$E853))*'Business Case'!$B$7-'Business Case'!$B$8*(('Business Case'!E11*$C853*'Business Case'!E12*$B853)-('Business Case'!D11*$C853*'Business Case'!D12*$B853))-'Business Case'!E15*$F853</f>
        <v>655890127.865835</v>
      </c>
      <c r="L853" s="39" t="n">
        <f aca="false">(('Business Case'!F11*$C853*'Business Case'!F12*$B853)-'Business Case'!F11*$C853*'Business Case'!F13*$D853-'Business Case'!F14*$E853)-MAX(0,(('Business Case'!F11*$C853*'Business Case'!F12*$B853)-'Business Case'!F11*$C853*'Business Case'!F13*$D853-'Business Case'!F14*$E853))*'Business Case'!$B$7-'Business Case'!$B$8*(('Business Case'!F11*$C853*'Business Case'!F12*$B853)-('Business Case'!E11*$C853*'Business Case'!E12*$B853))-'Business Case'!F15*$F853</f>
        <v>793171066.439495</v>
      </c>
      <c r="M853" s="39" t="n">
        <f aca="false">(('Business Case'!G11*$C853*'Business Case'!G12*$B853)-'Business Case'!G11*$C853*'Business Case'!G13*$D853-'Business Case'!G14*$E853)-MAX(0,(('Business Case'!G11*$C853*'Business Case'!G12*$B853)-'Business Case'!G11*$C853*'Business Case'!G13*$D853-'Business Case'!G14*$E853))*'Business Case'!$B$7-'Business Case'!$B$8*(('Business Case'!G11*$C853*'Business Case'!G12*$B853)-('Business Case'!F11*$C853*'Business Case'!F12*$B853))-'Business Case'!G15*$F853+'Business Case'!$B$8*('Business Case'!G11*$C853*'Business Case'!G12*$B853)</f>
        <v>991594812.579703</v>
      </c>
      <c r="N853" s="39" t="n">
        <f aca="false">IF(COUNT('Business Case'!B11:G11)=0,"",H853+NPV(G853,I853:M853))</f>
        <v>-501568461.602111</v>
      </c>
      <c r="P853" s="40" t="n">
        <f aca="true">RAND()</f>
        <v>0.429271529815722</v>
      </c>
      <c r="Q853" s="40" t="n">
        <f aca="true">RAND()</f>
        <v>0.847967568306133</v>
      </c>
      <c r="R853" s="40" t="n">
        <f aca="true">RAND()</f>
        <v>0.600554274561574</v>
      </c>
      <c r="S853" s="40" t="n">
        <f aca="true">RAND()</f>
        <v>0.271619132197192</v>
      </c>
      <c r="T853" s="40" t="n">
        <f aca="true">RAND()</f>
        <v>0.996313750590741</v>
      </c>
      <c r="U853" s="40" t="n">
        <f aca="true">RAND()</f>
        <v>0.444628690751946</v>
      </c>
    </row>
    <row r="854" customFormat="false" ht="15" hidden="false" customHeight="false" outlineLevel="0" collapsed="false">
      <c r="A854" s="36" t="n">
        <v>774</v>
      </c>
      <c r="B854" s="37" t="n">
        <f aca="false">1+IF($G$6=$E$6,$F$6,IF(P854&lt;($F$6-$E$6)/($G$6-$E$6),$E$6+SQRT(P854*($G$6-$E$6)*($F$6-$E$6)),$G$6-SQRT((1-P854)*($G$6-$E$6)*($G$6-$F$6))))</f>
        <v>0.957723987288984</v>
      </c>
      <c r="C854" s="37" t="n">
        <f aca="false">1+IF($G$7=$E$7,$F$7,IF(Q854&lt;($F$7-$E$7)/($G$7-$E$7),$E$7+SQRT(Q854*($G$7-$E$7)*($F$7-$E$7)),$G$7-SQRT((1-Q854)*($G$7-$E$7)*($G$7-$F$7))))</f>
        <v>1.01292709748211</v>
      </c>
      <c r="D854" s="37" t="n">
        <f aca="false">1+IF($G$8=$E$8,$F$8,IF(R854&lt;($F$8-$E$8)/($G$8-$E$8),$E$8+SQRT(R854*($G$8-$E$8)*($F$8-$E$8)),$G$8-SQRT((1-R854)*($G$8-$E$8)*($G$8-$F$8))))</f>
        <v>0.994961798955508</v>
      </c>
      <c r="E854" s="37" t="n">
        <f aca="false">1+IF($G$9=$E$9,$F$9,IF(S854&lt;($F$9-$E$9)/($G$9-$E$9),$E$9+SQRT(S854*($G$9-$E$9)*($F$9-$E$9)),$G$9-SQRT((1-S854)*($G$9-$E$9)*($G$9-$F$9))))</f>
        <v>0.981952339914066</v>
      </c>
      <c r="F854" s="37" t="n">
        <f aca="false">1+IF($G$10=$E$10,$F$10,IF(T854&lt;($F$10-$E$10)/($G$10-$E$10),$E$10+SQRT(T854*($G$10-$E$10)*($F$10-$E$10)),$G$10-SQRT((1-T854)*($G$10-$E$10)*($G$10-$F$10))))</f>
        <v>1.04498352764384</v>
      </c>
      <c r="G854" s="38" t="n">
        <f aca="false">IF($G$11=$E$11,$F$11,IF(U854&lt;($F$11-$E$11)/($G$11-$E$11),$E$11+SQRT(U854*($G$11-$E$11)*($F$11-$E$11)),$G$11-SQRT((1-U854)*($G$11-$E$11)*($G$11-$F$11))))</f>
        <v>0.112713826383965</v>
      </c>
      <c r="H854" s="39" t="n">
        <f aca="false">(('Business Case'!B11*$C854*'Business Case'!B12*$B854)-'Business Case'!B11*$C854*'Business Case'!B13*$D854-'Business Case'!B14*$E854)-MAX(0,(('Business Case'!B11*$C854*'Business Case'!B12*$B854)-'Business Case'!B11*$C854*'Business Case'!B13*$D854-'Business Case'!B14*$E854))*'Business Case'!$B$7-'Business Case'!$B$8*('Business Case'!B11*$C854*'Business Case'!B12*$B854)-'Business Case'!B15*$F854</f>
        <v>-2089967055.28767</v>
      </c>
      <c r="I854" s="39" t="n">
        <f aca="false">(('Business Case'!C11*$C854*'Business Case'!C12*$B854)-'Business Case'!C11*$C854*'Business Case'!C13*$D854-'Business Case'!C14*$E854)-MAX(0,(('Business Case'!C11*$C854*'Business Case'!C12*$B854)-'Business Case'!C11*$C854*'Business Case'!C13*$D854-'Business Case'!C14*$E854))*'Business Case'!$B$7-'Business Case'!$B$8*(('Business Case'!C11*$C854*'Business Case'!C12*$B854)-('Business Case'!B11*$C854*'Business Case'!B12*$B854))-'Business Case'!C15*$F854</f>
        <v>-15761842.2908102</v>
      </c>
      <c r="J854" s="39" t="n">
        <f aca="false">(('Business Case'!D11*$C854*'Business Case'!D12*$B854)-'Business Case'!D11*$C854*'Business Case'!D13*$D854-'Business Case'!D14*$E854)-MAX(0,(('Business Case'!D11*$C854*'Business Case'!D12*$B854)-'Business Case'!D11*$C854*'Business Case'!D13*$D854-'Business Case'!D14*$E854))*'Business Case'!$B$7-'Business Case'!$B$8*(('Business Case'!D11*$C854*'Business Case'!D12*$B854)-('Business Case'!C11*$C854*'Business Case'!C12*$B854))-'Business Case'!D15*$F854</f>
        <v>262898512.274911</v>
      </c>
      <c r="K854" s="39" t="n">
        <f aca="false">(('Business Case'!E11*$C854*'Business Case'!E12*$B854)-'Business Case'!E11*$C854*'Business Case'!E13*$D854-'Business Case'!E14*$E854)-MAX(0,(('Business Case'!E11*$C854*'Business Case'!E12*$B854)-'Business Case'!E11*$C854*'Business Case'!E13*$D854-'Business Case'!E14*$E854))*'Business Case'!$B$7-'Business Case'!$B$8*(('Business Case'!E11*$C854*'Business Case'!E12*$B854)-('Business Case'!D11*$C854*'Business Case'!D12*$B854))-'Business Case'!E15*$F854</f>
        <v>593808043.222823</v>
      </c>
      <c r="L854" s="39" t="n">
        <f aca="false">(('Business Case'!F11*$C854*'Business Case'!F12*$B854)-'Business Case'!F11*$C854*'Business Case'!F13*$D854-'Business Case'!F14*$E854)-MAX(0,(('Business Case'!F11*$C854*'Business Case'!F12*$B854)-'Business Case'!F11*$C854*'Business Case'!F13*$D854-'Business Case'!F14*$E854))*'Business Case'!$B$7-'Business Case'!$B$8*(('Business Case'!F11*$C854*'Business Case'!F12*$B854)-('Business Case'!E11*$C854*'Business Case'!E12*$B854))-'Business Case'!F15*$F854</f>
        <v>720221642.315642</v>
      </c>
      <c r="M854" s="39" t="n">
        <f aca="false">(('Business Case'!G11*$C854*'Business Case'!G12*$B854)-'Business Case'!G11*$C854*'Business Case'!G13*$D854-'Business Case'!G14*$E854)-MAX(0,(('Business Case'!G11*$C854*'Business Case'!G12*$B854)-'Business Case'!G11*$C854*'Business Case'!G13*$D854-'Business Case'!G14*$E854))*'Business Case'!$B$7-'Business Case'!$B$8*(('Business Case'!G11*$C854*'Business Case'!G12*$B854)-('Business Case'!F11*$C854*'Business Case'!F12*$B854))-'Business Case'!G15*$F854+'Business Case'!$B$8*('Business Case'!G11*$C854*'Business Case'!G12*$B854)</f>
        <v>904619120.622322</v>
      </c>
      <c r="N854" s="39" t="n">
        <f aca="false">IF(COUNT('Business Case'!B11:G11)=0,"",H854+NPV(G854,I854:M854))</f>
        <v>-460625868.494174</v>
      </c>
      <c r="P854" s="40" t="n">
        <f aca="true">RAND()</f>
        <v>0.14823950176869</v>
      </c>
      <c r="Q854" s="40" t="n">
        <f aca="true">RAND()</f>
        <v>0.642114655148995</v>
      </c>
      <c r="R854" s="40" t="n">
        <f aca="true">RAND()</f>
        <v>0.311009748510083</v>
      </c>
      <c r="S854" s="40" t="n">
        <f aca="true">RAND()</f>
        <v>0.136126936797871</v>
      </c>
      <c r="T854" s="40" t="n">
        <f aca="true">RAND()</f>
        <v>0.519397865965006</v>
      </c>
      <c r="U854" s="40" t="n">
        <f aca="true">RAND()</f>
        <v>0.911519456728338</v>
      </c>
    </row>
    <row r="855" customFormat="false" ht="15" hidden="false" customHeight="false" outlineLevel="0" collapsed="false">
      <c r="A855" s="36" t="n">
        <v>775</v>
      </c>
      <c r="B855" s="37" t="n">
        <f aca="false">1+IF($G$6=$E$6,$F$6,IF(P855&lt;($F$6-$E$6)/($G$6-$E$6),$E$6+SQRT(P855*($G$6-$E$6)*($F$6-$E$6)),$G$6-SQRT((1-P855)*($G$6-$E$6)*($G$6-$F$6))))</f>
        <v>0.966404239121743</v>
      </c>
      <c r="C855" s="37" t="n">
        <f aca="false">1+IF($G$7=$E$7,$F$7,IF(Q855&lt;($F$7-$E$7)/($G$7-$E$7),$E$7+SQRT(Q855*($G$7-$E$7)*($F$7-$E$7)),$G$7-SQRT((1-Q855)*($G$7-$E$7)*($G$7-$F$7))))</f>
        <v>1.05562283766434</v>
      </c>
      <c r="D855" s="37" t="n">
        <f aca="false">1+IF($G$8=$E$8,$F$8,IF(R855&lt;($F$8-$E$8)/($G$8-$E$8),$E$8+SQRT(R855*($G$8-$E$8)*($F$8-$E$8)),$G$8-SQRT((1-R855)*($G$8-$E$8)*($G$8-$F$8))))</f>
        <v>1.03215913024078</v>
      </c>
      <c r="E855" s="37" t="n">
        <f aca="false">1+IF($G$9=$E$9,$F$9,IF(S855&lt;($F$9-$E$9)/($G$9-$E$9),$E$9+SQRT(S855*($G$9-$E$9)*($F$9-$E$9)),$G$9-SQRT((1-S855)*($G$9-$E$9)*($G$9-$F$9))))</f>
        <v>1.04740863471803</v>
      </c>
      <c r="F855" s="37" t="n">
        <f aca="false">1+IF($G$10=$E$10,$F$10,IF(T855&lt;($F$10-$E$10)/($G$10-$E$10),$E$10+SQRT(T855*($G$10-$E$10)*($F$10-$E$10)),$G$10-SQRT((1-T855)*($G$10-$E$10)*($G$10-$F$10))))</f>
        <v>0.98713385970767</v>
      </c>
      <c r="G855" s="38" t="n">
        <f aca="false">IF($G$11=$E$11,$F$11,IF(U855&lt;($F$11-$E$11)/($G$11-$E$11),$E$11+SQRT(U855*($G$11-$E$11)*($F$11-$E$11)),$G$11-SQRT((1-U855)*($G$11-$E$11)*($G$11-$F$11))))</f>
        <v>0.106549300919586</v>
      </c>
      <c r="H855" s="39" t="n">
        <f aca="false">(('Business Case'!B11*$C855*'Business Case'!B12*$B855)-'Business Case'!B11*$C855*'Business Case'!B13*$D855-'Business Case'!B14*$E855)-MAX(0,(('Business Case'!B11*$C855*'Business Case'!B12*$B855)-'Business Case'!B11*$C855*'Business Case'!B13*$D855-'Business Case'!B14*$E855))*'Business Case'!$B$7-'Business Case'!$B$8*('Business Case'!B11*$C855*'Business Case'!B12*$B855)-'Business Case'!B15*$F855</f>
        <v>-1974267719.41534</v>
      </c>
      <c r="I855" s="39" t="n">
        <f aca="false">(('Business Case'!C11*$C855*'Business Case'!C12*$B855)-'Business Case'!C11*$C855*'Business Case'!C13*$D855-'Business Case'!C14*$E855)-MAX(0,(('Business Case'!C11*$C855*'Business Case'!C12*$B855)-'Business Case'!C11*$C855*'Business Case'!C13*$D855-'Business Case'!C14*$E855))*'Business Case'!$B$7-'Business Case'!$B$8*(('Business Case'!C11*$C855*'Business Case'!C12*$B855)-('Business Case'!B11*$C855*'Business Case'!B12*$B855))-'Business Case'!C15*$F855</f>
        <v>-22729793.9417323</v>
      </c>
      <c r="J855" s="39" t="n">
        <f aca="false">(('Business Case'!D11*$C855*'Business Case'!D12*$B855)-'Business Case'!D11*$C855*'Business Case'!D13*$D855-'Business Case'!D14*$E855)-MAX(0,(('Business Case'!D11*$C855*'Business Case'!D12*$B855)-'Business Case'!D11*$C855*'Business Case'!D13*$D855-'Business Case'!D14*$E855))*'Business Case'!$B$7-'Business Case'!$B$8*(('Business Case'!D11*$C855*'Business Case'!D12*$B855)-('Business Case'!C11*$C855*'Business Case'!C12*$B855))-'Business Case'!D15*$F855</f>
        <v>255080316.634661</v>
      </c>
      <c r="K855" s="39" t="n">
        <f aca="false">(('Business Case'!E11*$C855*'Business Case'!E12*$B855)-'Business Case'!E11*$C855*'Business Case'!E13*$D855-'Business Case'!E14*$E855)-MAX(0,(('Business Case'!E11*$C855*'Business Case'!E12*$B855)-'Business Case'!E11*$C855*'Business Case'!E13*$D855-'Business Case'!E14*$E855))*'Business Case'!$B$7-'Business Case'!$B$8*(('Business Case'!E11*$C855*'Business Case'!E12*$B855)-('Business Case'!D11*$C855*'Business Case'!D12*$B855))-'Business Case'!E15*$F855</f>
        <v>582247120.196438</v>
      </c>
      <c r="L855" s="39" t="n">
        <f aca="false">(('Business Case'!F11*$C855*'Business Case'!F12*$B855)-'Business Case'!F11*$C855*'Business Case'!F13*$D855-'Business Case'!F14*$E855)-MAX(0,(('Business Case'!F11*$C855*'Business Case'!F12*$B855)-'Business Case'!F11*$C855*'Business Case'!F13*$D855-'Business Case'!F14*$E855))*'Business Case'!$B$7-'Business Case'!$B$8*(('Business Case'!F11*$C855*'Business Case'!F12*$B855)-('Business Case'!E11*$C855*'Business Case'!E12*$B855))-'Business Case'!F15*$F855</f>
        <v>710107164.182206</v>
      </c>
      <c r="M855" s="39" t="n">
        <f aca="false">(('Business Case'!G11*$C855*'Business Case'!G12*$B855)-'Business Case'!G11*$C855*'Business Case'!G13*$D855-'Business Case'!G14*$E855)-MAX(0,(('Business Case'!G11*$C855*'Business Case'!G12*$B855)-'Business Case'!G11*$C855*'Business Case'!G13*$D855-'Business Case'!G14*$E855))*'Business Case'!$B$7-'Business Case'!$B$8*(('Business Case'!G11*$C855*'Business Case'!G12*$B855)-('Business Case'!F11*$C855*'Business Case'!F12*$B855))-'Business Case'!G15*$F855+'Business Case'!$B$8*('Business Case'!G11*$C855*'Business Case'!G12*$B855)</f>
        <v>904018870.047208</v>
      </c>
      <c r="N855" s="39" t="n">
        <f aca="false">IF(COUNT('Business Case'!B11:G11)=0,"",H855+NPV(G855,I855:M855))</f>
        <v>-338217002.216534</v>
      </c>
      <c r="P855" s="40" t="n">
        <f aca="true">RAND()</f>
        <v>0.224307646715404</v>
      </c>
      <c r="Q855" s="40" t="n">
        <f aca="true">RAND()</f>
        <v>0.830341928180359</v>
      </c>
      <c r="R855" s="40" t="n">
        <f aca="true">RAND()</f>
        <v>0.779927998142411</v>
      </c>
      <c r="S855" s="40" t="n">
        <f aca="true">RAND()</f>
        <v>0.815609886518551</v>
      </c>
      <c r="T855" s="40" t="n">
        <f aca="true">RAND()</f>
        <v>0.110313882943114</v>
      </c>
      <c r="U855" s="40" t="n">
        <f aca="true">RAND()</f>
        <v>0.698464490413601</v>
      </c>
    </row>
    <row r="856" customFormat="false" ht="15" hidden="false" customHeight="false" outlineLevel="0" collapsed="false">
      <c r="A856" s="36" t="n">
        <v>776</v>
      </c>
      <c r="B856" s="37" t="n">
        <f aca="false">1+IF($G$6=$E$6,$F$6,IF(P856&lt;($F$6-$E$6)/($G$6-$E$6),$E$6+SQRT(P856*($G$6-$E$6)*($F$6-$E$6)),$G$6-SQRT((1-P856)*($G$6-$E$6)*($G$6-$F$6))))</f>
        <v>0.941391163086294</v>
      </c>
      <c r="C856" s="37" t="n">
        <f aca="false">1+IF($G$7=$E$7,$F$7,IF(Q856&lt;($F$7-$E$7)/($G$7-$E$7),$E$7+SQRT(Q856*($G$7-$E$7)*($F$7-$E$7)),$G$7-SQRT((1-Q856)*($G$7-$E$7)*($G$7-$F$7))))</f>
        <v>0.903783391638683</v>
      </c>
      <c r="D856" s="37" t="n">
        <f aca="false">1+IF($G$8=$E$8,$F$8,IF(R856&lt;($F$8-$E$8)/($G$8-$E$8),$E$8+SQRT(R856*($G$8-$E$8)*($F$8-$E$8)),$G$8-SQRT((1-R856)*($G$8-$E$8)*($G$8-$F$8))))</f>
        <v>0.976732869437405</v>
      </c>
      <c r="E856" s="37" t="n">
        <f aca="false">1+IF($G$9=$E$9,$F$9,IF(S856&lt;($F$9-$E$9)/($G$9-$E$9),$E$9+SQRT(S856*($G$9-$E$9)*($F$9-$E$9)),$G$9-SQRT((1-S856)*($G$9-$E$9)*($G$9-$F$9))))</f>
        <v>1.04569905915624</v>
      </c>
      <c r="F856" s="37" t="n">
        <f aca="false">1+IF($G$10=$E$10,$F$10,IF(T856&lt;($F$10-$E$10)/($G$10-$E$10),$E$10+SQRT(T856*($G$10-$E$10)*($F$10-$E$10)),$G$10-SQRT((1-T856)*($G$10-$E$10)*($G$10-$F$10))))</f>
        <v>1.07811999303986</v>
      </c>
      <c r="G856" s="38" t="n">
        <f aca="false">IF($G$11=$E$11,$F$11,IF(U856&lt;($F$11-$E$11)/($G$11-$E$11),$E$11+SQRT(U856*($G$11-$E$11)*($F$11-$E$11)),$G$11-SQRT((1-U856)*($G$11-$E$11)*($G$11-$F$11))))</f>
        <v>0.101268156799181</v>
      </c>
      <c r="H856" s="39" t="n">
        <f aca="false">(('Business Case'!B11*$C856*'Business Case'!B12*$B856)-'Business Case'!B11*$C856*'Business Case'!B13*$D856-'Business Case'!B14*$E856)-MAX(0,(('Business Case'!B11*$C856*'Business Case'!B12*$B856)-'Business Case'!B11*$C856*'Business Case'!B13*$D856-'Business Case'!B14*$E856))*'Business Case'!$B$7-'Business Case'!$B$8*('Business Case'!B11*$C856*'Business Case'!B12*$B856)-'Business Case'!B15*$F856</f>
        <v>-2156239986.07972</v>
      </c>
      <c r="I856" s="39" t="n">
        <f aca="false">(('Business Case'!C11*$C856*'Business Case'!C12*$B856)-'Business Case'!C11*$C856*'Business Case'!C13*$D856-'Business Case'!C14*$E856)-MAX(0,(('Business Case'!C11*$C856*'Business Case'!C12*$B856)-'Business Case'!C11*$C856*'Business Case'!C13*$D856-'Business Case'!C14*$E856))*'Business Case'!$B$7-'Business Case'!$B$8*(('Business Case'!C11*$C856*'Business Case'!C12*$B856)-('Business Case'!B11*$C856*'Business Case'!B12*$B856))-'Business Case'!C15*$F856</f>
        <v>-55638821.8759495</v>
      </c>
      <c r="J856" s="39" t="n">
        <f aca="false">(('Business Case'!D11*$C856*'Business Case'!D12*$B856)-'Business Case'!D11*$C856*'Business Case'!D13*$D856-'Business Case'!D14*$E856)-MAX(0,(('Business Case'!D11*$C856*'Business Case'!D12*$B856)-'Business Case'!D11*$C856*'Business Case'!D13*$D856-'Business Case'!D14*$E856))*'Business Case'!$B$7-'Business Case'!$B$8*(('Business Case'!D11*$C856*'Business Case'!D12*$B856)-('Business Case'!C11*$C856*'Business Case'!C12*$B856))-'Business Case'!D15*$F856</f>
        <v>189338943.880494</v>
      </c>
      <c r="K856" s="39" t="n">
        <f aca="false">(('Business Case'!E11*$C856*'Business Case'!E12*$B856)-'Business Case'!E11*$C856*'Business Case'!E13*$D856-'Business Case'!E14*$E856)-MAX(0,(('Business Case'!E11*$C856*'Business Case'!E12*$B856)-'Business Case'!E11*$C856*'Business Case'!E13*$D856-'Business Case'!E14*$E856))*'Business Case'!$B$7-'Business Case'!$B$8*(('Business Case'!E11*$C856*'Business Case'!E12*$B856)-('Business Case'!D11*$C856*'Business Case'!D12*$B856))-'Business Case'!E15*$F856</f>
        <v>488222709.288931</v>
      </c>
      <c r="L856" s="39" t="n">
        <f aca="false">(('Business Case'!F11*$C856*'Business Case'!F12*$B856)-'Business Case'!F11*$C856*'Business Case'!F13*$D856-'Business Case'!F14*$E856)-MAX(0,(('Business Case'!F11*$C856*'Business Case'!F12*$B856)-'Business Case'!F11*$C856*'Business Case'!F13*$D856-'Business Case'!F14*$E856))*'Business Case'!$B$7-'Business Case'!$B$8*(('Business Case'!F11*$C856*'Business Case'!F12*$B856)-('Business Case'!E11*$C856*'Business Case'!E12*$B856))-'Business Case'!F15*$F856</f>
        <v>599286085.952004</v>
      </c>
      <c r="M856" s="39" t="n">
        <f aca="false">(('Business Case'!G11*$C856*'Business Case'!G12*$B856)-'Business Case'!G11*$C856*'Business Case'!G13*$D856-'Business Case'!G14*$E856)-MAX(0,(('Business Case'!G11*$C856*'Business Case'!G12*$B856)-'Business Case'!G11*$C856*'Business Case'!G13*$D856-'Business Case'!G14*$E856))*'Business Case'!$B$7-'Business Case'!$B$8*(('Business Case'!G11*$C856*'Business Case'!G12*$B856)-('Business Case'!F11*$C856*'Business Case'!F12*$B856))-'Business Case'!G15*$F856+'Business Case'!$B$8*('Business Case'!G11*$C856*'Business Case'!G12*$B856)</f>
        <v>761008753.712098</v>
      </c>
      <c r="N856" s="39" t="n">
        <f aca="false">IF(COUNT('Business Case'!B11:G11)=0,"",H856+NPV(G856,I856:M856))</f>
        <v>-807850513.930845</v>
      </c>
      <c r="P856" s="40" t="n">
        <f aca="true">RAND()</f>
        <v>0.0476647768942091</v>
      </c>
      <c r="Q856" s="40" t="n">
        <f aca="true">RAND()</f>
        <v>0.153871319714689</v>
      </c>
      <c r="R856" s="40" t="n">
        <f aca="true">RAND()</f>
        <v>0.109945585901132</v>
      </c>
      <c r="S856" s="40" t="n">
        <f aca="true">RAND()</f>
        <v>0.803427188232175</v>
      </c>
      <c r="T856" s="40" t="n">
        <f aca="true">RAND()</f>
        <v>0.702905278067933</v>
      </c>
      <c r="U856" s="40" t="n">
        <f aca="true">RAND()</f>
        <v>0.415196750499859</v>
      </c>
    </row>
    <row r="857" customFormat="false" ht="15" hidden="false" customHeight="false" outlineLevel="0" collapsed="false">
      <c r="A857" s="36" t="n">
        <v>777</v>
      </c>
      <c r="B857" s="37" t="n">
        <f aca="false">1+IF($G$6=$E$6,$F$6,IF(P857&lt;($F$6-$E$6)/($G$6-$E$6),$E$6+SQRT(P857*($G$6-$E$6)*($F$6-$E$6)),$G$6-SQRT((1-P857)*($G$6-$E$6)*($G$6-$F$6))))</f>
        <v>0.969378386672131</v>
      </c>
      <c r="C857" s="37" t="n">
        <f aca="false">1+IF($G$7=$E$7,$F$7,IF(Q857&lt;($F$7-$E$7)/($G$7-$E$7),$E$7+SQRT(Q857*($G$7-$E$7)*($F$7-$E$7)),$G$7-SQRT((1-Q857)*($G$7-$E$7)*($G$7-$F$7))))</f>
        <v>1.02115172053605</v>
      </c>
      <c r="D857" s="37" t="n">
        <f aca="false">1+IF($G$8=$E$8,$F$8,IF(R857&lt;($F$8-$E$8)/($G$8-$E$8),$E$8+SQRT(R857*($G$8-$E$8)*($F$8-$E$8)),$G$8-SQRT((1-R857)*($G$8-$E$8)*($G$8-$F$8))))</f>
        <v>1.02041005914846</v>
      </c>
      <c r="E857" s="37" t="n">
        <f aca="false">1+IF($G$9=$E$9,$F$9,IF(S857&lt;($F$9-$E$9)/($G$9-$E$9),$E$9+SQRT(S857*($G$9-$E$9)*($F$9-$E$9)),$G$9-SQRT((1-S857)*($G$9-$E$9)*($G$9-$F$9))))</f>
        <v>0.997460543451443</v>
      </c>
      <c r="F857" s="37" t="n">
        <f aca="false">1+IF($G$10=$E$10,$F$10,IF(T857&lt;($F$10-$E$10)/($G$10-$E$10),$E$10+SQRT(T857*($G$10-$E$10)*($F$10-$E$10)),$G$10-SQRT((1-T857)*($G$10-$E$10)*($G$10-$F$10))))</f>
        <v>1.10824088022046</v>
      </c>
      <c r="G857" s="38" t="n">
        <f aca="false">IF($G$11=$E$11,$F$11,IF(U857&lt;($F$11-$E$11)/($G$11-$E$11),$E$11+SQRT(U857*($G$11-$E$11)*($F$11-$E$11)),$G$11-SQRT((1-U857)*($G$11-$E$11)*($G$11-$F$11))))</f>
        <v>0.10370397052045</v>
      </c>
      <c r="H857" s="39" t="n">
        <f aca="false">(('Business Case'!B11*$C857*'Business Case'!B12*$B857)-'Business Case'!B11*$C857*'Business Case'!B13*$D857-'Business Case'!B14*$E857)-MAX(0,(('Business Case'!B11*$C857*'Business Case'!B12*$B857)-'Business Case'!B11*$C857*'Business Case'!B13*$D857-'Business Case'!B14*$E857))*'Business Case'!$B$7-'Business Case'!$B$8*('Business Case'!B11*$C857*'Business Case'!B12*$B857)-'Business Case'!B15*$F857</f>
        <v>-2216481760.44091</v>
      </c>
      <c r="I857" s="39" t="n">
        <f aca="false">(('Business Case'!C11*$C857*'Business Case'!C12*$B857)-'Business Case'!C11*$C857*'Business Case'!C13*$D857-'Business Case'!C14*$E857)-MAX(0,(('Business Case'!C11*$C857*'Business Case'!C12*$B857)-'Business Case'!C11*$C857*'Business Case'!C13*$D857-'Business Case'!C14*$E857))*'Business Case'!$B$7-'Business Case'!$B$8*(('Business Case'!C11*$C857*'Business Case'!C12*$B857)-('Business Case'!B11*$C857*'Business Case'!B12*$B857))-'Business Case'!C15*$F857</f>
        <v>-26610824.2534669</v>
      </c>
      <c r="J857" s="39" t="n">
        <f aca="false">(('Business Case'!D11*$C857*'Business Case'!D12*$B857)-'Business Case'!D11*$C857*'Business Case'!D13*$D857-'Business Case'!D14*$E857)-MAX(0,(('Business Case'!D11*$C857*'Business Case'!D12*$B857)-'Business Case'!D11*$C857*'Business Case'!D13*$D857-'Business Case'!D14*$E857))*'Business Case'!$B$7-'Business Case'!$B$8*(('Business Case'!D11*$C857*'Business Case'!D12*$B857)-('Business Case'!C11*$C857*'Business Case'!C12*$B857))-'Business Case'!D15*$F857</f>
        <v>250756832.79356</v>
      </c>
      <c r="K857" s="39" t="n">
        <f aca="false">(('Business Case'!E11*$C857*'Business Case'!E12*$B857)-'Business Case'!E11*$C857*'Business Case'!E13*$D857-'Business Case'!E14*$E857)-MAX(0,(('Business Case'!E11*$C857*'Business Case'!E12*$B857)-'Business Case'!E11*$C857*'Business Case'!E13*$D857-'Business Case'!E14*$E857))*'Business Case'!$B$7-'Business Case'!$B$8*(('Business Case'!E11*$C857*'Business Case'!E12*$B857)-('Business Case'!D11*$C857*'Business Case'!D12*$B857))-'Business Case'!E15*$F857</f>
        <v>583536533.851609</v>
      </c>
      <c r="L857" s="39" t="n">
        <f aca="false">(('Business Case'!F11*$C857*'Business Case'!F12*$B857)-'Business Case'!F11*$C857*'Business Case'!F13*$D857-'Business Case'!F14*$E857)-MAX(0,(('Business Case'!F11*$C857*'Business Case'!F12*$B857)-'Business Case'!F11*$C857*'Business Case'!F13*$D857-'Business Case'!F14*$E857))*'Business Case'!$B$7-'Business Case'!$B$8*(('Business Case'!F11*$C857*'Business Case'!F12*$B857)-('Business Case'!E11*$C857*'Business Case'!E12*$B857))-'Business Case'!F15*$F857</f>
        <v>710202755.53372</v>
      </c>
      <c r="M857" s="39" t="n">
        <f aca="false">(('Business Case'!G11*$C857*'Business Case'!G12*$B857)-'Business Case'!G11*$C857*'Business Case'!G13*$D857-'Business Case'!G14*$E857)-MAX(0,(('Business Case'!G11*$C857*'Business Case'!G12*$B857)-'Business Case'!G11*$C857*'Business Case'!G13*$D857-'Business Case'!G14*$E857))*'Business Case'!$B$7-'Business Case'!$B$8*(('Business Case'!G11*$C857*'Business Case'!G12*$B857)-('Business Case'!F11*$C857*'Business Case'!F12*$B857))-'Business Case'!G15*$F857+'Business Case'!$B$8*('Business Case'!G11*$C857*'Business Case'!G12*$B857)</f>
        <v>898359603.532446</v>
      </c>
      <c r="N857" s="39" t="n">
        <f aca="false">IF(COUNT('Business Case'!B11:G11)=0,"",H857+NPV(G857,I857:M857))</f>
        <v>-573610809.40297</v>
      </c>
      <c r="P857" s="40" t="n">
        <f aca="true">RAND()</f>
        <v>0.253981778160679</v>
      </c>
      <c r="Q857" s="40" t="n">
        <f aca="true">RAND()</f>
        <v>0.683773731032001</v>
      </c>
      <c r="R857" s="40" t="n">
        <f aca="true">RAND()</f>
        <v>0.658561437433602</v>
      </c>
      <c r="S857" s="40" t="n">
        <f aca="true">RAND()</f>
        <v>0.300333757960846</v>
      </c>
      <c r="T857" s="40" t="n">
        <f aca="true">RAND()</f>
        <v>0.831605278745665</v>
      </c>
      <c r="U857" s="40" t="n">
        <f aca="true">RAND()</f>
        <v>0.557399038669372</v>
      </c>
    </row>
    <row r="858" customFormat="false" ht="15" hidden="false" customHeight="false" outlineLevel="0" collapsed="false">
      <c r="A858" s="36" t="n">
        <v>778</v>
      </c>
      <c r="B858" s="37" t="n">
        <f aca="false">1+IF($G$6=$E$6,$F$6,IF(P858&lt;($F$6-$E$6)/($G$6-$E$6),$E$6+SQRT(P858*($G$6-$E$6)*($F$6-$E$6)),$G$6-SQRT((1-P858)*($G$6-$E$6)*($G$6-$F$6))))</f>
        <v>0.981104391314072</v>
      </c>
      <c r="C858" s="37" t="n">
        <f aca="false">1+IF($G$7=$E$7,$F$7,IF(Q858&lt;($F$7-$E$7)/($G$7-$E$7),$E$7+SQRT(Q858*($G$7-$E$7)*($F$7-$E$7)),$G$7-SQRT((1-Q858)*($G$7-$E$7)*($G$7-$F$7))))</f>
        <v>0.880534626146971</v>
      </c>
      <c r="D858" s="37" t="n">
        <f aca="false">1+IF($G$8=$E$8,$F$8,IF(R858&lt;($F$8-$E$8)/($G$8-$E$8),$E$8+SQRT(R858*($G$8-$E$8)*($F$8-$E$8)),$G$8-SQRT((1-R858)*($G$8-$E$8)*($G$8-$F$8))))</f>
        <v>1.03335722847833</v>
      </c>
      <c r="E858" s="37" t="n">
        <f aca="false">1+IF($G$9=$E$9,$F$9,IF(S858&lt;($F$9-$E$9)/($G$9-$E$9),$E$9+SQRT(S858*($G$9-$E$9)*($F$9-$E$9)),$G$9-SQRT((1-S858)*($G$9-$E$9)*($G$9-$F$9))))</f>
        <v>1.03417170603395</v>
      </c>
      <c r="F858" s="37" t="n">
        <f aca="false">1+IF($G$10=$E$10,$F$10,IF(T858&lt;($F$10-$E$10)/($G$10-$E$10),$E$10+SQRT(T858*($G$10-$E$10)*($F$10-$E$10)),$G$10-SQRT((1-T858)*($G$10-$E$10)*($G$10-$F$10))))</f>
        <v>0.975357782127435</v>
      </c>
      <c r="G858" s="38" t="n">
        <f aca="false">IF($G$11=$E$11,$F$11,IF(U858&lt;($F$11-$E$11)/($G$11-$E$11),$E$11+SQRT(U858*($G$11-$E$11)*($F$11-$E$11)),$G$11-SQRT((1-U858)*($G$11-$E$11)*($G$11-$F$11))))</f>
        <v>0.0998440681696179</v>
      </c>
      <c r="H858" s="39" t="n">
        <f aca="false">(('Business Case'!B11*$C858*'Business Case'!B12*$B858)-'Business Case'!B11*$C858*'Business Case'!B13*$D858-'Business Case'!B14*$E858)-MAX(0,(('Business Case'!B11*$C858*'Business Case'!B12*$B858)-'Business Case'!B11*$C858*'Business Case'!B13*$D858-'Business Case'!B14*$E858))*'Business Case'!$B$7-'Business Case'!$B$8*('Business Case'!B11*$C858*'Business Case'!B12*$B858)-'Business Case'!B15*$F858</f>
        <v>-1950715564.25487</v>
      </c>
      <c r="I858" s="39" t="n">
        <f aca="false">(('Business Case'!C11*$C858*'Business Case'!C12*$B858)-'Business Case'!C11*$C858*'Business Case'!C13*$D858-'Business Case'!C14*$E858)-MAX(0,(('Business Case'!C11*$C858*'Business Case'!C12*$B858)-'Business Case'!C11*$C858*'Business Case'!C13*$D858-'Business Case'!C14*$E858))*'Business Case'!$B$7-'Business Case'!$B$8*(('Business Case'!C11*$C858*'Business Case'!C12*$B858)-('Business Case'!B11*$C858*'Business Case'!B12*$B858))-'Business Case'!C15*$F858</f>
        <v>-47585540.6647103</v>
      </c>
      <c r="J858" s="39" t="n">
        <f aca="false">(('Business Case'!D11*$C858*'Business Case'!D12*$B858)-'Business Case'!D11*$C858*'Business Case'!D13*$D858-'Business Case'!D14*$E858)-MAX(0,(('Business Case'!D11*$C858*'Business Case'!D12*$B858)-'Business Case'!D11*$C858*'Business Case'!D13*$D858-'Business Case'!D14*$E858))*'Business Case'!$B$7-'Business Case'!$B$8*(('Business Case'!D11*$C858*'Business Case'!D12*$B858)-('Business Case'!C11*$C858*'Business Case'!C12*$B858))-'Business Case'!D15*$F858</f>
        <v>194208302.256883</v>
      </c>
      <c r="K858" s="39" t="n">
        <f aca="false">(('Business Case'!E11*$C858*'Business Case'!E12*$B858)-'Business Case'!E11*$C858*'Business Case'!E13*$D858-'Business Case'!E14*$E858)-MAX(0,(('Business Case'!E11*$C858*'Business Case'!E12*$B858)-'Business Case'!E11*$C858*'Business Case'!E13*$D858-'Business Case'!E14*$E858))*'Business Case'!$B$7-'Business Case'!$B$8*(('Business Case'!E11*$C858*'Business Case'!E12*$B858)-('Business Case'!D11*$C858*'Business Case'!D12*$B858))-'Business Case'!E15*$F858</f>
        <v>484770034.284848</v>
      </c>
      <c r="L858" s="39" t="n">
        <f aca="false">(('Business Case'!F11*$C858*'Business Case'!F12*$B858)-'Business Case'!F11*$C858*'Business Case'!F13*$D858-'Business Case'!F14*$E858)-MAX(0,(('Business Case'!F11*$C858*'Business Case'!F12*$B858)-'Business Case'!F11*$C858*'Business Case'!F13*$D858-'Business Case'!F14*$E858))*'Business Case'!$B$7-'Business Case'!$B$8*(('Business Case'!F11*$C858*'Business Case'!F12*$B858)-('Business Case'!E11*$C858*'Business Case'!E12*$B858))-'Business Case'!F15*$F858</f>
        <v>595224241.109066</v>
      </c>
      <c r="M858" s="39" t="n">
        <f aca="false">(('Business Case'!G11*$C858*'Business Case'!G12*$B858)-'Business Case'!G11*$C858*'Business Case'!G13*$D858-'Business Case'!G14*$E858)-MAX(0,(('Business Case'!G11*$C858*'Business Case'!G12*$B858)-'Business Case'!G11*$C858*'Business Case'!G13*$D858-'Business Case'!G14*$E858))*'Business Case'!$B$7-'Business Case'!$B$8*(('Business Case'!G11*$C858*'Business Case'!G12*$B858)-('Business Case'!F11*$C858*'Business Case'!F12*$B858))-'Business Case'!G15*$F858+'Business Case'!$B$8*('Business Case'!G11*$C858*'Business Case'!G12*$B858)</f>
        <v>759433666.619348</v>
      </c>
      <c r="N858" s="39" t="n">
        <f aca="false">IF(COUNT('Business Case'!B11:G11)=0,"",H858+NPV(G858,I858:M858))</f>
        <v>-590403508.598001</v>
      </c>
      <c r="P858" s="40" t="n">
        <f aca="true">RAND()</f>
        <v>0.388931941444086</v>
      </c>
      <c r="Q858" s="40" t="n">
        <f aca="true">RAND()</f>
        <v>0.0926546572661772</v>
      </c>
      <c r="R858" s="40" t="n">
        <f aca="true">RAND()</f>
        <v>0.790812679305532</v>
      </c>
      <c r="S858" s="40" t="n">
        <f aca="true">RAND()</f>
        <v>0.711109047567995</v>
      </c>
      <c r="T858" s="40" t="n">
        <f aca="true">RAND()</f>
        <v>0.0514413691537952</v>
      </c>
      <c r="U858" s="40" t="n">
        <f aca="true">RAND()</f>
        <v>0.323018927093617</v>
      </c>
    </row>
    <row r="859" customFormat="false" ht="15" hidden="false" customHeight="false" outlineLevel="0" collapsed="false">
      <c r="A859" s="36" t="n">
        <v>779</v>
      </c>
      <c r="B859" s="37" t="n">
        <f aca="false">1+IF($G$6=$E$6,$F$6,IF(P859&lt;($F$6-$E$6)/($G$6-$E$6),$E$6+SQRT(P859*($G$6-$E$6)*($F$6-$E$6)),$G$6-SQRT((1-P859)*($G$6-$E$6)*($G$6-$F$6))))</f>
        <v>1.00208824972394</v>
      </c>
      <c r="C859" s="37" t="n">
        <f aca="false">1+IF($G$7=$E$7,$F$7,IF(Q859&lt;($F$7-$E$7)/($G$7-$E$7),$E$7+SQRT(Q859*($G$7-$E$7)*($F$7-$E$7)),$G$7-SQRT((1-Q859)*($G$7-$E$7)*($G$7-$F$7))))</f>
        <v>1.03373706028456</v>
      </c>
      <c r="D859" s="37" t="n">
        <f aca="false">1+IF($G$8=$E$8,$F$8,IF(R859&lt;($F$8-$E$8)/($G$8-$E$8),$E$8+SQRT(R859*($G$8-$E$8)*($F$8-$E$8)),$G$8-SQRT((1-R859)*($G$8-$E$8)*($G$8-$F$8))))</f>
        <v>1.02672166952241</v>
      </c>
      <c r="E859" s="37" t="n">
        <f aca="false">1+IF($G$9=$E$9,$F$9,IF(S859&lt;($F$9-$E$9)/($G$9-$E$9),$E$9+SQRT(S859*($G$9-$E$9)*($F$9-$E$9)),$G$9-SQRT((1-S859)*($G$9-$E$9)*($G$9-$F$9))))</f>
        <v>1.01223561121214</v>
      </c>
      <c r="F859" s="37" t="n">
        <f aca="false">1+IF($G$10=$E$10,$F$10,IF(T859&lt;($F$10-$E$10)/($G$10-$E$10),$E$10+SQRT(T859*($G$10-$E$10)*($F$10-$E$10)),$G$10-SQRT((1-T859)*($G$10-$E$10)*($G$10-$F$10))))</f>
        <v>0.984537261894299</v>
      </c>
      <c r="G859" s="38" t="n">
        <f aca="false">IF($G$11=$E$11,$F$11,IF(U859&lt;($F$11-$E$11)/($G$11-$E$11),$E$11+SQRT(U859*($G$11-$E$11)*($F$11-$E$11)),$G$11-SQRT((1-U859)*($G$11-$E$11)*($G$11-$F$11))))</f>
        <v>0.105044243802852</v>
      </c>
      <c r="H859" s="39" t="n">
        <f aca="false">(('Business Case'!B11*$C859*'Business Case'!B12*$B859)-'Business Case'!B11*$C859*'Business Case'!B13*$D859-'Business Case'!B14*$E859)-MAX(0,(('Business Case'!B11*$C859*'Business Case'!B12*$B859)-'Business Case'!B11*$C859*'Business Case'!B13*$D859-'Business Case'!B14*$E859))*'Business Case'!$B$7-'Business Case'!$B$8*('Business Case'!B11*$C859*'Business Case'!B12*$B859)-'Business Case'!B15*$F859</f>
        <v>-1969074523.7886</v>
      </c>
      <c r="I859" s="39" t="n">
        <f aca="false">(('Business Case'!C11*$C859*'Business Case'!C12*$B859)-'Business Case'!C11*$C859*'Business Case'!C13*$D859-'Business Case'!C14*$E859)-MAX(0,(('Business Case'!C11*$C859*'Business Case'!C12*$B859)-'Business Case'!C11*$C859*'Business Case'!C13*$D859-'Business Case'!C14*$E859))*'Business Case'!$B$7-'Business Case'!$B$8*(('Business Case'!C11*$C859*'Business Case'!C12*$B859)-('Business Case'!B11*$C859*'Business Case'!B12*$B859))-'Business Case'!C15*$F859</f>
        <v>9047212.46176697</v>
      </c>
      <c r="J859" s="39" t="n">
        <f aca="false">(('Business Case'!D11*$C859*'Business Case'!D12*$B859)-'Business Case'!D11*$C859*'Business Case'!D13*$D859-'Business Case'!D14*$E859)-MAX(0,(('Business Case'!D11*$C859*'Business Case'!D12*$B859)-'Business Case'!D11*$C859*'Business Case'!D13*$D859-'Business Case'!D14*$E859))*'Business Case'!$B$7-'Business Case'!$B$8*(('Business Case'!D11*$C859*'Business Case'!D12*$B859)-('Business Case'!C11*$C859*'Business Case'!C12*$B859))-'Business Case'!D15*$F859</f>
        <v>314188891.2991</v>
      </c>
      <c r="K859" s="39" t="n">
        <f aca="false">(('Business Case'!E11*$C859*'Business Case'!E12*$B859)-'Business Case'!E11*$C859*'Business Case'!E13*$D859-'Business Case'!E14*$E859)-MAX(0,(('Business Case'!E11*$C859*'Business Case'!E12*$B859)-'Business Case'!E11*$C859*'Business Case'!E13*$D859-'Business Case'!E14*$E859))*'Business Case'!$B$7-'Business Case'!$B$8*(('Business Case'!E11*$C859*'Business Case'!E12*$B859)-('Business Case'!D11*$C859*'Business Case'!D12*$B859))-'Business Case'!E15*$F859</f>
        <v>668557433.231148</v>
      </c>
      <c r="L859" s="39" t="n">
        <f aca="false">(('Business Case'!F11*$C859*'Business Case'!F12*$B859)-'Business Case'!F11*$C859*'Business Case'!F13*$D859-'Business Case'!F14*$E859)-MAX(0,(('Business Case'!F11*$C859*'Business Case'!F12*$B859)-'Business Case'!F11*$C859*'Business Case'!F13*$D859-'Business Case'!F14*$E859))*'Business Case'!$B$7-'Business Case'!$B$8*(('Business Case'!F11*$C859*'Business Case'!F12*$B859)-('Business Case'!E11*$C859*'Business Case'!E12*$B859))-'Business Case'!F15*$F859</f>
        <v>806071883.69144</v>
      </c>
      <c r="M859" s="39" t="n">
        <f aca="false">(('Business Case'!G11*$C859*'Business Case'!G12*$B859)-'Business Case'!G11*$C859*'Business Case'!G13*$D859-'Business Case'!G14*$E859)-MAX(0,(('Business Case'!G11*$C859*'Business Case'!G12*$B859)-'Business Case'!G11*$C859*'Business Case'!G13*$D859-'Business Case'!G14*$E859))*'Business Case'!$B$7-'Business Case'!$B$8*(('Business Case'!G11*$C859*'Business Case'!G12*$B859)-('Business Case'!F11*$C859*'Business Case'!F12*$B859))-'Business Case'!G15*$F859+'Business Case'!$B$8*('Business Case'!G11*$C859*'Business Case'!G12*$B859)</f>
        <v>1002974950.02126</v>
      </c>
      <c r="N859" s="39" t="n">
        <f aca="false">IF(COUNT('Business Case'!B11:G11)=0,"",H859+NPV(G859,I859:M859))</f>
        <v>-58884614.4672058</v>
      </c>
      <c r="P859" s="40" t="n">
        <f aca="true">RAND()</f>
        <v>0.700562331459483</v>
      </c>
      <c r="Q859" s="40" t="n">
        <f aca="true">RAND()</f>
        <v>0.742531978070915</v>
      </c>
      <c r="R859" s="40" t="n">
        <f aca="true">RAND()</f>
        <v>0.72705956745395</v>
      </c>
      <c r="S859" s="40" t="n">
        <f aca="true">RAND()</f>
        <v>0.486494137379533</v>
      </c>
      <c r="T859" s="40" t="n">
        <f aca="true">RAND()</f>
        <v>0.095425796732433</v>
      </c>
      <c r="U859" s="40" t="n">
        <f aca="true">RAND()</f>
        <v>0.627208927619095</v>
      </c>
    </row>
    <row r="860" customFormat="false" ht="15" hidden="false" customHeight="false" outlineLevel="0" collapsed="false">
      <c r="A860" s="36" t="n">
        <v>780</v>
      </c>
      <c r="B860" s="37" t="n">
        <f aca="false">1+IF($G$6=$E$6,$F$6,IF(P860&lt;($F$6-$E$6)/($G$6-$E$6),$E$6+SQRT(P860*($G$6-$E$6)*($F$6-$E$6)),$G$6-SQRT((1-P860)*($G$6-$E$6)*($G$6-$F$6))))</f>
        <v>0.992203875024606</v>
      </c>
      <c r="C860" s="37" t="n">
        <f aca="false">1+IF($G$7=$E$7,$F$7,IF(Q860&lt;($F$7-$E$7)/($G$7-$E$7),$E$7+SQRT(Q860*($G$7-$E$7)*($F$7-$E$7)),$G$7-SQRT((1-Q860)*($G$7-$E$7)*($G$7-$F$7))))</f>
        <v>0.96316775304102</v>
      </c>
      <c r="D860" s="37" t="n">
        <f aca="false">1+IF($G$8=$E$8,$F$8,IF(R860&lt;($F$8-$E$8)/($G$8-$E$8),$E$8+SQRT(R860*($G$8-$E$8)*($F$8-$E$8)),$G$8-SQRT((1-R860)*($G$8-$E$8)*($G$8-$F$8))))</f>
        <v>0.991110406420027</v>
      </c>
      <c r="E860" s="37" t="n">
        <f aca="false">1+IF($G$9=$E$9,$F$9,IF(S860&lt;($F$9-$E$9)/($G$9-$E$9),$E$9+SQRT(S860*($G$9-$E$9)*($F$9-$E$9)),$G$9-SQRT((1-S860)*($G$9-$E$9)*($G$9-$F$9))))</f>
        <v>0.991108198262288</v>
      </c>
      <c r="F860" s="37" t="n">
        <f aca="false">1+IF($G$10=$E$10,$F$10,IF(T860&lt;($F$10-$E$10)/($G$10-$E$10),$E$10+SQRT(T860*($G$10-$E$10)*($F$10-$E$10)),$G$10-SQRT((1-T860)*($G$10-$E$10)*($G$10-$F$10))))</f>
        <v>0.983138481561402</v>
      </c>
      <c r="G860" s="38" t="n">
        <f aca="false">IF($G$11=$E$11,$F$11,IF(U860&lt;($F$11-$E$11)/($G$11-$E$11),$E$11+SQRT(U860*($G$11-$E$11)*($F$11-$E$11)),$G$11-SQRT((1-U860)*($G$11-$E$11)*($G$11-$F$11))))</f>
        <v>0.0980092098084039</v>
      </c>
      <c r="H860" s="39" t="n">
        <f aca="false">(('Business Case'!B11*$C860*'Business Case'!B12*$B860)-'Business Case'!B11*$C860*'Business Case'!B13*$D860-'Business Case'!B14*$E860)-MAX(0,(('Business Case'!B11*$C860*'Business Case'!B12*$B860)-'Business Case'!B11*$C860*'Business Case'!B13*$D860-'Business Case'!B14*$E860))*'Business Case'!$B$7-'Business Case'!$B$8*('Business Case'!B11*$C860*'Business Case'!B12*$B860)-'Business Case'!B15*$F860</f>
        <v>-1966276963.1228</v>
      </c>
      <c r="I860" s="39" t="n">
        <f aca="false">(('Business Case'!C11*$C860*'Business Case'!C12*$B860)-'Business Case'!C11*$C860*'Business Case'!C13*$D860-'Business Case'!C14*$E860)-MAX(0,(('Business Case'!C11*$C860*'Business Case'!C12*$B860)-'Business Case'!C11*$C860*'Business Case'!C13*$D860-'Business Case'!C14*$E860))*'Business Case'!$B$7-'Business Case'!$B$8*(('Business Case'!C11*$C860*'Business Case'!C12*$B860)-('Business Case'!B11*$C860*'Business Case'!B12*$B860))-'Business Case'!C15*$F860</f>
        <v>5280870.60852332</v>
      </c>
      <c r="J860" s="39" t="n">
        <f aca="false">(('Business Case'!D11*$C860*'Business Case'!D12*$B860)-'Business Case'!D11*$C860*'Business Case'!D13*$D860-'Business Case'!D14*$E860)-MAX(0,(('Business Case'!D11*$C860*'Business Case'!D12*$B860)-'Business Case'!D11*$C860*'Business Case'!D13*$D860-'Business Case'!D14*$E860))*'Business Case'!$B$7-'Business Case'!$B$8*(('Business Case'!D11*$C860*'Business Case'!D12*$B860)-('Business Case'!C11*$C860*'Business Case'!C12*$B860))-'Business Case'!D15*$F860</f>
        <v>299352526.15882</v>
      </c>
      <c r="K860" s="39" t="n">
        <f aca="false">(('Business Case'!E11*$C860*'Business Case'!E12*$B860)-'Business Case'!E11*$C860*'Business Case'!E13*$D860-'Business Case'!E14*$E860)-MAX(0,(('Business Case'!E11*$C860*'Business Case'!E12*$B860)-'Business Case'!E11*$C860*'Business Case'!E13*$D860-'Business Case'!E14*$E860))*'Business Case'!$B$7-'Business Case'!$B$8*(('Business Case'!E11*$C860*'Business Case'!E12*$B860)-('Business Case'!D11*$C860*'Business Case'!D12*$B860))-'Business Case'!E15*$F860</f>
        <v>642581105.787187</v>
      </c>
      <c r="L860" s="39" t="n">
        <f aca="false">(('Business Case'!F11*$C860*'Business Case'!F12*$B860)-'Business Case'!F11*$C860*'Business Case'!F13*$D860-'Business Case'!F14*$E860)-MAX(0,(('Business Case'!F11*$C860*'Business Case'!F12*$B860)-'Business Case'!F11*$C860*'Business Case'!F13*$D860-'Business Case'!F14*$E860))*'Business Case'!$B$7-'Business Case'!$B$8*(('Business Case'!F11*$C860*'Business Case'!F12*$B860)-('Business Case'!E11*$C860*'Business Case'!E12*$B860))-'Business Case'!F15*$F860</f>
        <v>773632558.299109</v>
      </c>
      <c r="M860" s="39" t="n">
        <f aca="false">(('Business Case'!G11*$C860*'Business Case'!G12*$B860)-'Business Case'!G11*$C860*'Business Case'!G13*$D860-'Business Case'!G14*$E860)-MAX(0,(('Business Case'!G11*$C860*'Business Case'!G12*$B860)-'Business Case'!G11*$C860*'Business Case'!G13*$D860-'Business Case'!G14*$E860))*'Business Case'!$B$7-'Business Case'!$B$8*(('Business Case'!G11*$C860*'Business Case'!G12*$B860)-('Business Case'!F11*$C860*'Business Case'!F12*$B860))-'Business Case'!G15*$F860+'Business Case'!$B$8*('Business Case'!G11*$C860*'Business Case'!G12*$B860)</f>
        <v>955284178.605807</v>
      </c>
      <c r="N860" s="39" t="n">
        <f aca="false">IF(COUNT('Business Case'!B11:G11)=0,"",H860+NPV(G860,I860:M860))</f>
        <v>-96962203.0004597</v>
      </c>
      <c r="P860" s="40" t="n">
        <f aca="true">RAND()</f>
        <v>0.543062455059267</v>
      </c>
      <c r="Q860" s="40" t="n">
        <f aca="true">RAND()</f>
        <v>0.380338794749361</v>
      </c>
      <c r="R860" s="40" t="n">
        <f aca="true">RAND()</f>
        <v>0.260010079387656</v>
      </c>
      <c r="S860" s="40" t="n">
        <f aca="true">RAND()</f>
        <v>0.225317861916211</v>
      </c>
      <c r="T860" s="40" t="n">
        <f aca="true">RAND()</f>
        <v>0.0878527168156297</v>
      </c>
      <c r="U860" s="40" t="n">
        <f aca="true">RAND()</f>
        <v>0.21382480585011</v>
      </c>
    </row>
    <row r="861" customFormat="false" ht="15" hidden="false" customHeight="false" outlineLevel="0" collapsed="false">
      <c r="A861" s="36" t="n">
        <v>781</v>
      </c>
      <c r="B861" s="37" t="n">
        <f aca="false">1+IF($G$6=$E$6,$F$6,IF(P861&lt;($F$6-$E$6)/($G$6-$E$6),$E$6+SQRT(P861*($G$6-$E$6)*($F$6-$E$6)),$G$6-SQRT((1-P861)*($G$6-$E$6)*($G$6-$F$6))))</f>
        <v>0.976310674402832</v>
      </c>
      <c r="C861" s="37" t="n">
        <f aca="false">1+IF($G$7=$E$7,$F$7,IF(Q861&lt;($F$7-$E$7)/($G$7-$E$7),$E$7+SQRT(Q861*($G$7-$E$7)*($F$7-$E$7)),$G$7-SQRT((1-Q861)*($G$7-$E$7)*($G$7-$F$7))))</f>
        <v>0.939702219641809</v>
      </c>
      <c r="D861" s="37" t="n">
        <f aca="false">1+IF($G$8=$E$8,$F$8,IF(R861&lt;($F$8-$E$8)/($G$8-$E$8),$E$8+SQRT(R861*($G$8-$E$8)*($F$8-$E$8)),$G$8-SQRT((1-R861)*($G$8-$E$8)*($G$8-$F$8))))</f>
        <v>1.01542292631277</v>
      </c>
      <c r="E861" s="37" t="n">
        <f aca="false">1+IF($G$9=$E$9,$F$9,IF(S861&lt;($F$9-$E$9)/($G$9-$E$9),$E$9+SQRT(S861*($G$9-$E$9)*($F$9-$E$9)),$G$9-SQRT((1-S861)*($G$9-$E$9)*($G$9-$F$9))))</f>
        <v>1.04650787137715</v>
      </c>
      <c r="F861" s="37" t="n">
        <f aca="false">1+IF($G$10=$E$10,$F$10,IF(T861&lt;($F$10-$E$10)/($G$10-$E$10),$E$10+SQRT(T861*($G$10-$E$10)*($F$10-$E$10)),$G$10-SQRT((1-T861)*($G$10-$E$10)*($G$10-$F$10))))</f>
        <v>1.07264665358107</v>
      </c>
      <c r="G861" s="38" t="n">
        <f aca="false">IF($G$11=$E$11,$F$11,IF(U861&lt;($F$11-$E$11)/($G$11-$E$11),$E$11+SQRT(U861*($G$11-$E$11)*($F$11-$E$11)),$G$11-SQRT((1-U861)*($G$11-$E$11)*($G$11-$F$11))))</f>
        <v>0.0989745013787768</v>
      </c>
      <c r="H861" s="39" t="n">
        <f aca="false">(('Business Case'!B11*$C861*'Business Case'!B12*$B861)-'Business Case'!B11*$C861*'Business Case'!B13*$D861-'Business Case'!B14*$E861)-MAX(0,(('Business Case'!B11*$C861*'Business Case'!B12*$B861)-'Business Case'!B11*$C861*'Business Case'!B13*$D861-'Business Case'!B14*$E861))*'Business Case'!$B$7-'Business Case'!$B$8*('Business Case'!B11*$C861*'Business Case'!B12*$B861)-'Business Case'!B15*$F861</f>
        <v>-2145293307.16214</v>
      </c>
      <c r="I861" s="39" t="n">
        <f aca="false">(('Business Case'!C11*$C861*'Business Case'!C12*$B861)-'Business Case'!C11*$C861*'Business Case'!C13*$D861-'Business Case'!C14*$E861)-MAX(0,(('Business Case'!C11*$C861*'Business Case'!C12*$B861)-'Business Case'!C11*$C861*'Business Case'!C13*$D861-'Business Case'!C14*$E861))*'Business Case'!$B$7-'Business Case'!$B$8*(('Business Case'!C11*$C861*'Business Case'!C12*$B861)-('Business Case'!B11*$C861*'Business Case'!B12*$B861))-'Business Case'!C15*$F861</f>
        <v>-40659350.5889421</v>
      </c>
      <c r="J861" s="39" t="n">
        <f aca="false">(('Business Case'!D11*$C861*'Business Case'!D12*$B861)-'Business Case'!D11*$C861*'Business Case'!D13*$D861-'Business Case'!D14*$E861)-MAX(0,(('Business Case'!D11*$C861*'Business Case'!D12*$B861)-'Business Case'!D11*$C861*'Business Case'!D13*$D861-'Business Case'!D14*$E861))*'Business Case'!$B$7-'Business Case'!$B$8*(('Business Case'!D11*$C861*'Business Case'!D12*$B861)-('Business Case'!C11*$C861*'Business Case'!C12*$B861))-'Business Case'!D15*$F861</f>
        <v>222319540.886215</v>
      </c>
      <c r="K861" s="39" t="n">
        <f aca="false">(('Business Case'!E11*$C861*'Business Case'!E12*$B861)-'Business Case'!E11*$C861*'Business Case'!E13*$D861-'Business Case'!E14*$E861)-MAX(0,(('Business Case'!E11*$C861*'Business Case'!E12*$B861)-'Business Case'!E11*$C861*'Business Case'!E13*$D861-'Business Case'!E14*$E861))*'Business Case'!$B$7-'Business Case'!$B$8*(('Business Case'!E11*$C861*'Business Case'!E12*$B861)-('Business Case'!D11*$C861*'Business Case'!D12*$B861))-'Business Case'!E15*$F861</f>
        <v>538930765.040426</v>
      </c>
      <c r="L861" s="39" t="n">
        <f aca="false">(('Business Case'!F11*$C861*'Business Case'!F12*$B861)-'Business Case'!F11*$C861*'Business Case'!F13*$D861-'Business Case'!F14*$E861)-MAX(0,(('Business Case'!F11*$C861*'Business Case'!F12*$B861)-'Business Case'!F11*$C861*'Business Case'!F13*$D861-'Business Case'!F14*$E861))*'Business Case'!$B$7-'Business Case'!$B$8*(('Business Case'!F11*$C861*'Business Case'!F12*$B861)-('Business Case'!E11*$C861*'Business Case'!E12*$B861))-'Business Case'!F15*$F861</f>
        <v>658297167.129586</v>
      </c>
      <c r="M861" s="39" t="n">
        <f aca="false">(('Business Case'!G11*$C861*'Business Case'!G12*$B861)-'Business Case'!G11*$C861*'Business Case'!G13*$D861-'Business Case'!G14*$E861)-MAX(0,(('Business Case'!G11*$C861*'Business Case'!G12*$B861)-'Business Case'!G11*$C861*'Business Case'!G13*$D861-'Business Case'!G14*$E861))*'Business Case'!$B$7-'Business Case'!$B$8*(('Business Case'!G11*$C861*'Business Case'!G12*$B861)-('Business Case'!F11*$C861*'Business Case'!F12*$B861))-'Business Case'!G15*$F861+'Business Case'!$B$8*('Business Case'!G11*$C861*'Business Case'!G12*$B861)</f>
        <v>832684410.915513</v>
      </c>
      <c r="N861" s="39" t="n">
        <f aca="false">IF(COUNT('Business Case'!B11:G11)=0,"",H861+NPV(G861,I861:M861))</f>
        <v>-621416640.21169</v>
      </c>
      <c r="P861" s="40" t="n">
        <f aca="true">RAND()</f>
        <v>0.330301255385604</v>
      </c>
      <c r="Q861" s="40" t="n">
        <f aca="true">RAND()</f>
        <v>0.278810145326403</v>
      </c>
      <c r="R861" s="40" t="n">
        <f aca="true">RAND()</f>
        <v>0.599019380191696</v>
      </c>
      <c r="S861" s="40" t="n">
        <f aca="true">RAND()</f>
        <v>0.809239478359756</v>
      </c>
      <c r="T861" s="40" t="n">
        <f aca="true">RAND()</f>
        <v>0.675622503117995</v>
      </c>
      <c r="U861" s="40" t="n">
        <f aca="true">RAND()</f>
        <v>0.26847224999222</v>
      </c>
    </row>
    <row r="862" customFormat="false" ht="15" hidden="false" customHeight="false" outlineLevel="0" collapsed="false">
      <c r="A862" s="36" t="n">
        <v>782</v>
      </c>
      <c r="B862" s="37" t="n">
        <f aca="false">1+IF($G$6=$E$6,$F$6,IF(P862&lt;($F$6-$E$6)/($G$6-$E$6),$E$6+SQRT(P862*($G$6-$E$6)*($F$6-$E$6)),$G$6-SQRT((1-P862)*($G$6-$E$6)*($G$6-$F$6))))</f>
        <v>0.96983746584858</v>
      </c>
      <c r="C862" s="37" t="n">
        <f aca="false">1+IF($G$7=$E$7,$F$7,IF(Q862&lt;($F$7-$E$7)/($G$7-$E$7),$E$7+SQRT(Q862*($G$7-$E$7)*($F$7-$E$7)),$G$7-SQRT((1-Q862)*($G$7-$E$7)*($G$7-$F$7))))</f>
        <v>1.04330389617723</v>
      </c>
      <c r="D862" s="37" t="n">
        <f aca="false">1+IF($G$8=$E$8,$F$8,IF(R862&lt;($F$8-$E$8)/($G$8-$E$8),$E$8+SQRT(R862*($G$8-$E$8)*($F$8-$E$8)),$G$8-SQRT((1-R862)*($G$8-$E$8)*($G$8-$F$8))))</f>
        <v>1.01606648695727</v>
      </c>
      <c r="E862" s="37" t="n">
        <f aca="false">1+IF($G$9=$E$9,$F$9,IF(S862&lt;($F$9-$E$9)/($G$9-$E$9),$E$9+SQRT(S862*($G$9-$E$9)*($F$9-$E$9)),$G$9-SQRT((1-S862)*($G$9-$E$9)*($G$9-$F$9))))</f>
        <v>0.989948593969515</v>
      </c>
      <c r="F862" s="37" t="n">
        <f aca="false">1+IF($G$10=$E$10,$F$10,IF(T862&lt;($F$10-$E$10)/($G$10-$E$10),$E$10+SQRT(T862*($G$10-$E$10)*($F$10-$E$10)),$G$10-SQRT((1-T862)*($G$10-$E$10)*($G$10-$F$10))))</f>
        <v>1.16762431821543</v>
      </c>
      <c r="G862" s="38" t="n">
        <f aca="false">IF($G$11=$E$11,$F$11,IF(U862&lt;($F$11-$E$11)/($G$11-$E$11),$E$11+SQRT(U862*($G$11-$E$11)*($F$11-$E$11)),$G$11-SQRT((1-U862)*($G$11-$E$11)*($G$11-$F$11))))</f>
        <v>0.110913874318293</v>
      </c>
      <c r="H862" s="39" t="n">
        <f aca="false">(('Business Case'!B11*$C862*'Business Case'!B12*$B862)-'Business Case'!B11*$C862*'Business Case'!B13*$D862-'Business Case'!B14*$E862)-MAX(0,(('Business Case'!B11*$C862*'Business Case'!B12*$B862)-'Business Case'!B11*$C862*'Business Case'!B13*$D862-'Business Case'!B14*$E862))*'Business Case'!$B$7-'Business Case'!$B$8*('Business Case'!B11*$C862*'Business Case'!B12*$B862)-'Business Case'!B15*$F862</f>
        <v>-2335248636.43086</v>
      </c>
      <c r="I862" s="39" t="n">
        <f aca="false">(('Business Case'!C11*$C862*'Business Case'!C12*$B862)-'Business Case'!C11*$C862*'Business Case'!C13*$D862-'Business Case'!C14*$E862)-MAX(0,(('Business Case'!C11*$C862*'Business Case'!C12*$B862)-'Business Case'!C11*$C862*'Business Case'!C13*$D862-'Business Case'!C14*$E862))*'Business Case'!$B$7-'Business Case'!$B$8*(('Business Case'!C11*$C862*'Business Case'!C12*$B862)-('Business Case'!B11*$C862*'Business Case'!B12*$B862))-'Business Case'!C15*$F862</f>
        <v>-23889823.0312032</v>
      </c>
      <c r="J862" s="39" t="n">
        <f aca="false">(('Business Case'!D11*$C862*'Business Case'!D12*$B862)-'Business Case'!D11*$C862*'Business Case'!D13*$D862-'Business Case'!D14*$E862)-MAX(0,(('Business Case'!D11*$C862*'Business Case'!D12*$B862)-'Business Case'!D11*$C862*'Business Case'!D13*$D862-'Business Case'!D14*$E862))*'Business Case'!$B$7-'Business Case'!$B$8*(('Business Case'!D11*$C862*'Business Case'!D12*$B862)-('Business Case'!C11*$C862*'Business Case'!C12*$B862))-'Business Case'!D15*$F862</f>
        <v>262207012.940997</v>
      </c>
      <c r="K862" s="39" t="n">
        <f aca="false">(('Business Case'!E11*$C862*'Business Case'!E12*$B862)-'Business Case'!E11*$C862*'Business Case'!E13*$D862-'Business Case'!E14*$E862)-MAX(0,(('Business Case'!E11*$C862*'Business Case'!E12*$B862)-'Business Case'!E11*$C862*'Business Case'!E13*$D862-'Business Case'!E14*$E862))*'Business Case'!$B$7-'Business Case'!$B$8*(('Business Case'!E11*$C862*'Business Case'!E12*$B862)-('Business Case'!D11*$C862*'Business Case'!D12*$B862))-'Business Case'!E15*$F862</f>
        <v>606685064.82397</v>
      </c>
      <c r="L862" s="39" t="n">
        <f aca="false">(('Business Case'!F11*$C862*'Business Case'!F12*$B862)-'Business Case'!F11*$C862*'Business Case'!F13*$D862-'Business Case'!F14*$E862)-MAX(0,(('Business Case'!F11*$C862*'Business Case'!F12*$B862)-'Business Case'!F11*$C862*'Business Case'!F13*$D862-'Business Case'!F14*$E862))*'Business Case'!$B$7-'Business Case'!$B$8*(('Business Case'!F11*$C862*'Business Case'!F12*$B862)-('Business Case'!E11*$C862*'Business Case'!E12*$B862))-'Business Case'!F15*$F862</f>
        <v>737019701.560967</v>
      </c>
      <c r="M862" s="39" t="n">
        <f aca="false">(('Business Case'!G11*$C862*'Business Case'!G12*$B862)-'Business Case'!G11*$C862*'Business Case'!G13*$D862-'Business Case'!G14*$E862)-MAX(0,(('Business Case'!G11*$C862*'Business Case'!G12*$B862)-'Business Case'!G11*$C862*'Business Case'!G13*$D862-'Business Case'!G14*$E862))*'Business Case'!$B$7-'Business Case'!$B$8*(('Business Case'!G11*$C862*'Business Case'!G12*$B862)-('Business Case'!F11*$C862*'Business Case'!F12*$B862))-'Business Case'!G15*$F862+'Business Case'!$B$8*('Business Case'!G11*$C862*'Business Case'!G12*$B862)</f>
        <v>929349337.665419</v>
      </c>
      <c r="N862" s="39" t="n">
        <f aca="false">IF(COUNT('Business Case'!B11:G11)=0,"",H862+NPV(G862,I862:M862))</f>
        <v>-668620215.684512</v>
      </c>
      <c r="P862" s="40" t="n">
        <f aca="true">RAND()</f>
        <v>0.258726354396702</v>
      </c>
      <c r="Q862" s="40" t="n">
        <f aca="true">RAND()</f>
        <v>0.783160789124573</v>
      </c>
      <c r="R862" s="40" t="n">
        <f aca="true">RAND()</f>
        <v>0.606971722116828</v>
      </c>
      <c r="S862" s="40" t="n">
        <f aca="true">RAND()</f>
        <v>0.212785354685488</v>
      </c>
      <c r="T862" s="40" t="n">
        <f aca="true">RAND()</f>
        <v>0.979036304579682</v>
      </c>
      <c r="U862" s="40" t="n">
        <f aca="true">RAND()</f>
        <v>0.862403866827027</v>
      </c>
    </row>
    <row r="863" customFormat="false" ht="15" hidden="false" customHeight="false" outlineLevel="0" collapsed="false">
      <c r="A863" s="36" t="n">
        <v>783</v>
      </c>
      <c r="B863" s="37" t="n">
        <f aca="false">1+IF($G$6=$E$6,$F$6,IF(P863&lt;($F$6-$E$6)/($G$6-$E$6),$E$6+SQRT(P863*($G$6-$E$6)*($F$6-$E$6)),$G$6-SQRT((1-P863)*($G$6-$E$6)*($G$6-$F$6))))</f>
        <v>0.989052050933497</v>
      </c>
      <c r="C863" s="37" t="n">
        <f aca="false">1+IF($G$7=$E$7,$F$7,IF(Q863&lt;($F$7-$E$7)/($G$7-$E$7),$E$7+SQRT(Q863*($G$7-$E$7)*($F$7-$E$7)),$G$7-SQRT((1-Q863)*($G$7-$E$7)*($G$7-$F$7))))</f>
        <v>0.990871775656333</v>
      </c>
      <c r="D863" s="37" t="n">
        <f aca="false">1+IF($G$8=$E$8,$F$8,IF(R863&lt;($F$8-$E$8)/($G$8-$E$8),$E$8+SQRT(R863*($G$8-$E$8)*($F$8-$E$8)),$G$8-SQRT((1-R863)*($G$8-$E$8)*($G$8-$F$8))))</f>
        <v>0.97250195666648</v>
      </c>
      <c r="E863" s="37" t="n">
        <f aca="false">1+IF($G$9=$E$9,$F$9,IF(S863&lt;($F$9-$E$9)/($G$9-$E$9),$E$9+SQRT(S863*($G$9-$E$9)*($F$9-$E$9)),$G$9-SQRT((1-S863)*($G$9-$E$9)*($G$9-$F$9))))</f>
        <v>1.05340095878984</v>
      </c>
      <c r="F863" s="37" t="n">
        <f aca="false">1+IF($G$10=$E$10,$F$10,IF(T863&lt;($F$10-$E$10)/($G$10-$E$10),$E$10+SQRT(T863*($G$10-$E$10)*($F$10-$E$10)),$G$10-SQRT((1-T863)*($G$10-$E$10)*($G$10-$F$10))))</f>
        <v>0.965093080873665</v>
      </c>
      <c r="G863" s="38" t="n">
        <f aca="false">IF($G$11=$E$11,$F$11,IF(U863&lt;($F$11-$E$11)/($G$11-$E$11),$E$11+SQRT(U863*($G$11-$E$11)*($F$11-$E$11)),$G$11-SQRT((1-U863)*($G$11-$E$11)*($G$11-$F$11))))</f>
        <v>0.0981931825018709</v>
      </c>
      <c r="H863" s="39" t="n">
        <f aca="false">(('Business Case'!B11*$C863*'Business Case'!B12*$B863)-'Business Case'!B11*$C863*'Business Case'!B13*$D863-'Business Case'!B14*$E863)-MAX(0,(('Business Case'!B11*$C863*'Business Case'!B12*$B863)-'Business Case'!B11*$C863*'Business Case'!B13*$D863-'Business Case'!B14*$E863))*'Business Case'!$B$7-'Business Case'!$B$8*('Business Case'!B11*$C863*'Business Case'!B12*$B863)-'Business Case'!B15*$F863</f>
        <v>-1930186161.74733</v>
      </c>
      <c r="I863" s="39" t="n">
        <f aca="false">(('Business Case'!C11*$C863*'Business Case'!C12*$B863)-'Business Case'!C11*$C863*'Business Case'!C13*$D863-'Business Case'!C14*$E863)-MAX(0,(('Business Case'!C11*$C863*'Business Case'!C12*$B863)-'Business Case'!C11*$C863*'Business Case'!C13*$D863-'Business Case'!C14*$E863))*'Business Case'!$B$7-'Business Case'!$B$8*(('Business Case'!C11*$C863*'Business Case'!C12*$B863)-('Business Case'!B11*$C863*'Business Case'!B12*$B863))-'Business Case'!C15*$F863</f>
        <v>12303889.2579573</v>
      </c>
      <c r="J863" s="39" t="n">
        <f aca="false">(('Business Case'!D11*$C863*'Business Case'!D12*$B863)-'Business Case'!D11*$C863*'Business Case'!D13*$D863-'Business Case'!D14*$E863)-MAX(0,(('Business Case'!D11*$C863*'Business Case'!D12*$B863)-'Business Case'!D11*$C863*'Business Case'!D13*$D863-'Business Case'!D14*$E863))*'Business Case'!$B$7-'Business Case'!$B$8*(('Business Case'!D11*$C863*'Business Case'!D12*$B863)-('Business Case'!C11*$C863*'Business Case'!C12*$B863))-'Business Case'!D15*$F863</f>
        <v>321715134.761389</v>
      </c>
      <c r="K863" s="39" t="n">
        <f aca="false">(('Business Case'!E11*$C863*'Business Case'!E12*$B863)-'Business Case'!E11*$C863*'Business Case'!E13*$D863-'Business Case'!E14*$E863)-MAX(0,(('Business Case'!E11*$C863*'Business Case'!E12*$B863)-'Business Case'!E11*$C863*'Business Case'!E13*$D863-'Business Case'!E14*$E863))*'Business Case'!$B$7-'Business Case'!$B$8*(('Business Case'!E11*$C863*'Business Case'!E12*$B863)-('Business Case'!D11*$C863*'Business Case'!D12*$B863))-'Business Case'!E15*$F863</f>
        <v>679381034.308504</v>
      </c>
      <c r="L863" s="39" t="n">
        <f aca="false">(('Business Case'!F11*$C863*'Business Case'!F12*$B863)-'Business Case'!F11*$C863*'Business Case'!F13*$D863-'Business Case'!F14*$E863)-MAX(0,(('Business Case'!F11*$C863*'Business Case'!F12*$B863)-'Business Case'!F11*$C863*'Business Case'!F13*$D863-'Business Case'!F14*$E863))*'Business Case'!$B$7-'Business Case'!$B$8*(('Business Case'!F11*$C863*'Business Case'!F12*$B863)-('Business Case'!E11*$C863*'Business Case'!E12*$B863))-'Business Case'!F15*$F863</f>
        <v>816387737.355109</v>
      </c>
      <c r="M863" s="39" t="n">
        <f aca="false">(('Business Case'!G11*$C863*'Business Case'!G12*$B863)-'Business Case'!G11*$C863*'Business Case'!G13*$D863-'Business Case'!G14*$E863)-MAX(0,(('Business Case'!G11*$C863*'Business Case'!G12*$B863)-'Business Case'!G11*$C863*'Business Case'!G13*$D863-'Business Case'!G14*$E863))*'Business Case'!$B$7-'Business Case'!$B$8*(('Business Case'!G11*$C863*'Business Case'!G12*$B863)-('Business Case'!F11*$C863*'Business Case'!F12*$B863))-'Business Case'!G15*$F863+'Business Case'!$B$8*('Business Case'!G11*$C863*'Business Case'!G12*$B863)</f>
        <v>1002670654.02182</v>
      </c>
      <c r="N863" s="39" t="n">
        <f aca="false">IF(COUNT('Business Case'!B11:G11)=0,"",H863+NPV(G863,I863:M863))</f>
        <v>49726527.5791047</v>
      </c>
      <c r="P863" s="40" t="n">
        <f aca="true">RAND()</f>
        <v>0.496686014387739</v>
      </c>
      <c r="Q863" s="40" t="n">
        <f aca="true">RAND()</f>
        <v>0.520457639174307</v>
      </c>
      <c r="R863" s="40" t="n">
        <f aca="true">RAND()</f>
        <v>0.077898162126173</v>
      </c>
      <c r="S863" s="40" t="n">
        <f aca="true">RAND()</f>
        <v>0.855235290552906</v>
      </c>
      <c r="T863" s="40" t="n">
        <f aca="true">RAND()</f>
        <v>0.0182240872207189</v>
      </c>
      <c r="U863" s="40" t="n">
        <f aca="true">RAND()</f>
        <v>0.223760798363212</v>
      </c>
    </row>
    <row r="864" customFormat="false" ht="15" hidden="false" customHeight="false" outlineLevel="0" collapsed="false">
      <c r="A864" s="36" t="n">
        <v>784</v>
      </c>
      <c r="B864" s="37" t="n">
        <f aca="false">1+IF($G$6=$E$6,$F$6,IF(P864&lt;($F$6-$E$6)/($G$6-$E$6),$E$6+SQRT(P864*($G$6-$E$6)*($F$6-$E$6)),$G$6-SQRT((1-P864)*($G$6-$E$6)*($G$6-$F$6))))</f>
        <v>1.01349845879368</v>
      </c>
      <c r="C864" s="37" t="n">
        <f aca="false">1+IF($G$7=$E$7,$F$7,IF(Q864&lt;($F$7-$E$7)/($G$7-$E$7),$E$7+SQRT(Q864*($G$7-$E$7)*($F$7-$E$7)),$G$7-SQRT((1-Q864)*($G$7-$E$7)*($G$7-$F$7))))</f>
        <v>0.902955035926158</v>
      </c>
      <c r="D864" s="37" t="n">
        <f aca="false">1+IF($G$8=$E$8,$F$8,IF(R864&lt;($F$8-$E$8)/($G$8-$E$8),$E$8+SQRT(R864*($G$8-$E$8)*($F$8-$E$8)),$G$8-SQRT((1-R864)*($G$8-$E$8)*($G$8-$F$8))))</f>
        <v>0.991782817135144</v>
      </c>
      <c r="E864" s="37" t="n">
        <f aca="false">1+IF($G$9=$E$9,$F$9,IF(S864&lt;($F$9-$E$9)/($G$9-$E$9),$E$9+SQRT(S864*($G$9-$E$9)*($F$9-$E$9)),$G$9-SQRT((1-S864)*($G$9-$E$9)*($G$9-$F$9))))</f>
        <v>1.00553314160204</v>
      </c>
      <c r="F864" s="37" t="n">
        <f aca="false">1+IF($G$10=$E$10,$F$10,IF(T864&lt;($F$10-$E$10)/($G$10-$E$10),$E$10+SQRT(T864*($G$10-$E$10)*($F$10-$E$10)),$G$10-SQRT((1-T864)*($G$10-$E$10)*($G$10-$F$10))))</f>
        <v>1.08546794007917</v>
      </c>
      <c r="G864" s="38" t="n">
        <f aca="false">IF($G$11=$E$11,$F$11,IF(U864&lt;($F$11-$E$11)/($G$11-$E$11),$E$11+SQRT(U864*($G$11-$E$11)*($F$11-$E$11)),$G$11-SQRT((1-U864)*($G$11-$E$11)*($G$11-$F$11))))</f>
        <v>0.0949942433720972</v>
      </c>
      <c r="H864" s="39" t="n">
        <f aca="false">(('Business Case'!B11*$C864*'Business Case'!B12*$B864)-'Business Case'!B11*$C864*'Business Case'!B13*$D864-'Business Case'!B14*$E864)-MAX(0,(('Business Case'!B11*$C864*'Business Case'!B12*$B864)-'Business Case'!B11*$C864*'Business Case'!B13*$D864-'Business Case'!B14*$E864))*'Business Case'!$B$7-'Business Case'!$B$8*('Business Case'!B11*$C864*'Business Case'!B12*$B864)-'Business Case'!B15*$F864</f>
        <v>-2170935880.15834</v>
      </c>
      <c r="I864" s="39" t="n">
        <f aca="false">(('Business Case'!C11*$C864*'Business Case'!C12*$B864)-'Business Case'!C11*$C864*'Business Case'!C13*$D864-'Business Case'!C14*$E864)-MAX(0,(('Business Case'!C11*$C864*'Business Case'!C12*$B864)-'Business Case'!C11*$C864*'Business Case'!C13*$D864-'Business Case'!C14*$E864))*'Business Case'!$B$7-'Business Case'!$B$8*(('Business Case'!C11*$C864*'Business Case'!C12*$B864)-('Business Case'!B11*$C864*'Business Case'!B12*$B864))-'Business Case'!C15*$F864</f>
        <v>-7848625.64289339</v>
      </c>
      <c r="J864" s="39" t="n">
        <f aca="false">(('Business Case'!D11*$C864*'Business Case'!D12*$B864)-'Business Case'!D11*$C864*'Business Case'!D13*$D864-'Business Case'!D14*$E864)-MAX(0,(('Business Case'!D11*$C864*'Business Case'!D12*$B864)-'Business Case'!D11*$C864*'Business Case'!D13*$D864-'Business Case'!D14*$E864))*'Business Case'!$B$7-'Business Case'!$B$8*(('Business Case'!D11*$C864*'Business Case'!D12*$B864)-('Business Case'!C11*$C864*'Business Case'!C12*$B864))-'Business Case'!D15*$F864</f>
        <v>283277396.430076</v>
      </c>
      <c r="K864" s="39" t="n">
        <f aca="false">(('Business Case'!E11*$C864*'Business Case'!E12*$B864)-'Business Case'!E11*$C864*'Business Case'!E13*$D864-'Business Case'!E14*$E864)-MAX(0,(('Business Case'!E11*$C864*'Business Case'!E12*$B864)-'Business Case'!E11*$C864*'Business Case'!E13*$D864-'Business Case'!E14*$E864))*'Business Case'!$B$7-'Business Case'!$B$8*(('Business Case'!E11*$C864*'Business Case'!E12*$B864)-('Business Case'!D11*$C864*'Business Case'!D12*$B864))-'Business Case'!E15*$F864</f>
        <v>628676815.507005</v>
      </c>
      <c r="L864" s="39" t="n">
        <f aca="false">(('Business Case'!F11*$C864*'Business Case'!F12*$B864)-'Business Case'!F11*$C864*'Business Case'!F13*$D864-'Business Case'!F14*$E864)-MAX(0,(('Business Case'!F11*$C864*'Business Case'!F12*$B864)-'Business Case'!F11*$C864*'Business Case'!F13*$D864-'Business Case'!F14*$E864))*'Business Case'!$B$7-'Business Case'!$B$8*(('Business Case'!F11*$C864*'Business Case'!F12*$B864)-('Business Case'!E11*$C864*'Business Case'!E12*$B864))-'Business Case'!F15*$F864</f>
        <v>757346183.512752</v>
      </c>
      <c r="M864" s="39" t="n">
        <f aca="false">(('Business Case'!G11*$C864*'Business Case'!G12*$B864)-'Business Case'!G11*$C864*'Business Case'!G13*$D864-'Business Case'!G14*$E864)-MAX(0,(('Business Case'!G11*$C864*'Business Case'!G12*$B864)-'Business Case'!G11*$C864*'Business Case'!G13*$D864-'Business Case'!G14*$E864))*'Business Case'!$B$7-'Business Case'!$B$8*(('Business Case'!G11*$C864*'Business Case'!G12*$B864)-('Business Case'!F11*$C864*'Business Case'!F12*$B864))-'Business Case'!G15*$F864+'Business Case'!$B$8*('Business Case'!G11*$C864*'Business Case'!G12*$B864)</f>
        <v>931296667.077253</v>
      </c>
      <c r="N864" s="39" t="n">
        <f aca="false">IF(COUNT('Business Case'!B11:G11)=0,"",H864+NPV(G864,I864:M864))</f>
        <v>-344600430.557345</v>
      </c>
      <c r="P864" s="40" t="n">
        <f aca="true">RAND()</f>
        <v>0.853680898685379</v>
      </c>
      <c r="Q864" s="40" t="n">
        <f aca="true">RAND()</f>
        <v>0.151424848893665</v>
      </c>
      <c r="R864" s="40" t="n">
        <f aca="true">RAND()</f>
        <v>0.268585201192139</v>
      </c>
      <c r="S864" s="40" t="n">
        <f aca="true">RAND()</f>
        <v>0.40506751096128</v>
      </c>
      <c r="T864" s="40" t="n">
        <f aca="true">RAND()</f>
        <v>0.737648145005817</v>
      </c>
      <c r="U864" s="40" t="n">
        <f aca="true">RAND()</f>
        <v>0.0831415561991227</v>
      </c>
    </row>
    <row r="865" customFormat="false" ht="15" hidden="false" customHeight="false" outlineLevel="0" collapsed="false">
      <c r="A865" s="36" t="n">
        <v>785</v>
      </c>
      <c r="B865" s="37" t="n">
        <f aca="false">1+IF($G$6=$E$6,$F$6,IF(P865&lt;($F$6-$E$6)/($G$6-$E$6),$E$6+SQRT(P865*($G$6-$E$6)*($F$6-$E$6)),$G$6-SQRT((1-P865)*($G$6-$E$6)*($G$6-$F$6))))</f>
        <v>1.0314647117007</v>
      </c>
      <c r="C865" s="37" t="n">
        <f aca="false">1+IF($G$7=$E$7,$F$7,IF(Q865&lt;($F$7-$E$7)/($G$7-$E$7),$E$7+SQRT(Q865*($G$7-$E$7)*($F$7-$E$7)),$G$7-SQRT((1-Q865)*($G$7-$E$7)*($G$7-$F$7))))</f>
        <v>0.948992112135353</v>
      </c>
      <c r="D865" s="37" t="n">
        <f aca="false">1+IF($G$8=$E$8,$F$8,IF(R865&lt;($F$8-$E$8)/($G$8-$E$8),$E$8+SQRT(R865*($G$8-$E$8)*($F$8-$E$8)),$G$8-SQRT((1-R865)*($G$8-$E$8)*($G$8-$F$8))))</f>
        <v>0.99137169393202</v>
      </c>
      <c r="E865" s="37" t="n">
        <f aca="false">1+IF($G$9=$E$9,$F$9,IF(S865&lt;($F$9-$E$9)/($G$9-$E$9),$E$9+SQRT(S865*($G$9-$E$9)*($F$9-$E$9)),$G$9-SQRT((1-S865)*($G$9-$E$9)*($G$9-$F$9))))</f>
        <v>0.992478372753423</v>
      </c>
      <c r="F865" s="37" t="n">
        <f aca="false">1+IF($G$10=$E$10,$F$10,IF(T865&lt;($F$10-$E$10)/($G$10-$E$10),$E$10+SQRT(T865*($G$10-$E$10)*($F$10-$E$10)),$G$10-SQRT((1-T865)*($G$10-$E$10)*($G$10-$F$10))))</f>
        <v>1.07169409464626</v>
      </c>
      <c r="G865" s="38" t="n">
        <f aca="false">IF($G$11=$E$11,$F$11,IF(U865&lt;($F$11-$E$11)/($G$11-$E$11),$E$11+SQRT(U865*($G$11-$E$11)*($F$11-$E$11)),$G$11-SQRT((1-U865)*($G$11-$E$11)*($G$11-$F$11))))</f>
        <v>0.102096917956446</v>
      </c>
      <c r="H865" s="39" t="n">
        <f aca="false">(('Business Case'!B11*$C865*'Business Case'!B12*$B865)-'Business Case'!B11*$C865*'Business Case'!B13*$D865-'Business Case'!B14*$E865)-MAX(0,(('Business Case'!B11*$C865*'Business Case'!B12*$B865)-'Business Case'!B11*$C865*'Business Case'!B13*$D865-'Business Case'!B14*$E865))*'Business Case'!$B$7-'Business Case'!$B$8*('Business Case'!B11*$C865*'Business Case'!B12*$B865)-'Business Case'!B15*$F865</f>
        <v>-2143388189.29251</v>
      </c>
      <c r="I865" s="39" t="n">
        <f aca="false">(('Business Case'!C11*$C865*'Business Case'!C12*$B865)-'Business Case'!C11*$C865*'Business Case'!C13*$D865-'Business Case'!C14*$E865)-MAX(0,(('Business Case'!C11*$C865*'Business Case'!C12*$B865)-'Business Case'!C11*$C865*'Business Case'!C13*$D865-'Business Case'!C14*$E865))*'Business Case'!$B$7-'Business Case'!$B$8*(('Business Case'!C11*$C865*'Business Case'!C12*$B865)-('Business Case'!B11*$C865*'Business Case'!B12*$B865))-'Business Case'!C15*$F865</f>
        <v>21090306.3910265</v>
      </c>
      <c r="J865" s="39" t="n">
        <f aca="false">(('Business Case'!D11*$C865*'Business Case'!D12*$B865)-'Business Case'!D11*$C865*'Business Case'!D13*$D865-'Business Case'!D14*$E865)-MAX(0,(('Business Case'!D11*$C865*'Business Case'!D12*$B865)-'Business Case'!D11*$C865*'Business Case'!D13*$D865-'Business Case'!D14*$E865))*'Business Case'!$B$7-'Business Case'!$B$8*(('Business Case'!D11*$C865*'Business Case'!D12*$B865)-('Business Case'!C11*$C865*'Business Case'!C12*$B865))-'Business Case'!D15*$F865</f>
        <v>341224128.070356</v>
      </c>
      <c r="K865" s="39" t="n">
        <f aca="false">(('Business Case'!E11*$C865*'Business Case'!E12*$B865)-'Business Case'!E11*$C865*'Business Case'!E13*$D865-'Business Case'!E14*$E865)-MAX(0,(('Business Case'!E11*$C865*'Business Case'!E12*$B865)-'Business Case'!E11*$C865*'Business Case'!E13*$D865-'Business Case'!E14*$E865))*'Business Case'!$B$7-'Business Case'!$B$8*(('Business Case'!E11*$C865*'Business Case'!E12*$B865)-('Business Case'!D11*$C865*'Business Case'!D12*$B865))-'Business Case'!E15*$F865</f>
        <v>714942654.481998</v>
      </c>
      <c r="L865" s="39" t="n">
        <f aca="false">(('Business Case'!F11*$C865*'Business Case'!F12*$B865)-'Business Case'!F11*$C865*'Business Case'!F13*$D865-'Business Case'!F14*$E865)-MAX(0,(('Business Case'!F11*$C865*'Business Case'!F12*$B865)-'Business Case'!F11*$C865*'Business Case'!F13*$D865-'Business Case'!F14*$E865))*'Business Case'!$B$7-'Business Case'!$B$8*(('Business Case'!F11*$C865*'Business Case'!F12*$B865)-('Business Case'!E11*$C865*'Business Case'!E12*$B865))-'Business Case'!F15*$F865</f>
        <v>855483049.187201</v>
      </c>
      <c r="M865" s="39" t="n">
        <f aca="false">(('Business Case'!G11*$C865*'Business Case'!G12*$B865)-'Business Case'!G11*$C865*'Business Case'!G13*$D865-'Business Case'!G14*$E865)-MAX(0,(('Business Case'!G11*$C865*'Business Case'!G12*$B865)-'Business Case'!G11*$C865*'Business Case'!G13*$D865-'Business Case'!G14*$E865))*'Business Case'!$B$7-'Business Case'!$B$8*(('Business Case'!G11*$C865*'Business Case'!G12*$B865)-('Business Case'!F11*$C865*'Business Case'!F12*$B865))-'Business Case'!G15*$F865+'Business Case'!$B$8*('Business Case'!G11*$C865*'Business Case'!G12*$B865)</f>
        <v>1041543213.65371</v>
      </c>
      <c r="N865" s="39" t="n">
        <f aca="false">IF(COUNT('Business Case'!B11:G11)=0,"",H865+NPV(G865,I865:M865))</f>
        <v>-88774042.3178034</v>
      </c>
      <c r="P865" s="40" t="n">
        <f aca="true">RAND()</f>
        <v>0.984822677843281</v>
      </c>
      <c r="Q865" s="40" t="n">
        <f aca="true">RAND()</f>
        <v>0.317123563979336</v>
      </c>
      <c r="R865" s="40" t="n">
        <f aca="true">RAND()</f>
        <v>0.263325701354569</v>
      </c>
      <c r="S865" s="40" t="n">
        <f aca="true">RAND()</f>
        <v>0.240588286903832</v>
      </c>
      <c r="T865" s="40" t="n">
        <f aca="true">RAND()</f>
        <v>0.670751893027127</v>
      </c>
      <c r="U865" s="40" t="n">
        <f aca="true">RAND()</f>
        <v>0.465799422236289</v>
      </c>
    </row>
    <row r="866" customFormat="false" ht="15" hidden="false" customHeight="false" outlineLevel="0" collapsed="false">
      <c r="A866" s="36" t="n">
        <v>786</v>
      </c>
      <c r="B866" s="37" t="n">
        <f aca="false">1+IF($G$6=$E$6,$F$6,IF(P866&lt;($F$6-$E$6)/($G$6-$E$6),$E$6+SQRT(P866*($G$6-$E$6)*($F$6-$E$6)),$G$6-SQRT((1-P866)*($G$6-$E$6)*($G$6-$F$6))))</f>
        <v>1.02487932388474</v>
      </c>
      <c r="C866" s="37" t="n">
        <f aca="false">1+IF($G$7=$E$7,$F$7,IF(Q866&lt;($F$7-$E$7)/($G$7-$E$7),$E$7+SQRT(Q866*($G$7-$E$7)*($F$7-$E$7)),$G$7-SQRT((1-Q866)*($G$7-$E$7)*($G$7-$F$7))))</f>
        <v>1.0328026176493</v>
      </c>
      <c r="D866" s="37" t="n">
        <f aca="false">1+IF($G$8=$E$8,$F$8,IF(R866&lt;($F$8-$E$8)/($G$8-$E$8),$E$8+SQRT(R866*($G$8-$E$8)*($F$8-$E$8)),$G$8-SQRT((1-R866)*($G$8-$E$8)*($G$8-$F$8))))</f>
        <v>1.0361451387939</v>
      </c>
      <c r="E866" s="37" t="n">
        <f aca="false">1+IF($G$9=$E$9,$F$9,IF(S866&lt;($F$9-$E$9)/($G$9-$E$9),$E$9+SQRT(S866*($G$9-$E$9)*($F$9-$E$9)),$G$9-SQRT((1-S866)*($G$9-$E$9)*($G$9-$F$9))))</f>
        <v>0.995327134711827</v>
      </c>
      <c r="F866" s="37" t="n">
        <f aca="false">1+IF($G$10=$E$10,$F$10,IF(T866&lt;($F$10-$E$10)/($G$10-$E$10),$E$10+SQRT(T866*($G$10-$E$10)*($F$10-$E$10)),$G$10-SQRT((1-T866)*($G$10-$E$10)*($G$10-$F$10))))</f>
        <v>1.05816046786038</v>
      </c>
      <c r="G866" s="38" t="n">
        <f aca="false">IF($G$11=$E$11,$F$11,IF(U866&lt;($F$11-$E$11)/($G$11-$E$11),$E$11+SQRT(U866*($G$11-$E$11)*($F$11-$E$11)),$G$11-SQRT((1-U866)*($G$11-$E$11)*($G$11-$F$11))))</f>
        <v>0.105296137866822</v>
      </c>
      <c r="H866" s="39" t="n">
        <f aca="false">(('Business Case'!B11*$C866*'Business Case'!B12*$B866)-'Business Case'!B11*$C866*'Business Case'!B13*$D866-'Business Case'!B14*$E866)-MAX(0,(('Business Case'!B11*$C866*'Business Case'!B12*$B866)-'Business Case'!B11*$C866*'Business Case'!B13*$D866-'Business Case'!B14*$E866))*'Business Case'!$B$7-'Business Case'!$B$8*('Business Case'!B11*$C866*'Business Case'!B12*$B866)-'Business Case'!B15*$F866</f>
        <v>-2116320935.72076</v>
      </c>
      <c r="I866" s="39" t="n">
        <f aca="false">(('Business Case'!C11*$C866*'Business Case'!C12*$B866)-'Business Case'!C11*$C866*'Business Case'!C13*$D866-'Business Case'!C14*$E866)-MAX(0,(('Business Case'!C11*$C866*'Business Case'!C12*$B866)-'Business Case'!C11*$C866*'Business Case'!C13*$D866-'Business Case'!C14*$E866))*'Business Case'!$B$7-'Business Case'!$B$8*(('Business Case'!C11*$C866*'Business Case'!C12*$B866)-('Business Case'!B11*$C866*'Business Case'!B12*$B866))-'Business Case'!C15*$F866</f>
        <v>16939313.3196325</v>
      </c>
      <c r="J866" s="39" t="n">
        <f aca="false">(('Business Case'!D11*$C866*'Business Case'!D12*$B866)-'Business Case'!D11*$C866*'Business Case'!D13*$D866-'Business Case'!D14*$E866)-MAX(0,(('Business Case'!D11*$C866*'Business Case'!D12*$B866)-'Business Case'!D11*$C866*'Business Case'!D13*$D866-'Business Case'!D14*$E866))*'Business Case'!$B$7-'Business Case'!$B$8*(('Business Case'!D11*$C866*'Business Case'!D12*$B866)-('Business Case'!C11*$C866*'Business Case'!C12*$B866))-'Business Case'!D15*$F866</f>
        <v>336102730.814674</v>
      </c>
      <c r="K866" s="39" t="n">
        <f aca="false">(('Business Case'!E11*$C866*'Business Case'!E12*$B866)-'Business Case'!E11*$C866*'Business Case'!E13*$D866-'Business Case'!E14*$E866)-MAX(0,(('Business Case'!E11*$C866*'Business Case'!E12*$B866)-'Business Case'!E11*$C866*'Business Case'!E13*$D866-'Business Case'!E14*$E866))*'Business Case'!$B$7-'Business Case'!$B$8*(('Business Case'!E11*$C866*'Business Case'!E12*$B866)-('Business Case'!D11*$C866*'Business Case'!D12*$B866))-'Business Case'!E15*$F866</f>
        <v>708174171.702734</v>
      </c>
      <c r="L866" s="39" t="n">
        <f aca="false">(('Business Case'!F11*$C866*'Business Case'!F12*$B866)-'Business Case'!F11*$C866*'Business Case'!F13*$D866-'Business Case'!F14*$E866)-MAX(0,(('Business Case'!F11*$C866*'Business Case'!F12*$B866)-'Business Case'!F11*$C866*'Business Case'!F13*$D866-'Business Case'!F14*$E866))*'Business Case'!$B$7-'Business Case'!$B$8*(('Business Case'!F11*$C866*'Business Case'!F12*$B866)-('Business Case'!E11*$C866*'Business Case'!E12*$B866))-'Business Case'!F15*$F866</f>
        <v>851143670.08998</v>
      </c>
      <c r="M866" s="39" t="n">
        <f aca="false">(('Business Case'!G11*$C866*'Business Case'!G12*$B866)-'Business Case'!G11*$C866*'Business Case'!G13*$D866-'Business Case'!G14*$E866)-MAX(0,(('Business Case'!G11*$C866*'Business Case'!G12*$B866)-'Business Case'!G11*$C866*'Business Case'!G13*$D866-'Business Case'!G14*$E866))*'Business Case'!$B$7-'Business Case'!$B$8*(('Business Case'!G11*$C866*'Business Case'!G12*$B866)-('Business Case'!F11*$C866*'Business Case'!F12*$B866))-'Business Case'!G15*$F866+'Business Case'!$B$8*('Business Case'!G11*$C866*'Business Case'!G12*$B866)</f>
        <v>1052342979.14559</v>
      </c>
      <c r="N866" s="39" t="n">
        <f aca="false">IF(COUNT('Business Case'!B11:G11)=0,"",H866+NPV(G866,I866:M866))</f>
        <v>-93233039.4883273</v>
      </c>
      <c r="P866" s="40" t="n">
        <f aca="true">RAND()</f>
        <v>0.95236774037865</v>
      </c>
      <c r="Q866" s="40" t="n">
        <f aca="true">RAND()</f>
        <v>0.7383766394313</v>
      </c>
      <c r="R866" s="40" t="n">
        <f aca="true">RAND()</f>
        <v>0.815072225826285</v>
      </c>
      <c r="S866" s="40" t="n">
        <f aca="true">RAND()</f>
        <v>0.273939885491213</v>
      </c>
      <c r="T866" s="40" t="n">
        <f aca="true">RAND()</f>
        <v>0.597630942448283</v>
      </c>
      <c r="U866" s="40" t="n">
        <f aca="true">RAND()</f>
        <v>0.639660730614173</v>
      </c>
    </row>
    <row r="867" customFormat="false" ht="15" hidden="false" customHeight="false" outlineLevel="0" collapsed="false">
      <c r="A867" s="36" t="n">
        <v>787</v>
      </c>
      <c r="B867" s="37" t="n">
        <f aca="false">1+IF($G$6=$E$6,$F$6,IF(P867&lt;($F$6-$E$6)/($G$6-$E$6),$E$6+SQRT(P867*($G$6-$E$6)*($F$6-$E$6)),$G$6-SQRT((1-P867)*($G$6-$E$6)*($G$6-$F$6))))</f>
        <v>0.989405556446506</v>
      </c>
      <c r="C867" s="37" t="n">
        <f aca="false">1+IF($G$7=$E$7,$F$7,IF(Q867&lt;($F$7-$E$7)/($G$7-$E$7),$E$7+SQRT(Q867*($G$7-$E$7)*($F$7-$E$7)),$G$7-SQRT((1-Q867)*($G$7-$E$7)*($G$7-$F$7))))</f>
        <v>1.02953271161654</v>
      </c>
      <c r="D867" s="37" t="n">
        <f aca="false">1+IF($G$8=$E$8,$F$8,IF(R867&lt;($F$8-$E$8)/($G$8-$E$8),$E$8+SQRT(R867*($G$8-$E$8)*($F$8-$E$8)),$G$8-SQRT((1-R867)*($G$8-$E$8)*($G$8-$F$8))))</f>
        <v>0.999224434596245</v>
      </c>
      <c r="E867" s="37" t="n">
        <f aca="false">1+IF($G$9=$E$9,$F$9,IF(S867&lt;($F$9-$E$9)/($G$9-$E$9),$E$9+SQRT(S867*($G$9-$E$9)*($F$9-$E$9)),$G$9-SQRT((1-S867)*($G$9-$E$9)*($G$9-$F$9))))</f>
        <v>1.01308249823258</v>
      </c>
      <c r="F867" s="37" t="n">
        <f aca="false">1+IF($G$10=$E$10,$F$10,IF(T867&lt;($F$10-$E$10)/($G$10-$E$10),$E$10+SQRT(T867*($G$10-$E$10)*($F$10-$E$10)),$G$10-SQRT((1-T867)*($G$10-$E$10)*($G$10-$F$10))))</f>
        <v>1.03605602673315</v>
      </c>
      <c r="G867" s="38" t="n">
        <f aca="false">IF($G$11=$E$11,$F$11,IF(U867&lt;($F$11-$E$11)/($G$11-$E$11),$E$11+SQRT(U867*($G$11-$E$11)*($F$11-$E$11)),$G$11-SQRT((1-U867)*($G$11-$E$11)*($G$11-$F$11))))</f>
        <v>0.10414713008949</v>
      </c>
      <c r="H867" s="39" t="n">
        <f aca="false">(('Business Case'!B11*$C867*'Business Case'!B12*$B867)-'Business Case'!B11*$C867*'Business Case'!B13*$D867-'Business Case'!B14*$E867)-MAX(0,(('Business Case'!B11*$C867*'Business Case'!B12*$B867)-'Business Case'!B11*$C867*'Business Case'!B13*$D867-'Business Case'!B14*$E867))*'Business Case'!$B$7-'Business Case'!$B$8*('Business Case'!B11*$C867*'Business Case'!B12*$B867)-'Business Case'!B15*$F867</f>
        <v>-2072112053.46631</v>
      </c>
      <c r="I867" s="39" t="n">
        <f aca="false">(('Business Case'!C11*$C867*'Business Case'!C12*$B867)-'Business Case'!C11*$C867*'Business Case'!C13*$D867-'Business Case'!C14*$E867)-MAX(0,(('Business Case'!C11*$C867*'Business Case'!C12*$B867)-'Business Case'!C11*$C867*'Business Case'!C13*$D867-'Business Case'!C14*$E867))*'Business Case'!$B$7-'Business Case'!$B$8*(('Business Case'!C11*$C867*'Business Case'!C12*$B867)-('Business Case'!B11*$C867*'Business Case'!B12*$B867))-'Business Case'!C15*$F867</f>
        <v>7226424.78983267</v>
      </c>
      <c r="J867" s="39" t="n">
        <f aca="false">(('Business Case'!D11*$C867*'Business Case'!D12*$B867)-'Business Case'!D11*$C867*'Business Case'!D13*$D867-'Business Case'!D14*$E867)-MAX(0,(('Business Case'!D11*$C867*'Business Case'!D12*$B867)-'Business Case'!D11*$C867*'Business Case'!D13*$D867-'Business Case'!D14*$E867))*'Business Case'!$B$7-'Business Case'!$B$8*(('Business Case'!D11*$C867*'Business Case'!D12*$B867)-('Business Case'!C11*$C867*'Business Case'!C12*$B867))-'Business Case'!D15*$F867</f>
        <v>314924323.481663</v>
      </c>
      <c r="K867" s="39" t="n">
        <f aca="false">(('Business Case'!E11*$C867*'Business Case'!E12*$B867)-'Business Case'!E11*$C867*'Business Case'!E13*$D867-'Business Case'!E14*$E867)-MAX(0,(('Business Case'!E11*$C867*'Business Case'!E12*$B867)-'Business Case'!E11*$C867*'Business Case'!E13*$D867-'Business Case'!E14*$E867))*'Business Case'!$B$7-'Business Case'!$B$8*(('Business Case'!E11*$C867*'Business Case'!E12*$B867)-('Business Case'!D11*$C867*'Business Case'!D12*$B867))-'Business Case'!E15*$F867</f>
        <v>674425023.51015</v>
      </c>
      <c r="L867" s="39" t="n">
        <f aca="false">(('Business Case'!F11*$C867*'Business Case'!F12*$B867)-'Business Case'!F11*$C867*'Business Case'!F13*$D867-'Business Case'!F14*$E867)-MAX(0,(('Business Case'!F11*$C867*'Business Case'!F12*$B867)-'Business Case'!F11*$C867*'Business Case'!F13*$D867-'Business Case'!F14*$E867))*'Business Case'!$B$7-'Business Case'!$B$8*(('Business Case'!F11*$C867*'Business Case'!F12*$B867)-('Business Case'!E11*$C867*'Business Case'!E12*$B867))-'Business Case'!F15*$F867</f>
        <v>812194683.060767</v>
      </c>
      <c r="M867" s="39" t="n">
        <f aca="false">(('Business Case'!G11*$C867*'Business Case'!G12*$B867)-'Business Case'!G11*$C867*'Business Case'!G13*$D867-'Business Case'!G14*$E867)-MAX(0,(('Business Case'!G11*$C867*'Business Case'!G12*$B867)-'Business Case'!G11*$C867*'Business Case'!G13*$D867-'Business Case'!G14*$E867))*'Business Case'!$B$7-'Business Case'!$B$8*(('Business Case'!G11*$C867*'Business Case'!G12*$B867)-('Business Case'!F11*$C867*'Business Case'!F12*$B867))-'Business Case'!G15*$F867+'Business Case'!$B$8*('Business Case'!G11*$C867*'Business Case'!G12*$B867)</f>
        <v>1005814996.3208</v>
      </c>
      <c r="N867" s="39" t="n">
        <f aca="false">IF(COUNT('Business Case'!B11:G11)=0,"",H867+NPV(G867,I867:M867))</f>
        <v>-146889639.645418</v>
      </c>
      <c r="P867" s="40" t="n">
        <f aca="true">RAND()</f>
        <v>0.501784506838448</v>
      </c>
      <c r="Q867" s="40" t="n">
        <f aca="true">RAND()</f>
        <v>0.723573951038804</v>
      </c>
      <c r="R867" s="40" t="n">
        <f aca="true">RAND()</f>
        <v>0.372776147895378</v>
      </c>
      <c r="S867" s="40" t="n">
        <f aca="true">RAND()</f>
        <v>0.496356525767345</v>
      </c>
      <c r="T867" s="40" t="n">
        <f aca="true">RAND()</f>
        <v>0.462447472589597</v>
      </c>
      <c r="U867" s="40" t="n">
        <f aca="true">RAND()</f>
        <v>0.581144192667391</v>
      </c>
    </row>
    <row r="868" customFormat="false" ht="15" hidden="false" customHeight="false" outlineLevel="0" collapsed="false">
      <c r="A868" s="36" t="n">
        <v>788</v>
      </c>
      <c r="B868" s="37" t="n">
        <f aca="false">1+IF($G$6=$E$6,$F$6,IF(P868&lt;($F$6-$E$6)/($G$6-$E$6),$E$6+SQRT(P868*($G$6-$E$6)*($F$6-$E$6)),$G$6-SQRT((1-P868)*($G$6-$E$6)*($G$6-$F$6))))</f>
        <v>0.97950250078829</v>
      </c>
      <c r="C868" s="37" t="n">
        <f aca="false">1+IF($G$7=$E$7,$F$7,IF(Q868&lt;($F$7-$E$7)/($G$7-$E$7),$E$7+SQRT(Q868*($G$7-$E$7)*($F$7-$E$7)),$G$7-SQRT((1-Q868)*($G$7-$E$7)*($G$7-$F$7))))</f>
        <v>0.894403323980816</v>
      </c>
      <c r="D868" s="37" t="n">
        <f aca="false">1+IF($G$8=$E$8,$F$8,IF(R868&lt;($F$8-$E$8)/($G$8-$E$8),$E$8+SQRT(R868*($G$8-$E$8)*($F$8-$E$8)),$G$8-SQRT((1-R868)*($G$8-$E$8)*($G$8-$F$8))))</f>
        <v>0.994550194410614</v>
      </c>
      <c r="E868" s="37" t="n">
        <f aca="false">1+IF($G$9=$E$9,$F$9,IF(S868&lt;($F$9-$E$9)/($G$9-$E$9),$E$9+SQRT(S868*($G$9-$E$9)*($F$9-$E$9)),$G$9-SQRT((1-S868)*($G$9-$E$9)*($G$9-$F$9))))</f>
        <v>1.01314503332528</v>
      </c>
      <c r="F868" s="37" t="n">
        <f aca="false">1+IF($G$10=$E$10,$F$10,IF(T868&lt;($F$10-$E$10)/($G$10-$E$10),$E$10+SQRT(T868*($G$10-$E$10)*($F$10-$E$10)),$G$10-SQRT((1-T868)*($G$10-$E$10)*($G$10-$F$10))))</f>
        <v>1.02225481378454</v>
      </c>
      <c r="G868" s="38" t="n">
        <f aca="false">IF($G$11=$E$11,$F$11,IF(U868&lt;($F$11-$E$11)/($G$11-$E$11),$E$11+SQRT(U868*($G$11-$E$11)*($F$11-$E$11)),$G$11-SQRT((1-U868)*($G$11-$E$11)*($G$11-$F$11))))</f>
        <v>0.104382921021133</v>
      </c>
      <c r="H868" s="39" t="n">
        <f aca="false">(('Business Case'!B11*$C868*'Business Case'!B12*$B868)-'Business Case'!B11*$C868*'Business Case'!B13*$D868-'Business Case'!B14*$E868)-MAX(0,(('Business Case'!B11*$C868*'Business Case'!B12*$B868)-'Business Case'!B11*$C868*'Business Case'!B13*$D868-'Business Case'!B14*$E868))*'Business Case'!$B$7-'Business Case'!$B$8*('Business Case'!B11*$C868*'Business Case'!B12*$B868)-'Business Case'!B15*$F868</f>
        <v>-2044509627.56907</v>
      </c>
      <c r="I868" s="39" t="n">
        <f aca="false">(('Business Case'!C11*$C868*'Business Case'!C12*$B868)-'Business Case'!C11*$C868*'Business Case'!C13*$D868-'Business Case'!C14*$E868)-MAX(0,(('Business Case'!C11*$C868*'Business Case'!C12*$B868)-'Business Case'!C11*$C868*'Business Case'!C13*$D868-'Business Case'!C14*$E868))*'Business Case'!$B$7-'Business Case'!$B$8*(('Business Case'!C11*$C868*'Business Case'!C12*$B868)-('Business Case'!B11*$C868*'Business Case'!B12*$B868))-'Business Case'!C15*$F868</f>
        <v>-29513227.9719063</v>
      </c>
      <c r="J868" s="39" t="n">
        <f aca="false">(('Business Case'!D11*$C868*'Business Case'!D12*$B868)-'Business Case'!D11*$C868*'Business Case'!D13*$D868-'Business Case'!D14*$E868)-MAX(0,(('Business Case'!D11*$C868*'Business Case'!D12*$B868)-'Business Case'!D11*$C868*'Business Case'!D13*$D868-'Business Case'!D14*$E868))*'Business Case'!$B$7-'Business Case'!$B$8*(('Business Case'!D11*$C868*'Business Case'!D12*$B868)-('Business Case'!C11*$C868*'Business Case'!C12*$B868))-'Business Case'!D15*$F868</f>
        <v>232683733.139421</v>
      </c>
      <c r="K868" s="39" t="n">
        <f aca="false">(('Business Case'!E11*$C868*'Business Case'!E12*$B868)-'Business Case'!E11*$C868*'Business Case'!E13*$D868-'Business Case'!E14*$E868)-MAX(0,(('Business Case'!E11*$C868*'Business Case'!E12*$B868)-'Business Case'!E11*$C868*'Business Case'!E13*$D868-'Business Case'!E14*$E868))*'Business Case'!$B$7-'Business Case'!$B$8*(('Business Case'!E11*$C868*'Business Case'!E12*$B868)-('Business Case'!D11*$C868*'Business Case'!D12*$B868))-'Business Case'!E15*$F868</f>
        <v>545993434.939975</v>
      </c>
      <c r="L868" s="39" t="n">
        <f aca="false">(('Business Case'!F11*$C868*'Business Case'!F12*$B868)-'Business Case'!F11*$C868*'Business Case'!F13*$D868-'Business Case'!F14*$E868)-MAX(0,(('Business Case'!F11*$C868*'Business Case'!F12*$B868)-'Business Case'!F11*$C868*'Business Case'!F13*$D868-'Business Case'!F14*$E868))*'Business Case'!$B$7-'Business Case'!$B$8*(('Business Case'!F11*$C868*'Business Case'!F12*$B868)-('Business Case'!E11*$C868*'Business Case'!E12*$B868))-'Business Case'!F15*$F868</f>
        <v>663669411.287701</v>
      </c>
      <c r="M868" s="39" t="n">
        <f aca="false">(('Business Case'!G11*$C868*'Business Case'!G12*$B868)-'Business Case'!G11*$C868*'Business Case'!G13*$D868-'Business Case'!G14*$E868)-MAX(0,(('Business Case'!G11*$C868*'Business Case'!G12*$B868)-'Business Case'!G11*$C868*'Business Case'!G13*$D868-'Business Case'!G14*$E868))*'Business Case'!$B$7-'Business Case'!$B$8*(('Business Case'!G11*$C868*'Business Case'!G12*$B868)-('Business Case'!F11*$C868*'Business Case'!F12*$B868))-'Business Case'!G15*$F868+'Business Case'!$B$8*('Business Case'!G11*$C868*'Business Case'!G12*$B868)</f>
        <v>830192852.496093</v>
      </c>
      <c r="N868" s="39" t="n">
        <f aca="false">IF(COUNT('Business Case'!B11:G11)=0,"",H868+NPV(G868,I868:M868))</f>
        <v>-523629391.352142</v>
      </c>
      <c r="P868" s="40" t="n">
        <f aca="true">RAND()</f>
        <v>0.368807041672961</v>
      </c>
      <c r="Q868" s="40" t="n">
        <f aca="true">RAND()</f>
        <v>0.127314108266098</v>
      </c>
      <c r="R868" s="40" t="n">
        <f aca="true">RAND()</f>
        <v>0.305341511080542</v>
      </c>
      <c r="S868" s="40" t="n">
        <f aca="true">RAND()</f>
        <v>0.497080984262227</v>
      </c>
      <c r="T868" s="40" t="n">
        <f aca="true">RAND()</f>
        <v>0.368132975544595</v>
      </c>
      <c r="U868" s="40" t="n">
        <f aca="true">RAND()</f>
        <v>0.593511406946396</v>
      </c>
    </row>
    <row r="869" customFormat="false" ht="15" hidden="false" customHeight="false" outlineLevel="0" collapsed="false">
      <c r="A869" s="36" t="n">
        <v>789</v>
      </c>
      <c r="B869" s="37" t="n">
        <f aca="false">1+IF($G$6=$E$6,$F$6,IF(P869&lt;($F$6-$E$6)/($G$6-$E$6),$E$6+SQRT(P869*($G$6-$E$6)*($F$6-$E$6)),$G$6-SQRT((1-P869)*($G$6-$E$6)*($G$6-$F$6))))</f>
        <v>0.934146676522027</v>
      </c>
      <c r="C869" s="37" t="n">
        <f aca="false">1+IF($G$7=$E$7,$F$7,IF(Q869&lt;($F$7-$E$7)/($G$7-$E$7),$E$7+SQRT(Q869*($G$7-$E$7)*($F$7-$E$7)),$G$7-SQRT((1-Q869)*($G$7-$E$7)*($G$7-$F$7))))</f>
        <v>1.03431157814394</v>
      </c>
      <c r="D869" s="37" t="n">
        <f aca="false">1+IF($G$8=$E$8,$F$8,IF(R869&lt;($F$8-$E$8)/($G$8-$E$8),$E$8+SQRT(R869*($G$8-$E$8)*($F$8-$E$8)),$G$8-SQRT((1-R869)*($G$8-$E$8)*($G$8-$F$8))))</f>
        <v>0.985178260395322</v>
      </c>
      <c r="E869" s="37" t="n">
        <f aca="false">1+IF($G$9=$E$9,$F$9,IF(S869&lt;($F$9-$E$9)/($G$9-$E$9),$E$9+SQRT(S869*($G$9-$E$9)*($F$9-$E$9)),$G$9-SQRT((1-S869)*($G$9-$E$9)*($G$9-$F$9))))</f>
        <v>1.0029815167853</v>
      </c>
      <c r="F869" s="37" t="n">
        <f aca="false">1+IF($G$10=$E$10,$F$10,IF(T869&lt;($F$10-$E$10)/($G$10-$E$10),$E$10+SQRT(T869*($G$10-$E$10)*($F$10-$E$10)),$G$10-SQRT((1-T869)*($G$10-$E$10)*($G$10-$F$10))))</f>
        <v>1.03627603929471</v>
      </c>
      <c r="G869" s="38" t="n">
        <f aca="false">IF($G$11=$E$11,$F$11,IF(U869&lt;($F$11-$E$11)/($G$11-$E$11),$E$11+SQRT(U869*($G$11-$E$11)*($F$11-$E$11)),$G$11-SQRT((1-U869)*($G$11-$E$11)*($G$11-$F$11))))</f>
        <v>0.106019225378357</v>
      </c>
      <c r="H869" s="39" t="n">
        <f aca="false">(('Business Case'!B11*$C869*'Business Case'!B12*$B869)-'Business Case'!B11*$C869*'Business Case'!B13*$D869-'Business Case'!B14*$E869)-MAX(0,(('Business Case'!B11*$C869*'Business Case'!B12*$B869)-'Business Case'!B11*$C869*'Business Case'!B13*$D869-'Business Case'!B14*$E869))*'Business Case'!$B$7-'Business Case'!$B$8*('Business Case'!B11*$C869*'Business Case'!B12*$B869)-'Business Case'!B15*$F869</f>
        <v>-2072552078.58942</v>
      </c>
      <c r="I869" s="39" t="n">
        <f aca="false">(('Business Case'!C11*$C869*'Business Case'!C12*$B869)-'Business Case'!C11*$C869*'Business Case'!C13*$D869-'Business Case'!C14*$E869)-MAX(0,(('Business Case'!C11*$C869*'Business Case'!C12*$B869)-'Business Case'!C11*$C869*'Business Case'!C13*$D869-'Business Case'!C14*$E869))*'Business Case'!$B$7-'Business Case'!$B$8*(('Business Case'!C11*$C869*'Business Case'!C12*$B869)-('Business Case'!B11*$C869*'Business Case'!B12*$B869))-'Business Case'!C15*$F869</f>
        <v>-26589894.313345</v>
      </c>
      <c r="J869" s="39" t="n">
        <f aca="false">(('Business Case'!D11*$C869*'Business Case'!D12*$B869)-'Business Case'!D11*$C869*'Business Case'!D13*$D869-'Business Case'!D14*$E869)-MAX(0,(('Business Case'!D11*$C869*'Business Case'!D12*$B869)-'Business Case'!D11*$C869*'Business Case'!D13*$D869-'Business Case'!D14*$E869))*'Business Case'!$B$7-'Business Case'!$B$8*(('Business Case'!D11*$C869*'Business Case'!D12*$B869)-('Business Case'!C11*$C869*'Business Case'!C12*$B869))-'Business Case'!D15*$F869</f>
        <v>243159528.80093</v>
      </c>
      <c r="K869" s="39" t="n">
        <f aca="false">(('Business Case'!E11*$C869*'Business Case'!E12*$B869)-'Business Case'!E11*$C869*'Business Case'!E13*$D869-'Business Case'!E14*$E869)-MAX(0,(('Business Case'!E11*$C869*'Business Case'!E12*$B869)-'Business Case'!E11*$C869*'Business Case'!E13*$D869-'Business Case'!E14*$E869))*'Business Case'!$B$7-'Business Case'!$B$8*(('Business Case'!E11*$C869*'Business Case'!E12*$B869)-('Business Case'!D11*$C869*'Business Case'!D12*$B869))-'Business Case'!E15*$F869</f>
        <v>564722753.879941</v>
      </c>
      <c r="L869" s="39" t="n">
        <f aca="false">(('Business Case'!F11*$C869*'Business Case'!F12*$B869)-'Business Case'!F11*$C869*'Business Case'!F13*$D869-'Business Case'!F14*$E869)-MAX(0,(('Business Case'!F11*$C869*'Business Case'!F12*$B869)-'Business Case'!F11*$C869*'Business Case'!F13*$D869-'Business Case'!F14*$E869))*'Business Case'!$B$7-'Business Case'!$B$8*(('Business Case'!F11*$C869*'Business Case'!F12*$B869)-('Business Case'!E11*$C869*'Business Case'!E12*$B869))-'Business Case'!F15*$F869</f>
        <v>688031056.125552</v>
      </c>
      <c r="M869" s="39" t="n">
        <f aca="false">(('Business Case'!G11*$C869*'Business Case'!G12*$B869)-'Business Case'!G11*$C869*'Business Case'!G13*$D869-'Business Case'!G14*$E869)-MAX(0,(('Business Case'!G11*$C869*'Business Case'!G12*$B869)-'Business Case'!G11*$C869*'Business Case'!G13*$D869-'Business Case'!G14*$E869))*'Business Case'!$B$7-'Business Case'!$B$8*(('Business Case'!G11*$C869*'Business Case'!G12*$B869)-('Business Case'!F11*$C869*'Business Case'!F12*$B869))-'Business Case'!G15*$F869+'Business Case'!$B$8*('Business Case'!G11*$C869*'Business Case'!G12*$B869)</f>
        <v>871686109.433577</v>
      </c>
      <c r="N869" s="39" t="n">
        <f aca="false">IF(COUNT('Business Case'!B11:G11)=0,"",H869+NPV(G869,I869:M869))</f>
        <v>-493953640.974478</v>
      </c>
      <c r="P869" s="40" t="n">
        <f aca="true">RAND()</f>
        <v>0.0208467142311322</v>
      </c>
      <c r="Q869" s="40" t="n">
        <f aca="true">RAND()</f>
        <v>0.745070267589586</v>
      </c>
      <c r="R869" s="40" t="n">
        <f aca="true">RAND()</f>
        <v>0.190386154529394</v>
      </c>
      <c r="S869" s="40" t="n">
        <f aca="true">RAND()</f>
        <v>0.372494260981261</v>
      </c>
      <c r="T869" s="40" t="n">
        <f aca="true">RAND()</f>
        <v>0.463889293819449</v>
      </c>
      <c r="U869" s="40" t="n">
        <f aca="true">RAND()</f>
        <v>0.674229901631394</v>
      </c>
    </row>
    <row r="870" customFormat="false" ht="15" hidden="false" customHeight="false" outlineLevel="0" collapsed="false">
      <c r="A870" s="36" t="n">
        <v>790</v>
      </c>
      <c r="B870" s="37" t="n">
        <f aca="false">1+IF($G$6=$E$6,$F$6,IF(P870&lt;($F$6-$E$6)/($G$6-$E$6),$E$6+SQRT(P870*($G$6-$E$6)*($F$6-$E$6)),$G$6-SQRT((1-P870)*($G$6-$E$6)*($G$6-$F$6))))</f>
        <v>0.935615541668872</v>
      </c>
      <c r="C870" s="37" t="n">
        <f aca="false">1+IF($G$7=$E$7,$F$7,IF(Q870&lt;($F$7-$E$7)/($G$7-$E$7),$E$7+SQRT(Q870*($G$7-$E$7)*($F$7-$E$7)),$G$7-SQRT((1-Q870)*($G$7-$E$7)*($G$7-$F$7))))</f>
        <v>1.05014246908036</v>
      </c>
      <c r="D870" s="37" t="n">
        <f aca="false">1+IF($G$8=$E$8,$F$8,IF(R870&lt;($F$8-$E$8)/($G$8-$E$8),$E$8+SQRT(R870*($G$8-$E$8)*($F$8-$E$8)),$G$8-SQRT((1-R870)*($G$8-$E$8)*($G$8-$F$8))))</f>
        <v>1.05542775860513</v>
      </c>
      <c r="E870" s="37" t="n">
        <f aca="false">1+IF($G$9=$E$9,$F$9,IF(S870&lt;($F$9-$E$9)/($G$9-$E$9),$E$9+SQRT(S870*($G$9-$E$9)*($F$9-$E$9)),$G$9-SQRT((1-S870)*($G$9-$E$9)*($G$9-$F$9))))</f>
        <v>1.00391562702123</v>
      </c>
      <c r="F870" s="37" t="n">
        <f aca="false">1+IF($G$10=$E$10,$F$10,IF(T870&lt;($F$10-$E$10)/($G$10-$E$10),$E$10+SQRT(T870*($G$10-$E$10)*($F$10-$E$10)),$G$10-SQRT((1-T870)*($G$10-$E$10)*($G$10-$F$10))))</f>
        <v>1.06507816758988</v>
      </c>
      <c r="G870" s="38" t="n">
        <f aca="false">IF($G$11=$E$11,$F$11,IF(U870&lt;($F$11-$E$11)/($G$11-$E$11),$E$11+SQRT(U870*($G$11-$E$11)*($F$11-$E$11)),$G$11-SQRT((1-U870)*($G$11-$E$11)*($G$11-$F$11))))</f>
        <v>0.0976794127357235</v>
      </c>
      <c r="H870" s="39" t="n">
        <f aca="false">(('Business Case'!B11*$C870*'Business Case'!B12*$B870)-'Business Case'!B11*$C870*'Business Case'!B13*$D870-'Business Case'!B14*$E870)-MAX(0,(('Business Case'!B11*$C870*'Business Case'!B12*$B870)-'Business Case'!B11*$C870*'Business Case'!B13*$D870-'Business Case'!B14*$E870))*'Business Case'!$B$7-'Business Case'!$B$8*('Business Case'!B11*$C870*'Business Case'!B12*$B870)-'Business Case'!B15*$F870</f>
        <v>-2130156335.17976</v>
      </c>
      <c r="I870" s="39" t="n">
        <f aca="false">(('Business Case'!C11*$C870*'Business Case'!C12*$B870)-'Business Case'!C11*$C870*'Business Case'!C13*$D870-'Business Case'!C14*$E870)-MAX(0,(('Business Case'!C11*$C870*'Business Case'!C12*$B870)-'Business Case'!C11*$C870*'Business Case'!C13*$D870-'Business Case'!C14*$E870))*'Business Case'!$B$7-'Business Case'!$B$8*(('Business Case'!C11*$C870*'Business Case'!C12*$B870)-('Business Case'!B11*$C870*'Business Case'!B12*$B870))-'Business Case'!C15*$F870</f>
        <v>-62822739.6825593</v>
      </c>
      <c r="J870" s="39" t="n">
        <f aca="false">(('Business Case'!D11*$C870*'Business Case'!D12*$B870)-'Business Case'!D11*$C870*'Business Case'!D13*$D870-'Business Case'!D14*$E870)-MAX(0,(('Business Case'!D11*$C870*'Business Case'!D12*$B870)-'Business Case'!D11*$C870*'Business Case'!D13*$D870-'Business Case'!D14*$E870))*'Business Case'!$B$7-'Business Case'!$B$8*(('Business Case'!D11*$C870*'Business Case'!D12*$B870)-('Business Case'!C11*$C870*'Business Case'!C12*$B870))-'Business Case'!D15*$F870</f>
        <v>174553474.799864</v>
      </c>
      <c r="K870" s="39" t="n">
        <f aca="false">(('Business Case'!E11*$C870*'Business Case'!E12*$B870)-'Business Case'!E11*$C870*'Business Case'!E13*$D870-'Business Case'!E14*$E870)-MAX(0,(('Business Case'!E11*$C870*'Business Case'!E12*$B870)-'Business Case'!E11*$C870*'Business Case'!E13*$D870-'Business Case'!E14*$E870))*'Business Case'!$B$7-'Business Case'!$B$8*(('Business Case'!E11*$C870*'Business Case'!E12*$B870)-('Business Case'!D11*$C870*'Business Case'!D12*$B870))-'Business Case'!E15*$F870</f>
        <v>465183597.661781</v>
      </c>
      <c r="L870" s="39" t="n">
        <f aca="false">(('Business Case'!F11*$C870*'Business Case'!F12*$B870)-'Business Case'!F11*$C870*'Business Case'!F13*$D870-'Business Case'!F14*$E870)-MAX(0,(('Business Case'!F11*$C870*'Business Case'!F12*$B870)-'Business Case'!F11*$C870*'Business Case'!F13*$D870-'Business Case'!F14*$E870))*'Business Case'!$B$7-'Business Case'!$B$8*(('Business Case'!F11*$C870*'Business Case'!F12*$B870)-('Business Case'!E11*$C870*'Business Case'!E12*$B870))-'Business Case'!F15*$F870</f>
        <v>578265225.984973</v>
      </c>
      <c r="M870" s="39" t="n">
        <f aca="false">(('Business Case'!G11*$C870*'Business Case'!G12*$B870)-'Business Case'!G11*$C870*'Business Case'!G13*$D870-'Business Case'!G14*$E870)-MAX(0,(('Business Case'!G11*$C870*'Business Case'!G12*$B870)-'Business Case'!G11*$C870*'Business Case'!G13*$D870-'Business Case'!G14*$E870))*'Business Case'!$B$7-'Business Case'!$B$8*(('Business Case'!G11*$C870*'Business Case'!G12*$B870)-('Business Case'!F11*$C870*'Business Case'!F12*$B870))-'Business Case'!G15*$F870+'Business Case'!$B$8*('Business Case'!G11*$C870*'Business Case'!G12*$B870)</f>
        <v>765024455.211417</v>
      </c>
      <c r="N870" s="39" t="n">
        <f aca="false">IF(COUNT('Business Case'!B11:G11)=0,"",H870+NPV(G870,I870:M870))</f>
        <v>-812422452.303474</v>
      </c>
      <c r="P870" s="40" t="n">
        <f aca="true">RAND()</f>
        <v>0.0254005355846109</v>
      </c>
      <c r="Q870" s="40" t="n">
        <f aca="true">RAND()</f>
        <v>0.810066162259689</v>
      </c>
      <c r="R870" s="40" t="n">
        <f aca="true">RAND()</f>
        <v>0.941942783926154</v>
      </c>
      <c r="S870" s="40" t="n">
        <f aca="true">RAND()</f>
        <v>0.384519551285099</v>
      </c>
      <c r="T870" s="40" t="n">
        <f aca="true">RAND()</f>
        <v>0.635921982781923</v>
      </c>
      <c r="U870" s="40" t="n">
        <f aca="true">RAND()</f>
        <v>0.19657793321864</v>
      </c>
    </row>
    <row r="871" customFormat="false" ht="15" hidden="false" customHeight="false" outlineLevel="0" collapsed="false">
      <c r="A871" s="36" t="n">
        <v>791</v>
      </c>
      <c r="B871" s="37" t="n">
        <f aca="false">1+IF($G$6=$E$6,$F$6,IF(P871&lt;($F$6-$E$6)/($G$6-$E$6),$E$6+SQRT(P871*($G$6-$E$6)*($F$6-$E$6)),$G$6-SQRT((1-P871)*($G$6-$E$6)*($G$6-$F$6))))</f>
        <v>1.00677738198092</v>
      </c>
      <c r="C871" s="37" t="n">
        <f aca="false">1+IF($G$7=$E$7,$F$7,IF(Q871&lt;($F$7-$E$7)/($G$7-$E$7),$E$7+SQRT(Q871*($G$7-$E$7)*($F$7-$E$7)),$G$7-SQRT((1-Q871)*($G$7-$E$7)*($G$7-$F$7))))</f>
        <v>0.941542271252516</v>
      </c>
      <c r="D871" s="37" t="n">
        <f aca="false">1+IF($G$8=$E$8,$F$8,IF(R871&lt;($F$8-$E$8)/($G$8-$E$8),$E$8+SQRT(R871*($G$8-$E$8)*($F$8-$E$8)),$G$8-SQRT((1-R871)*($G$8-$E$8)*($G$8-$F$8))))</f>
        <v>1.03361928243206</v>
      </c>
      <c r="E871" s="37" t="n">
        <f aca="false">1+IF($G$9=$E$9,$F$9,IF(S871&lt;($F$9-$E$9)/($G$9-$E$9),$E$9+SQRT(S871*($G$9-$E$9)*($F$9-$E$9)),$G$9-SQRT((1-S871)*($G$9-$E$9)*($G$9-$F$9))))</f>
        <v>1.08210252115013</v>
      </c>
      <c r="F871" s="37" t="n">
        <f aca="false">1+IF($G$10=$E$10,$F$10,IF(T871&lt;($F$10-$E$10)/($G$10-$E$10),$E$10+SQRT(T871*($G$10-$E$10)*($F$10-$E$10)),$G$10-SQRT((1-T871)*($G$10-$E$10)*($G$10-$F$10))))</f>
        <v>1.1193616270592</v>
      </c>
      <c r="G871" s="38" t="n">
        <f aca="false">IF($G$11=$E$11,$F$11,IF(U871&lt;($F$11-$E$11)/($G$11-$E$11),$E$11+SQRT(U871*($G$11-$E$11)*($F$11-$E$11)),$G$11-SQRT((1-U871)*($G$11-$E$11)*($G$11-$F$11))))</f>
        <v>0.101503784345525</v>
      </c>
      <c r="H871" s="39" t="n">
        <f aca="false">(('Business Case'!B11*$C871*'Business Case'!B12*$B871)-'Business Case'!B11*$C871*'Business Case'!B13*$D871-'Business Case'!B14*$E871)-MAX(0,(('Business Case'!B11*$C871*'Business Case'!B12*$B871)-'Business Case'!B11*$C871*'Business Case'!B13*$D871-'Business Case'!B14*$E871))*'Business Case'!$B$7-'Business Case'!$B$8*('Business Case'!B11*$C871*'Business Case'!B12*$B871)-'Business Case'!B15*$F871</f>
        <v>-2238723254.11841</v>
      </c>
      <c r="I871" s="39" t="n">
        <f aca="false">(('Business Case'!C11*$C871*'Business Case'!C12*$B871)-'Business Case'!C11*$C871*'Business Case'!C13*$D871-'Business Case'!C14*$E871)-MAX(0,(('Business Case'!C11*$C871*'Business Case'!C12*$B871)-'Business Case'!C11*$C871*'Business Case'!C13*$D871-'Business Case'!C14*$E871))*'Business Case'!$B$7-'Business Case'!$B$8*(('Business Case'!C11*$C871*'Business Case'!C12*$B871)-('Business Case'!B11*$C871*'Business Case'!B12*$B871))-'Business Case'!C15*$F871</f>
        <v>-36732549.6017014</v>
      </c>
      <c r="J871" s="39" t="n">
        <f aca="false">(('Business Case'!D11*$C871*'Business Case'!D12*$B871)-'Business Case'!D11*$C871*'Business Case'!D13*$D871-'Business Case'!D14*$E871)-MAX(0,(('Business Case'!D11*$C871*'Business Case'!D12*$B871)-'Business Case'!D11*$C871*'Business Case'!D13*$D871-'Business Case'!D14*$E871))*'Business Case'!$B$7-'Business Case'!$B$8*(('Business Case'!D11*$C871*'Business Case'!D12*$B871)-('Business Case'!C11*$C871*'Business Case'!C12*$B871))-'Business Case'!D15*$F871</f>
        <v>241486394.325557</v>
      </c>
      <c r="K871" s="39" t="n">
        <f aca="false">(('Business Case'!E11*$C871*'Business Case'!E12*$B871)-'Business Case'!E11*$C871*'Business Case'!E13*$D871-'Business Case'!E14*$E871)-MAX(0,(('Business Case'!E11*$C871*'Business Case'!E12*$B871)-'Business Case'!E11*$C871*'Business Case'!E13*$D871-'Business Case'!E14*$E871))*'Business Case'!$B$7-'Business Case'!$B$8*(('Business Case'!E11*$C871*'Business Case'!E12*$B871)-('Business Case'!D11*$C871*'Business Case'!D12*$B871))-'Business Case'!E15*$F871</f>
        <v>575673419.605776</v>
      </c>
      <c r="L871" s="39" t="n">
        <f aca="false">(('Business Case'!F11*$C871*'Business Case'!F12*$B871)-'Business Case'!F11*$C871*'Business Case'!F13*$D871-'Business Case'!F14*$E871)-MAX(0,(('Business Case'!F11*$C871*'Business Case'!F12*$B871)-'Business Case'!F11*$C871*'Business Case'!F13*$D871-'Business Case'!F14*$E871))*'Business Case'!$B$7-'Business Case'!$B$8*(('Business Case'!F11*$C871*'Business Case'!F12*$B871)-('Business Case'!E11*$C871*'Business Case'!E12*$B871))-'Business Case'!F15*$F871</f>
        <v>701173302.458522</v>
      </c>
      <c r="M871" s="39" t="n">
        <f aca="false">(('Business Case'!G11*$C871*'Business Case'!G12*$B871)-'Business Case'!G11*$C871*'Business Case'!G13*$D871-'Business Case'!G14*$E871)-MAX(0,(('Business Case'!G11*$C871*'Business Case'!G12*$B871)-'Business Case'!G11*$C871*'Business Case'!G13*$D871-'Business Case'!G14*$E871))*'Business Case'!$B$7-'Business Case'!$B$8*(('Business Case'!G11*$C871*'Business Case'!G12*$B871)-('Business Case'!F11*$C871*'Business Case'!F12*$B871))-'Business Case'!G15*$F871+'Business Case'!$B$8*('Business Case'!G11*$C871*'Business Case'!G12*$B871)</f>
        <v>881354594.281988</v>
      </c>
      <c r="N871" s="39" t="n">
        <f aca="false">IF(COUNT('Business Case'!B11:G11)=0,"",H871+NPV(G871,I871:M871))</f>
        <v>-622469572.465884</v>
      </c>
      <c r="P871" s="40" t="n">
        <f aca="true">RAND()</f>
        <v>0.770053677491287</v>
      </c>
      <c r="Q871" s="40" t="n">
        <f aca="true">RAND()</f>
        <v>0.286203065018868</v>
      </c>
      <c r="R871" s="40" t="n">
        <f aca="true">RAND()</f>
        <v>0.793156638257964</v>
      </c>
      <c r="S871" s="40" t="n">
        <f aca="true">RAND()</f>
        <v>0.978645350054573</v>
      </c>
      <c r="T871" s="40" t="n">
        <f aca="true">RAND()</f>
        <v>0.869949056189221</v>
      </c>
      <c r="U871" s="40" t="n">
        <f aca="true">RAND()</f>
        <v>0.429816677438579</v>
      </c>
    </row>
    <row r="872" customFormat="false" ht="15" hidden="false" customHeight="false" outlineLevel="0" collapsed="false">
      <c r="A872" s="36" t="n">
        <v>792</v>
      </c>
      <c r="B872" s="37" t="n">
        <f aca="false">1+IF($G$6=$E$6,$F$6,IF(P872&lt;($F$6-$E$6)/($G$6-$E$6),$E$6+SQRT(P872*($G$6-$E$6)*($F$6-$E$6)),$G$6-SQRT((1-P872)*($G$6-$E$6)*($G$6-$F$6))))</f>
        <v>0.953662887281413</v>
      </c>
      <c r="C872" s="37" t="n">
        <f aca="false">1+IF($G$7=$E$7,$F$7,IF(Q872&lt;($F$7-$E$7)/($G$7-$E$7),$E$7+SQRT(Q872*($G$7-$E$7)*($F$7-$E$7)),$G$7-SQRT((1-Q872)*($G$7-$E$7)*($G$7-$F$7))))</f>
        <v>0.884706075559862</v>
      </c>
      <c r="D872" s="37" t="n">
        <f aca="false">1+IF($G$8=$E$8,$F$8,IF(R872&lt;($F$8-$E$8)/($G$8-$E$8),$E$8+SQRT(R872*($G$8-$E$8)*($F$8-$E$8)),$G$8-SQRT((1-R872)*($G$8-$E$8)*($G$8-$F$8))))</f>
        <v>1.02881277003189</v>
      </c>
      <c r="E872" s="37" t="n">
        <f aca="false">1+IF($G$9=$E$9,$F$9,IF(S872&lt;($F$9-$E$9)/($G$9-$E$9),$E$9+SQRT(S872*($G$9-$E$9)*($F$9-$E$9)),$G$9-SQRT((1-S872)*($G$9-$E$9)*($G$9-$F$9))))</f>
        <v>1.06628220058936</v>
      </c>
      <c r="F872" s="37" t="n">
        <f aca="false">1+IF($G$10=$E$10,$F$10,IF(T872&lt;($F$10-$E$10)/($G$10-$E$10),$E$10+SQRT(T872*($G$10-$E$10)*($F$10-$E$10)),$G$10-SQRT((1-T872)*($G$10-$E$10)*($G$10-$F$10))))</f>
        <v>0.968432010287547</v>
      </c>
      <c r="G872" s="38" t="n">
        <f aca="false">IF($G$11=$E$11,$F$11,IF(U872&lt;($F$11-$E$11)/($G$11-$E$11),$E$11+SQRT(U872*($G$11-$E$11)*($F$11-$E$11)),$G$11-SQRT((1-U872)*($G$11-$E$11)*($G$11-$F$11))))</f>
        <v>0.1043819695019</v>
      </c>
      <c r="H872" s="39" t="n">
        <f aca="false">(('Business Case'!B11*$C872*'Business Case'!B12*$B872)-'Business Case'!B11*$C872*'Business Case'!B13*$D872-'Business Case'!B14*$E872)-MAX(0,(('Business Case'!B11*$C872*'Business Case'!B12*$B872)-'Business Case'!B11*$C872*'Business Case'!B13*$D872-'Business Case'!B14*$E872))*'Business Case'!$B$7-'Business Case'!$B$8*('Business Case'!B11*$C872*'Business Case'!B12*$B872)-'Business Case'!B15*$F872</f>
        <v>-1936864020.57509</v>
      </c>
      <c r="I872" s="39" t="n">
        <f aca="false">(('Business Case'!C11*$C872*'Business Case'!C12*$B872)-'Business Case'!C11*$C872*'Business Case'!C13*$D872-'Business Case'!C14*$E872)-MAX(0,(('Business Case'!C11*$C872*'Business Case'!C12*$B872)-'Business Case'!C11*$C872*'Business Case'!C13*$D872-'Business Case'!C14*$E872))*'Business Case'!$B$7-'Business Case'!$B$8*(('Business Case'!C11*$C872*'Business Case'!C12*$B872)-('Business Case'!B11*$C872*'Business Case'!B12*$B872))-'Business Case'!C15*$F872</f>
        <v>-67094184.428722</v>
      </c>
      <c r="J872" s="39" t="n">
        <f aca="false">(('Business Case'!D11*$C872*'Business Case'!D12*$B872)-'Business Case'!D11*$C872*'Business Case'!D13*$D872-'Business Case'!D14*$E872)-MAX(0,(('Business Case'!D11*$C872*'Business Case'!D12*$B872)-'Business Case'!D11*$C872*'Business Case'!D13*$D872-'Business Case'!D14*$E872))*'Business Case'!$B$7-'Business Case'!$B$8*(('Business Case'!D11*$C872*'Business Case'!D12*$B872)-('Business Case'!C11*$C872*'Business Case'!C12*$B872))-'Business Case'!D15*$F872</f>
        <v>158018157.500571</v>
      </c>
      <c r="K872" s="39" t="n">
        <f aca="false">(('Business Case'!E11*$C872*'Business Case'!E12*$B872)-'Business Case'!E11*$C872*'Business Case'!E13*$D872-'Business Case'!E14*$E872)-MAX(0,(('Business Case'!E11*$C872*'Business Case'!E12*$B872)-'Business Case'!E11*$C872*'Business Case'!E13*$D872-'Business Case'!E14*$E872))*'Business Case'!$B$7-'Business Case'!$B$8*(('Business Case'!E11*$C872*'Business Case'!E12*$B872)-('Business Case'!D11*$C872*'Business Case'!D12*$B872))-'Business Case'!E15*$F872</f>
        <v>431552099.944241</v>
      </c>
      <c r="L872" s="39" t="n">
        <f aca="false">(('Business Case'!F11*$C872*'Business Case'!F12*$B872)-'Business Case'!F11*$C872*'Business Case'!F13*$D872-'Business Case'!F14*$E872)-MAX(0,(('Business Case'!F11*$C872*'Business Case'!F12*$B872)-'Business Case'!F11*$C872*'Business Case'!F13*$D872-'Business Case'!F14*$E872))*'Business Case'!$B$7-'Business Case'!$B$8*(('Business Case'!F11*$C872*'Business Case'!F12*$B872)-('Business Case'!E11*$C872*'Business Case'!E12*$B872))-'Business Case'!F15*$F872</f>
        <v>535748211.524307</v>
      </c>
      <c r="M872" s="39" t="n">
        <f aca="false">(('Business Case'!G11*$C872*'Business Case'!G12*$B872)-'Business Case'!G11*$C872*'Business Case'!G13*$D872-'Business Case'!G14*$E872)-MAX(0,(('Business Case'!G11*$C872*'Business Case'!G12*$B872)-'Business Case'!G11*$C872*'Business Case'!G13*$D872-'Business Case'!G14*$E872))*'Business Case'!$B$7-'Business Case'!$B$8*(('Business Case'!G11*$C872*'Business Case'!G12*$B872)-('Business Case'!F11*$C872*'Business Case'!F12*$B872))-'Business Case'!G15*$F872+'Business Case'!$B$8*('Business Case'!G11*$C872*'Business Case'!G12*$B872)</f>
        <v>696120865.010967</v>
      </c>
      <c r="N872" s="39" t="n">
        <f aca="false">IF(COUNT('Business Case'!B11:G11)=0,"",H872+NPV(G872,I872:M872))</f>
        <v>-763791175.109258</v>
      </c>
      <c r="P872" s="40" t="n">
        <f aca="true">RAND()</f>
        <v>0.118040622929281</v>
      </c>
      <c r="Q872" s="40" t="n">
        <f aca="true">RAND()</f>
        <v>0.102501703382187</v>
      </c>
      <c r="R872" s="40" t="n">
        <f aca="true">RAND()</f>
        <v>0.748064181556898</v>
      </c>
      <c r="S872" s="40" t="n">
        <f aca="true">RAND()</f>
        <v>0.924207333526938</v>
      </c>
      <c r="T872" s="40" t="n">
        <f aca="true">RAND()</f>
        <v>0.027179120259219</v>
      </c>
      <c r="U872" s="40" t="n">
        <f aca="true">RAND()</f>
        <v>0.593461872267349</v>
      </c>
    </row>
    <row r="873" customFormat="false" ht="15" hidden="false" customHeight="false" outlineLevel="0" collapsed="false">
      <c r="A873" s="36" t="n">
        <v>793</v>
      </c>
      <c r="B873" s="37" t="n">
        <f aca="false">1+IF($G$6=$E$6,$F$6,IF(P873&lt;($F$6-$E$6)/($G$6-$E$6),$E$6+SQRT(P873*($G$6-$E$6)*($F$6-$E$6)),$G$6-SQRT((1-P873)*($G$6-$E$6)*($G$6-$F$6))))</f>
        <v>0.995814507584301</v>
      </c>
      <c r="C873" s="37" t="n">
        <f aca="false">1+IF($G$7=$E$7,$F$7,IF(Q873&lt;($F$7-$E$7)/($G$7-$E$7),$E$7+SQRT(Q873*($G$7-$E$7)*($F$7-$E$7)),$G$7-SQRT((1-Q873)*($G$7-$E$7)*($G$7-$F$7))))</f>
        <v>1.05523149114265</v>
      </c>
      <c r="D873" s="37" t="n">
        <f aca="false">1+IF($G$8=$E$8,$F$8,IF(R873&lt;($F$8-$E$8)/($G$8-$E$8),$E$8+SQRT(R873*($G$8-$E$8)*($F$8-$E$8)),$G$8-SQRT((1-R873)*($G$8-$E$8)*($G$8-$F$8))))</f>
        <v>0.983445960155974</v>
      </c>
      <c r="E873" s="37" t="n">
        <f aca="false">1+IF($G$9=$E$9,$F$9,IF(S873&lt;($F$9-$E$9)/($G$9-$E$9),$E$9+SQRT(S873*($G$9-$E$9)*($F$9-$E$9)),$G$9-SQRT((1-S873)*($G$9-$E$9)*($G$9-$F$9))))</f>
        <v>1.01735249783503</v>
      </c>
      <c r="F873" s="37" t="n">
        <f aca="false">1+IF($G$10=$E$10,$F$10,IF(T873&lt;($F$10-$E$10)/($G$10-$E$10),$E$10+SQRT(T873*($G$10-$E$10)*($F$10-$E$10)),$G$10-SQRT((1-T873)*($G$10-$E$10)*($G$10-$F$10))))</f>
        <v>1.11488808410312</v>
      </c>
      <c r="G873" s="38" t="n">
        <f aca="false">IF($G$11=$E$11,$F$11,IF(U873&lt;($F$11-$E$11)/($G$11-$E$11),$E$11+SQRT(U873*($G$11-$E$11)*($F$11-$E$11)),$G$11-SQRT((1-U873)*($G$11-$E$11)*($G$11-$F$11))))</f>
        <v>0.0961346124339158</v>
      </c>
      <c r="H873" s="39" t="n">
        <f aca="false">(('Business Case'!B11*$C873*'Business Case'!B12*$B873)-'Business Case'!B11*$C873*'Business Case'!B13*$D873-'Business Case'!B14*$E873)-MAX(0,(('Business Case'!B11*$C873*'Business Case'!B12*$B873)-'Business Case'!B11*$C873*'Business Case'!B13*$D873-'Business Case'!B14*$E873))*'Business Case'!$B$7-'Business Case'!$B$8*('Business Case'!B11*$C873*'Business Case'!B12*$B873)-'Business Case'!B15*$F873</f>
        <v>-2229776168.20624</v>
      </c>
      <c r="I873" s="39" t="n">
        <f aca="false">(('Business Case'!C11*$C873*'Business Case'!C12*$B873)-'Business Case'!C11*$C873*'Business Case'!C13*$D873-'Business Case'!C14*$E873)-MAX(0,(('Business Case'!C11*$C873*'Business Case'!C12*$B873)-'Business Case'!C11*$C873*'Business Case'!C13*$D873-'Business Case'!C14*$E873))*'Business Case'!$B$7-'Business Case'!$B$8*(('Business Case'!C11*$C873*'Business Case'!C12*$B873)-('Business Case'!B11*$C873*'Business Case'!B12*$B873))-'Business Case'!C15*$F873</f>
        <v>18810718.1049408</v>
      </c>
      <c r="J873" s="39" t="n">
        <f aca="false">(('Business Case'!D11*$C873*'Business Case'!D12*$B873)-'Business Case'!D11*$C873*'Business Case'!D13*$D873-'Business Case'!D14*$E873)-MAX(0,(('Business Case'!D11*$C873*'Business Case'!D12*$B873)-'Business Case'!D11*$C873*'Business Case'!D13*$D873-'Business Case'!D14*$E873))*'Business Case'!$B$7-'Business Case'!$B$8*(('Business Case'!D11*$C873*'Business Case'!D12*$B873)-('Business Case'!C11*$C873*'Business Case'!C12*$B873))-'Business Case'!D15*$F873</f>
        <v>348252010.482359</v>
      </c>
      <c r="K873" s="39" t="n">
        <f aca="false">(('Business Case'!E11*$C873*'Business Case'!E12*$B873)-'Business Case'!E11*$C873*'Business Case'!E13*$D873-'Business Case'!E14*$E873)-MAX(0,(('Business Case'!E11*$C873*'Business Case'!E12*$B873)-'Business Case'!E11*$C873*'Business Case'!E13*$D873-'Business Case'!E14*$E873))*'Business Case'!$B$7-'Business Case'!$B$8*(('Business Case'!E11*$C873*'Business Case'!E12*$B873)-('Business Case'!D11*$C873*'Business Case'!D12*$B873))-'Business Case'!E15*$F873</f>
        <v>733437707.064933</v>
      </c>
      <c r="L873" s="39" t="n">
        <f aca="false">(('Business Case'!F11*$C873*'Business Case'!F12*$B873)-'Business Case'!F11*$C873*'Business Case'!F13*$D873-'Business Case'!F14*$E873)-MAX(0,(('Business Case'!F11*$C873*'Business Case'!F12*$B873)-'Business Case'!F11*$C873*'Business Case'!F13*$D873-'Business Case'!F14*$E873))*'Business Case'!$B$7-'Business Case'!$B$8*(('Business Case'!F11*$C873*'Business Case'!F12*$B873)-('Business Case'!E11*$C873*'Business Case'!E12*$B873))-'Business Case'!F15*$F873</f>
        <v>879567631.637422</v>
      </c>
      <c r="M873" s="39" t="n">
        <f aca="false">(('Business Case'!G11*$C873*'Business Case'!G12*$B873)-'Business Case'!G11*$C873*'Business Case'!G13*$D873-'Business Case'!G14*$E873)-MAX(0,(('Business Case'!G11*$C873*'Business Case'!G12*$B873)-'Business Case'!G11*$C873*'Business Case'!G13*$D873-'Business Case'!G14*$E873))*'Business Case'!$B$7-'Business Case'!$B$8*(('Business Case'!G11*$C873*'Business Case'!G12*$B873)-('Business Case'!F11*$C873*'Business Case'!F12*$B873))-'Business Case'!G15*$F873+'Business Case'!$B$8*('Business Case'!G11*$C873*'Business Case'!G12*$B873)</f>
        <v>1079306514.09418</v>
      </c>
      <c r="N873" s="39" t="n">
        <f aca="false">IF(COUNT('Business Case'!B11:G11)=0,"",H873+NPV(G873,I873:M873))</f>
        <v>-74537669.6784678</v>
      </c>
      <c r="P873" s="40" t="n">
        <f aca="true">RAND()</f>
        <v>0.598733287526038</v>
      </c>
      <c r="Q873" s="40" t="n">
        <f aca="true">RAND()</f>
        <v>0.828931994837237</v>
      </c>
      <c r="R873" s="40" t="n">
        <f aca="true">RAND()</f>
        <v>0.172097269346928</v>
      </c>
      <c r="S873" s="40" t="n">
        <f aca="true">RAND()</f>
        <v>0.544626025726089</v>
      </c>
      <c r="T873" s="40" t="n">
        <f aca="true">RAND()</f>
        <v>0.855119235447242</v>
      </c>
      <c r="U873" s="40" t="n">
        <f aca="true">RAND()</f>
        <v>0.125444899047847</v>
      </c>
    </row>
    <row r="874" customFormat="false" ht="15" hidden="false" customHeight="false" outlineLevel="0" collapsed="false">
      <c r="A874" s="36" t="n">
        <v>794</v>
      </c>
      <c r="B874" s="37" t="n">
        <f aca="false">1+IF($G$6=$E$6,$F$6,IF(P874&lt;($F$6-$E$6)/($G$6-$E$6),$E$6+SQRT(P874*($G$6-$E$6)*($F$6-$E$6)),$G$6-SQRT((1-P874)*($G$6-$E$6)*($G$6-$F$6))))</f>
        <v>0.94170077282202</v>
      </c>
      <c r="C874" s="37" t="n">
        <f aca="false">1+IF($G$7=$E$7,$F$7,IF(Q874&lt;($F$7-$E$7)/($G$7-$E$7),$E$7+SQRT(Q874*($G$7-$E$7)*($F$7-$E$7)),$G$7-SQRT((1-Q874)*($G$7-$E$7)*($G$7-$F$7))))</f>
        <v>0.996251657022327</v>
      </c>
      <c r="D874" s="37" t="n">
        <f aca="false">1+IF($G$8=$E$8,$F$8,IF(R874&lt;($F$8-$E$8)/($G$8-$E$8),$E$8+SQRT(R874*($G$8-$E$8)*($F$8-$E$8)),$G$8-SQRT((1-R874)*($G$8-$E$8)*($G$8-$F$8))))</f>
        <v>0.99917715538178</v>
      </c>
      <c r="E874" s="37" t="n">
        <f aca="false">1+IF($G$9=$E$9,$F$9,IF(S874&lt;($F$9-$E$9)/($G$9-$E$9),$E$9+SQRT(S874*($G$9-$E$9)*($F$9-$E$9)),$G$9-SQRT((1-S874)*($G$9-$E$9)*($G$9-$F$9))))</f>
        <v>1.02424549018699</v>
      </c>
      <c r="F874" s="37" t="n">
        <f aca="false">1+IF($G$10=$E$10,$F$10,IF(T874&lt;($F$10-$E$10)/($G$10-$E$10),$E$10+SQRT(T874*($G$10-$E$10)*($F$10-$E$10)),$G$10-SQRT((1-T874)*($G$10-$E$10)*($G$10-$F$10))))</f>
        <v>1.07608790797825</v>
      </c>
      <c r="G874" s="38" t="n">
        <f aca="false">IF($G$11=$E$11,$F$11,IF(U874&lt;($F$11-$E$11)/($G$11-$E$11),$E$11+SQRT(U874*($G$11-$E$11)*($F$11-$E$11)),$G$11-SQRT((1-U874)*($G$11-$E$11)*($G$11-$F$11))))</f>
        <v>0.095277100389004</v>
      </c>
      <c r="H874" s="39" t="n">
        <f aca="false">(('Business Case'!B11*$C874*'Business Case'!B12*$B874)-'Business Case'!B11*$C874*'Business Case'!B13*$D874-'Business Case'!B14*$E874)-MAX(0,(('Business Case'!B11*$C874*'Business Case'!B12*$B874)-'Business Case'!B11*$C874*'Business Case'!B13*$D874-'Business Case'!B14*$E874))*'Business Case'!$B$7-'Business Case'!$B$8*('Business Case'!B11*$C874*'Business Case'!B12*$B874)-'Business Case'!B15*$F874</f>
        <v>-2152175815.95649</v>
      </c>
      <c r="I874" s="39" t="n">
        <f aca="false">(('Business Case'!C11*$C874*'Business Case'!C12*$B874)-'Business Case'!C11*$C874*'Business Case'!C13*$D874-'Business Case'!C14*$E874)-MAX(0,(('Business Case'!C11*$C874*'Business Case'!C12*$B874)-'Business Case'!C11*$C874*'Business Case'!C13*$D874-'Business Case'!C14*$E874))*'Business Case'!$B$7-'Business Case'!$B$8*(('Business Case'!C11*$C874*'Business Case'!C12*$B874)-('Business Case'!B11*$C874*'Business Case'!B12*$B874))-'Business Case'!C15*$F874</f>
        <v>-43043217.6553192</v>
      </c>
      <c r="J874" s="39" t="n">
        <f aca="false">(('Business Case'!D11*$C874*'Business Case'!D12*$B874)-'Business Case'!D11*$C874*'Business Case'!D13*$D874-'Business Case'!D14*$E874)-MAX(0,(('Business Case'!D11*$C874*'Business Case'!D12*$B874)-'Business Case'!D11*$C874*'Business Case'!D13*$D874-'Business Case'!D14*$E874))*'Business Case'!$B$7-'Business Case'!$B$8*(('Business Case'!D11*$C874*'Business Case'!D12*$B874)-('Business Case'!C11*$C874*'Business Case'!C12*$B874))-'Business Case'!D15*$F874</f>
        <v>215804846.516764</v>
      </c>
      <c r="K874" s="39" t="n">
        <f aca="false">(('Business Case'!E11*$C874*'Business Case'!E12*$B874)-'Business Case'!E11*$C874*'Business Case'!E13*$D874-'Business Case'!E14*$E874)-MAX(0,(('Business Case'!E11*$C874*'Business Case'!E12*$B874)-'Business Case'!E11*$C874*'Business Case'!E13*$D874-'Business Case'!E14*$E874))*'Business Case'!$B$7-'Business Case'!$B$8*(('Business Case'!E11*$C874*'Business Case'!E12*$B874)-('Business Case'!D11*$C874*'Business Case'!D12*$B874))-'Business Case'!E15*$F874</f>
        <v>528457306.08776</v>
      </c>
      <c r="L874" s="39" t="n">
        <f aca="false">(('Business Case'!F11*$C874*'Business Case'!F12*$B874)-'Business Case'!F11*$C874*'Business Case'!F13*$D874-'Business Case'!F14*$E874)-MAX(0,(('Business Case'!F11*$C874*'Business Case'!F12*$B874)-'Business Case'!F11*$C874*'Business Case'!F13*$D874-'Business Case'!F14*$E874))*'Business Case'!$B$7-'Business Case'!$B$8*(('Business Case'!F11*$C874*'Business Case'!F12*$B874)-('Business Case'!E11*$C874*'Business Case'!E12*$B874))-'Business Case'!F15*$F874</f>
        <v>647163182.36178</v>
      </c>
      <c r="M874" s="39" t="n">
        <f aca="false">(('Business Case'!G11*$C874*'Business Case'!G12*$B874)-'Business Case'!G11*$C874*'Business Case'!G13*$D874-'Business Case'!G14*$E874)-MAX(0,(('Business Case'!G11*$C874*'Business Case'!G12*$B874)-'Business Case'!G11*$C874*'Business Case'!G13*$D874-'Business Case'!G14*$E874))*'Business Case'!$B$7-'Business Case'!$B$8*(('Business Case'!G11*$C874*'Business Case'!G12*$B874)-('Business Case'!F11*$C874*'Business Case'!F12*$B874))-'Business Case'!G15*$F874+'Business Case'!$B$8*('Business Case'!G11*$C874*'Business Case'!G12*$B874)</f>
        <v>825490717.553404</v>
      </c>
      <c r="N874" s="39" t="n">
        <f aca="false">IF(COUNT('Business Case'!B11:G11)=0,"",H874+NPV(G874,I874:M874))</f>
        <v>-635979812.792547</v>
      </c>
      <c r="P874" s="40" t="n">
        <f aca="true">RAND()</f>
        <v>0.049054535528428</v>
      </c>
      <c r="Q874" s="40" t="n">
        <f aca="true">RAND()</f>
        <v>0.550210184057271</v>
      </c>
      <c r="R874" s="40" t="n">
        <f aca="true">RAND()</f>
        <v>0.372060401760576</v>
      </c>
      <c r="S874" s="40" t="n">
        <f aca="true">RAND()</f>
        <v>0.617416949532657</v>
      </c>
      <c r="T874" s="40" t="n">
        <f aca="true">RAND()</f>
        <v>0.692915869015848</v>
      </c>
      <c r="U874" s="40" t="n">
        <f aca="true">RAND()</f>
        <v>0.0928259617187524</v>
      </c>
    </row>
    <row r="875" customFormat="false" ht="15" hidden="false" customHeight="false" outlineLevel="0" collapsed="false">
      <c r="A875" s="36" t="n">
        <v>795</v>
      </c>
      <c r="B875" s="37" t="n">
        <f aca="false">1+IF($G$6=$E$6,$F$6,IF(P875&lt;($F$6-$E$6)/($G$6-$E$6),$E$6+SQRT(P875*($G$6-$E$6)*($F$6-$E$6)),$G$6-SQRT((1-P875)*($G$6-$E$6)*($G$6-$F$6))))</f>
        <v>0.932153301613588</v>
      </c>
      <c r="C875" s="37" t="n">
        <f aca="false">1+IF($G$7=$E$7,$F$7,IF(Q875&lt;($F$7-$E$7)/($G$7-$E$7),$E$7+SQRT(Q875*($G$7-$E$7)*($F$7-$E$7)),$G$7-SQRT((1-Q875)*($G$7-$E$7)*($G$7-$F$7))))</f>
        <v>1.02786312801989</v>
      </c>
      <c r="D875" s="37" t="n">
        <f aca="false">1+IF($G$8=$E$8,$F$8,IF(R875&lt;($F$8-$E$8)/($G$8-$E$8),$E$8+SQRT(R875*($G$8-$E$8)*($F$8-$E$8)),$G$8-SQRT((1-R875)*($G$8-$E$8)*($G$8-$F$8))))</f>
        <v>1.051759888018</v>
      </c>
      <c r="E875" s="37" t="n">
        <f aca="false">1+IF($G$9=$E$9,$F$9,IF(S875&lt;($F$9-$E$9)/($G$9-$E$9),$E$9+SQRT(S875*($G$9-$E$9)*($F$9-$E$9)),$G$9-SQRT((1-S875)*($G$9-$E$9)*($G$9-$F$9))))</f>
        <v>1.04276001601664</v>
      </c>
      <c r="F875" s="37" t="n">
        <f aca="false">1+IF($G$10=$E$10,$F$10,IF(T875&lt;($F$10-$E$10)/($G$10-$E$10),$E$10+SQRT(T875*($G$10-$E$10)*($F$10-$E$10)),$G$10-SQRT((1-T875)*($G$10-$E$10)*($G$10-$F$10))))</f>
        <v>0.980832214321594</v>
      </c>
      <c r="G875" s="38" t="n">
        <f aca="false">IF($G$11=$E$11,$F$11,IF(U875&lt;($F$11-$E$11)/($G$11-$E$11),$E$11+SQRT(U875*($G$11-$E$11)*($F$11-$E$11)),$G$11-SQRT((1-U875)*($G$11-$E$11)*($G$11-$F$11))))</f>
        <v>0.107777243581755</v>
      </c>
      <c r="H875" s="39" t="n">
        <f aca="false">(('Business Case'!B11*$C875*'Business Case'!B12*$B875)-'Business Case'!B11*$C875*'Business Case'!B13*$D875-'Business Case'!B14*$E875)-MAX(0,(('Business Case'!B11*$C875*'Business Case'!B12*$B875)-'Business Case'!B11*$C875*'Business Case'!B13*$D875-'Business Case'!B14*$E875))*'Business Case'!$B$7-'Business Case'!$B$8*('Business Case'!B11*$C875*'Business Case'!B12*$B875)-'Business Case'!B15*$F875</f>
        <v>-1961664428.64319</v>
      </c>
      <c r="I875" s="39" t="n">
        <f aca="false">(('Business Case'!C11*$C875*'Business Case'!C12*$B875)-'Business Case'!C11*$C875*'Business Case'!C13*$D875-'Business Case'!C14*$E875)-MAX(0,(('Business Case'!C11*$C875*'Business Case'!C12*$B875)-'Business Case'!C11*$C875*'Business Case'!C13*$D875-'Business Case'!C14*$E875))*'Business Case'!$B$7-'Business Case'!$B$8*(('Business Case'!C11*$C875*'Business Case'!C12*$B875)-('Business Case'!B11*$C875*'Business Case'!B12*$B875))-'Business Case'!C15*$F875</f>
        <v>-64677663.5366101</v>
      </c>
      <c r="J875" s="39" t="n">
        <f aca="false">(('Business Case'!D11*$C875*'Business Case'!D12*$B875)-'Business Case'!D11*$C875*'Business Case'!D13*$D875-'Business Case'!D14*$E875)-MAX(0,(('Business Case'!D11*$C875*'Business Case'!D12*$B875)-'Business Case'!D11*$C875*'Business Case'!D13*$D875-'Business Case'!D14*$E875))*'Business Case'!$B$7-'Business Case'!$B$8*(('Business Case'!D11*$C875*'Business Case'!D12*$B875)-('Business Case'!C11*$C875*'Business Case'!C12*$B875))-'Business Case'!D15*$F875</f>
        <v>166677620.911474</v>
      </c>
      <c r="K875" s="39" t="n">
        <f aca="false">(('Business Case'!E11*$C875*'Business Case'!E12*$B875)-'Business Case'!E11*$C875*'Business Case'!E13*$D875-'Business Case'!E14*$E875)-MAX(0,(('Business Case'!E11*$C875*'Business Case'!E12*$B875)-'Business Case'!E11*$C875*'Business Case'!E13*$D875-'Business Case'!E14*$E875))*'Business Case'!$B$7-'Business Case'!$B$8*(('Business Case'!E11*$C875*'Business Case'!E12*$B875)-('Business Case'!D11*$C875*'Business Case'!D12*$B875))-'Business Case'!E15*$F875</f>
        <v>447074516.075638</v>
      </c>
      <c r="L875" s="39" t="n">
        <f aca="false">(('Business Case'!F11*$C875*'Business Case'!F12*$B875)-'Business Case'!F11*$C875*'Business Case'!F13*$D875-'Business Case'!F14*$E875)-MAX(0,(('Business Case'!F11*$C875*'Business Case'!F12*$B875)-'Business Case'!F11*$C875*'Business Case'!F13*$D875-'Business Case'!F14*$E875))*'Business Case'!$B$7-'Business Case'!$B$8*(('Business Case'!F11*$C875*'Business Case'!F12*$B875)-('Business Case'!E11*$C875*'Business Case'!E12*$B875))-'Business Case'!F15*$F875</f>
        <v>557305779.074979</v>
      </c>
      <c r="M875" s="39" t="n">
        <f aca="false">(('Business Case'!G11*$C875*'Business Case'!G12*$B875)-'Business Case'!G11*$C875*'Business Case'!G13*$D875-'Business Case'!G14*$E875)-MAX(0,(('Business Case'!G11*$C875*'Business Case'!G12*$B875)-'Business Case'!G11*$C875*'Business Case'!G13*$D875-'Business Case'!G14*$E875))*'Business Case'!$B$7-'Business Case'!$B$8*(('Business Case'!G11*$C875*'Business Case'!G12*$B875)-('Business Case'!F11*$C875*'Business Case'!F12*$B875))-'Business Case'!G15*$F875+'Business Case'!$B$8*('Business Case'!G11*$C875*'Business Case'!G12*$B875)</f>
        <v>739426370.749865</v>
      </c>
      <c r="N875" s="39" t="n">
        <f aca="false">IF(COUNT('Business Case'!B11:G11)=0,"",H875+NPV(G875,I875:M875))</f>
        <v>-742054464.265089</v>
      </c>
      <c r="P875" s="40" t="n">
        <f aca="true">RAND()</f>
        <v>0.0153857020948782</v>
      </c>
      <c r="Q875" s="40" t="n">
        <f aca="true">RAND()</f>
        <v>0.715858752436444</v>
      </c>
      <c r="R875" s="40" t="n">
        <f aca="true">RAND()</f>
        <v>0.923316930311923</v>
      </c>
      <c r="S875" s="40" t="n">
        <f aca="true">RAND()</f>
        <v>0.781572282238953</v>
      </c>
      <c r="T875" s="40" t="n">
        <f aca="true">RAND()</f>
        <v>0.0760500351978184</v>
      </c>
      <c r="U875" s="40" t="n">
        <f aca="true">RAND()</f>
        <v>0.751007042567075</v>
      </c>
    </row>
    <row r="876" customFormat="false" ht="15" hidden="false" customHeight="false" outlineLevel="0" collapsed="false">
      <c r="A876" s="36" t="n">
        <v>796</v>
      </c>
      <c r="B876" s="37" t="n">
        <f aca="false">1+IF($G$6=$E$6,$F$6,IF(P876&lt;($F$6-$E$6)/($G$6-$E$6),$E$6+SQRT(P876*($G$6-$E$6)*($F$6-$E$6)),$G$6-SQRT((1-P876)*($G$6-$E$6)*($G$6-$F$6))))</f>
        <v>1.0314744856053</v>
      </c>
      <c r="C876" s="37" t="n">
        <f aca="false">1+IF($G$7=$E$7,$F$7,IF(Q876&lt;($F$7-$E$7)/($G$7-$E$7),$E$7+SQRT(Q876*($G$7-$E$7)*($F$7-$E$7)),$G$7-SQRT((1-Q876)*($G$7-$E$7)*($G$7-$F$7))))</f>
        <v>0.979672596247232</v>
      </c>
      <c r="D876" s="37" t="n">
        <f aca="false">1+IF($G$8=$E$8,$F$8,IF(R876&lt;($F$8-$E$8)/($G$8-$E$8),$E$8+SQRT(R876*($G$8-$E$8)*($F$8-$E$8)),$G$8-SQRT((1-R876)*($G$8-$E$8)*($G$8-$F$8))))</f>
        <v>1.03445112631965</v>
      </c>
      <c r="E876" s="37" t="n">
        <f aca="false">1+IF($G$9=$E$9,$F$9,IF(S876&lt;($F$9-$E$9)/($G$9-$E$9),$E$9+SQRT(S876*($G$9-$E$9)*($F$9-$E$9)),$G$9-SQRT((1-S876)*($G$9-$E$9)*($G$9-$F$9))))</f>
        <v>1.05957362336555</v>
      </c>
      <c r="F876" s="37" t="n">
        <f aca="false">1+IF($G$10=$E$10,$F$10,IF(T876&lt;($F$10-$E$10)/($G$10-$E$10),$E$10+SQRT(T876*($G$10-$E$10)*($F$10-$E$10)),$G$10-SQRT((1-T876)*($G$10-$E$10)*($G$10-$F$10))))</f>
        <v>1.077474189383</v>
      </c>
      <c r="G876" s="38" t="n">
        <f aca="false">IF($G$11=$E$11,$F$11,IF(U876&lt;($F$11-$E$11)/($G$11-$E$11),$E$11+SQRT(U876*($G$11-$E$11)*($F$11-$E$11)),$G$11-SQRT((1-U876)*($G$11-$E$11)*($G$11-$F$11))))</f>
        <v>0.0966841441644825</v>
      </c>
      <c r="H876" s="39" t="n">
        <f aca="false">(('Business Case'!B11*$C876*'Business Case'!B12*$B876)-'Business Case'!B11*$C876*'Business Case'!B13*$D876-'Business Case'!B14*$E876)-MAX(0,(('Business Case'!B11*$C876*'Business Case'!B12*$B876)-'Business Case'!B11*$C876*'Business Case'!B13*$D876-'Business Case'!B14*$E876))*'Business Case'!$B$7-'Business Case'!$B$8*('Business Case'!B11*$C876*'Business Case'!B12*$B876)-'Business Case'!B15*$F876</f>
        <v>-2154948378.766</v>
      </c>
      <c r="I876" s="39" t="n">
        <f aca="false">(('Business Case'!C11*$C876*'Business Case'!C12*$B876)-'Business Case'!C11*$C876*'Business Case'!C13*$D876-'Business Case'!C14*$E876)-MAX(0,(('Business Case'!C11*$C876*'Business Case'!C12*$B876)-'Business Case'!C11*$C876*'Business Case'!C13*$D876-'Business Case'!C14*$E876))*'Business Case'!$B$7-'Business Case'!$B$8*(('Business Case'!C11*$C876*'Business Case'!C12*$B876)-('Business Case'!B11*$C876*'Business Case'!B12*$B876))-'Business Case'!C15*$F876</f>
        <v>-1916978.62967689</v>
      </c>
      <c r="J876" s="39" t="n">
        <f aca="false">(('Business Case'!D11*$C876*'Business Case'!D12*$B876)-'Business Case'!D11*$C876*'Business Case'!D13*$D876-'Business Case'!D14*$E876)-MAX(0,(('Business Case'!D11*$C876*'Business Case'!D12*$B876)-'Business Case'!D11*$C876*'Business Case'!D13*$D876-'Business Case'!D14*$E876))*'Business Case'!$B$7-'Business Case'!$B$8*(('Business Case'!D11*$C876*'Business Case'!D12*$B876)-('Business Case'!C11*$C876*'Business Case'!C12*$B876))-'Business Case'!D15*$F876</f>
        <v>306969528.693901</v>
      </c>
      <c r="K876" s="39" t="n">
        <f aca="false">(('Business Case'!E11*$C876*'Business Case'!E12*$B876)-'Business Case'!E11*$C876*'Business Case'!E13*$D876-'Business Case'!E14*$E876)-MAX(0,(('Business Case'!E11*$C876*'Business Case'!E12*$B876)-'Business Case'!E11*$C876*'Business Case'!E13*$D876-'Business Case'!E14*$E876))*'Business Case'!$B$7-'Business Case'!$B$8*(('Business Case'!E11*$C876*'Business Case'!E12*$B876)-('Business Case'!D11*$C876*'Business Case'!D12*$B876))-'Business Case'!E15*$F876</f>
        <v>669729745.48663</v>
      </c>
      <c r="L876" s="39" t="n">
        <f aca="false">(('Business Case'!F11*$C876*'Business Case'!F12*$B876)-'Business Case'!F11*$C876*'Business Case'!F13*$D876-'Business Case'!F14*$E876)-MAX(0,(('Business Case'!F11*$C876*'Business Case'!F12*$B876)-'Business Case'!F11*$C876*'Business Case'!F13*$D876-'Business Case'!F14*$E876))*'Business Case'!$B$7-'Business Case'!$B$8*(('Business Case'!F11*$C876*'Business Case'!F12*$B876)-('Business Case'!E11*$C876*'Business Case'!E12*$B876))-'Business Case'!F15*$F876</f>
        <v>807615046.442739</v>
      </c>
      <c r="M876" s="39" t="n">
        <f aca="false">(('Business Case'!G11*$C876*'Business Case'!G12*$B876)-'Business Case'!G11*$C876*'Business Case'!G13*$D876-'Business Case'!G14*$E876)-MAX(0,(('Business Case'!G11*$C876*'Business Case'!G12*$B876)-'Business Case'!G11*$C876*'Business Case'!G13*$D876-'Business Case'!G14*$E876))*'Business Case'!$B$7-'Business Case'!$B$8*(('Business Case'!G11*$C876*'Business Case'!G12*$B876)-('Business Case'!F11*$C876*'Business Case'!F12*$B876))-'Business Case'!G15*$F876+'Business Case'!$B$8*('Business Case'!G11*$C876*'Business Case'!G12*$B876)</f>
        <v>999692271.608108</v>
      </c>
      <c r="N876" s="39" t="n">
        <f aca="false">IF(COUNT('Business Case'!B11:G11)=0,"",H876+NPV(G876,I876:M876))</f>
        <v>-205225646.204468</v>
      </c>
      <c r="P876" s="40" t="n">
        <f aca="true">RAND()</f>
        <v>0.984857417563703</v>
      </c>
      <c r="Q876" s="40" t="n">
        <f aca="true">RAND()</f>
        <v>0.461174883460295</v>
      </c>
      <c r="R876" s="40" t="n">
        <f aca="true">RAND()</f>
        <v>0.800509625620332</v>
      </c>
      <c r="S876" s="40" t="n">
        <f aca="true">RAND()</f>
        <v>0.891047204813988</v>
      </c>
      <c r="T876" s="40" t="n">
        <f aca="true">RAND()</f>
        <v>0.699748514652951</v>
      </c>
      <c r="U876" s="40" t="n">
        <f aca="true">RAND()</f>
        <v>0.148925944038618</v>
      </c>
    </row>
    <row r="877" customFormat="false" ht="15" hidden="false" customHeight="false" outlineLevel="0" collapsed="false">
      <c r="A877" s="36" t="n">
        <v>797</v>
      </c>
      <c r="B877" s="37" t="n">
        <f aca="false">1+IF($G$6=$E$6,$F$6,IF(P877&lt;($F$6-$E$6)/($G$6-$E$6),$E$6+SQRT(P877*($G$6-$E$6)*($F$6-$E$6)),$G$6-SQRT((1-P877)*($G$6-$E$6)*($G$6-$F$6))))</f>
        <v>1.0286167384184</v>
      </c>
      <c r="C877" s="37" t="n">
        <f aca="false">1+IF($G$7=$E$7,$F$7,IF(Q877&lt;($F$7-$E$7)/($G$7-$E$7),$E$7+SQRT(Q877*($G$7-$E$7)*($F$7-$E$7)),$G$7-SQRT((1-Q877)*($G$7-$E$7)*($G$7-$F$7))))</f>
        <v>1.11552652364976</v>
      </c>
      <c r="D877" s="37" t="n">
        <f aca="false">1+IF($G$8=$E$8,$F$8,IF(R877&lt;($F$8-$E$8)/($G$8-$E$8),$E$8+SQRT(R877*($G$8-$E$8)*($F$8-$E$8)),$G$8-SQRT((1-R877)*($G$8-$E$8)*($G$8-$F$8))))</f>
        <v>1.04161261876131</v>
      </c>
      <c r="E877" s="37" t="n">
        <f aca="false">1+IF($G$9=$E$9,$F$9,IF(S877&lt;($F$9-$E$9)/($G$9-$E$9),$E$9+SQRT(S877*($G$9-$E$9)*($F$9-$E$9)),$G$9-SQRT((1-S877)*($G$9-$E$9)*($G$9-$F$9))))</f>
        <v>1.02264618005573</v>
      </c>
      <c r="F877" s="37" t="n">
        <f aca="false">1+IF($G$10=$E$10,$F$10,IF(T877&lt;($F$10-$E$10)/($G$10-$E$10),$E$10+SQRT(T877*($G$10-$E$10)*($F$10-$E$10)),$G$10-SQRT((1-T877)*($G$10-$E$10)*($G$10-$F$10))))</f>
        <v>1.06556230524001</v>
      </c>
      <c r="G877" s="38" t="n">
        <f aca="false">IF($G$11=$E$11,$F$11,IF(U877&lt;($F$11-$E$11)/($G$11-$E$11),$E$11+SQRT(U877*($G$11-$E$11)*($F$11-$E$11)),$G$11-SQRT((1-U877)*($G$11-$E$11)*($G$11-$F$11))))</f>
        <v>0.0960105500535415</v>
      </c>
      <c r="H877" s="39" t="n">
        <f aca="false">(('Business Case'!B11*$C877*'Business Case'!B12*$B877)-'Business Case'!B11*$C877*'Business Case'!B13*$D877-'Business Case'!B14*$E877)-MAX(0,(('Business Case'!B11*$C877*'Business Case'!B12*$B877)-'Business Case'!B11*$C877*'Business Case'!B13*$D877-'Business Case'!B14*$E877))*'Business Case'!$B$7-'Business Case'!$B$8*('Business Case'!B11*$C877*'Business Case'!B12*$B877)-'Business Case'!B15*$F877</f>
        <v>-2131124610.48002</v>
      </c>
      <c r="I877" s="39" t="n">
        <f aca="false">(('Business Case'!C11*$C877*'Business Case'!C12*$B877)-'Business Case'!C11*$C877*'Business Case'!C13*$D877-'Business Case'!C14*$E877)-MAX(0,(('Business Case'!C11*$C877*'Business Case'!C12*$B877)-'Business Case'!C11*$C877*'Business Case'!C13*$D877-'Business Case'!C14*$E877))*'Business Case'!$B$7-'Business Case'!$B$8*(('Business Case'!C11*$C877*'Business Case'!C12*$B877)-('Business Case'!B11*$C877*'Business Case'!B12*$B877))-'Business Case'!C15*$F877</f>
        <v>33559614.8842163</v>
      </c>
      <c r="J877" s="39" t="n">
        <f aca="false">(('Business Case'!D11*$C877*'Business Case'!D12*$B877)-'Business Case'!D11*$C877*'Business Case'!D13*$D877-'Business Case'!D14*$E877)-MAX(0,(('Business Case'!D11*$C877*'Business Case'!D12*$B877)-'Business Case'!D11*$C877*'Business Case'!D13*$D877-'Business Case'!D14*$E877))*'Business Case'!$B$7-'Business Case'!$B$8*(('Business Case'!D11*$C877*'Business Case'!D12*$B877)-('Business Case'!C11*$C877*'Business Case'!C12*$B877))-'Business Case'!D15*$F877</f>
        <v>378579516.443201</v>
      </c>
      <c r="K877" s="39" t="n">
        <f aca="false">(('Business Case'!E11*$C877*'Business Case'!E12*$B877)-'Business Case'!E11*$C877*'Business Case'!E13*$D877-'Business Case'!E14*$E877)-MAX(0,(('Business Case'!E11*$C877*'Business Case'!E12*$B877)-'Business Case'!E11*$C877*'Business Case'!E13*$D877-'Business Case'!E14*$E877))*'Business Case'!$B$7-'Business Case'!$B$8*(('Business Case'!E11*$C877*'Business Case'!E12*$B877)-('Business Case'!D11*$C877*'Business Case'!D12*$B877))-'Business Case'!E15*$F877</f>
        <v>776877533.264187</v>
      </c>
      <c r="L877" s="39" t="n">
        <f aca="false">(('Business Case'!F11*$C877*'Business Case'!F12*$B877)-'Business Case'!F11*$C877*'Business Case'!F13*$D877-'Business Case'!F14*$E877)-MAX(0,(('Business Case'!F11*$C877*'Business Case'!F12*$B877)-'Business Case'!F11*$C877*'Business Case'!F13*$D877-'Business Case'!F14*$E877))*'Business Case'!$B$7-'Business Case'!$B$8*(('Business Case'!F11*$C877*'Business Case'!F12*$B877)-('Business Case'!E11*$C877*'Business Case'!E12*$B877))-'Business Case'!F15*$F877</f>
        <v>931540013.348411</v>
      </c>
      <c r="M877" s="39" t="n">
        <f aca="false">(('Business Case'!G11*$C877*'Business Case'!G12*$B877)-'Business Case'!G11*$C877*'Business Case'!G13*$D877-'Business Case'!G14*$E877)-MAX(0,(('Business Case'!G11*$C877*'Business Case'!G12*$B877)-'Business Case'!G11*$C877*'Business Case'!G13*$D877-'Business Case'!G14*$E877))*'Business Case'!$B$7-'Business Case'!$B$8*(('Business Case'!G11*$C877*'Business Case'!G12*$B877)-('Business Case'!F11*$C877*'Business Case'!F12*$B877))-'Business Case'!G15*$F877+'Business Case'!$B$8*('Business Case'!G11*$C877*'Business Case'!G12*$B877)</f>
        <v>1149647167.62017</v>
      </c>
      <c r="N877" s="39" t="n">
        <f aca="false">IF(COUNT('Business Case'!B11:G11)=0,"",H877+NPV(G877,I877:M877))</f>
        <v>177225263.690517</v>
      </c>
      <c r="P877" s="40" t="n">
        <f aca="true">RAND()</f>
        <v>0.973004449117671</v>
      </c>
      <c r="Q877" s="40" t="n">
        <f aca="true">RAND()</f>
        <v>0.977363417682471</v>
      </c>
      <c r="R877" s="40" t="n">
        <f aca="true">RAND()</f>
        <v>0.858308554003435</v>
      </c>
      <c r="S877" s="40" t="n">
        <f aca="true">RAND()</f>
        <v>0.601092436001969</v>
      </c>
      <c r="T877" s="40" t="n">
        <f aca="true">RAND()</f>
        <v>0.638530124552386</v>
      </c>
      <c r="U877" s="40" t="n">
        <f aca="true">RAND()</f>
        <v>0.120422373153759</v>
      </c>
    </row>
    <row r="878" customFormat="false" ht="15" hidden="false" customHeight="false" outlineLevel="0" collapsed="false">
      <c r="A878" s="36" t="n">
        <v>798</v>
      </c>
      <c r="B878" s="37" t="n">
        <f aca="false">1+IF($G$6=$E$6,$F$6,IF(P878&lt;($F$6-$E$6)/($G$6-$E$6),$E$6+SQRT(P878*($G$6-$E$6)*($F$6-$E$6)),$G$6-SQRT((1-P878)*($G$6-$E$6)*($G$6-$F$6))))</f>
        <v>0.965647828145092</v>
      </c>
      <c r="C878" s="37" t="n">
        <f aca="false">1+IF($G$7=$E$7,$F$7,IF(Q878&lt;($F$7-$E$7)/($G$7-$E$7),$E$7+SQRT(Q878*($G$7-$E$7)*($F$7-$E$7)),$G$7-SQRT((1-Q878)*($G$7-$E$7)*($G$7-$F$7))))</f>
        <v>0.910494016432065</v>
      </c>
      <c r="D878" s="37" t="n">
        <f aca="false">1+IF($G$8=$E$8,$F$8,IF(R878&lt;($F$8-$E$8)/($G$8-$E$8),$E$8+SQRT(R878*($G$8-$E$8)*($F$8-$E$8)),$G$8-SQRT((1-R878)*($G$8-$E$8)*($G$8-$F$8))))</f>
        <v>1.04837951068758</v>
      </c>
      <c r="E878" s="37" t="n">
        <f aca="false">1+IF($G$9=$E$9,$F$9,IF(S878&lt;($F$9-$E$9)/($G$9-$E$9),$E$9+SQRT(S878*($G$9-$E$9)*($F$9-$E$9)),$G$9-SQRT((1-S878)*($G$9-$E$9)*($G$9-$F$9))))</f>
        <v>1.02898114493846</v>
      </c>
      <c r="F878" s="37" t="n">
        <f aca="false">1+IF($G$10=$E$10,$F$10,IF(T878&lt;($F$10-$E$10)/($G$10-$E$10),$E$10+SQRT(T878*($G$10-$E$10)*($F$10-$E$10)),$G$10-SQRT((1-T878)*($G$10-$E$10)*($G$10-$F$10))))</f>
        <v>0.999382411516853</v>
      </c>
      <c r="G878" s="38" t="n">
        <f aca="false">IF($G$11=$E$11,$F$11,IF(U878&lt;($F$11-$E$11)/($G$11-$E$11),$E$11+SQRT(U878*($G$11-$E$11)*($F$11-$E$11)),$G$11-SQRT((1-U878)*($G$11-$E$11)*($G$11-$F$11))))</f>
        <v>0.0987942910208761</v>
      </c>
      <c r="H878" s="39" t="n">
        <f aca="false">(('Business Case'!B11*$C878*'Business Case'!B12*$B878)-'Business Case'!B11*$C878*'Business Case'!B13*$D878-'Business Case'!B14*$E878)-MAX(0,(('Business Case'!B11*$C878*'Business Case'!B12*$B878)-'Business Case'!B11*$C878*'Business Case'!B13*$D878-'Business Case'!B14*$E878))*'Business Case'!$B$7-'Business Case'!$B$8*('Business Case'!B11*$C878*'Business Case'!B12*$B878)-'Business Case'!B15*$F878</f>
        <v>-1998764823.03371</v>
      </c>
      <c r="I878" s="39" t="n">
        <f aca="false">(('Business Case'!C11*$C878*'Business Case'!C12*$B878)-'Business Case'!C11*$C878*'Business Case'!C13*$D878-'Business Case'!C14*$E878)-MAX(0,(('Business Case'!C11*$C878*'Business Case'!C12*$B878)-'Business Case'!C11*$C878*'Business Case'!C13*$D878-'Business Case'!C14*$E878))*'Business Case'!$B$7-'Business Case'!$B$8*(('Business Case'!C11*$C878*'Business Case'!C12*$B878)-('Business Case'!B11*$C878*'Business Case'!B12*$B878))-'Business Case'!C15*$F878</f>
        <v>-60346064.4171165</v>
      </c>
      <c r="J878" s="39" t="n">
        <f aca="false">(('Business Case'!D11*$C878*'Business Case'!D12*$B878)-'Business Case'!D11*$C878*'Business Case'!D13*$D878-'Business Case'!D14*$E878)-MAX(0,(('Business Case'!D11*$C878*'Business Case'!D12*$B878)-'Business Case'!D11*$C878*'Business Case'!D13*$D878-'Business Case'!D14*$E878))*'Business Case'!$B$7-'Business Case'!$B$8*(('Business Case'!D11*$C878*'Business Case'!D12*$B878)-('Business Case'!C11*$C878*'Business Case'!C12*$B878))-'Business Case'!D15*$F878</f>
        <v>171145818.09093</v>
      </c>
      <c r="K878" s="39" t="n">
        <f aca="false">(('Business Case'!E11*$C878*'Business Case'!E12*$B878)-'Business Case'!E11*$C878*'Business Case'!E13*$D878-'Business Case'!E14*$E878)-MAX(0,(('Business Case'!E11*$C878*'Business Case'!E12*$B878)-'Business Case'!E11*$C878*'Business Case'!E13*$D878-'Business Case'!E14*$E878))*'Business Case'!$B$7-'Business Case'!$B$8*(('Business Case'!E11*$C878*'Business Case'!E12*$B878)-('Business Case'!D11*$C878*'Business Case'!D12*$B878))-'Business Case'!E15*$F878</f>
        <v>452606821.17482</v>
      </c>
      <c r="L878" s="39" t="n">
        <f aca="false">(('Business Case'!F11*$C878*'Business Case'!F12*$B878)-'Business Case'!F11*$C878*'Business Case'!F13*$D878-'Business Case'!F14*$E878)-MAX(0,(('Business Case'!F11*$C878*'Business Case'!F12*$B878)-'Business Case'!F11*$C878*'Business Case'!F13*$D878-'Business Case'!F14*$E878))*'Business Case'!$B$7-'Business Case'!$B$8*(('Business Case'!F11*$C878*'Business Case'!F12*$B878)-('Business Case'!E11*$C878*'Business Case'!E12*$B878))-'Business Case'!F15*$F878</f>
        <v>560156506.652988</v>
      </c>
      <c r="M878" s="39" t="n">
        <f aca="false">(('Business Case'!G11*$C878*'Business Case'!G12*$B878)-'Business Case'!G11*$C878*'Business Case'!G13*$D878-'Business Case'!G14*$E878)-MAX(0,(('Business Case'!G11*$C878*'Business Case'!G12*$B878)-'Business Case'!G11*$C878*'Business Case'!G13*$D878-'Business Case'!G14*$E878))*'Business Case'!$B$7-'Business Case'!$B$8*(('Business Case'!G11*$C878*'Business Case'!G12*$B878)-('Business Case'!F11*$C878*'Business Case'!F12*$B878))-'Business Case'!G15*$F878+'Business Case'!$B$8*('Business Case'!G11*$C878*'Business Case'!G12*$B878)</f>
        <v>727277992.184826</v>
      </c>
      <c r="N878" s="39" t="n">
        <f aca="false">IF(COUNT('Business Case'!B11:G11)=0,"",H878+NPV(G878,I878:M878))</f>
        <v>-732418876.89468</v>
      </c>
      <c r="P878" s="40" t="n">
        <f aca="true">RAND()</f>
        <v>0.217054605662903</v>
      </c>
      <c r="Q878" s="40" t="n">
        <f aca="true">RAND()</f>
        <v>0.17441325238985</v>
      </c>
      <c r="R878" s="40" t="n">
        <f aca="true">RAND()</f>
        <v>0.903860063042599</v>
      </c>
      <c r="S878" s="40" t="n">
        <f aca="true">RAND()</f>
        <v>0.663754815049891</v>
      </c>
      <c r="T878" s="40" t="n">
        <f aca="true">RAND()</f>
        <v>0.195089805377587</v>
      </c>
      <c r="U878" s="40" t="n">
        <f aca="true">RAND()</f>
        <v>0.25779851519954</v>
      </c>
    </row>
    <row r="879" customFormat="false" ht="15" hidden="false" customHeight="false" outlineLevel="0" collapsed="false">
      <c r="A879" s="36" t="n">
        <v>799</v>
      </c>
      <c r="B879" s="37" t="n">
        <f aca="false">1+IF($G$6=$E$6,$F$6,IF(P879&lt;($F$6-$E$6)/($G$6-$E$6),$E$6+SQRT(P879*($G$6-$E$6)*($F$6-$E$6)),$G$6-SQRT((1-P879)*($G$6-$E$6)*($G$6-$F$6))))</f>
        <v>0.972205551985199</v>
      </c>
      <c r="C879" s="37" t="n">
        <f aca="false">1+IF($G$7=$E$7,$F$7,IF(Q879&lt;($F$7-$E$7)/($G$7-$E$7),$E$7+SQRT(Q879*($G$7-$E$7)*($F$7-$E$7)),$G$7-SQRT((1-Q879)*($G$7-$E$7)*($G$7-$F$7))))</f>
        <v>1.04610586563573</v>
      </c>
      <c r="D879" s="37" t="n">
        <f aca="false">1+IF($G$8=$E$8,$F$8,IF(R879&lt;($F$8-$E$8)/($G$8-$E$8),$E$8+SQRT(R879*($G$8-$E$8)*($F$8-$E$8)),$G$8-SQRT((1-R879)*($G$8-$E$8)*($G$8-$F$8))))</f>
        <v>0.954747627226338</v>
      </c>
      <c r="E879" s="37" t="n">
        <f aca="false">1+IF($G$9=$E$9,$F$9,IF(S879&lt;($F$9-$E$9)/($G$9-$E$9),$E$9+SQRT(S879*($G$9-$E$9)*($F$9-$E$9)),$G$9-SQRT((1-S879)*($G$9-$E$9)*($G$9-$F$9))))</f>
        <v>1.05520840836781</v>
      </c>
      <c r="F879" s="37" t="n">
        <f aca="false">1+IF($G$10=$E$10,$F$10,IF(T879&lt;($F$10-$E$10)/($G$10-$E$10),$E$10+SQRT(T879*($G$10-$E$10)*($F$10-$E$10)),$G$10-SQRT((1-T879)*($G$10-$E$10)*($G$10-$F$10))))</f>
        <v>0.970304299325215</v>
      </c>
      <c r="G879" s="38" t="n">
        <f aca="false">IF($G$11=$E$11,$F$11,IF(U879&lt;($F$11-$E$11)/($G$11-$E$11),$E$11+SQRT(U879*($G$11-$E$11)*($F$11-$E$11)),$G$11-SQRT((1-U879)*($G$11-$E$11)*($G$11-$F$11))))</f>
        <v>0.102509009139613</v>
      </c>
      <c r="H879" s="39" t="n">
        <f aca="false">(('Business Case'!B11*$C879*'Business Case'!B12*$B879)-'Business Case'!B11*$C879*'Business Case'!B13*$D879-'Business Case'!B14*$E879)-MAX(0,(('Business Case'!B11*$C879*'Business Case'!B12*$B879)-'Business Case'!B11*$C879*'Business Case'!B13*$D879-'Business Case'!B14*$E879))*'Business Case'!$B$7-'Business Case'!$B$8*('Business Case'!B11*$C879*'Business Case'!B12*$B879)-'Business Case'!B15*$F879</f>
        <v>-1940608598.65043</v>
      </c>
      <c r="I879" s="39" t="n">
        <f aca="false">(('Business Case'!C11*$C879*'Business Case'!C12*$B879)-'Business Case'!C11*$C879*'Business Case'!C13*$D879-'Business Case'!C14*$E879)-MAX(0,(('Business Case'!C11*$C879*'Business Case'!C12*$B879)-'Business Case'!C11*$C879*'Business Case'!C13*$D879-'Business Case'!C14*$E879))*'Business Case'!$B$7-'Business Case'!$B$8*(('Business Case'!C11*$C879*'Business Case'!C12*$B879)-('Business Case'!B11*$C879*'Business Case'!B12*$B879))-'Business Case'!C15*$F879</f>
        <v>21927991.7913572</v>
      </c>
      <c r="J879" s="39" t="n">
        <f aca="false">(('Business Case'!D11*$C879*'Business Case'!D12*$B879)-'Business Case'!D11*$C879*'Business Case'!D13*$D879-'Business Case'!D14*$E879)-MAX(0,(('Business Case'!D11*$C879*'Business Case'!D12*$B879)-'Business Case'!D11*$C879*'Business Case'!D13*$D879-'Business Case'!D14*$E879))*'Business Case'!$B$7-'Business Case'!$B$8*(('Business Case'!D11*$C879*'Business Case'!D12*$B879)-('Business Case'!C11*$C879*'Business Case'!C12*$B879))-'Business Case'!D15*$F879</f>
        <v>343659880.78409</v>
      </c>
      <c r="K879" s="39" t="n">
        <f aca="false">(('Business Case'!E11*$C879*'Business Case'!E12*$B879)-'Business Case'!E11*$C879*'Business Case'!E13*$D879-'Business Case'!E14*$E879)-MAX(0,(('Business Case'!E11*$C879*'Business Case'!E12*$B879)-'Business Case'!E11*$C879*'Business Case'!E13*$D879-'Business Case'!E14*$E879))*'Business Case'!$B$7-'Business Case'!$B$8*(('Business Case'!E11*$C879*'Business Case'!E12*$B879)-('Business Case'!D11*$C879*'Business Case'!D12*$B879))-'Business Case'!E15*$F879</f>
        <v>713906984.743083</v>
      </c>
      <c r="L879" s="39" t="n">
        <f aca="false">(('Business Case'!F11*$C879*'Business Case'!F12*$B879)-'Business Case'!F11*$C879*'Business Case'!F13*$D879-'Business Case'!F14*$E879)-MAX(0,(('Business Case'!F11*$C879*'Business Case'!F12*$B879)-'Business Case'!F11*$C879*'Business Case'!F13*$D879-'Business Case'!F14*$E879))*'Business Case'!$B$7-'Business Case'!$B$8*(('Business Case'!F11*$C879*'Business Case'!F12*$B879)-('Business Case'!E11*$C879*'Business Case'!E12*$B879))-'Business Case'!F15*$F879</f>
        <v>856299502.139962</v>
      </c>
      <c r="M879" s="39" t="n">
        <f aca="false">(('Business Case'!G11*$C879*'Business Case'!G12*$B879)-'Business Case'!G11*$C879*'Business Case'!G13*$D879-'Business Case'!G14*$E879)-MAX(0,(('Business Case'!G11*$C879*'Business Case'!G12*$B879)-'Business Case'!G11*$C879*'Business Case'!G13*$D879-'Business Case'!G14*$E879))*'Business Case'!$B$7-'Business Case'!$B$8*(('Business Case'!G11*$C879*'Business Case'!G12*$B879)-('Business Case'!F11*$C879*'Business Case'!F12*$B879))-'Business Case'!G15*$F879+'Business Case'!$B$8*('Business Case'!G11*$C879*'Business Case'!G12*$B879)</f>
        <v>1049616551.33612</v>
      </c>
      <c r="N879" s="39" t="n">
        <f aca="false">IF(COUNT('Business Case'!B11:G11)=0,"",H879+NPV(G879,I879:M879))</f>
        <v>118626561.80873</v>
      </c>
      <c r="P879" s="40" t="n">
        <f aca="true">RAND()</f>
        <v>0.283897881049932</v>
      </c>
      <c r="Q879" s="40" t="n">
        <f aca="true">RAND()</f>
        <v>0.794400168470461</v>
      </c>
      <c r="R879" s="40" t="n">
        <f aca="true">RAND()</f>
        <v>0.00346768681234792</v>
      </c>
      <c r="S879" s="40" t="n">
        <f aca="true">RAND()</f>
        <v>0.866247554603651</v>
      </c>
      <c r="T879" s="40" t="n">
        <f aca="true">RAND()</f>
        <v>0.0329811656870347</v>
      </c>
      <c r="U879" s="40" t="n">
        <f aca="true">RAND()</f>
        <v>0.490108731203104</v>
      </c>
    </row>
    <row r="880" customFormat="false" ht="15" hidden="false" customHeight="false" outlineLevel="0" collapsed="false">
      <c r="A880" s="36" t="n">
        <v>800</v>
      </c>
      <c r="B880" s="37" t="n">
        <f aca="false">1+IF($G$6=$E$6,$F$6,IF(P880&lt;($F$6-$E$6)/($G$6-$E$6),$E$6+SQRT(P880*($G$6-$E$6)*($F$6-$E$6)),$G$6-SQRT((1-P880)*($G$6-$E$6)*($G$6-$F$6))))</f>
        <v>1.02118078758854</v>
      </c>
      <c r="C880" s="37" t="n">
        <f aca="false">1+IF($G$7=$E$7,$F$7,IF(Q880&lt;($F$7-$E$7)/($G$7-$E$7),$E$7+SQRT(Q880*($G$7-$E$7)*($F$7-$E$7)),$G$7-SQRT((1-Q880)*($G$7-$E$7)*($G$7-$F$7))))</f>
        <v>1.01533265012208</v>
      </c>
      <c r="D880" s="37" t="n">
        <f aca="false">1+IF($G$8=$E$8,$F$8,IF(R880&lt;($F$8-$E$8)/($G$8-$E$8),$E$8+SQRT(R880*($G$8-$E$8)*($F$8-$E$8)),$G$8-SQRT((1-R880)*($G$8-$E$8)*($G$8-$F$8))))</f>
        <v>1.04835205417888</v>
      </c>
      <c r="E880" s="37" t="n">
        <f aca="false">1+IF($G$9=$E$9,$F$9,IF(S880&lt;($F$9-$E$9)/($G$9-$E$9),$E$9+SQRT(S880*($G$9-$E$9)*($F$9-$E$9)),$G$9-SQRT((1-S880)*($G$9-$E$9)*($G$9-$F$9))))</f>
        <v>1.02836683989484</v>
      </c>
      <c r="F880" s="37" t="n">
        <f aca="false">1+IF($G$10=$E$10,$F$10,IF(T880&lt;($F$10-$E$10)/($G$10-$E$10),$E$10+SQRT(T880*($G$10-$E$10)*($F$10-$E$10)),$G$10-SQRT((1-T880)*($G$10-$E$10)*($G$10-$F$10))))</f>
        <v>1.04056962998301</v>
      </c>
      <c r="G880" s="38" t="n">
        <f aca="false">IF($G$11=$E$11,$F$11,IF(U880&lt;($F$11-$E$11)/($G$11-$E$11),$E$11+SQRT(U880*($G$11-$E$11)*($F$11-$E$11)),$G$11-SQRT((1-U880)*($G$11-$E$11)*($G$11-$F$11))))</f>
        <v>0.104691132964091</v>
      </c>
      <c r="H880" s="39" t="n">
        <f aca="false">(('Business Case'!B11*$C880*'Business Case'!B12*$B880)-'Business Case'!B11*$C880*'Business Case'!B13*$D880-'Business Case'!B14*$E880)-MAX(0,(('Business Case'!B11*$C880*'Business Case'!B12*$B880)-'Business Case'!B11*$C880*'Business Case'!B13*$D880-'Business Case'!B14*$E880))*'Business Case'!$B$7-'Business Case'!$B$8*('Business Case'!B11*$C880*'Business Case'!B12*$B880)-'Business Case'!B15*$F880</f>
        <v>-2081139259.96603</v>
      </c>
      <c r="I880" s="39" t="n">
        <f aca="false">(('Business Case'!C11*$C880*'Business Case'!C12*$B880)-'Business Case'!C11*$C880*'Business Case'!C13*$D880-'Business Case'!C14*$E880)-MAX(0,(('Business Case'!C11*$C880*'Business Case'!C12*$B880)-'Business Case'!C11*$C880*'Business Case'!C13*$D880-'Business Case'!C14*$E880))*'Business Case'!$B$7-'Business Case'!$B$8*(('Business Case'!C11*$C880*'Business Case'!C12*$B880)-('Business Case'!B11*$C880*'Business Case'!B12*$B880))-'Business Case'!C15*$F880</f>
        <v>303721.174564153</v>
      </c>
      <c r="J880" s="39" t="n">
        <f aca="false">(('Business Case'!D11*$C880*'Business Case'!D12*$B880)-'Business Case'!D11*$C880*'Business Case'!D13*$D880-'Business Case'!D14*$E880)-MAX(0,(('Business Case'!D11*$C880*'Business Case'!D12*$B880)-'Business Case'!D11*$C880*'Business Case'!D13*$D880-'Business Case'!D14*$E880))*'Business Case'!$B$7-'Business Case'!$B$8*(('Business Case'!D11*$C880*'Business Case'!D12*$B880)-('Business Case'!C11*$C880*'Business Case'!C12*$B880))-'Business Case'!D15*$F880</f>
        <v>304647862.025659</v>
      </c>
      <c r="K880" s="39" t="n">
        <f aca="false">(('Business Case'!E11*$C880*'Business Case'!E12*$B880)-'Business Case'!E11*$C880*'Business Case'!E13*$D880-'Business Case'!E14*$E880)-MAX(0,(('Business Case'!E11*$C880*'Business Case'!E12*$B880)-'Business Case'!E11*$C880*'Business Case'!E13*$D880-'Business Case'!E14*$E880))*'Business Case'!$B$7-'Business Case'!$B$8*(('Business Case'!E11*$C880*'Business Case'!E12*$B880)-('Business Case'!D11*$C880*'Business Case'!D12*$B880))-'Business Case'!E15*$F880</f>
        <v>661020484.375905</v>
      </c>
      <c r="L880" s="39" t="n">
        <f aca="false">(('Business Case'!F11*$C880*'Business Case'!F12*$B880)-'Business Case'!F11*$C880*'Business Case'!F13*$D880-'Business Case'!F14*$E880)-MAX(0,(('Business Case'!F11*$C880*'Business Case'!F12*$B880)-'Business Case'!F11*$C880*'Business Case'!F13*$D880-'Business Case'!F14*$E880))*'Business Case'!$B$7-'Business Case'!$B$8*(('Business Case'!F11*$C880*'Business Case'!F12*$B880)-('Business Case'!E11*$C880*'Business Case'!E12*$B880))-'Business Case'!F15*$F880</f>
        <v>798301659.356392</v>
      </c>
      <c r="M880" s="39" t="n">
        <f aca="false">(('Business Case'!G11*$C880*'Business Case'!G12*$B880)-'Business Case'!G11*$C880*'Business Case'!G13*$D880-'Business Case'!G14*$E880)-MAX(0,(('Business Case'!G11*$C880*'Business Case'!G12*$B880)-'Business Case'!G11*$C880*'Business Case'!G13*$D880-'Business Case'!G14*$E880))*'Business Case'!$B$7-'Business Case'!$B$8*(('Business Case'!G11*$C880*'Business Case'!G12*$B880)-('Business Case'!F11*$C880*'Business Case'!F12*$B880))-'Business Case'!G15*$F880+'Business Case'!$B$8*('Business Case'!G11*$C880*'Business Case'!G12*$B880)</f>
        <v>995383863.522063</v>
      </c>
      <c r="N880" s="39" t="n">
        <f aca="false">IF(COUNT('Business Case'!B11:G11)=0,"",H880+NPV(G880,I880:M880))</f>
        <v>-199797826.500386</v>
      </c>
      <c r="P880" s="40" t="n">
        <f aca="true">RAND()</f>
        <v>0.926216092544263</v>
      </c>
      <c r="Q880" s="40" t="n">
        <f aca="true">RAND()</f>
        <v>0.654565807178261</v>
      </c>
      <c r="R880" s="40" t="n">
        <f aca="true">RAND()</f>
        <v>0.903693031279196</v>
      </c>
      <c r="S880" s="40" t="n">
        <f aca="true">RAND()</f>
        <v>0.657912691556581</v>
      </c>
      <c r="T880" s="40" t="n">
        <f aca="true">RAND()</f>
        <v>0.491639142324934</v>
      </c>
      <c r="U880" s="40" t="n">
        <f aca="true">RAND()</f>
        <v>0.609397650128104</v>
      </c>
    </row>
    <row r="881" customFormat="false" ht="15" hidden="false" customHeight="false" outlineLevel="0" collapsed="false">
      <c r="A881" s="36" t="n">
        <v>801</v>
      </c>
      <c r="B881" s="37" t="n">
        <f aca="false">1+IF($G$6=$E$6,$F$6,IF(P881&lt;($F$6-$E$6)/($G$6-$E$6),$E$6+SQRT(P881*($G$6-$E$6)*($F$6-$E$6)),$G$6-SQRT((1-P881)*($G$6-$E$6)*($G$6-$F$6))))</f>
        <v>1.01825764719981</v>
      </c>
      <c r="C881" s="37" t="n">
        <f aca="false">1+IF($G$7=$E$7,$F$7,IF(Q881&lt;($F$7-$E$7)/($G$7-$E$7),$E$7+SQRT(Q881*($G$7-$E$7)*($F$7-$E$7)),$G$7-SQRT((1-Q881)*($G$7-$E$7)*($G$7-$F$7))))</f>
        <v>1.07300576862528</v>
      </c>
      <c r="D881" s="37" t="n">
        <f aca="false">1+IF($G$8=$E$8,$F$8,IF(R881&lt;($F$8-$E$8)/($G$8-$E$8),$E$8+SQRT(R881*($G$8-$E$8)*($F$8-$E$8)),$G$8-SQRT((1-R881)*($G$8-$E$8)*($G$8-$F$8))))</f>
        <v>1.00658233224335</v>
      </c>
      <c r="E881" s="37" t="n">
        <f aca="false">1+IF($G$9=$E$9,$F$9,IF(S881&lt;($F$9-$E$9)/($G$9-$E$9),$E$9+SQRT(S881*($G$9-$E$9)*($F$9-$E$9)),$G$9-SQRT((1-S881)*($G$9-$E$9)*($G$9-$F$9))))</f>
        <v>1.06474063592178</v>
      </c>
      <c r="F881" s="37" t="n">
        <f aca="false">1+IF($G$10=$E$10,$F$10,IF(T881&lt;($F$10-$E$10)/($G$10-$E$10),$E$10+SQRT(T881*($G$10-$E$10)*($F$10-$E$10)),$G$10-SQRT((1-T881)*($G$10-$E$10)*($G$10-$F$10))))</f>
        <v>1.06978613218452</v>
      </c>
      <c r="G881" s="38" t="n">
        <f aca="false">IF($G$11=$E$11,$F$11,IF(U881&lt;($F$11-$E$11)/($G$11-$E$11),$E$11+SQRT(U881*($G$11-$E$11)*($F$11-$E$11)),$G$11-SQRT((1-U881)*($G$11-$E$11)*($G$11-$F$11))))</f>
        <v>0.102228772693061</v>
      </c>
      <c r="H881" s="39" t="n">
        <f aca="false">(('Business Case'!B11*$C881*'Business Case'!B12*$B881)-'Business Case'!B11*$C881*'Business Case'!B13*$D881-'Business Case'!B14*$E881)-MAX(0,(('Business Case'!B11*$C881*'Business Case'!B12*$B881)-'Business Case'!B11*$C881*'Business Case'!B13*$D881-'Business Case'!B14*$E881))*'Business Case'!$B$7-'Business Case'!$B$8*('Business Case'!B11*$C881*'Business Case'!B12*$B881)-'Business Case'!B15*$F881</f>
        <v>-2139572264.36905</v>
      </c>
      <c r="I881" s="39" t="n">
        <f aca="false">(('Business Case'!C11*$C881*'Business Case'!C12*$B881)-'Business Case'!C11*$C881*'Business Case'!C13*$D881-'Business Case'!C14*$E881)-MAX(0,(('Business Case'!C11*$C881*'Business Case'!C12*$B881)-'Business Case'!C11*$C881*'Business Case'!C13*$D881-'Business Case'!C14*$E881))*'Business Case'!$B$7-'Business Case'!$B$8*(('Business Case'!C11*$C881*'Business Case'!C12*$B881)-('Business Case'!B11*$C881*'Business Case'!B12*$B881))-'Business Case'!C15*$F881</f>
        <v>26981392.5018135</v>
      </c>
      <c r="J881" s="39" t="n">
        <f aca="false">(('Business Case'!D11*$C881*'Business Case'!D12*$B881)-'Business Case'!D11*$C881*'Business Case'!D13*$D881-'Business Case'!D14*$E881)-MAX(0,(('Business Case'!D11*$C881*'Business Case'!D12*$B881)-'Business Case'!D11*$C881*'Business Case'!D13*$D881-'Business Case'!D14*$E881))*'Business Case'!$B$7-'Business Case'!$B$8*(('Business Case'!D11*$C881*'Business Case'!D12*$B881)-('Business Case'!C11*$C881*'Business Case'!C12*$B881))-'Business Case'!D15*$F881</f>
        <v>368987710.365849</v>
      </c>
      <c r="K881" s="39" t="n">
        <f aca="false">(('Business Case'!E11*$C881*'Business Case'!E12*$B881)-'Business Case'!E11*$C881*'Business Case'!E13*$D881-'Business Case'!E14*$E881)-MAX(0,(('Business Case'!E11*$C881*'Business Case'!E12*$B881)-'Business Case'!E11*$C881*'Business Case'!E13*$D881-'Business Case'!E14*$E881))*'Business Case'!$B$7-'Business Case'!$B$8*(('Business Case'!E11*$C881*'Business Case'!E12*$B881)-('Business Case'!D11*$C881*'Business Case'!D12*$B881))-'Business Case'!E15*$F881</f>
        <v>764483334.83911</v>
      </c>
      <c r="L881" s="39" t="n">
        <f aca="false">(('Business Case'!F11*$C881*'Business Case'!F12*$B881)-'Business Case'!F11*$C881*'Business Case'!F13*$D881-'Business Case'!F14*$E881)-MAX(0,(('Business Case'!F11*$C881*'Business Case'!F12*$B881)-'Business Case'!F11*$C881*'Business Case'!F13*$D881-'Business Case'!F14*$E881))*'Business Case'!$B$7-'Business Case'!$B$8*(('Business Case'!F11*$C881*'Business Case'!F12*$B881)-('Business Case'!E11*$C881*'Business Case'!E12*$B881))-'Business Case'!F15*$F881</f>
        <v>916245569.937583</v>
      </c>
      <c r="M881" s="39" t="n">
        <f aca="false">(('Business Case'!G11*$C881*'Business Case'!G12*$B881)-'Business Case'!G11*$C881*'Business Case'!G13*$D881-'Business Case'!G14*$E881)-MAX(0,(('Business Case'!G11*$C881*'Business Case'!G12*$B881)-'Business Case'!G11*$C881*'Business Case'!G13*$D881-'Business Case'!G14*$E881))*'Business Case'!$B$7-'Business Case'!$B$8*(('Business Case'!G11*$C881*'Business Case'!G12*$B881)-('Business Case'!F11*$C881*'Business Case'!F12*$B881))-'Business Case'!G15*$F881+'Business Case'!$B$8*('Business Case'!G11*$C881*'Business Case'!G12*$B881)</f>
        <v>1123926280.22845</v>
      </c>
      <c r="N881" s="39" t="n">
        <f aca="false">IF(COUNT('Business Case'!B11:G11)=0,"",H881+NPV(G881,I881:M881))</f>
        <v>71117958.3220747</v>
      </c>
      <c r="P881" s="40" t="n">
        <f aca="true">RAND()</f>
        <v>0.901514603065048</v>
      </c>
      <c r="Q881" s="40" t="n">
        <f aca="true">RAND()</f>
        <v>0.887083587333625</v>
      </c>
      <c r="R881" s="40" t="n">
        <f aca="true">RAND()</f>
        <v>0.481715967420618</v>
      </c>
      <c r="S881" s="40" t="n">
        <f aca="true">RAND()</f>
        <v>0.917118482986654</v>
      </c>
      <c r="T881" s="40" t="n">
        <f aca="true">RAND()</f>
        <v>0.660886972570671</v>
      </c>
      <c r="U881" s="40" t="n">
        <f aca="true">RAND()</f>
        <v>0.473639133341824</v>
      </c>
    </row>
    <row r="882" customFormat="false" ht="15" hidden="false" customHeight="false" outlineLevel="0" collapsed="false">
      <c r="A882" s="36" t="n">
        <v>802</v>
      </c>
      <c r="B882" s="37" t="n">
        <f aca="false">1+IF($G$6=$E$6,$F$6,IF(P882&lt;($F$6-$E$6)/($G$6-$E$6),$E$6+SQRT(P882*($G$6-$E$6)*($F$6-$E$6)),$G$6-SQRT((1-P882)*($G$6-$E$6)*($G$6-$F$6))))</f>
        <v>0.989724836248034</v>
      </c>
      <c r="C882" s="37" t="n">
        <f aca="false">1+IF($G$7=$E$7,$F$7,IF(Q882&lt;($F$7-$E$7)/($G$7-$E$7),$E$7+SQRT(Q882*($G$7-$E$7)*($F$7-$E$7)),$G$7-SQRT((1-Q882)*($G$7-$E$7)*($G$7-$F$7))))</f>
        <v>0.923240081960332</v>
      </c>
      <c r="D882" s="37" t="n">
        <f aca="false">1+IF($G$8=$E$8,$F$8,IF(R882&lt;($F$8-$E$8)/($G$8-$E$8),$E$8+SQRT(R882*($G$8-$E$8)*($F$8-$E$8)),$G$8-SQRT((1-R882)*($G$8-$E$8)*($G$8-$F$8))))</f>
        <v>1.00999087720125</v>
      </c>
      <c r="E882" s="37" t="n">
        <f aca="false">1+IF($G$9=$E$9,$F$9,IF(S882&lt;($F$9-$E$9)/($G$9-$E$9),$E$9+SQRT(S882*($G$9-$E$9)*($F$9-$E$9)),$G$9-SQRT((1-S882)*($G$9-$E$9)*($G$9-$F$9))))</f>
        <v>1.00314766497714</v>
      </c>
      <c r="F882" s="37" t="n">
        <f aca="false">1+IF($G$10=$E$10,$F$10,IF(T882&lt;($F$10-$E$10)/($G$10-$E$10),$E$10+SQRT(T882*($G$10-$E$10)*($F$10-$E$10)),$G$10-SQRT((1-T882)*($G$10-$E$10)*($G$10-$F$10))))</f>
        <v>1.08756730488594</v>
      </c>
      <c r="G882" s="38" t="n">
        <f aca="false">IF($G$11=$E$11,$F$11,IF(U882&lt;($F$11-$E$11)/($G$11-$E$11),$E$11+SQRT(U882*($G$11-$E$11)*($F$11-$E$11)),$G$11-SQRT((1-U882)*($G$11-$E$11)*($G$11-$F$11))))</f>
        <v>0.100482349831324</v>
      </c>
      <c r="H882" s="39" t="n">
        <f aca="false">(('Business Case'!B11*$C882*'Business Case'!B12*$B882)-'Business Case'!B11*$C882*'Business Case'!B13*$D882-'Business Case'!B14*$E882)-MAX(0,(('Business Case'!B11*$C882*'Business Case'!B12*$B882)-'Business Case'!B11*$C882*'Business Case'!B13*$D882-'Business Case'!B14*$E882))*'Business Case'!$B$7-'Business Case'!$B$8*('Business Case'!B11*$C882*'Business Case'!B12*$B882)-'Business Case'!B15*$F882</f>
        <v>-2175134609.77189</v>
      </c>
      <c r="I882" s="39" t="n">
        <f aca="false">(('Business Case'!C11*$C882*'Business Case'!C12*$B882)-'Business Case'!C11*$C882*'Business Case'!C13*$D882-'Business Case'!C14*$E882)-MAX(0,(('Business Case'!C11*$C882*'Business Case'!C12*$B882)-'Business Case'!C11*$C882*'Business Case'!C13*$D882-'Business Case'!C14*$E882))*'Business Case'!$B$7-'Business Case'!$B$8*(('Business Case'!C11*$C882*'Business Case'!C12*$B882)-('Business Case'!B11*$C882*'Business Case'!B12*$B882))-'Business Case'!C15*$F882</f>
        <v>-27690298.2617152</v>
      </c>
      <c r="J882" s="39" t="n">
        <f aca="false">(('Business Case'!D11*$C882*'Business Case'!D12*$B882)-'Business Case'!D11*$C882*'Business Case'!D13*$D882-'Business Case'!D14*$E882)-MAX(0,(('Business Case'!D11*$C882*'Business Case'!D12*$B882)-'Business Case'!D11*$C882*'Business Case'!D13*$D882-'Business Case'!D14*$E882))*'Business Case'!$B$7-'Business Case'!$B$8*(('Business Case'!D11*$C882*'Business Case'!D12*$B882)-('Business Case'!C11*$C882*'Business Case'!C12*$B882))-'Business Case'!D15*$F882</f>
        <v>243392720.567346</v>
      </c>
      <c r="K882" s="39" t="n">
        <f aca="false">(('Business Case'!E11*$C882*'Business Case'!E12*$B882)-'Business Case'!E11*$C882*'Business Case'!E13*$D882-'Business Case'!E14*$E882)-MAX(0,(('Business Case'!E11*$C882*'Business Case'!E12*$B882)-'Business Case'!E11*$C882*'Business Case'!E13*$D882-'Business Case'!E14*$E882))*'Business Case'!$B$7-'Business Case'!$B$8*(('Business Case'!E11*$C882*'Business Case'!E12*$B882)-('Business Case'!D11*$C882*'Business Case'!D12*$B882))-'Business Case'!E15*$F882</f>
        <v>568854104.640704</v>
      </c>
      <c r="L882" s="39" t="n">
        <f aca="false">(('Business Case'!F11*$C882*'Business Case'!F12*$B882)-'Business Case'!F11*$C882*'Business Case'!F13*$D882-'Business Case'!F14*$E882)-MAX(0,(('Business Case'!F11*$C882*'Business Case'!F12*$B882)-'Business Case'!F11*$C882*'Business Case'!F13*$D882-'Business Case'!F14*$E882))*'Business Case'!$B$7-'Business Case'!$B$8*(('Business Case'!F11*$C882*'Business Case'!F12*$B882)-('Business Case'!E11*$C882*'Business Case'!E12*$B882))-'Business Case'!F15*$F882</f>
        <v>690794436.67868</v>
      </c>
      <c r="M882" s="39" t="n">
        <f aca="false">(('Business Case'!G11*$C882*'Business Case'!G12*$B882)-'Business Case'!G11*$C882*'Business Case'!G13*$D882-'Business Case'!G14*$E882)-MAX(0,(('Business Case'!G11*$C882*'Business Case'!G12*$B882)-'Business Case'!G11*$C882*'Business Case'!G13*$D882-'Business Case'!G14*$E882))*'Business Case'!$B$7-'Business Case'!$B$8*(('Business Case'!G11*$C882*'Business Case'!G12*$B882)-('Business Case'!F11*$C882*'Business Case'!F12*$B882))-'Business Case'!G15*$F882+'Business Case'!$B$8*('Business Case'!G11*$C882*'Business Case'!G12*$B882)</f>
        <v>864480728.367599</v>
      </c>
      <c r="N882" s="39" t="n">
        <f aca="false">IF(COUNT('Business Case'!B11:G11)=0,"",H882+NPV(G882,I882:M882))</f>
        <v>-565900674.888628</v>
      </c>
      <c r="P882" s="40" t="n">
        <f aca="true">RAND()</f>
        <v>0.506411748939081</v>
      </c>
      <c r="Q882" s="40" t="n">
        <f aca="true">RAND()</f>
        <v>0.216973111451277</v>
      </c>
      <c r="R882" s="40" t="n">
        <f aca="true">RAND()</f>
        <v>0.528723338937426</v>
      </c>
      <c r="S882" s="40" t="n">
        <f aca="true">RAND()</f>
        <v>0.374641680041335</v>
      </c>
      <c r="T882" s="40" t="n">
        <f aca="true">RAND()</f>
        <v>0.74717778138779</v>
      </c>
      <c r="U882" s="40" t="n">
        <f aca="true">RAND()</f>
        <v>0.365102219821958</v>
      </c>
    </row>
    <row r="883" customFormat="false" ht="15" hidden="false" customHeight="false" outlineLevel="0" collapsed="false">
      <c r="A883" s="36" t="n">
        <v>803</v>
      </c>
      <c r="B883" s="37" t="n">
        <f aca="false">1+IF($G$6=$E$6,$F$6,IF(P883&lt;($F$6-$E$6)/($G$6-$E$6),$E$6+SQRT(P883*($G$6-$E$6)*($F$6-$E$6)),$G$6-SQRT((1-P883)*($G$6-$E$6)*($G$6-$F$6))))</f>
        <v>0.976604211103001</v>
      </c>
      <c r="C883" s="37" t="n">
        <f aca="false">1+IF($G$7=$E$7,$F$7,IF(Q883&lt;($F$7-$E$7)/($G$7-$E$7),$E$7+SQRT(Q883*($G$7-$E$7)*($F$7-$E$7)),$G$7-SQRT((1-Q883)*($G$7-$E$7)*($G$7-$F$7))))</f>
        <v>0.95377011149541</v>
      </c>
      <c r="D883" s="37" t="n">
        <f aca="false">1+IF($G$8=$E$8,$F$8,IF(R883&lt;($F$8-$E$8)/($G$8-$E$8),$E$8+SQRT(R883*($G$8-$E$8)*($F$8-$E$8)),$G$8-SQRT((1-R883)*($G$8-$E$8)*($G$8-$F$8))))</f>
        <v>1.00856655892554</v>
      </c>
      <c r="E883" s="37" t="n">
        <f aca="false">1+IF($G$9=$E$9,$F$9,IF(S883&lt;($F$9-$E$9)/($G$9-$E$9),$E$9+SQRT(S883*($G$9-$E$9)*($F$9-$E$9)),$G$9-SQRT((1-S883)*($G$9-$E$9)*($G$9-$F$9))))</f>
        <v>0.992771213381398</v>
      </c>
      <c r="F883" s="37" t="n">
        <f aca="false">1+IF($G$10=$E$10,$F$10,IF(T883&lt;($F$10-$E$10)/($G$10-$E$10),$E$10+SQRT(T883*($G$10-$E$10)*($F$10-$E$10)),$G$10-SQRT((1-T883)*($G$10-$E$10)*($G$10-$F$10))))</f>
        <v>1.06169484311255</v>
      </c>
      <c r="G883" s="38" t="n">
        <f aca="false">IF($G$11=$E$11,$F$11,IF(U883&lt;($F$11-$E$11)/($G$11-$E$11),$E$11+SQRT(U883*($G$11-$E$11)*($F$11-$E$11)),$G$11-SQRT((1-U883)*($G$11-$E$11)*($G$11-$F$11))))</f>
        <v>0.106794746574886</v>
      </c>
      <c r="H883" s="39" t="n">
        <f aca="false">(('Business Case'!B11*$C883*'Business Case'!B12*$B883)-'Business Case'!B11*$C883*'Business Case'!B13*$D883-'Business Case'!B14*$E883)-MAX(0,(('Business Case'!B11*$C883*'Business Case'!B12*$B883)-'Business Case'!B11*$C883*'Business Case'!B13*$D883-'Business Case'!B14*$E883))*'Business Case'!$B$7-'Business Case'!$B$8*('Business Case'!B11*$C883*'Business Case'!B12*$B883)-'Business Case'!B15*$F883</f>
        <v>-2123389686.2251</v>
      </c>
      <c r="I883" s="39" t="n">
        <f aca="false">(('Business Case'!C11*$C883*'Business Case'!C12*$B883)-'Business Case'!C11*$C883*'Business Case'!C13*$D883-'Business Case'!C14*$E883)-MAX(0,(('Business Case'!C11*$C883*'Business Case'!C12*$B883)-'Business Case'!C11*$C883*'Business Case'!C13*$D883-'Business Case'!C14*$E883))*'Business Case'!$B$7-'Business Case'!$B$8*(('Business Case'!C11*$C883*'Business Case'!C12*$B883)-('Business Case'!B11*$C883*'Business Case'!B12*$B883))-'Business Case'!C15*$F883</f>
        <v>-25135424.2759797</v>
      </c>
      <c r="J883" s="39" t="n">
        <f aca="false">(('Business Case'!D11*$C883*'Business Case'!D12*$B883)-'Business Case'!D11*$C883*'Business Case'!D13*$D883-'Business Case'!D14*$E883)-MAX(0,(('Business Case'!D11*$C883*'Business Case'!D12*$B883)-'Business Case'!D11*$C883*'Business Case'!D13*$D883-'Business Case'!D14*$E883))*'Business Case'!$B$7-'Business Case'!$B$8*(('Business Case'!D11*$C883*'Business Case'!D12*$B883)-('Business Case'!C11*$C883*'Business Case'!C12*$B883))-'Business Case'!D15*$F883</f>
        <v>245357376.537111</v>
      </c>
      <c r="K883" s="39" t="n">
        <f aca="false">(('Business Case'!E11*$C883*'Business Case'!E12*$B883)-'Business Case'!E11*$C883*'Business Case'!E13*$D883-'Business Case'!E14*$E883)-MAX(0,(('Business Case'!E11*$C883*'Business Case'!E12*$B883)-'Business Case'!E11*$C883*'Business Case'!E13*$D883-'Business Case'!E14*$E883))*'Business Case'!$B$7-'Business Case'!$B$8*(('Business Case'!E11*$C883*'Business Case'!E12*$B883)-('Business Case'!D11*$C883*'Business Case'!D12*$B883))-'Business Case'!E15*$F883</f>
        <v>568934919.50583</v>
      </c>
      <c r="L883" s="39" t="n">
        <f aca="false">(('Business Case'!F11*$C883*'Business Case'!F12*$B883)-'Business Case'!F11*$C883*'Business Case'!F13*$D883-'Business Case'!F14*$E883)-MAX(0,(('Business Case'!F11*$C883*'Business Case'!F12*$B883)-'Business Case'!F11*$C883*'Business Case'!F13*$D883-'Business Case'!F14*$E883))*'Business Case'!$B$7-'Business Case'!$B$8*(('Business Case'!F11*$C883*'Business Case'!F12*$B883)-('Business Case'!E11*$C883*'Business Case'!E12*$B883))-'Business Case'!F15*$F883</f>
        <v>691290302.600181</v>
      </c>
      <c r="M883" s="39" t="n">
        <f aca="false">(('Business Case'!G11*$C883*'Business Case'!G12*$B883)-'Business Case'!G11*$C883*'Business Case'!G13*$D883-'Business Case'!G14*$E883)-MAX(0,(('Business Case'!G11*$C883*'Business Case'!G12*$B883)-'Business Case'!G11*$C883*'Business Case'!G13*$D883-'Business Case'!G14*$E883))*'Business Case'!$B$7-'Business Case'!$B$8*(('Business Case'!G11*$C883*'Business Case'!G12*$B883)-('Business Case'!F11*$C883*'Business Case'!F12*$B883))-'Business Case'!G15*$F883+'Business Case'!$B$8*('Business Case'!G11*$C883*'Business Case'!G12*$B883)</f>
        <v>868341441.461779</v>
      </c>
      <c r="N883" s="39" t="n">
        <f aca="false">IF(COUNT('Business Case'!B11:G11)=0,"",H883+NPV(G883,I883:M883))</f>
        <v>-542686414.973648</v>
      </c>
      <c r="P883" s="40" t="n">
        <f aca="true">RAND()</f>
        <v>0.33375382443678</v>
      </c>
      <c r="Q883" s="40" t="n">
        <f aca="true">RAND()</f>
        <v>0.337789245561581</v>
      </c>
      <c r="R883" s="40" t="n">
        <f aca="true">RAND()</f>
        <v>0.50935225925596</v>
      </c>
      <c r="S883" s="40" t="n">
        <f aca="true">RAND()</f>
        <v>0.243916892548943</v>
      </c>
      <c r="T883" s="40" t="n">
        <f aca="true">RAND()</f>
        <v>0.617433671566751</v>
      </c>
      <c r="U883" s="40" t="n">
        <f aca="true">RAND()</f>
        <v>0.709368803297515</v>
      </c>
    </row>
    <row r="884" customFormat="false" ht="15" hidden="false" customHeight="false" outlineLevel="0" collapsed="false">
      <c r="A884" s="36" t="n">
        <v>804</v>
      </c>
      <c r="B884" s="37" t="n">
        <f aca="false">1+IF($G$6=$E$6,$F$6,IF(P884&lt;($F$6-$E$6)/($G$6-$E$6),$E$6+SQRT(P884*($G$6-$E$6)*($F$6-$E$6)),$G$6-SQRT((1-P884)*($G$6-$E$6)*($G$6-$F$6))))</f>
        <v>0.937832814256418</v>
      </c>
      <c r="C884" s="37" t="n">
        <f aca="false">1+IF($G$7=$E$7,$F$7,IF(Q884&lt;($F$7-$E$7)/($G$7-$E$7),$E$7+SQRT(Q884*($G$7-$E$7)*($F$7-$E$7)),$G$7-SQRT((1-Q884)*($G$7-$E$7)*($G$7-$F$7))))</f>
        <v>1.09015953951903</v>
      </c>
      <c r="D884" s="37" t="n">
        <f aca="false">1+IF($G$8=$E$8,$F$8,IF(R884&lt;($F$8-$E$8)/($G$8-$E$8),$E$8+SQRT(R884*($G$8-$E$8)*($F$8-$E$8)),$G$8-SQRT((1-R884)*($G$8-$E$8)*($G$8-$F$8))))</f>
        <v>1.03369418738872</v>
      </c>
      <c r="E884" s="37" t="n">
        <f aca="false">1+IF($G$9=$E$9,$F$9,IF(S884&lt;($F$9-$E$9)/($G$9-$E$9),$E$9+SQRT(S884*($G$9-$E$9)*($F$9-$E$9)),$G$9-SQRT((1-S884)*($G$9-$E$9)*($G$9-$F$9))))</f>
        <v>1.00839071862817</v>
      </c>
      <c r="F884" s="37" t="n">
        <f aca="false">1+IF($G$10=$E$10,$F$10,IF(T884&lt;($F$10-$E$10)/($G$10-$E$10),$E$10+SQRT(T884*($G$10-$E$10)*($F$10-$E$10)),$G$10-SQRT((1-T884)*($G$10-$E$10)*($G$10-$F$10))))</f>
        <v>1.0531059757808</v>
      </c>
      <c r="G884" s="38" t="n">
        <f aca="false">IF($G$11=$E$11,$F$11,IF(U884&lt;($F$11-$E$11)/($G$11-$E$11),$E$11+SQRT(U884*($G$11-$E$11)*($F$11-$E$11)),$G$11-SQRT((1-U884)*($G$11-$E$11)*($G$11-$F$11))))</f>
        <v>0.103158806100926</v>
      </c>
      <c r="H884" s="39" t="n">
        <f aca="false">(('Business Case'!B11*$C884*'Business Case'!B12*$B884)-'Business Case'!B11*$C884*'Business Case'!B13*$D884-'Business Case'!B14*$E884)-MAX(0,(('Business Case'!B11*$C884*'Business Case'!B12*$B884)-'Business Case'!B11*$C884*'Business Case'!B13*$D884-'Business Case'!B14*$E884))*'Business Case'!$B$7-'Business Case'!$B$8*('Business Case'!B11*$C884*'Business Case'!B12*$B884)-'Business Case'!B15*$F884</f>
        <v>-2106211951.56159</v>
      </c>
      <c r="I884" s="39" t="n">
        <f aca="false">(('Business Case'!C11*$C884*'Business Case'!C12*$B884)-'Business Case'!C11*$C884*'Business Case'!C13*$D884-'Business Case'!C14*$E884)-MAX(0,(('Business Case'!C11*$C884*'Business Case'!C12*$B884)-'Business Case'!C11*$C884*'Business Case'!C13*$D884-'Business Case'!C14*$E884))*'Business Case'!$B$7-'Business Case'!$B$8*(('Business Case'!C11*$C884*'Business Case'!C12*$B884)-('Business Case'!B11*$C884*'Business Case'!B12*$B884))-'Business Case'!C15*$F884</f>
        <v>-41173773.86833</v>
      </c>
      <c r="J884" s="39" t="n">
        <f aca="false">(('Business Case'!D11*$C884*'Business Case'!D12*$B884)-'Business Case'!D11*$C884*'Business Case'!D13*$D884-'Business Case'!D14*$E884)-MAX(0,(('Business Case'!D11*$C884*'Business Case'!D12*$B884)-'Business Case'!D11*$C884*'Business Case'!D13*$D884-'Business Case'!D14*$E884))*'Business Case'!$B$7-'Business Case'!$B$8*(('Business Case'!D11*$C884*'Business Case'!D12*$B884)-('Business Case'!C11*$C884*'Business Case'!C12*$B884))-'Business Case'!D15*$F884</f>
        <v>219356772.272767</v>
      </c>
      <c r="K884" s="39" t="n">
        <f aca="false">(('Business Case'!E11*$C884*'Business Case'!E12*$B884)-'Business Case'!E11*$C884*'Business Case'!E13*$D884-'Business Case'!E14*$E884)-MAX(0,(('Business Case'!E11*$C884*'Business Case'!E12*$B884)-'Business Case'!E11*$C884*'Business Case'!E13*$D884-'Business Case'!E14*$E884))*'Business Case'!$B$7-'Business Case'!$B$8*(('Business Case'!E11*$C884*'Business Case'!E12*$B884)-('Business Case'!D11*$C884*'Business Case'!D12*$B884))-'Business Case'!E15*$F884</f>
        <v>532542617.202904</v>
      </c>
      <c r="L884" s="39" t="n">
        <f aca="false">(('Business Case'!F11*$C884*'Business Case'!F12*$B884)-'Business Case'!F11*$C884*'Business Case'!F13*$D884-'Business Case'!F14*$E884)-MAX(0,(('Business Case'!F11*$C884*'Business Case'!F12*$B884)-'Business Case'!F11*$C884*'Business Case'!F13*$D884-'Business Case'!F14*$E884))*'Business Case'!$B$7-'Business Case'!$B$8*(('Business Case'!F11*$C884*'Business Case'!F12*$B884)-('Business Case'!E11*$C884*'Business Case'!E12*$B884))-'Business Case'!F15*$F884</f>
        <v>654719840.744885</v>
      </c>
      <c r="M884" s="39" t="n">
        <f aca="false">(('Business Case'!G11*$C884*'Business Case'!G12*$B884)-'Business Case'!G11*$C884*'Business Case'!G13*$D884-'Business Case'!G14*$E884)-MAX(0,(('Business Case'!G11*$C884*'Business Case'!G12*$B884)-'Business Case'!G11*$C884*'Business Case'!G13*$D884-'Business Case'!G14*$E884))*'Business Case'!$B$7-'Business Case'!$B$8*(('Business Case'!G11*$C884*'Business Case'!G12*$B884)-('Business Case'!F11*$C884*'Business Case'!F12*$B884))-'Business Case'!G15*$F884+'Business Case'!$B$8*('Business Case'!G11*$C884*'Business Case'!G12*$B884)</f>
        <v>849055235.633766</v>
      </c>
      <c r="N884" s="39" t="n">
        <f aca="false">IF(COUNT('Business Case'!B11:G11)=0,"",H884+NPV(G884,I884:M884))</f>
        <v>-604831426.002742</v>
      </c>
      <c r="P884" s="40" t="n">
        <f aca="true">RAND()</f>
        <v>0.0331259650316554</v>
      </c>
      <c r="Q884" s="40" t="n">
        <f aca="true">RAND()</f>
        <v>0.931792748370013</v>
      </c>
      <c r="R884" s="40" t="n">
        <f aca="true">RAND()</f>
        <v>0.793824203693183</v>
      </c>
      <c r="S884" s="40" t="n">
        <f aca="true">RAND()</f>
        <v>0.440515971102428</v>
      </c>
      <c r="T884" s="40" t="n">
        <f aca="true">RAND()</f>
        <v>0.568442912973757</v>
      </c>
      <c r="U884" s="40" t="n">
        <f aca="true">RAND()</f>
        <v>0.52729031342299</v>
      </c>
    </row>
    <row r="885" customFormat="false" ht="15" hidden="false" customHeight="false" outlineLevel="0" collapsed="false">
      <c r="A885" s="36" t="n">
        <v>805</v>
      </c>
      <c r="B885" s="37" t="n">
        <f aca="false">1+IF($G$6=$E$6,$F$6,IF(P885&lt;($F$6-$E$6)/($G$6-$E$6),$E$6+SQRT(P885*($G$6-$E$6)*($F$6-$E$6)),$G$6-SQRT((1-P885)*($G$6-$E$6)*($G$6-$F$6))))</f>
        <v>0.961684052739553</v>
      </c>
      <c r="C885" s="37" t="n">
        <f aca="false">1+IF($G$7=$E$7,$F$7,IF(Q885&lt;($F$7-$E$7)/($G$7-$E$7),$E$7+SQRT(Q885*($G$7-$E$7)*($F$7-$E$7)),$G$7-SQRT((1-Q885)*($G$7-$E$7)*($G$7-$F$7))))</f>
        <v>0.916354329177764</v>
      </c>
      <c r="D885" s="37" t="n">
        <f aca="false">1+IF($G$8=$E$8,$F$8,IF(R885&lt;($F$8-$E$8)/($G$8-$E$8),$E$8+SQRT(R885*($G$8-$E$8)*($F$8-$E$8)),$G$8-SQRT((1-R885)*($G$8-$E$8)*($G$8-$F$8))))</f>
        <v>1.06536437782982</v>
      </c>
      <c r="E885" s="37" t="n">
        <f aca="false">1+IF($G$9=$E$9,$F$9,IF(S885&lt;($F$9-$E$9)/($G$9-$E$9),$E$9+SQRT(S885*($G$9-$E$9)*($F$9-$E$9)),$G$9-SQRT((1-S885)*($G$9-$E$9)*($G$9-$F$9))))</f>
        <v>0.966494079278207</v>
      </c>
      <c r="F885" s="37" t="n">
        <f aca="false">1+IF($G$10=$E$10,$F$10,IF(T885&lt;($F$10-$E$10)/($G$10-$E$10),$E$10+SQRT(T885*($G$10-$E$10)*($F$10-$E$10)),$G$10-SQRT((1-T885)*($G$10-$E$10)*($G$10-$F$10))))</f>
        <v>1.06019772192246</v>
      </c>
      <c r="G885" s="38" t="n">
        <f aca="false">IF($G$11=$E$11,$F$11,IF(U885&lt;($F$11-$E$11)/($G$11-$E$11),$E$11+SQRT(U885*($G$11-$E$11)*($F$11-$E$11)),$G$11-SQRT((1-U885)*($G$11-$E$11)*($G$11-$F$11))))</f>
        <v>0.115282457868231</v>
      </c>
      <c r="H885" s="39" t="n">
        <f aca="false">(('Business Case'!B11*$C885*'Business Case'!B12*$B885)-'Business Case'!B11*$C885*'Business Case'!B13*$D885-'Business Case'!B14*$E885)-MAX(0,(('Business Case'!B11*$C885*'Business Case'!B12*$B885)-'Business Case'!B11*$C885*'Business Case'!B13*$D885-'Business Case'!B14*$E885))*'Business Case'!$B$7-'Business Case'!$B$8*('Business Case'!B11*$C885*'Business Case'!B12*$B885)-'Business Case'!B15*$F885</f>
        <v>-2120395443.84491</v>
      </c>
      <c r="I885" s="39" t="n">
        <f aca="false">(('Business Case'!C11*$C885*'Business Case'!C12*$B885)-'Business Case'!C11*$C885*'Business Case'!C13*$D885-'Business Case'!C14*$E885)-MAX(0,(('Business Case'!C11*$C885*'Business Case'!C12*$B885)-'Business Case'!C11*$C885*'Business Case'!C13*$D885-'Business Case'!C14*$E885))*'Business Case'!$B$7-'Business Case'!$B$8*(('Business Case'!C11*$C885*'Business Case'!C12*$B885)-('Business Case'!B11*$C885*'Business Case'!B12*$B885))-'Business Case'!C15*$F885</f>
        <v>-67099681.0768338</v>
      </c>
      <c r="J885" s="39" t="n">
        <f aca="false">(('Business Case'!D11*$C885*'Business Case'!D12*$B885)-'Business Case'!D11*$C885*'Business Case'!D13*$D885-'Business Case'!D14*$E885)-MAX(0,(('Business Case'!D11*$C885*'Business Case'!D12*$B885)-'Business Case'!D11*$C885*'Business Case'!D13*$D885-'Business Case'!D14*$E885))*'Business Case'!$B$7-'Business Case'!$B$8*(('Business Case'!D11*$C885*'Business Case'!D12*$B885)-('Business Case'!C11*$C885*'Business Case'!C12*$B885))-'Business Case'!D15*$F885</f>
        <v>154939523.118248</v>
      </c>
      <c r="K885" s="39" t="n">
        <f aca="false">(('Business Case'!E11*$C885*'Business Case'!E12*$B885)-'Business Case'!E11*$C885*'Business Case'!E13*$D885-'Business Case'!E14*$E885)-MAX(0,(('Business Case'!E11*$C885*'Business Case'!E12*$B885)-'Business Case'!E11*$C885*'Business Case'!E13*$D885-'Business Case'!E14*$E885))*'Business Case'!$B$7-'Business Case'!$B$8*(('Business Case'!E11*$C885*'Business Case'!E12*$B885)-('Business Case'!D11*$C885*'Business Case'!D12*$B885))-'Business Case'!E15*$F885</f>
        <v>429988613.409452</v>
      </c>
      <c r="L885" s="39" t="n">
        <f aca="false">(('Business Case'!F11*$C885*'Business Case'!F12*$B885)-'Business Case'!F11*$C885*'Business Case'!F13*$D885-'Business Case'!F14*$E885)-MAX(0,(('Business Case'!F11*$C885*'Business Case'!F12*$B885)-'Business Case'!F11*$C885*'Business Case'!F13*$D885-'Business Case'!F14*$E885))*'Business Case'!$B$7-'Business Case'!$B$8*(('Business Case'!F11*$C885*'Business Case'!F12*$B885)-('Business Case'!E11*$C885*'Business Case'!E12*$B885))-'Business Case'!F15*$F885</f>
        <v>534457451.478685</v>
      </c>
      <c r="M885" s="39" t="n">
        <f aca="false">(('Business Case'!G11*$C885*'Business Case'!G12*$B885)-'Business Case'!G11*$C885*'Business Case'!G13*$D885-'Business Case'!G14*$E885)-MAX(0,(('Business Case'!G11*$C885*'Business Case'!G12*$B885)-'Business Case'!G11*$C885*'Business Case'!G13*$D885-'Business Case'!G14*$E885))*'Business Case'!$B$7-'Business Case'!$B$8*(('Business Case'!G11*$C885*'Business Case'!G12*$B885)-('Business Case'!F11*$C885*'Business Case'!F12*$B885))-'Business Case'!G15*$F885+'Business Case'!$B$8*('Business Case'!G11*$C885*'Business Case'!G12*$B885)</f>
        <v>701964186.501818</v>
      </c>
      <c r="N885" s="39" t="n">
        <f aca="false">IF(COUNT('Business Case'!B11:G11)=0,"",H885+NPV(G885,I885:M885))</f>
        <v>-993787813.230882</v>
      </c>
      <c r="P885" s="40" t="n">
        <f aca="true">RAND()</f>
        <v>0.180995859666021</v>
      </c>
      <c r="Q885" s="40" t="n">
        <f aca="true">RAND()</f>
        <v>0.193404713120107</v>
      </c>
      <c r="R885" s="40" t="n">
        <f aca="true">RAND()</f>
        <v>0.979403708047293</v>
      </c>
      <c r="S885" s="40" t="n">
        <f aca="true">RAND()</f>
        <v>0.036273953498103</v>
      </c>
      <c r="T885" s="40" t="n">
        <f aca="true">RAND()</f>
        <v>0.609106460886582</v>
      </c>
      <c r="U885" s="40" t="n">
        <f aca="true">RAND()</f>
        <v>0.962907993724981</v>
      </c>
    </row>
    <row r="886" customFormat="false" ht="15" hidden="false" customHeight="false" outlineLevel="0" collapsed="false">
      <c r="A886" s="36" t="n">
        <v>806</v>
      </c>
      <c r="B886" s="37" t="n">
        <f aca="false">1+IF($G$6=$E$6,$F$6,IF(P886&lt;($F$6-$E$6)/($G$6-$E$6),$E$6+SQRT(P886*($G$6-$E$6)*($F$6-$E$6)),$G$6-SQRT((1-P886)*($G$6-$E$6)*($G$6-$F$6))))</f>
        <v>0.987251142985689</v>
      </c>
      <c r="C886" s="37" t="n">
        <f aca="false">1+IF($G$7=$E$7,$F$7,IF(Q886&lt;($F$7-$E$7)/($G$7-$E$7),$E$7+SQRT(Q886*($G$7-$E$7)*($F$7-$E$7)),$G$7-SQRT((1-Q886)*($G$7-$E$7)*($G$7-$F$7))))</f>
        <v>0.993147844806989</v>
      </c>
      <c r="D886" s="37" t="n">
        <f aca="false">1+IF($G$8=$E$8,$F$8,IF(R886&lt;($F$8-$E$8)/($G$8-$E$8),$E$8+SQRT(R886*($G$8-$E$8)*($F$8-$E$8)),$G$8-SQRT((1-R886)*($G$8-$E$8)*($G$8-$F$8))))</f>
        <v>0.974715200874354</v>
      </c>
      <c r="E886" s="37" t="n">
        <f aca="false">1+IF($G$9=$E$9,$F$9,IF(S886&lt;($F$9-$E$9)/($G$9-$E$9),$E$9+SQRT(S886*($G$9-$E$9)*($F$9-$E$9)),$G$9-SQRT((1-S886)*($G$9-$E$9)*($G$9-$F$9))))</f>
        <v>1.0139241950401</v>
      </c>
      <c r="F886" s="37" t="n">
        <f aca="false">1+IF($G$10=$E$10,$F$10,IF(T886&lt;($F$10-$E$10)/($G$10-$E$10),$E$10+SQRT(T886*($G$10-$E$10)*($F$10-$E$10)),$G$10-SQRT((1-T886)*($G$10-$E$10)*($G$10-$F$10))))</f>
        <v>0.973421340599663</v>
      </c>
      <c r="G886" s="38" t="n">
        <f aca="false">IF($G$11=$E$11,$F$11,IF(U886&lt;($F$11-$E$11)/($G$11-$E$11),$E$11+SQRT(U886*($G$11-$E$11)*($F$11-$E$11)),$G$11-SQRT((1-U886)*($G$11-$E$11)*($G$11-$F$11))))</f>
        <v>0.107342613659494</v>
      </c>
      <c r="H886" s="39" t="n">
        <f aca="false">(('Business Case'!B11*$C886*'Business Case'!B12*$B886)-'Business Case'!B11*$C886*'Business Case'!B13*$D886-'Business Case'!B14*$E886)-MAX(0,(('Business Case'!B11*$C886*'Business Case'!B12*$B886)-'Business Case'!B11*$C886*'Business Case'!B13*$D886-'Business Case'!B14*$E886))*'Business Case'!$B$7-'Business Case'!$B$8*('Business Case'!B11*$C886*'Business Case'!B12*$B886)-'Business Case'!B15*$F886</f>
        <v>-1946842681.19933</v>
      </c>
      <c r="I886" s="39" t="n">
        <f aca="false">(('Business Case'!C11*$C886*'Business Case'!C12*$B886)-'Business Case'!C11*$C886*'Business Case'!C13*$D886-'Business Case'!C14*$E886)-MAX(0,(('Business Case'!C11*$C886*'Business Case'!C12*$B886)-'Business Case'!C11*$C886*'Business Case'!C13*$D886-'Business Case'!C14*$E886))*'Business Case'!$B$7-'Business Case'!$B$8*(('Business Case'!C11*$C886*'Business Case'!C12*$B886)-('Business Case'!B11*$C886*'Business Case'!B12*$B886))-'Business Case'!C15*$F886</f>
        <v>15181201.5729431</v>
      </c>
      <c r="J886" s="39" t="n">
        <f aca="false">(('Business Case'!D11*$C886*'Business Case'!D12*$B886)-'Business Case'!D11*$C886*'Business Case'!D13*$D886-'Business Case'!D14*$E886)-MAX(0,(('Business Case'!D11*$C886*'Business Case'!D12*$B886)-'Business Case'!D11*$C886*'Business Case'!D13*$D886-'Business Case'!D14*$E886))*'Business Case'!$B$7-'Business Case'!$B$8*(('Business Case'!D11*$C886*'Business Case'!D12*$B886)-('Business Case'!C11*$C886*'Business Case'!C12*$B886))-'Business Case'!D15*$F886</f>
        <v>322712969.862216</v>
      </c>
      <c r="K886" s="39" t="n">
        <f aca="false">(('Business Case'!E11*$C886*'Business Case'!E12*$B886)-'Business Case'!E11*$C886*'Business Case'!E13*$D886-'Business Case'!E14*$E886)-MAX(0,(('Business Case'!E11*$C886*'Business Case'!E12*$B886)-'Business Case'!E11*$C886*'Business Case'!E13*$D886-'Business Case'!E14*$E886))*'Business Case'!$B$7-'Business Case'!$B$8*(('Business Case'!E11*$C886*'Business Case'!E12*$B886)-('Business Case'!D11*$C886*'Business Case'!D12*$B886))-'Business Case'!E15*$F886</f>
        <v>678915805.181473</v>
      </c>
      <c r="L886" s="39" t="n">
        <f aca="false">(('Business Case'!F11*$C886*'Business Case'!F12*$B886)-'Business Case'!F11*$C886*'Business Case'!F13*$D886-'Business Case'!F14*$E886)-MAX(0,(('Business Case'!F11*$C886*'Business Case'!F12*$B886)-'Business Case'!F11*$C886*'Business Case'!F13*$D886-'Business Case'!F14*$E886))*'Business Case'!$B$7-'Business Case'!$B$8*(('Business Case'!F11*$C886*'Business Case'!F12*$B886)-('Business Case'!E11*$C886*'Business Case'!E12*$B886))-'Business Case'!F15*$F886</f>
        <v>815312002.692339</v>
      </c>
      <c r="M886" s="39" t="n">
        <f aca="false">(('Business Case'!G11*$C886*'Business Case'!G12*$B886)-'Business Case'!G11*$C886*'Business Case'!G13*$D886-'Business Case'!G14*$E886)-MAX(0,(('Business Case'!G11*$C886*'Business Case'!G12*$B886)-'Business Case'!G11*$C886*'Business Case'!G13*$D886-'Business Case'!G14*$E886))*'Business Case'!$B$7-'Business Case'!$B$8*(('Business Case'!G11*$C886*'Business Case'!G12*$B886)-('Business Case'!F11*$C886*'Business Case'!F12*$B886))-'Business Case'!G15*$F886+'Business Case'!$B$8*('Business Case'!G11*$C886*'Business Case'!G12*$B886)</f>
        <v>1001682847.13843</v>
      </c>
      <c r="N886" s="39" t="n">
        <f aca="false">IF(COUNT('Business Case'!B11:G11)=0,"",H886+NPV(G886,I886:M886))</f>
        <v>-26091158.0268085</v>
      </c>
      <c r="P886" s="40" t="n">
        <f aca="true">RAND()</f>
        <v>0.471116274258504</v>
      </c>
      <c r="Q886" s="40" t="n">
        <f aca="true">RAND()</f>
        <v>0.532944142194068</v>
      </c>
      <c r="R886" s="40" t="n">
        <f aca="true">RAND()</f>
        <v>0.0939755621937922</v>
      </c>
      <c r="S886" s="40" t="n">
        <f aca="true">RAND()</f>
        <v>0.506063720033627</v>
      </c>
      <c r="T886" s="40" t="n">
        <f aca="true">RAND()</f>
        <v>0.0438847356388329</v>
      </c>
      <c r="U886" s="40" t="n">
        <f aca="true">RAND()</f>
        <v>0.732984285045287</v>
      </c>
    </row>
    <row r="887" customFormat="false" ht="15" hidden="false" customHeight="false" outlineLevel="0" collapsed="false">
      <c r="A887" s="36" t="n">
        <v>807</v>
      </c>
      <c r="B887" s="37" t="n">
        <f aca="false">1+IF($G$6=$E$6,$F$6,IF(P887&lt;($F$6-$E$6)/($G$6-$E$6),$E$6+SQRT(P887*($G$6-$E$6)*($F$6-$E$6)),$G$6-SQRT((1-P887)*($G$6-$E$6)*($G$6-$F$6))))</f>
        <v>1.02061255403358</v>
      </c>
      <c r="C887" s="37" t="n">
        <f aca="false">1+IF($G$7=$E$7,$F$7,IF(Q887&lt;($F$7-$E$7)/($G$7-$E$7),$E$7+SQRT(Q887*($G$7-$E$7)*($F$7-$E$7)),$G$7-SQRT((1-Q887)*($G$7-$E$7)*($G$7-$F$7))))</f>
        <v>0.979957369924972</v>
      </c>
      <c r="D887" s="37" t="n">
        <f aca="false">1+IF($G$8=$E$8,$F$8,IF(R887&lt;($F$8-$E$8)/($G$8-$E$8),$E$8+SQRT(R887*($G$8-$E$8)*($F$8-$E$8)),$G$8-SQRT((1-R887)*($G$8-$E$8)*($G$8-$F$8))))</f>
        <v>1.01387914857896</v>
      </c>
      <c r="E887" s="37" t="n">
        <f aca="false">1+IF($G$9=$E$9,$F$9,IF(S887&lt;($F$9-$E$9)/($G$9-$E$9),$E$9+SQRT(S887*($G$9-$E$9)*($F$9-$E$9)),$G$9-SQRT((1-S887)*($G$9-$E$9)*($G$9-$F$9))))</f>
        <v>1.03164243184925</v>
      </c>
      <c r="F887" s="37" t="n">
        <f aca="false">1+IF($G$10=$E$10,$F$10,IF(T887&lt;($F$10-$E$10)/($G$10-$E$10),$E$10+SQRT(T887*($G$10-$E$10)*($F$10-$E$10)),$G$10-SQRT((1-T887)*($G$10-$E$10)*($G$10-$F$10))))</f>
        <v>0.999956354962449</v>
      </c>
      <c r="G887" s="38" t="n">
        <f aca="false">IF($G$11=$E$11,$F$11,IF(U887&lt;($F$11-$E$11)/($G$11-$E$11),$E$11+SQRT(U887*($G$11-$E$11)*($F$11-$E$11)),$G$11-SQRT((1-U887)*($G$11-$E$11)*($G$11-$F$11))))</f>
        <v>0.0952786850703771</v>
      </c>
      <c r="H887" s="39" t="n">
        <f aca="false">(('Business Case'!B11*$C887*'Business Case'!B12*$B887)-'Business Case'!B11*$C887*'Business Case'!B13*$D887-'Business Case'!B14*$E887)-MAX(0,(('Business Case'!B11*$C887*'Business Case'!B12*$B887)-'Business Case'!B11*$C887*'Business Case'!B13*$D887-'Business Case'!B14*$E887))*'Business Case'!$B$7-'Business Case'!$B$8*('Business Case'!B11*$C887*'Business Case'!B12*$B887)-'Business Case'!B15*$F887</f>
        <v>-1999912709.9249</v>
      </c>
      <c r="I887" s="39" t="n">
        <f aca="false">(('Business Case'!C11*$C887*'Business Case'!C12*$B887)-'Business Case'!C11*$C887*'Business Case'!C13*$D887-'Business Case'!C14*$E887)-MAX(0,(('Business Case'!C11*$C887*'Business Case'!C12*$B887)-'Business Case'!C11*$C887*'Business Case'!C13*$D887-'Business Case'!C14*$E887))*'Business Case'!$B$7-'Business Case'!$B$8*(('Business Case'!C11*$C887*'Business Case'!C12*$B887)-('Business Case'!B11*$C887*'Business Case'!B12*$B887))-'Business Case'!C15*$F887</f>
        <v>12034720.8037253</v>
      </c>
      <c r="J887" s="39" t="n">
        <f aca="false">(('Business Case'!D11*$C887*'Business Case'!D12*$B887)-'Business Case'!D11*$C887*'Business Case'!D13*$D887-'Business Case'!D14*$E887)-MAX(0,(('Business Case'!D11*$C887*'Business Case'!D12*$B887)-'Business Case'!D11*$C887*'Business Case'!D13*$D887-'Business Case'!D14*$E887))*'Business Case'!$B$7-'Business Case'!$B$8*(('Business Case'!D11*$C887*'Business Case'!D12*$B887)-('Business Case'!C11*$C887*'Business Case'!C12*$B887))-'Business Case'!D15*$F887</f>
        <v>322612759.122076</v>
      </c>
      <c r="K887" s="39" t="n">
        <f aca="false">(('Business Case'!E11*$C887*'Business Case'!E12*$B887)-'Business Case'!E11*$C887*'Business Case'!E13*$D887-'Business Case'!E14*$E887)-MAX(0,(('Business Case'!E11*$C887*'Business Case'!E12*$B887)-'Business Case'!E11*$C887*'Business Case'!E13*$D887-'Business Case'!E14*$E887))*'Business Case'!$B$7-'Business Case'!$B$8*(('Business Case'!E11*$C887*'Business Case'!E12*$B887)-('Business Case'!D11*$C887*'Business Case'!D12*$B887))-'Business Case'!E15*$F887</f>
        <v>683188615.18855</v>
      </c>
      <c r="L887" s="39" t="n">
        <f aca="false">(('Business Case'!F11*$C887*'Business Case'!F12*$B887)-'Business Case'!F11*$C887*'Business Case'!F13*$D887-'Business Case'!F14*$E887)-MAX(0,(('Business Case'!F11*$C887*'Business Case'!F12*$B887)-'Business Case'!F11*$C887*'Business Case'!F13*$D887-'Business Case'!F14*$E887))*'Business Case'!$B$7-'Business Case'!$B$8*(('Business Case'!F11*$C887*'Business Case'!F12*$B887)-('Business Case'!E11*$C887*'Business Case'!E12*$B887))-'Business Case'!F15*$F887</f>
        <v>821280046.767612</v>
      </c>
      <c r="M887" s="39" t="n">
        <f aca="false">(('Business Case'!G11*$C887*'Business Case'!G12*$B887)-'Business Case'!G11*$C887*'Business Case'!G13*$D887-'Business Case'!G14*$E887)-MAX(0,(('Business Case'!G11*$C887*'Business Case'!G12*$B887)-'Business Case'!G11*$C887*'Business Case'!G13*$D887-'Business Case'!G14*$E887))*'Business Case'!$B$7-'Business Case'!$B$8*(('Business Case'!G11*$C887*'Business Case'!G12*$B887)-('Business Case'!F11*$C887*'Business Case'!F12*$B887))-'Business Case'!G15*$F887+'Business Case'!$B$8*('Business Case'!G11*$C887*'Business Case'!G12*$B887)</f>
        <v>1011389850.20214</v>
      </c>
      <c r="N887" s="39" t="n">
        <f aca="false">IF(COUNT('Business Case'!B11:G11)=0,"",H887+NPV(G887,I887:M887))</f>
        <v>12282902.0799408</v>
      </c>
      <c r="P887" s="40" t="n">
        <f aca="true">RAND()</f>
        <v>0.921693112270657</v>
      </c>
      <c r="Q887" s="40" t="n">
        <f aca="true">RAND()</f>
        <v>0.462637928433048</v>
      </c>
      <c r="R887" s="40" t="n">
        <f aca="true">RAND()</f>
        <v>0.57961855839969</v>
      </c>
      <c r="S887" s="40" t="n">
        <f aca="true">RAND()</f>
        <v>0.688482858434342</v>
      </c>
      <c r="T887" s="40" t="n">
        <f aca="true">RAND()</f>
        <v>0.199650992090735</v>
      </c>
      <c r="U887" s="40" t="n">
        <f aca="true">RAND()</f>
        <v>0.0928817202407413</v>
      </c>
    </row>
    <row r="888" customFormat="false" ht="15" hidden="false" customHeight="false" outlineLevel="0" collapsed="false">
      <c r="A888" s="36" t="n">
        <v>808</v>
      </c>
      <c r="B888" s="37" t="n">
        <f aca="false">1+IF($G$6=$E$6,$F$6,IF(P888&lt;($F$6-$E$6)/($G$6-$E$6),$E$6+SQRT(P888*($G$6-$E$6)*($F$6-$E$6)),$G$6-SQRT((1-P888)*($G$6-$E$6)*($G$6-$F$6))))</f>
        <v>1.00035285156563</v>
      </c>
      <c r="C888" s="37" t="n">
        <f aca="false">1+IF($G$7=$E$7,$F$7,IF(Q888&lt;($F$7-$E$7)/($G$7-$E$7),$E$7+SQRT(Q888*($G$7-$E$7)*($F$7-$E$7)),$G$7-SQRT((1-Q888)*($G$7-$E$7)*($G$7-$F$7))))</f>
        <v>0.969673822918084</v>
      </c>
      <c r="D888" s="37" t="n">
        <f aca="false">1+IF($G$8=$E$8,$F$8,IF(R888&lt;($F$8-$E$8)/($G$8-$E$8),$E$8+SQRT(R888*($G$8-$E$8)*($F$8-$E$8)),$G$8-SQRT((1-R888)*($G$8-$E$8)*($G$8-$F$8))))</f>
        <v>0.977691212308012</v>
      </c>
      <c r="E888" s="37" t="n">
        <f aca="false">1+IF($G$9=$E$9,$F$9,IF(S888&lt;($F$9-$E$9)/($G$9-$E$9),$E$9+SQRT(S888*($G$9-$E$9)*($F$9-$E$9)),$G$9-SQRT((1-S888)*($G$9-$E$9)*($G$9-$F$9))))</f>
        <v>0.999369468144438</v>
      </c>
      <c r="F888" s="37" t="n">
        <f aca="false">1+IF($G$10=$E$10,$F$10,IF(T888&lt;($F$10-$E$10)/($G$10-$E$10),$E$10+SQRT(T888*($G$10-$E$10)*($F$10-$E$10)),$G$10-SQRT((1-T888)*($G$10-$E$10)*($G$10-$F$10))))</f>
        <v>1.05874112106922</v>
      </c>
      <c r="G888" s="38" t="n">
        <f aca="false">IF($G$11=$E$11,$F$11,IF(U888&lt;($F$11-$E$11)/($G$11-$E$11),$E$11+SQRT(U888*($G$11-$E$11)*($F$11-$E$11)),$G$11-SQRT((1-U888)*($G$11-$E$11)*($G$11-$F$11))))</f>
        <v>0.102890199496446</v>
      </c>
      <c r="H888" s="39" t="n">
        <f aca="false">(('Business Case'!B11*$C888*'Business Case'!B12*$B888)-'Business Case'!B11*$C888*'Business Case'!B13*$D888-'Business Case'!B14*$E888)-MAX(0,(('Business Case'!B11*$C888*'Business Case'!B12*$B888)-'Business Case'!B11*$C888*'Business Case'!B13*$D888-'Business Case'!B14*$E888))*'Business Case'!$B$7-'Business Case'!$B$8*('Business Case'!B11*$C888*'Business Case'!B12*$B888)-'Business Case'!B15*$F888</f>
        <v>-2117482242.13844</v>
      </c>
      <c r="I888" s="39" t="n">
        <f aca="false">(('Business Case'!C11*$C888*'Business Case'!C12*$B888)-'Business Case'!C11*$C888*'Business Case'!C13*$D888-'Business Case'!C14*$E888)-MAX(0,(('Business Case'!C11*$C888*'Business Case'!C12*$B888)-'Business Case'!C11*$C888*'Business Case'!C13*$D888-'Business Case'!C14*$E888))*'Business Case'!$B$7-'Business Case'!$B$8*(('Business Case'!C11*$C888*'Business Case'!C12*$B888)-('Business Case'!B11*$C888*'Business Case'!B12*$B888))-'Business Case'!C15*$F888</f>
        <v>10921401.8520284</v>
      </c>
      <c r="J888" s="39" t="n">
        <f aca="false">(('Business Case'!D11*$C888*'Business Case'!D12*$B888)-'Business Case'!D11*$C888*'Business Case'!D13*$D888-'Business Case'!D14*$E888)-MAX(0,(('Business Case'!D11*$C888*'Business Case'!D12*$B888)-'Business Case'!D11*$C888*'Business Case'!D13*$D888-'Business Case'!D14*$E888))*'Business Case'!$B$7-'Business Case'!$B$8*(('Business Case'!D11*$C888*'Business Case'!D12*$B888)-('Business Case'!C11*$C888*'Business Case'!C12*$B888))-'Business Case'!D15*$F888</f>
        <v>320112882.265225</v>
      </c>
      <c r="K888" s="39" t="n">
        <f aca="false">(('Business Case'!E11*$C888*'Business Case'!E12*$B888)-'Business Case'!E11*$C888*'Business Case'!E13*$D888-'Business Case'!E14*$E888)-MAX(0,(('Business Case'!E11*$C888*'Business Case'!E12*$B888)-'Business Case'!E11*$C888*'Business Case'!E13*$D888-'Business Case'!E14*$E888))*'Business Case'!$B$7-'Business Case'!$B$8*(('Business Case'!E11*$C888*'Business Case'!E12*$B888)-('Business Case'!D11*$C888*'Business Case'!D12*$B888))-'Business Case'!E15*$F888</f>
        <v>682241418.731883</v>
      </c>
      <c r="L888" s="39" t="n">
        <f aca="false">(('Business Case'!F11*$C888*'Business Case'!F12*$B888)-'Business Case'!F11*$C888*'Business Case'!F13*$D888-'Business Case'!F14*$E888)-MAX(0,(('Business Case'!F11*$C888*'Business Case'!F12*$B888)-'Business Case'!F11*$C888*'Business Case'!F13*$D888-'Business Case'!F14*$E888))*'Business Case'!$B$7-'Business Case'!$B$8*(('Business Case'!F11*$C888*'Business Case'!F12*$B888)-('Business Case'!E11*$C888*'Business Case'!E12*$B888))-'Business Case'!F15*$F888</f>
        <v>818828997.592352</v>
      </c>
      <c r="M888" s="39" t="n">
        <f aca="false">(('Business Case'!G11*$C888*'Business Case'!G12*$B888)-'Business Case'!G11*$C888*'Business Case'!G13*$D888-'Business Case'!G14*$E888)-MAX(0,(('Business Case'!G11*$C888*'Business Case'!G12*$B888)-'Business Case'!G11*$C888*'Business Case'!G13*$D888-'Business Case'!G14*$E888))*'Business Case'!$B$7-'Business Case'!$B$8*(('Business Case'!G11*$C888*'Business Case'!G12*$B888)-('Business Case'!F11*$C888*'Business Case'!F12*$B888))-'Business Case'!G15*$F888+'Business Case'!$B$8*('Business Case'!G11*$C888*'Business Case'!G12*$B888)</f>
        <v>1003209633.90074</v>
      </c>
      <c r="N888" s="39" t="n">
        <f aca="false">IF(COUNT('Business Case'!B11:G11)=0,"",H888+NPV(G888,I888:M888))</f>
        <v>-167622718.081463</v>
      </c>
      <c r="P888" s="40" t="n">
        <f aca="true">RAND()</f>
        <v>0.672521587713157</v>
      </c>
      <c r="Q888" s="40" t="n">
        <f aca="true">RAND()</f>
        <v>0.411274374051964</v>
      </c>
      <c r="R888" s="40" t="n">
        <f aca="true">RAND()</f>
        <v>0.117969729090369</v>
      </c>
      <c r="S888" s="40" t="n">
        <f aca="true">RAND()</f>
        <v>0.324979251315286</v>
      </c>
      <c r="T888" s="40" t="n">
        <f aca="true">RAND()</f>
        <v>0.600918582464396</v>
      </c>
      <c r="U888" s="40" t="n">
        <f aca="true">RAND()</f>
        <v>0.512091211214328</v>
      </c>
    </row>
    <row r="889" customFormat="false" ht="15" hidden="false" customHeight="false" outlineLevel="0" collapsed="false">
      <c r="A889" s="36" t="n">
        <v>809</v>
      </c>
      <c r="B889" s="37" t="n">
        <f aca="false">1+IF($G$6=$E$6,$F$6,IF(P889&lt;($F$6-$E$6)/($G$6-$E$6),$E$6+SQRT(P889*($G$6-$E$6)*($F$6-$E$6)),$G$6-SQRT((1-P889)*($G$6-$E$6)*($G$6-$F$6))))</f>
        <v>0.9918181164661</v>
      </c>
      <c r="C889" s="37" t="n">
        <f aca="false">1+IF($G$7=$E$7,$F$7,IF(Q889&lt;($F$7-$E$7)/($G$7-$E$7),$E$7+SQRT(Q889*($G$7-$E$7)*($F$7-$E$7)),$G$7-SQRT((1-Q889)*($G$7-$E$7)*($G$7-$F$7))))</f>
        <v>0.962163672920975</v>
      </c>
      <c r="D889" s="37" t="n">
        <f aca="false">1+IF($G$8=$E$8,$F$8,IF(R889&lt;($F$8-$E$8)/($G$8-$E$8),$E$8+SQRT(R889*($G$8-$E$8)*($F$8-$E$8)),$G$8-SQRT((1-R889)*($G$8-$E$8)*($G$8-$F$8))))</f>
        <v>1.00422165897755</v>
      </c>
      <c r="E889" s="37" t="n">
        <f aca="false">1+IF($G$9=$E$9,$F$9,IF(S889&lt;($F$9-$E$9)/($G$9-$E$9),$E$9+SQRT(S889*($G$9-$E$9)*($F$9-$E$9)),$G$9-SQRT((1-S889)*($G$9-$E$9)*($G$9-$F$9))))</f>
        <v>1.01852866266551</v>
      </c>
      <c r="F889" s="37" t="n">
        <f aca="false">1+IF($G$10=$E$10,$F$10,IF(T889&lt;($F$10-$E$10)/($G$10-$E$10),$E$10+SQRT(T889*($G$10-$E$10)*($F$10-$E$10)),$G$10-SQRT((1-T889)*($G$10-$E$10)*($G$10-$F$10))))</f>
        <v>1.04129662944411</v>
      </c>
      <c r="G889" s="38" t="n">
        <f aca="false">IF($G$11=$E$11,$F$11,IF(U889&lt;($F$11-$E$11)/($G$11-$E$11),$E$11+SQRT(U889*($G$11-$E$11)*($F$11-$E$11)),$G$11-SQRT((1-U889)*($G$11-$E$11)*($G$11-$F$11))))</f>
        <v>0.115326247481649</v>
      </c>
      <c r="H889" s="39" t="n">
        <f aca="false">(('Business Case'!B11*$C889*'Business Case'!B12*$B889)-'Business Case'!B11*$C889*'Business Case'!B13*$D889-'Business Case'!B14*$E889)-MAX(0,(('Business Case'!B11*$C889*'Business Case'!B12*$B889)-'Business Case'!B11*$C889*'Business Case'!B13*$D889-'Business Case'!B14*$E889))*'Business Case'!$B$7-'Business Case'!$B$8*('Business Case'!B11*$C889*'Business Case'!B12*$B889)-'Business Case'!B15*$F889</f>
        <v>-2082593258.88822</v>
      </c>
      <c r="I889" s="39" t="n">
        <f aca="false">(('Business Case'!C11*$C889*'Business Case'!C12*$B889)-'Business Case'!C11*$C889*'Business Case'!C13*$D889-'Business Case'!C14*$E889)-MAX(0,(('Business Case'!C11*$C889*'Business Case'!C12*$B889)-'Business Case'!C11*$C889*'Business Case'!C13*$D889-'Business Case'!C14*$E889))*'Business Case'!$B$7-'Business Case'!$B$8*(('Business Case'!C11*$C889*'Business Case'!C12*$B889)-('Business Case'!B11*$C889*'Business Case'!B12*$B889))-'Business Case'!C15*$F889</f>
        <v>-11431777.7365936</v>
      </c>
      <c r="J889" s="39" t="n">
        <f aca="false">(('Business Case'!D11*$C889*'Business Case'!D12*$B889)-'Business Case'!D11*$C889*'Business Case'!D13*$D889-'Business Case'!D14*$E889)-MAX(0,(('Business Case'!D11*$C889*'Business Case'!D12*$B889)-'Business Case'!D11*$C889*'Business Case'!D13*$D889-'Business Case'!D14*$E889))*'Business Case'!$B$7-'Business Case'!$B$8*(('Business Case'!D11*$C889*'Business Case'!D12*$B889)-('Business Case'!C11*$C889*'Business Case'!C12*$B889))-'Business Case'!D15*$F889</f>
        <v>275571347.498416</v>
      </c>
      <c r="K889" s="39" t="n">
        <f aca="false">(('Business Case'!E11*$C889*'Business Case'!E12*$B889)-'Business Case'!E11*$C889*'Business Case'!E13*$D889-'Business Case'!E14*$E889)-MAX(0,(('Business Case'!E11*$C889*'Business Case'!E12*$B889)-'Business Case'!E11*$C889*'Business Case'!E13*$D889-'Business Case'!E14*$E889))*'Business Case'!$B$7-'Business Case'!$B$8*(('Business Case'!E11*$C889*'Business Case'!E12*$B889)-('Business Case'!D11*$C889*'Business Case'!D12*$B889))-'Business Case'!E15*$F889</f>
        <v>614639304.205631</v>
      </c>
      <c r="L889" s="39" t="n">
        <f aca="false">(('Business Case'!F11*$C889*'Business Case'!F12*$B889)-'Business Case'!F11*$C889*'Business Case'!F13*$D889-'Business Case'!F14*$E889)-MAX(0,(('Business Case'!F11*$C889*'Business Case'!F12*$B889)-'Business Case'!F11*$C889*'Business Case'!F13*$D889-'Business Case'!F14*$E889))*'Business Case'!$B$7-'Business Case'!$B$8*(('Business Case'!F11*$C889*'Business Case'!F12*$B889)-('Business Case'!E11*$C889*'Business Case'!E12*$B889))-'Business Case'!F15*$F889</f>
        <v>743287322.081406</v>
      </c>
      <c r="M889" s="39" t="n">
        <f aca="false">(('Business Case'!G11*$C889*'Business Case'!G12*$B889)-'Business Case'!G11*$C889*'Business Case'!G13*$D889-'Business Case'!G14*$E889)-MAX(0,(('Business Case'!G11*$C889*'Business Case'!G12*$B889)-'Business Case'!G11*$C889*'Business Case'!G13*$D889-'Business Case'!G14*$E889))*'Business Case'!$B$7-'Business Case'!$B$8*(('Business Case'!G11*$C889*'Business Case'!G12*$B889)-('Business Case'!F11*$C889*'Business Case'!F12*$B889))-'Business Case'!G15*$F889+'Business Case'!$B$8*('Business Case'!G11*$C889*'Business Case'!G12*$B889)</f>
        <v>924679024.133982</v>
      </c>
      <c r="N889" s="39" t="n">
        <f aca="false">IF(COUNT('Business Case'!B11:G11)=0,"",H889+NPV(G889,I889:M889))</f>
        <v>-412189102.728797</v>
      </c>
      <c r="P889" s="40" t="n">
        <f aca="true">RAND()</f>
        <v>0.537275192993577</v>
      </c>
      <c r="Q889" s="40" t="n">
        <f aca="true">RAND()</f>
        <v>0.37567224021744</v>
      </c>
      <c r="R889" s="40" t="n">
        <f aca="true">RAND()</f>
        <v>0.447850291527377</v>
      </c>
      <c r="S889" s="40" t="n">
        <f aca="true">RAND()</f>
        <v>0.557494746195268</v>
      </c>
      <c r="T889" s="40" t="n">
        <f aca="true">RAND()</f>
        <v>0.496264803484009</v>
      </c>
      <c r="U889" s="40" t="n">
        <f aca="true">RAND()</f>
        <v>0.963593395662017</v>
      </c>
    </row>
    <row r="890" customFormat="false" ht="15" hidden="false" customHeight="false" outlineLevel="0" collapsed="false">
      <c r="A890" s="36" t="n">
        <v>810</v>
      </c>
      <c r="B890" s="37" t="n">
        <f aca="false">1+IF($G$6=$E$6,$F$6,IF(P890&lt;($F$6-$E$6)/($G$6-$E$6),$E$6+SQRT(P890*($G$6-$E$6)*($F$6-$E$6)),$G$6-SQRT((1-P890)*($G$6-$E$6)*($G$6-$F$6))))</f>
        <v>1.0063106727029</v>
      </c>
      <c r="C890" s="37" t="n">
        <f aca="false">1+IF($G$7=$E$7,$F$7,IF(Q890&lt;($F$7-$E$7)/($G$7-$E$7),$E$7+SQRT(Q890*($G$7-$E$7)*($F$7-$E$7)),$G$7-SQRT((1-Q890)*($G$7-$E$7)*($G$7-$F$7))))</f>
        <v>1.06488694811644</v>
      </c>
      <c r="D890" s="37" t="n">
        <f aca="false">1+IF($G$8=$E$8,$F$8,IF(R890&lt;($F$8-$E$8)/($G$8-$E$8),$E$8+SQRT(R890*($G$8-$E$8)*($F$8-$E$8)),$G$8-SQRT((1-R890)*($G$8-$E$8)*($G$8-$F$8))))</f>
        <v>1.01351660504193</v>
      </c>
      <c r="E890" s="37" t="n">
        <f aca="false">1+IF($G$9=$E$9,$F$9,IF(S890&lt;($F$9-$E$9)/($G$9-$E$9),$E$9+SQRT(S890*($G$9-$E$9)*($F$9-$E$9)),$G$9-SQRT((1-S890)*($G$9-$E$9)*($G$9-$F$9))))</f>
        <v>1.03659982731841</v>
      </c>
      <c r="F890" s="37" t="n">
        <f aca="false">1+IF($G$10=$E$10,$F$10,IF(T890&lt;($F$10-$E$10)/($G$10-$E$10),$E$10+SQRT(T890*($G$10-$E$10)*($F$10-$E$10)),$G$10-SQRT((1-T890)*($G$10-$E$10)*($G$10-$F$10))))</f>
        <v>1.01623005466065</v>
      </c>
      <c r="G890" s="38" t="n">
        <f aca="false">IF($G$11=$E$11,$F$11,IF(U890&lt;($F$11-$E$11)/($G$11-$E$11),$E$11+SQRT(U890*($G$11-$E$11)*($F$11-$E$11)),$G$11-SQRT((1-U890)*($G$11-$E$11)*($G$11-$F$11))))</f>
        <v>0.104443370345308</v>
      </c>
      <c r="H890" s="39" t="n">
        <f aca="false">(('Business Case'!B11*$C890*'Business Case'!B12*$B890)-'Business Case'!B11*$C890*'Business Case'!B13*$D890-'Business Case'!B14*$E890)-MAX(0,(('Business Case'!B11*$C890*'Business Case'!B12*$B890)-'Business Case'!B11*$C890*'Business Case'!B13*$D890-'Business Case'!B14*$E890))*'Business Case'!$B$7-'Business Case'!$B$8*('Business Case'!B11*$C890*'Business Case'!B12*$B890)-'Business Case'!B15*$F890</f>
        <v>-2032460109.32129</v>
      </c>
      <c r="I890" s="39" t="n">
        <f aca="false">(('Business Case'!C11*$C890*'Business Case'!C12*$B890)-'Business Case'!C11*$C890*'Business Case'!C13*$D890-'Business Case'!C14*$E890)-MAX(0,(('Business Case'!C11*$C890*'Business Case'!C12*$B890)-'Business Case'!C11*$C890*'Business Case'!C13*$D890-'Business Case'!C14*$E890))*'Business Case'!$B$7-'Business Case'!$B$8*(('Business Case'!C11*$C890*'Business Case'!C12*$B890)-('Business Case'!B11*$C890*'Business Case'!B12*$B890))-'Business Case'!C15*$F890</f>
        <v>20638431.4805405</v>
      </c>
      <c r="J890" s="39" t="n">
        <f aca="false">(('Business Case'!D11*$C890*'Business Case'!D12*$B890)-'Business Case'!D11*$C890*'Business Case'!D13*$D890-'Business Case'!D14*$E890)-MAX(0,(('Business Case'!D11*$C890*'Business Case'!D12*$B890)-'Business Case'!D11*$C890*'Business Case'!D13*$D890-'Business Case'!D14*$E890))*'Business Case'!$B$7-'Business Case'!$B$8*(('Business Case'!D11*$C890*'Business Case'!D12*$B890)-('Business Case'!C11*$C890*'Business Case'!C12*$B890))-'Business Case'!D15*$F890</f>
        <v>345856475.993448</v>
      </c>
      <c r="K890" s="39" t="n">
        <f aca="false">(('Business Case'!E11*$C890*'Business Case'!E12*$B890)-'Business Case'!E11*$C890*'Business Case'!E13*$D890-'Business Case'!E14*$E890)-MAX(0,(('Business Case'!E11*$C890*'Business Case'!E12*$B890)-'Business Case'!E11*$C890*'Business Case'!E13*$D890-'Business Case'!E14*$E890))*'Business Case'!$B$7-'Business Case'!$B$8*(('Business Case'!E11*$C890*'Business Case'!E12*$B890)-('Business Case'!D11*$C890*'Business Case'!D12*$B890))-'Business Case'!E15*$F890</f>
        <v>721886023.239389</v>
      </c>
      <c r="L890" s="39" t="n">
        <f aca="false">(('Business Case'!F11*$C890*'Business Case'!F12*$B890)-'Business Case'!F11*$C890*'Business Case'!F13*$D890-'Business Case'!F14*$E890)-MAX(0,(('Business Case'!F11*$C890*'Business Case'!F12*$B890)-'Business Case'!F11*$C890*'Business Case'!F13*$D890-'Business Case'!F14*$E890))*'Business Case'!$B$7-'Business Case'!$B$8*(('Business Case'!F11*$C890*'Business Case'!F12*$B890)-('Business Case'!E11*$C890*'Business Case'!E12*$B890))-'Business Case'!F15*$F890</f>
        <v>867326779.491442</v>
      </c>
      <c r="M890" s="39" t="n">
        <f aca="false">(('Business Case'!G11*$C890*'Business Case'!G12*$B890)-'Business Case'!G11*$C890*'Business Case'!G13*$D890-'Business Case'!G14*$E890)-MAX(0,(('Business Case'!G11*$C890*'Business Case'!G12*$B890)-'Business Case'!G11*$C890*'Business Case'!G13*$D890-'Business Case'!G14*$E890))*'Business Case'!$B$7-'Business Case'!$B$8*(('Business Case'!G11*$C890*'Business Case'!G12*$B890)-('Business Case'!F11*$C890*'Business Case'!F12*$B890))-'Business Case'!G15*$F890+'Business Case'!$B$8*('Business Case'!G11*$C890*'Business Case'!G12*$B890)</f>
        <v>1071017857.27073</v>
      </c>
      <c r="N890" s="39" t="n">
        <f aca="false">IF(COUNT('Business Case'!B11:G11)=0,"",H890+NPV(G890,I890:M890))</f>
        <v>40274617.7282441</v>
      </c>
      <c r="P890" s="40" t="n">
        <f aca="true">RAND()</f>
        <v>0.763547755472681</v>
      </c>
      <c r="Q890" s="40" t="n">
        <f aca="true">RAND()</f>
        <v>0.862014636172699</v>
      </c>
      <c r="R890" s="40" t="n">
        <f aca="true">RAND()</f>
        <v>0.574995980273973</v>
      </c>
      <c r="S890" s="40" t="n">
        <f aca="true">RAND()</f>
        <v>0.732027873596301</v>
      </c>
      <c r="T890" s="40" t="n">
        <f aca="true">RAND()</f>
        <v>0.324572143799422</v>
      </c>
      <c r="U890" s="40" t="n">
        <f aca="true">RAND()</f>
        <v>0.596652122977937</v>
      </c>
    </row>
    <row r="891" customFormat="false" ht="15" hidden="false" customHeight="false" outlineLevel="0" collapsed="false">
      <c r="A891" s="36" t="n">
        <v>811</v>
      </c>
      <c r="B891" s="37" t="n">
        <f aca="false">1+IF($G$6=$E$6,$F$6,IF(P891&lt;($F$6-$E$6)/($G$6-$E$6),$E$6+SQRT(P891*($G$6-$E$6)*($F$6-$E$6)),$G$6-SQRT((1-P891)*($G$6-$E$6)*($G$6-$F$6))))</f>
        <v>0.949311591690627</v>
      </c>
      <c r="C891" s="37" t="n">
        <f aca="false">1+IF($G$7=$E$7,$F$7,IF(Q891&lt;($F$7-$E$7)/($G$7-$E$7),$E$7+SQRT(Q891*($G$7-$E$7)*($F$7-$E$7)),$G$7-SQRT((1-Q891)*($G$7-$E$7)*($G$7-$F$7))))</f>
        <v>0.873877365901398</v>
      </c>
      <c r="D891" s="37" t="n">
        <f aca="false">1+IF($G$8=$E$8,$F$8,IF(R891&lt;($F$8-$E$8)/($G$8-$E$8),$E$8+SQRT(R891*($G$8-$E$8)*($F$8-$E$8)),$G$8-SQRT((1-R891)*($G$8-$E$8)*($G$8-$F$8))))</f>
        <v>0.996555268124583</v>
      </c>
      <c r="E891" s="37" t="n">
        <f aca="false">1+IF($G$9=$E$9,$F$9,IF(S891&lt;($F$9-$E$9)/($G$9-$E$9),$E$9+SQRT(S891*($G$9-$E$9)*($F$9-$E$9)),$G$9-SQRT((1-S891)*($G$9-$E$9)*($G$9-$F$9))))</f>
        <v>0.987948923157895</v>
      </c>
      <c r="F891" s="37" t="n">
        <f aca="false">1+IF($G$10=$E$10,$F$10,IF(T891&lt;($F$10-$E$10)/($G$10-$E$10),$E$10+SQRT(T891*($G$10-$E$10)*($F$10-$E$10)),$G$10-SQRT((1-T891)*($G$10-$E$10)*($G$10-$F$10))))</f>
        <v>1.00392248141437</v>
      </c>
      <c r="G891" s="38" t="n">
        <f aca="false">IF($G$11=$E$11,$F$11,IF(U891&lt;($F$11-$E$11)/($G$11-$E$11),$E$11+SQRT(U891*($G$11-$E$11)*($F$11-$E$11)),$G$11-SQRT((1-U891)*($G$11-$E$11)*($G$11-$F$11))))</f>
        <v>0.097370965259798</v>
      </c>
      <c r="H891" s="39" t="n">
        <f aca="false">(('Business Case'!B11*$C891*'Business Case'!B12*$B891)-'Business Case'!B11*$C891*'Business Case'!B13*$D891-'Business Case'!B14*$E891)-MAX(0,(('Business Case'!B11*$C891*'Business Case'!B12*$B891)-'Business Case'!B11*$C891*'Business Case'!B13*$D891-'Business Case'!B14*$E891))*'Business Case'!$B$7-'Business Case'!$B$8*('Business Case'!B11*$C891*'Business Case'!B12*$B891)-'Business Case'!B15*$F891</f>
        <v>-2007844962.82874</v>
      </c>
      <c r="I891" s="39" t="n">
        <f aca="false">(('Business Case'!C11*$C891*'Business Case'!C12*$B891)-'Business Case'!C11*$C891*'Business Case'!C13*$D891-'Business Case'!C14*$E891)-MAX(0,(('Business Case'!C11*$C891*'Business Case'!C12*$B891)-'Business Case'!C11*$C891*'Business Case'!C13*$D891-'Business Case'!C14*$E891))*'Business Case'!$B$7-'Business Case'!$B$8*(('Business Case'!C11*$C891*'Business Case'!C12*$B891)-('Business Case'!B11*$C891*'Business Case'!B12*$B891))-'Business Case'!C15*$F891</f>
        <v>-50211076.6988353</v>
      </c>
      <c r="J891" s="39" t="n">
        <f aca="false">(('Business Case'!D11*$C891*'Business Case'!D12*$B891)-'Business Case'!D11*$C891*'Business Case'!D13*$D891-'Business Case'!D14*$E891)-MAX(0,(('Business Case'!D11*$C891*'Business Case'!D12*$B891)-'Business Case'!D11*$C891*'Business Case'!D13*$D891-'Business Case'!D14*$E891))*'Business Case'!$B$7-'Business Case'!$B$8*(('Business Case'!D11*$C891*'Business Case'!D12*$B891)-('Business Case'!C11*$C891*'Business Case'!C12*$B891))-'Business Case'!D15*$F891</f>
        <v>183461957.995359</v>
      </c>
      <c r="K891" s="39" t="n">
        <f aca="false">(('Business Case'!E11*$C891*'Business Case'!E12*$B891)-'Business Case'!E11*$C891*'Business Case'!E13*$D891-'Business Case'!E14*$E891)-MAX(0,(('Business Case'!E11*$C891*'Business Case'!E12*$B891)-'Business Case'!E11*$C891*'Business Case'!E13*$D891-'Business Case'!E14*$E891))*'Business Case'!$B$7-'Business Case'!$B$8*(('Business Case'!E11*$C891*'Business Case'!E12*$B891)-('Business Case'!D11*$C891*'Business Case'!D12*$B891))-'Business Case'!E15*$F891</f>
        <v>467331116.760271</v>
      </c>
      <c r="L891" s="39" t="n">
        <f aca="false">(('Business Case'!F11*$C891*'Business Case'!F12*$B891)-'Business Case'!F11*$C891*'Business Case'!F13*$D891-'Business Case'!F14*$E891)-MAX(0,(('Business Case'!F11*$C891*'Business Case'!F12*$B891)-'Business Case'!F11*$C891*'Business Case'!F13*$D891-'Business Case'!F14*$E891))*'Business Case'!$B$7-'Business Case'!$B$8*(('Business Case'!F11*$C891*'Business Case'!F12*$B891)-('Business Case'!E11*$C891*'Business Case'!E12*$B891))-'Business Case'!F15*$F891</f>
        <v>573892479.244028</v>
      </c>
      <c r="M891" s="39" t="n">
        <f aca="false">(('Business Case'!G11*$C891*'Business Case'!G12*$B891)-'Business Case'!G11*$C891*'Business Case'!G13*$D891-'Business Case'!G14*$E891)-MAX(0,(('Business Case'!G11*$C891*'Business Case'!G12*$B891)-'Business Case'!G11*$C891*'Business Case'!G13*$D891-'Business Case'!G14*$E891))*'Business Case'!$B$7-'Business Case'!$B$8*(('Business Case'!G11*$C891*'Business Case'!G12*$B891)-('Business Case'!F11*$C891*'Business Case'!F12*$B891))-'Business Case'!G15*$F891+'Business Case'!$B$8*('Business Case'!G11*$C891*'Business Case'!G12*$B891)</f>
        <v>731579409.298673</v>
      </c>
      <c r="N891" s="39" t="n">
        <f aca="false">IF(COUNT('Business Case'!B11:G11)=0,"",H891+NPV(G891,I891:M891))</f>
        <v>-692142636.20215</v>
      </c>
      <c r="P891" s="40" t="n">
        <f aca="true">RAND()</f>
        <v>0.0894968132747939</v>
      </c>
      <c r="Q891" s="40" t="n">
        <f aca="true">RAND()</f>
        <v>0.0779695027504144</v>
      </c>
      <c r="R891" s="40" t="n">
        <f aca="true">RAND()</f>
        <v>0.333445075407977</v>
      </c>
      <c r="S891" s="40" t="n">
        <f aca="true">RAND()</f>
        <v>0.192016102512507</v>
      </c>
      <c r="T891" s="40" t="n">
        <f aca="true">RAND()</f>
        <v>0.231072134106048</v>
      </c>
      <c r="U891" s="40" t="n">
        <f aca="true">RAND()</f>
        <v>0.181103762870495</v>
      </c>
    </row>
    <row r="892" customFormat="false" ht="15" hidden="false" customHeight="false" outlineLevel="0" collapsed="false">
      <c r="A892" s="36" t="n">
        <v>812</v>
      </c>
      <c r="B892" s="37" t="n">
        <f aca="false">1+IF($G$6=$E$6,$F$6,IF(P892&lt;($F$6-$E$6)/($G$6-$E$6),$E$6+SQRT(P892*($G$6-$E$6)*($F$6-$E$6)),$G$6-SQRT((1-P892)*($G$6-$E$6)*($G$6-$F$6))))</f>
        <v>0.958185453972525</v>
      </c>
      <c r="C892" s="37" t="n">
        <f aca="false">1+IF($G$7=$E$7,$F$7,IF(Q892&lt;($F$7-$E$7)/($G$7-$E$7),$E$7+SQRT(Q892*($G$7-$E$7)*($F$7-$E$7)),$G$7-SQRT((1-Q892)*($G$7-$E$7)*($G$7-$F$7))))</f>
        <v>1.05672559239834</v>
      </c>
      <c r="D892" s="37" t="n">
        <f aca="false">1+IF($G$8=$E$8,$F$8,IF(R892&lt;($F$8-$E$8)/($G$8-$E$8),$E$8+SQRT(R892*($G$8-$E$8)*($F$8-$E$8)),$G$8-SQRT((1-R892)*($G$8-$E$8)*($G$8-$F$8))))</f>
        <v>1.0255265275943</v>
      </c>
      <c r="E892" s="37" t="n">
        <f aca="false">1+IF($G$9=$E$9,$F$9,IF(S892&lt;($F$9-$E$9)/($G$9-$E$9),$E$9+SQRT(S892*($G$9-$E$9)*($F$9-$E$9)),$G$9-SQRT((1-S892)*($G$9-$E$9)*($G$9-$F$9))))</f>
        <v>1.02902144580755</v>
      </c>
      <c r="F892" s="37" t="n">
        <f aca="false">1+IF($G$10=$E$10,$F$10,IF(T892&lt;($F$10-$E$10)/($G$10-$E$10),$E$10+SQRT(T892*($G$10-$E$10)*($F$10-$E$10)),$G$10-SQRT((1-T892)*($G$10-$E$10)*($G$10-$F$10))))</f>
        <v>0.976203584108847</v>
      </c>
      <c r="G892" s="38" t="n">
        <f aca="false">IF($G$11=$E$11,$F$11,IF(U892&lt;($F$11-$E$11)/($G$11-$E$11),$E$11+SQRT(U892*($G$11-$E$11)*($F$11-$E$11)),$G$11-SQRT((1-U892)*($G$11-$E$11)*($G$11-$F$11))))</f>
        <v>0.0904558182920989</v>
      </c>
      <c r="H892" s="39" t="n">
        <f aca="false">(('Business Case'!B11*$C892*'Business Case'!B12*$B892)-'Business Case'!B11*$C892*'Business Case'!B13*$D892-'Business Case'!B14*$E892)-MAX(0,(('Business Case'!B11*$C892*'Business Case'!B12*$B892)-'Business Case'!B11*$C892*'Business Case'!B13*$D892-'Business Case'!B14*$E892))*'Business Case'!$B$7-'Business Case'!$B$8*('Business Case'!B11*$C892*'Business Case'!B12*$B892)-'Business Case'!B15*$F892</f>
        <v>-1952407168.21769</v>
      </c>
      <c r="I892" s="39" t="n">
        <f aca="false">(('Business Case'!C11*$C892*'Business Case'!C12*$B892)-'Business Case'!C11*$C892*'Business Case'!C13*$D892-'Business Case'!C14*$E892)-MAX(0,(('Business Case'!C11*$C892*'Business Case'!C12*$B892)-'Business Case'!C11*$C892*'Business Case'!C13*$D892-'Business Case'!C14*$E892))*'Business Case'!$B$7-'Business Case'!$B$8*(('Business Case'!C11*$C892*'Business Case'!C12*$B892)-('Business Case'!B11*$C892*'Business Case'!B12*$B892))-'Business Case'!C15*$F892</f>
        <v>-21862584.9876143</v>
      </c>
      <c r="J892" s="39" t="n">
        <f aca="false">(('Business Case'!D11*$C892*'Business Case'!D12*$B892)-'Business Case'!D11*$C892*'Business Case'!D13*$D892-'Business Case'!D14*$E892)-MAX(0,(('Business Case'!D11*$C892*'Business Case'!D12*$B892)-'Business Case'!D11*$C892*'Business Case'!D13*$D892-'Business Case'!D14*$E892))*'Business Case'!$B$7-'Business Case'!$B$8*(('Business Case'!D11*$C892*'Business Case'!D12*$B892)-('Business Case'!C11*$C892*'Business Case'!C12*$B892))-'Business Case'!D15*$F892</f>
        <v>252712064.531636</v>
      </c>
      <c r="K892" s="39" t="n">
        <f aca="false">(('Business Case'!E11*$C892*'Business Case'!E12*$B892)-'Business Case'!E11*$C892*'Business Case'!E13*$D892-'Business Case'!E14*$E892)-MAX(0,(('Business Case'!E11*$C892*'Business Case'!E12*$B892)-'Business Case'!E11*$C892*'Business Case'!E13*$D892-'Business Case'!E14*$E892))*'Business Case'!$B$7-'Business Case'!$B$8*(('Business Case'!E11*$C892*'Business Case'!E12*$B892)-('Business Case'!D11*$C892*'Business Case'!D12*$B892))-'Business Case'!E15*$F892</f>
        <v>576096893.256328</v>
      </c>
      <c r="L892" s="39" t="n">
        <f aca="false">(('Business Case'!F11*$C892*'Business Case'!F12*$B892)-'Business Case'!F11*$C892*'Business Case'!F13*$D892-'Business Case'!F14*$E892)-MAX(0,(('Business Case'!F11*$C892*'Business Case'!F12*$B892)-'Business Case'!F11*$C892*'Business Case'!F13*$D892-'Business Case'!F14*$E892))*'Business Case'!$B$7-'Business Case'!$B$8*(('Business Case'!F11*$C892*'Business Case'!F12*$B892)-('Business Case'!E11*$C892*'Business Case'!E12*$B892))-'Business Case'!F15*$F892</f>
        <v>702615127.430842</v>
      </c>
      <c r="M892" s="39" t="n">
        <f aca="false">(('Business Case'!G11*$C892*'Business Case'!G12*$B892)-'Business Case'!G11*$C892*'Business Case'!G13*$D892-'Business Case'!G14*$E892)-MAX(0,(('Business Case'!G11*$C892*'Business Case'!G12*$B892)-'Business Case'!G11*$C892*'Business Case'!G13*$D892-'Business Case'!G14*$E892))*'Business Case'!$B$7-'Business Case'!$B$8*(('Business Case'!G11*$C892*'Business Case'!G12*$B892)-('Business Case'!F11*$C892*'Business Case'!F12*$B892))-'Business Case'!G15*$F892+'Business Case'!$B$8*('Business Case'!G11*$C892*'Business Case'!G12*$B892)</f>
        <v>895078557.938713</v>
      </c>
      <c r="N892" s="39" t="n">
        <f aca="false">IF(COUNT('Business Case'!B11:G11)=0,"",H892+NPV(G892,I892:M892))</f>
        <v>-238193069.020198</v>
      </c>
      <c r="P892" s="40" t="n">
        <f aca="true">RAND()</f>
        <v>0.15188842657165</v>
      </c>
      <c r="Q892" s="40" t="n">
        <f aca="true">RAND()</f>
        <v>0.834283521648765</v>
      </c>
      <c r="R892" s="40" t="n">
        <f aca="true">RAND()</f>
        <v>0.714677000390867</v>
      </c>
      <c r="S892" s="40" t="n">
        <f aca="true">RAND()</f>
        <v>0.664136322983255</v>
      </c>
      <c r="T892" s="40" t="n">
        <f aca="true">RAND()</f>
        <v>0.0549302256119534</v>
      </c>
      <c r="U892" s="40" t="n">
        <f aca="true">RAND()</f>
        <v>0.000692567718039971</v>
      </c>
    </row>
    <row r="893" customFormat="false" ht="15" hidden="false" customHeight="false" outlineLevel="0" collapsed="false">
      <c r="A893" s="36" t="n">
        <v>813</v>
      </c>
      <c r="B893" s="37" t="n">
        <f aca="false">1+IF($G$6=$E$6,$F$6,IF(P893&lt;($F$6-$E$6)/($G$6-$E$6),$E$6+SQRT(P893*($G$6-$E$6)*($F$6-$E$6)),$G$6-SQRT((1-P893)*($G$6-$E$6)*($G$6-$F$6))))</f>
        <v>1.0277811383099</v>
      </c>
      <c r="C893" s="37" t="n">
        <f aca="false">1+IF($G$7=$E$7,$F$7,IF(Q893&lt;($F$7-$E$7)/($G$7-$E$7),$E$7+SQRT(Q893*($G$7-$E$7)*($F$7-$E$7)),$G$7-SQRT((1-Q893)*($G$7-$E$7)*($G$7-$F$7))))</f>
        <v>0.949941179257054</v>
      </c>
      <c r="D893" s="37" t="n">
        <f aca="false">1+IF($G$8=$E$8,$F$8,IF(R893&lt;($F$8-$E$8)/($G$8-$E$8),$E$8+SQRT(R893*($G$8-$E$8)*($F$8-$E$8)),$G$8-SQRT((1-R893)*($G$8-$E$8)*($G$8-$F$8))))</f>
        <v>0.978148748484079</v>
      </c>
      <c r="E893" s="37" t="n">
        <f aca="false">1+IF($G$9=$E$9,$F$9,IF(S893&lt;($F$9-$E$9)/($G$9-$E$9),$E$9+SQRT(S893*($G$9-$E$9)*($F$9-$E$9)),$G$9-SQRT((1-S893)*($G$9-$E$9)*($G$9-$F$9))))</f>
        <v>1.02512076844144</v>
      </c>
      <c r="F893" s="37" t="n">
        <f aca="false">1+IF($G$10=$E$10,$F$10,IF(T893&lt;($F$10-$E$10)/($G$10-$E$10),$E$10+SQRT(T893*($G$10-$E$10)*($F$10-$E$10)),$G$10-SQRT((1-T893)*($G$10-$E$10)*($G$10-$F$10))))</f>
        <v>1.14942230379133</v>
      </c>
      <c r="G893" s="38" t="n">
        <f aca="false">IF($G$11=$E$11,$F$11,IF(U893&lt;($F$11-$E$11)/($G$11-$E$11),$E$11+SQRT(U893*($G$11-$E$11)*($F$11-$E$11)),$G$11-SQRT((1-U893)*($G$11-$E$11)*($G$11-$F$11))))</f>
        <v>0.0918001361369893</v>
      </c>
      <c r="H893" s="39" t="n">
        <f aca="false">(('Business Case'!B11*$C893*'Business Case'!B12*$B893)-'Business Case'!B11*$C893*'Business Case'!B13*$D893-'Business Case'!B14*$E893)-MAX(0,(('Business Case'!B11*$C893*'Business Case'!B12*$B893)-'Business Case'!B11*$C893*'Business Case'!B13*$D893-'Business Case'!B14*$E893))*'Business Case'!$B$7-'Business Case'!$B$8*('Business Case'!B11*$C893*'Business Case'!B12*$B893)-'Business Case'!B15*$F893</f>
        <v>-2298844607.58266</v>
      </c>
      <c r="I893" s="39" t="n">
        <f aca="false">(('Business Case'!C11*$C893*'Business Case'!C12*$B893)-'Business Case'!C11*$C893*'Business Case'!C13*$D893-'Business Case'!C14*$E893)-MAX(0,(('Business Case'!C11*$C893*'Business Case'!C12*$B893)-'Business Case'!C11*$C893*'Business Case'!C13*$D893-'Business Case'!C14*$E893))*'Business Case'!$B$7-'Business Case'!$B$8*(('Business Case'!C11*$C893*'Business Case'!C12*$B893)-('Business Case'!B11*$C893*'Business Case'!B12*$B893))-'Business Case'!C15*$F893</f>
        <v>12690704.4279787</v>
      </c>
      <c r="J893" s="39" t="n">
        <f aca="false">(('Business Case'!D11*$C893*'Business Case'!D12*$B893)-'Business Case'!D11*$C893*'Business Case'!D13*$D893-'Business Case'!D14*$E893)-MAX(0,(('Business Case'!D11*$C893*'Business Case'!D12*$B893)-'Business Case'!D11*$C893*'Business Case'!D13*$D893-'Business Case'!D14*$E893))*'Business Case'!$B$7-'Business Case'!$B$8*(('Business Case'!D11*$C893*'Business Case'!D12*$B893)-('Business Case'!C11*$C893*'Business Case'!C12*$B893))-'Business Case'!D15*$F893</f>
        <v>336708844.027518</v>
      </c>
      <c r="K893" s="39" t="n">
        <f aca="false">(('Business Case'!E11*$C893*'Business Case'!E12*$B893)-'Business Case'!E11*$C893*'Business Case'!E13*$D893-'Business Case'!E14*$E893)-MAX(0,(('Business Case'!E11*$C893*'Business Case'!E12*$B893)-'Business Case'!E11*$C893*'Business Case'!E13*$D893-'Business Case'!E14*$E893))*'Business Case'!$B$7-'Business Case'!$B$8*(('Business Case'!E11*$C893*'Business Case'!E12*$B893)-('Business Case'!D11*$C893*'Business Case'!D12*$B893))-'Business Case'!E15*$F893</f>
        <v>718198098.816624</v>
      </c>
      <c r="L893" s="39" t="n">
        <f aca="false">(('Business Case'!F11*$C893*'Business Case'!F12*$B893)-'Business Case'!F11*$C893*'Business Case'!F13*$D893-'Business Case'!F14*$E893)-MAX(0,(('Business Case'!F11*$C893*'Business Case'!F12*$B893)-'Business Case'!F11*$C893*'Business Case'!F13*$D893-'Business Case'!F14*$E893))*'Business Case'!$B$7-'Business Case'!$B$8*(('Business Case'!F11*$C893*'Business Case'!F12*$B893)-('Business Case'!E11*$C893*'Business Case'!E12*$B893))-'Business Case'!F15*$F893</f>
        <v>859946166.363173</v>
      </c>
      <c r="M893" s="39" t="n">
        <f aca="false">(('Business Case'!G11*$C893*'Business Case'!G12*$B893)-'Business Case'!G11*$C893*'Business Case'!G13*$D893-'Business Case'!G14*$E893)-MAX(0,(('Business Case'!G11*$C893*'Business Case'!G12*$B893)-'Business Case'!G11*$C893*'Business Case'!G13*$D893-'Business Case'!G14*$E893))*'Business Case'!$B$7-'Business Case'!$B$8*(('Business Case'!G11*$C893*'Business Case'!G12*$B893)-('Business Case'!F11*$C893*'Business Case'!F12*$B893))-'Business Case'!G15*$F893+'Business Case'!$B$8*('Business Case'!G11*$C893*'Business Case'!G12*$B893)</f>
        <v>1045527281.93671</v>
      </c>
      <c r="N893" s="39" t="n">
        <f aca="false">IF(COUNT('Business Case'!B11:G11)=0,"",H893+NPV(G893,I893:M893))</f>
        <v>-173774313.645995</v>
      </c>
      <c r="P893" s="40" t="n">
        <f aca="true">RAND()</f>
        <v>0.968895712291296</v>
      </c>
      <c r="Q893" s="40" t="n">
        <f aca="true">RAND()</f>
        <v>0.321176531957084</v>
      </c>
      <c r="R893" s="40" t="n">
        <f aca="true">RAND()</f>
        <v>0.121900314033835</v>
      </c>
      <c r="S893" s="40" t="n">
        <f aca="true">RAND()</f>
        <v>0.626206712079978</v>
      </c>
      <c r="T893" s="40" t="n">
        <f aca="true">RAND()</f>
        <v>0.948837932924472</v>
      </c>
      <c r="U893" s="40" t="n">
        <f aca="true">RAND()</f>
        <v>0.010801633705649</v>
      </c>
    </row>
    <row r="894" customFormat="false" ht="15" hidden="false" customHeight="false" outlineLevel="0" collapsed="false">
      <c r="A894" s="36" t="n">
        <v>814</v>
      </c>
      <c r="B894" s="37" t="n">
        <f aca="false">1+IF($G$6=$E$6,$F$6,IF(P894&lt;($F$6-$E$6)/($G$6-$E$6),$E$6+SQRT(P894*($G$6-$E$6)*($F$6-$E$6)),$G$6-SQRT((1-P894)*($G$6-$E$6)*($G$6-$F$6))))</f>
        <v>0.99462557401676</v>
      </c>
      <c r="C894" s="37" t="n">
        <f aca="false">1+IF($G$7=$E$7,$F$7,IF(Q894&lt;($F$7-$E$7)/($G$7-$E$7),$E$7+SQRT(Q894*($G$7-$E$7)*($F$7-$E$7)),$G$7-SQRT((1-Q894)*($G$7-$E$7)*($G$7-$F$7))))</f>
        <v>1.00551571013251</v>
      </c>
      <c r="D894" s="37" t="n">
        <f aca="false">1+IF($G$8=$E$8,$F$8,IF(R894&lt;($F$8-$E$8)/($G$8-$E$8),$E$8+SQRT(R894*($G$8-$E$8)*($F$8-$E$8)),$G$8-SQRT((1-R894)*($G$8-$E$8)*($G$8-$F$8))))</f>
        <v>1.04738979872451</v>
      </c>
      <c r="E894" s="37" t="n">
        <f aca="false">1+IF($G$9=$E$9,$F$9,IF(S894&lt;($F$9-$E$9)/($G$9-$E$9),$E$9+SQRT(S894*($G$9-$E$9)*($F$9-$E$9)),$G$9-SQRT((1-S894)*($G$9-$E$9)*($G$9-$F$9))))</f>
        <v>1.04952865016498</v>
      </c>
      <c r="F894" s="37" t="n">
        <f aca="false">1+IF($G$10=$E$10,$F$10,IF(T894&lt;($F$10-$E$10)/($G$10-$E$10),$E$10+SQRT(T894*($G$10-$E$10)*($F$10-$E$10)),$G$10-SQRT((1-T894)*($G$10-$E$10)*($G$10-$F$10))))</f>
        <v>1.01144104832944</v>
      </c>
      <c r="G894" s="38" t="n">
        <f aca="false">IF($G$11=$E$11,$F$11,IF(U894&lt;($F$11-$E$11)/($G$11-$E$11),$E$11+SQRT(U894*($G$11-$E$11)*($F$11-$E$11)),$G$11-SQRT((1-U894)*($G$11-$E$11)*($G$11-$F$11))))</f>
        <v>0.100846204718148</v>
      </c>
      <c r="H894" s="39" t="n">
        <f aca="false">(('Business Case'!B11*$C894*'Business Case'!B12*$B894)-'Business Case'!B11*$C894*'Business Case'!B13*$D894-'Business Case'!B14*$E894)-MAX(0,(('Business Case'!B11*$C894*'Business Case'!B12*$B894)-'Business Case'!B11*$C894*'Business Case'!B13*$D894-'Business Case'!B14*$E894))*'Business Case'!$B$7-'Business Case'!$B$8*('Business Case'!B11*$C894*'Business Case'!B12*$B894)-'Business Case'!B15*$F894</f>
        <v>-2022882096.65888</v>
      </c>
      <c r="I894" s="39" t="n">
        <f aca="false">(('Business Case'!C11*$C894*'Business Case'!C12*$B894)-'Business Case'!C11*$C894*'Business Case'!C13*$D894-'Business Case'!C14*$E894)-MAX(0,(('Business Case'!C11*$C894*'Business Case'!C12*$B894)-'Business Case'!C11*$C894*'Business Case'!C13*$D894-'Business Case'!C14*$E894))*'Business Case'!$B$7-'Business Case'!$B$8*(('Business Case'!C11*$C894*'Business Case'!C12*$B894)-('Business Case'!B11*$C894*'Business Case'!B12*$B894))-'Business Case'!C15*$F894</f>
        <v>-22206622.8596571</v>
      </c>
      <c r="J894" s="39" t="n">
        <f aca="false">(('Business Case'!D11*$C894*'Business Case'!D12*$B894)-'Business Case'!D11*$C894*'Business Case'!D13*$D894-'Business Case'!D14*$E894)-MAX(0,(('Business Case'!D11*$C894*'Business Case'!D12*$B894)-'Business Case'!D11*$C894*'Business Case'!D13*$D894-'Business Case'!D14*$E894))*'Business Case'!$B$7-'Business Case'!$B$8*(('Business Case'!D11*$C894*'Business Case'!D12*$B894)-('Business Case'!C11*$C894*'Business Case'!C12*$B894))-'Business Case'!D15*$F894</f>
        <v>257819620.604048</v>
      </c>
      <c r="K894" s="39" t="n">
        <f aca="false">(('Business Case'!E11*$C894*'Business Case'!E12*$B894)-'Business Case'!E11*$C894*'Business Case'!E13*$D894-'Business Case'!E14*$E894)-MAX(0,(('Business Case'!E11*$C894*'Business Case'!E12*$B894)-'Business Case'!E11*$C894*'Business Case'!E13*$D894-'Business Case'!E14*$E894))*'Business Case'!$B$7-'Business Case'!$B$8*(('Business Case'!E11*$C894*'Business Case'!E12*$B894)-('Business Case'!D11*$C894*'Business Case'!D12*$B894))-'Business Case'!E15*$F894</f>
        <v>588417916.484226</v>
      </c>
      <c r="L894" s="39" t="n">
        <f aca="false">(('Business Case'!F11*$C894*'Business Case'!F12*$B894)-'Business Case'!F11*$C894*'Business Case'!F13*$D894-'Business Case'!F14*$E894)-MAX(0,(('Business Case'!F11*$C894*'Business Case'!F12*$B894)-'Business Case'!F11*$C894*'Business Case'!F13*$D894-'Business Case'!F14*$E894))*'Business Case'!$B$7-'Business Case'!$B$8*(('Business Case'!F11*$C894*'Business Case'!F12*$B894)-('Business Case'!E11*$C894*'Business Case'!E12*$B894))-'Business Case'!F15*$F894</f>
        <v>716323855.9301</v>
      </c>
      <c r="M894" s="39" t="n">
        <f aca="false">(('Business Case'!G11*$C894*'Business Case'!G12*$B894)-'Business Case'!G11*$C894*'Business Case'!G13*$D894-'Business Case'!G14*$E894)-MAX(0,(('Business Case'!G11*$C894*'Business Case'!G12*$B894)-'Business Case'!G11*$C894*'Business Case'!G13*$D894-'Business Case'!G14*$E894))*'Business Case'!$B$7-'Business Case'!$B$8*(('Business Case'!G11*$C894*'Business Case'!G12*$B894)-('Business Case'!F11*$C894*'Business Case'!F12*$B894))-'Business Case'!G15*$F894+'Business Case'!$B$8*('Business Case'!G11*$C894*'Business Case'!G12*$B894)</f>
        <v>906425076.532279</v>
      </c>
      <c r="N894" s="39" t="n">
        <f aca="false">IF(COUNT('Business Case'!B11:G11)=0,"",H894+NPV(G894,I894:M894))</f>
        <v>-340824355.610213</v>
      </c>
      <c r="P894" s="40" t="n">
        <f aca="true">RAND()</f>
        <v>0.580101697638641</v>
      </c>
      <c r="Q894" s="40" t="n">
        <f aca="true">RAND()</f>
        <v>0.602367428218802</v>
      </c>
      <c r="R894" s="40" t="n">
        <f aca="true">RAND()</f>
        <v>0.897747574304993</v>
      </c>
      <c r="S894" s="40" t="n">
        <f aca="true">RAND()</f>
        <v>0.830176189722101</v>
      </c>
      <c r="T894" s="40" t="n">
        <f aca="true">RAND()</f>
        <v>0.288910434897974</v>
      </c>
      <c r="U894" s="40" t="n">
        <f aca="true">RAND()</f>
        <v>0.388553543834819</v>
      </c>
    </row>
    <row r="895" customFormat="false" ht="15" hidden="false" customHeight="false" outlineLevel="0" collapsed="false">
      <c r="A895" s="36" t="n">
        <v>815</v>
      </c>
      <c r="B895" s="37" t="n">
        <f aca="false">1+IF($G$6=$E$6,$F$6,IF(P895&lt;($F$6-$E$6)/($G$6-$E$6),$E$6+SQRT(P895*($G$6-$E$6)*($F$6-$E$6)),$G$6-SQRT((1-P895)*($G$6-$E$6)*($G$6-$F$6))))</f>
        <v>1.00392909778747</v>
      </c>
      <c r="C895" s="37" t="n">
        <f aca="false">1+IF($G$7=$E$7,$F$7,IF(Q895&lt;($F$7-$E$7)/($G$7-$E$7),$E$7+SQRT(Q895*($G$7-$E$7)*($F$7-$E$7)),$G$7-SQRT((1-Q895)*($G$7-$E$7)*($G$7-$F$7))))</f>
        <v>1.00996860594714</v>
      </c>
      <c r="D895" s="37" t="n">
        <f aca="false">1+IF($G$8=$E$8,$F$8,IF(R895&lt;($F$8-$E$8)/($G$8-$E$8),$E$8+SQRT(R895*($G$8-$E$8)*($F$8-$E$8)),$G$8-SQRT((1-R895)*($G$8-$E$8)*($G$8-$F$8))))</f>
        <v>0.998329934373817</v>
      </c>
      <c r="E895" s="37" t="n">
        <f aca="false">1+IF($G$9=$E$9,$F$9,IF(S895&lt;($F$9-$E$9)/($G$9-$E$9),$E$9+SQRT(S895*($G$9-$E$9)*($F$9-$E$9)),$G$9-SQRT((1-S895)*($G$9-$E$9)*($G$9-$F$9))))</f>
        <v>1.04299598913584</v>
      </c>
      <c r="F895" s="37" t="n">
        <f aca="false">1+IF($G$10=$E$10,$F$10,IF(T895&lt;($F$10-$E$10)/($G$10-$E$10),$E$10+SQRT(T895*($G$10-$E$10)*($F$10-$E$10)),$G$10-SQRT((1-T895)*($G$10-$E$10)*($G$10-$F$10))))</f>
        <v>0.98317552647334</v>
      </c>
      <c r="G895" s="38" t="n">
        <f aca="false">IF($G$11=$E$11,$F$11,IF(U895&lt;($F$11-$E$11)/($G$11-$E$11),$E$11+SQRT(U895*($G$11-$E$11)*($F$11-$E$11)),$G$11-SQRT((1-U895)*($G$11-$E$11)*($G$11-$F$11))))</f>
        <v>0.106617284907833</v>
      </c>
      <c r="H895" s="39" t="n">
        <f aca="false">(('Business Case'!B11*$C895*'Business Case'!B12*$B895)-'Business Case'!B11*$C895*'Business Case'!B13*$D895-'Business Case'!B14*$E895)-MAX(0,(('Business Case'!B11*$C895*'Business Case'!B12*$B895)-'Business Case'!B11*$C895*'Business Case'!B13*$D895-'Business Case'!B14*$E895))*'Business Case'!$B$7-'Business Case'!$B$8*('Business Case'!B11*$C895*'Business Case'!B12*$B895)-'Business Case'!B15*$F895</f>
        <v>-1966351052.94668</v>
      </c>
      <c r="I895" s="39" t="n">
        <f aca="false">(('Business Case'!C11*$C895*'Business Case'!C12*$B895)-'Business Case'!C11*$C895*'Business Case'!C13*$D895-'Business Case'!C14*$E895)-MAX(0,(('Business Case'!C11*$C895*'Business Case'!C12*$B895)-'Business Case'!C11*$C895*'Business Case'!C13*$D895-'Business Case'!C14*$E895))*'Business Case'!$B$7-'Business Case'!$B$8*(('Business Case'!C11*$C895*'Business Case'!C12*$B895)-('Business Case'!B11*$C895*'Business Case'!B12*$B895))-'Business Case'!C15*$F895</f>
        <v>15133565.1853196</v>
      </c>
      <c r="J895" s="39" t="n">
        <f aca="false">(('Business Case'!D11*$C895*'Business Case'!D12*$B895)-'Business Case'!D11*$C895*'Business Case'!D13*$D895-'Business Case'!D14*$E895)-MAX(0,(('Business Case'!D11*$C895*'Business Case'!D12*$B895)-'Business Case'!D11*$C895*'Business Case'!D13*$D895-'Business Case'!D14*$E895))*'Business Case'!$B$7-'Business Case'!$B$8*(('Business Case'!D11*$C895*'Business Case'!D12*$B895)-('Business Case'!C11*$C895*'Business Case'!C12*$B895))-'Business Case'!D15*$F895</f>
        <v>329461200.084505</v>
      </c>
      <c r="K895" s="39" t="n">
        <f aca="false">(('Business Case'!E11*$C895*'Business Case'!E12*$B895)-'Business Case'!E11*$C895*'Business Case'!E13*$D895-'Business Case'!E14*$E895)-MAX(0,(('Business Case'!E11*$C895*'Business Case'!E12*$B895)-'Business Case'!E11*$C895*'Business Case'!E13*$D895-'Business Case'!E14*$E895))*'Business Case'!$B$7-'Business Case'!$B$8*(('Business Case'!E11*$C895*'Business Case'!E12*$B895)-('Business Case'!D11*$C895*'Business Case'!D12*$B895))-'Business Case'!E15*$F895</f>
        <v>692947611.307358</v>
      </c>
      <c r="L895" s="39" t="n">
        <f aca="false">(('Business Case'!F11*$C895*'Business Case'!F12*$B895)-'Business Case'!F11*$C895*'Business Case'!F13*$D895-'Business Case'!F14*$E895)-MAX(0,(('Business Case'!F11*$C895*'Business Case'!F12*$B895)-'Business Case'!F11*$C895*'Business Case'!F13*$D895-'Business Case'!F14*$E895))*'Business Case'!$B$7-'Business Case'!$B$8*(('Business Case'!F11*$C895*'Business Case'!F12*$B895)-('Business Case'!E11*$C895*'Business Case'!E12*$B895))-'Business Case'!F15*$F895</f>
        <v>832765147.881363</v>
      </c>
      <c r="M895" s="39" t="n">
        <f aca="false">(('Business Case'!G11*$C895*'Business Case'!G12*$B895)-'Business Case'!G11*$C895*'Business Case'!G13*$D895-'Business Case'!G14*$E895)-MAX(0,(('Business Case'!G11*$C895*'Business Case'!G12*$B895)-'Business Case'!G11*$C895*'Business Case'!G13*$D895-'Business Case'!G14*$E895))*'Business Case'!$B$7-'Business Case'!$B$8*(('Business Case'!G11*$C895*'Business Case'!G12*$B895)-('Business Case'!F11*$C895*'Business Case'!F12*$B895))-'Business Case'!G15*$F895+'Business Case'!$B$8*('Business Case'!G11*$C895*'Business Case'!G12*$B895)</f>
        <v>1025494268.38989</v>
      </c>
      <c r="N895" s="39" t="n">
        <f aca="false">IF(COUNT('Business Case'!B11:G11)=0,"",H895+NPV(G895,I895:M895))</f>
        <v>943846.0550704</v>
      </c>
      <c r="P895" s="40" t="n">
        <f aca="true">RAND()</f>
        <v>0.728935419494674</v>
      </c>
      <c r="Q895" s="40" t="n">
        <f aca="true">RAND()</f>
        <v>0.626499212944995</v>
      </c>
      <c r="R895" s="40" t="n">
        <f aca="true">RAND()</f>
        <v>0.359351162550379</v>
      </c>
      <c r="S895" s="40" t="n">
        <f aca="true">RAND()</f>
        <v>0.783369516359911</v>
      </c>
      <c r="T895" s="40" t="n">
        <f aca="true">RAND()</f>
        <v>0.0880492445426603</v>
      </c>
      <c r="U895" s="40" t="n">
        <f aca="true">RAND()</f>
        <v>0.701504894603161</v>
      </c>
    </row>
    <row r="896" customFormat="false" ht="15" hidden="false" customHeight="false" outlineLevel="0" collapsed="false">
      <c r="A896" s="36" t="n">
        <v>816</v>
      </c>
      <c r="B896" s="37" t="n">
        <f aca="false">1+IF($G$6=$E$6,$F$6,IF(P896&lt;($F$6-$E$6)/($G$6-$E$6),$E$6+SQRT(P896*($G$6-$E$6)*($F$6-$E$6)),$G$6-SQRT((1-P896)*($G$6-$E$6)*($G$6-$F$6))))</f>
        <v>0.979087483406791</v>
      </c>
      <c r="C896" s="37" t="n">
        <f aca="false">1+IF($G$7=$E$7,$F$7,IF(Q896&lt;($F$7-$E$7)/($G$7-$E$7),$E$7+SQRT(Q896*($G$7-$E$7)*($F$7-$E$7)),$G$7-SQRT((1-Q896)*($G$7-$E$7)*($G$7-$F$7))))</f>
        <v>0.947270613913353</v>
      </c>
      <c r="D896" s="37" t="n">
        <f aca="false">1+IF($G$8=$E$8,$F$8,IF(R896&lt;($F$8-$E$8)/($G$8-$E$8),$E$8+SQRT(R896*($G$8-$E$8)*($F$8-$E$8)),$G$8-SQRT((1-R896)*($G$8-$E$8)*($G$8-$F$8))))</f>
        <v>1.02330803757751</v>
      </c>
      <c r="E896" s="37" t="n">
        <f aca="false">1+IF($G$9=$E$9,$F$9,IF(S896&lt;($F$9-$E$9)/($G$9-$E$9),$E$9+SQRT(S896*($G$9-$E$9)*($F$9-$E$9)),$G$9-SQRT((1-S896)*($G$9-$E$9)*($G$9-$F$9))))</f>
        <v>1.01450426654976</v>
      </c>
      <c r="F896" s="37" t="n">
        <f aca="false">1+IF($G$10=$E$10,$F$10,IF(T896&lt;($F$10-$E$10)/($G$10-$E$10),$E$10+SQRT(T896*($G$10-$E$10)*($F$10-$E$10)),$G$10-SQRT((1-T896)*($G$10-$E$10)*($G$10-$F$10))))</f>
        <v>0.991884064170212</v>
      </c>
      <c r="G896" s="38" t="n">
        <f aca="false">IF($G$11=$E$11,$F$11,IF(U896&lt;($F$11-$E$11)/($G$11-$E$11),$E$11+SQRT(U896*($G$11-$E$11)*($F$11-$E$11)),$G$11-SQRT((1-U896)*($G$11-$E$11)*($G$11-$F$11))))</f>
        <v>0.108310355293511</v>
      </c>
      <c r="H896" s="39" t="n">
        <f aca="false">(('Business Case'!B11*$C896*'Business Case'!B12*$B896)-'Business Case'!B11*$C896*'Business Case'!B13*$D896-'Business Case'!B14*$E896)-MAX(0,(('Business Case'!B11*$C896*'Business Case'!B12*$B896)-'Business Case'!B11*$C896*'Business Case'!B13*$D896-'Business Case'!B14*$E896))*'Business Case'!$B$7-'Business Case'!$B$8*('Business Case'!B11*$C896*'Business Case'!B12*$B896)-'Business Case'!B15*$F896</f>
        <v>-1983768128.34042</v>
      </c>
      <c r="I896" s="39" t="n">
        <f aca="false">(('Business Case'!C11*$C896*'Business Case'!C12*$B896)-'Business Case'!C11*$C896*'Business Case'!C13*$D896-'Business Case'!C14*$E896)-MAX(0,(('Business Case'!C11*$C896*'Business Case'!C12*$B896)-'Business Case'!C11*$C896*'Business Case'!C13*$D896-'Business Case'!C14*$E896))*'Business Case'!$B$7-'Business Case'!$B$8*(('Business Case'!C11*$C896*'Business Case'!C12*$B896)-('Business Case'!B11*$C896*'Business Case'!B12*$B896))-'Business Case'!C15*$F896</f>
        <v>-28102771.5924057</v>
      </c>
      <c r="J896" s="39" t="n">
        <f aca="false">(('Business Case'!D11*$C896*'Business Case'!D12*$B896)-'Business Case'!D11*$C896*'Business Case'!D13*$D896-'Business Case'!D14*$E896)-MAX(0,(('Business Case'!D11*$C896*'Business Case'!D12*$B896)-'Business Case'!D11*$C896*'Business Case'!D13*$D896-'Business Case'!D14*$E896))*'Business Case'!$B$7-'Business Case'!$B$8*(('Business Case'!D11*$C896*'Business Case'!D12*$B896)-('Business Case'!C11*$C896*'Business Case'!C12*$B896))-'Business Case'!D15*$F896</f>
        <v>235324937.884393</v>
      </c>
      <c r="K896" s="39" t="n">
        <f aca="false">(('Business Case'!E11*$C896*'Business Case'!E12*$B896)-'Business Case'!E11*$C896*'Business Case'!E13*$D896-'Business Case'!E14*$E896)-MAX(0,(('Business Case'!E11*$C896*'Business Case'!E12*$B896)-'Business Case'!E11*$C896*'Business Case'!E13*$D896-'Business Case'!E14*$E896))*'Business Case'!$B$7-'Business Case'!$B$8*(('Business Case'!E11*$C896*'Business Case'!E12*$B896)-('Business Case'!D11*$C896*'Business Case'!D12*$B896))-'Business Case'!E15*$F896</f>
        <v>548346850.569702</v>
      </c>
      <c r="L896" s="39" t="n">
        <f aca="false">(('Business Case'!F11*$C896*'Business Case'!F12*$B896)-'Business Case'!F11*$C896*'Business Case'!F13*$D896-'Business Case'!F14*$E896)-MAX(0,(('Business Case'!F11*$C896*'Business Case'!F12*$B896)-'Business Case'!F11*$C896*'Business Case'!F13*$D896-'Business Case'!F14*$E896))*'Business Case'!$B$7-'Business Case'!$B$8*(('Business Case'!F11*$C896*'Business Case'!F12*$B896)-('Business Case'!E11*$C896*'Business Case'!E12*$B896))-'Business Case'!F15*$F896</f>
        <v>668209132.361174</v>
      </c>
      <c r="M896" s="39" t="n">
        <f aca="false">(('Business Case'!G11*$C896*'Business Case'!G12*$B896)-'Business Case'!G11*$C896*'Business Case'!G13*$D896-'Business Case'!G14*$E896)-MAX(0,(('Business Case'!G11*$C896*'Business Case'!G12*$B896)-'Business Case'!G11*$C896*'Business Case'!G13*$D896-'Business Case'!G14*$E896))*'Business Case'!$B$7-'Business Case'!$B$8*(('Business Case'!G11*$C896*'Business Case'!G12*$B896)-('Business Case'!F11*$C896*'Business Case'!F12*$B896))-'Business Case'!G15*$F896+'Business Case'!$B$8*('Business Case'!G11*$C896*'Business Case'!G12*$B896)</f>
        <v>844500881.506802</v>
      </c>
      <c r="N896" s="39" t="n">
        <f aca="false">IF(COUNT('Business Case'!B11:G11)=0,"",H896+NPV(G896,I896:M896))</f>
        <v>-466901240.718251</v>
      </c>
      <c r="P896" s="40" t="n">
        <f aca="true">RAND()</f>
        <v>0.363680280765399</v>
      </c>
      <c r="Q896" s="40" t="n">
        <f aca="true">RAND()</f>
        <v>0.309837624605941</v>
      </c>
      <c r="R896" s="40" t="n">
        <f aca="true">RAND()</f>
        <v>0.690963595835325</v>
      </c>
      <c r="S896" s="40" t="n">
        <f aca="true">RAND()</f>
        <v>0.512698637453663</v>
      </c>
      <c r="T896" s="40" t="n">
        <f aca="true">RAND()</f>
        <v>0.140341986513151</v>
      </c>
      <c r="U896" s="40" t="n">
        <f aca="true">RAND()</f>
        <v>0.772253677726763</v>
      </c>
    </row>
    <row r="897" customFormat="false" ht="15" hidden="false" customHeight="false" outlineLevel="0" collapsed="false">
      <c r="A897" s="36" t="n">
        <v>817</v>
      </c>
      <c r="B897" s="37" t="n">
        <f aca="false">1+IF($G$6=$E$6,$F$6,IF(P897&lt;($F$6-$E$6)/($G$6-$E$6),$E$6+SQRT(P897*($G$6-$E$6)*($F$6-$E$6)),$G$6-SQRT((1-P897)*($G$6-$E$6)*($G$6-$F$6))))</f>
        <v>0.925340775080649</v>
      </c>
      <c r="C897" s="37" t="n">
        <f aca="false">1+IF($G$7=$E$7,$F$7,IF(Q897&lt;($F$7-$E$7)/($G$7-$E$7),$E$7+SQRT(Q897*($G$7-$E$7)*($F$7-$E$7)),$G$7-SQRT((1-Q897)*($G$7-$E$7)*($G$7-$F$7))))</f>
        <v>0.944837441042717</v>
      </c>
      <c r="D897" s="37" t="n">
        <f aca="false">1+IF($G$8=$E$8,$F$8,IF(R897&lt;($F$8-$E$8)/($G$8-$E$8),$E$8+SQRT(R897*($G$8-$E$8)*($F$8-$E$8)),$G$8-SQRT((1-R897)*($G$8-$E$8)*($G$8-$F$8))))</f>
        <v>0.977487807808072</v>
      </c>
      <c r="E897" s="37" t="n">
        <f aca="false">1+IF($G$9=$E$9,$F$9,IF(S897&lt;($F$9-$E$9)/($G$9-$E$9),$E$9+SQRT(S897*($G$9-$E$9)*($F$9-$E$9)),$G$9-SQRT((1-S897)*($G$9-$E$9)*($G$9-$F$9))))</f>
        <v>0.989026408209198</v>
      </c>
      <c r="F897" s="37" t="n">
        <f aca="false">1+IF($G$10=$E$10,$F$10,IF(T897&lt;($F$10-$E$10)/($G$10-$E$10),$E$10+SQRT(T897*($G$10-$E$10)*($F$10-$E$10)),$G$10-SQRT((1-T897)*($G$10-$E$10)*($G$10-$F$10))))</f>
        <v>1.02638598042796</v>
      </c>
      <c r="G897" s="38" t="n">
        <f aca="false">IF($G$11=$E$11,$F$11,IF(U897&lt;($F$11-$E$11)/($G$11-$E$11),$E$11+SQRT(U897*($G$11-$E$11)*($F$11-$E$11)),$G$11-SQRT((1-U897)*($G$11-$E$11)*($G$11-$F$11))))</f>
        <v>0.0945145504060387</v>
      </c>
      <c r="H897" s="39" t="n">
        <f aca="false">(('Business Case'!B11*$C897*'Business Case'!B12*$B897)-'Business Case'!B11*$C897*'Business Case'!B13*$D897-'Business Case'!B14*$E897)-MAX(0,(('Business Case'!B11*$C897*'Business Case'!B12*$B897)-'Business Case'!B11*$C897*'Business Case'!B13*$D897-'Business Case'!B14*$E897))*'Business Case'!$B$7-'Business Case'!$B$8*('Business Case'!B11*$C897*'Business Case'!B12*$B897)-'Business Case'!B15*$F897</f>
        <v>-2052771960.85591</v>
      </c>
      <c r="I897" s="39" t="n">
        <f aca="false">(('Business Case'!C11*$C897*'Business Case'!C12*$B897)-'Business Case'!C11*$C897*'Business Case'!C13*$D897-'Business Case'!C14*$E897)-MAX(0,(('Business Case'!C11*$C897*'Business Case'!C12*$B897)-'Business Case'!C11*$C897*'Business Case'!C13*$D897-'Business Case'!C14*$E897))*'Business Case'!$B$7-'Business Case'!$B$8*(('Business Case'!C11*$C897*'Business Case'!C12*$B897)-('Business Case'!B11*$C897*'Business Case'!B12*$B897))-'Business Case'!C15*$F897</f>
        <v>-45282275.6628772</v>
      </c>
      <c r="J897" s="39" t="n">
        <f aca="false">(('Business Case'!D11*$C897*'Business Case'!D12*$B897)-'Business Case'!D11*$C897*'Business Case'!D13*$D897-'Business Case'!D14*$E897)-MAX(0,(('Business Case'!D11*$C897*'Business Case'!D12*$B897)-'Business Case'!D11*$C897*'Business Case'!D13*$D897-'Business Case'!D14*$E897))*'Business Case'!$B$7-'Business Case'!$B$8*(('Business Case'!D11*$C897*'Business Case'!D12*$B897)-('Business Case'!C11*$C897*'Business Case'!C12*$B897))-'Business Case'!D15*$F897</f>
        <v>198037138.22781</v>
      </c>
      <c r="K897" s="39" t="n">
        <f aca="false">(('Business Case'!E11*$C897*'Business Case'!E12*$B897)-'Business Case'!E11*$C897*'Business Case'!E13*$D897-'Business Case'!E14*$E897)-MAX(0,(('Business Case'!E11*$C897*'Business Case'!E12*$B897)-'Business Case'!E11*$C897*'Business Case'!E13*$D897-'Business Case'!E14*$E897))*'Business Case'!$B$7-'Business Case'!$B$8*(('Business Case'!E11*$C897*'Business Case'!E12*$B897)-('Business Case'!D11*$C897*'Business Case'!D12*$B897))-'Business Case'!E15*$F897</f>
        <v>492675851.139895</v>
      </c>
      <c r="L897" s="39" t="n">
        <f aca="false">(('Business Case'!F11*$C897*'Business Case'!F12*$B897)-'Business Case'!F11*$C897*'Business Case'!F13*$D897-'Business Case'!F14*$E897)-MAX(0,(('Business Case'!F11*$C897*'Business Case'!F12*$B897)-'Business Case'!F11*$C897*'Business Case'!F13*$D897-'Business Case'!F14*$E897))*'Business Case'!$B$7-'Business Case'!$B$8*(('Business Case'!F11*$C897*'Business Case'!F12*$B897)-('Business Case'!E11*$C897*'Business Case'!E12*$B897))-'Business Case'!F15*$F897</f>
        <v>603998013.279071</v>
      </c>
      <c r="M897" s="39" t="n">
        <f aca="false">(('Business Case'!G11*$C897*'Business Case'!G12*$B897)-'Business Case'!G11*$C897*'Business Case'!G13*$D897-'Business Case'!G14*$E897)-MAX(0,(('Business Case'!G11*$C897*'Business Case'!G12*$B897)-'Business Case'!G11*$C897*'Business Case'!G13*$D897-'Business Case'!G14*$E897))*'Business Case'!$B$7-'Business Case'!$B$8*(('Business Case'!G11*$C897*'Business Case'!G12*$B897)-('Business Case'!F11*$C897*'Business Case'!F12*$B897))-'Business Case'!G15*$F897+'Business Case'!$B$8*('Business Case'!G11*$C897*'Business Case'!G12*$B897)</f>
        <v>770184312.911612</v>
      </c>
      <c r="N897" s="39" t="n">
        <f aca="false">IF(COUNT('Business Case'!B11:G11)=0,"",H897+NPV(G897,I897:M897))</f>
        <v>-641884654.619002</v>
      </c>
      <c r="P897" s="40" t="n">
        <f aca="true">RAND()</f>
        <v>0.00297123733980048</v>
      </c>
      <c r="Q897" s="40" t="n">
        <f aca="true">RAND()</f>
        <v>0.299684061825751</v>
      </c>
      <c r="R897" s="40" t="n">
        <f aca="true">RAND()</f>
        <v>0.116243012014385</v>
      </c>
      <c r="S897" s="40" t="n">
        <f aca="true">RAND()</f>
        <v>0.203074738361464</v>
      </c>
      <c r="T897" s="40" t="n">
        <f aca="true">RAND()</f>
        <v>0.397163444160758</v>
      </c>
      <c r="U897" s="40" t="n">
        <f aca="true">RAND()</f>
        <v>0.0679372178955477</v>
      </c>
    </row>
    <row r="898" customFormat="false" ht="15" hidden="false" customHeight="false" outlineLevel="0" collapsed="false">
      <c r="A898" s="36" t="n">
        <v>818</v>
      </c>
      <c r="B898" s="37" t="n">
        <f aca="false">1+IF($G$6=$E$6,$F$6,IF(P898&lt;($F$6-$E$6)/($G$6-$E$6),$E$6+SQRT(P898*($G$6-$E$6)*($F$6-$E$6)),$G$6-SQRT((1-P898)*($G$6-$E$6)*($G$6-$F$6))))</f>
        <v>0.937213290820668</v>
      </c>
      <c r="C898" s="37" t="n">
        <f aca="false">1+IF($G$7=$E$7,$F$7,IF(Q898&lt;($F$7-$E$7)/($G$7-$E$7),$E$7+SQRT(Q898*($G$7-$E$7)*($F$7-$E$7)),$G$7-SQRT((1-Q898)*($G$7-$E$7)*($G$7-$F$7))))</f>
        <v>1.01952765181068</v>
      </c>
      <c r="D898" s="37" t="n">
        <f aca="false">1+IF($G$8=$E$8,$F$8,IF(R898&lt;($F$8-$E$8)/($G$8-$E$8),$E$8+SQRT(R898*($G$8-$E$8)*($F$8-$E$8)),$G$8-SQRT((1-R898)*($G$8-$E$8)*($G$8-$F$8))))</f>
        <v>1.00312972236081</v>
      </c>
      <c r="E898" s="37" t="n">
        <f aca="false">1+IF($G$9=$E$9,$F$9,IF(S898&lt;($F$9-$E$9)/($G$9-$E$9),$E$9+SQRT(S898*($G$9-$E$9)*($F$9-$E$9)),$G$9-SQRT((1-S898)*($G$9-$E$9)*($G$9-$F$9))))</f>
        <v>1.05863187187678</v>
      </c>
      <c r="F898" s="37" t="n">
        <f aca="false">1+IF($G$10=$E$10,$F$10,IF(T898&lt;($F$10-$E$10)/($G$10-$E$10),$E$10+SQRT(T898*($G$10-$E$10)*($F$10-$E$10)),$G$10-SQRT((1-T898)*($G$10-$E$10)*($G$10-$F$10))))</f>
        <v>1.06922464398167</v>
      </c>
      <c r="G898" s="38" t="n">
        <f aca="false">IF($G$11=$E$11,$F$11,IF(U898&lt;($F$11-$E$11)/($G$11-$E$11),$E$11+SQRT(U898*($G$11-$E$11)*($F$11-$E$11)),$G$11-SQRT((1-U898)*($G$11-$E$11)*($G$11-$F$11))))</f>
        <v>0.102468142649269</v>
      </c>
      <c r="H898" s="39" t="n">
        <f aca="false">(('Business Case'!B11*$C898*'Business Case'!B12*$B898)-'Business Case'!B11*$C898*'Business Case'!B13*$D898-'Business Case'!B14*$E898)-MAX(0,(('Business Case'!B11*$C898*'Business Case'!B12*$B898)-'Business Case'!B11*$C898*'Business Case'!B13*$D898-'Business Case'!B14*$E898))*'Business Case'!$B$7-'Business Case'!$B$8*('Business Case'!B11*$C898*'Business Case'!B12*$B898)-'Business Case'!B15*$F898</f>
        <v>-2138449287.96335</v>
      </c>
      <c r="I898" s="39" t="n">
        <f aca="false">(('Business Case'!C11*$C898*'Business Case'!C12*$B898)-'Business Case'!C11*$C898*'Business Case'!C13*$D898-'Business Case'!C14*$E898)-MAX(0,(('Business Case'!C11*$C898*'Business Case'!C12*$B898)-'Business Case'!C11*$C898*'Business Case'!C13*$D898-'Business Case'!C14*$E898))*'Business Case'!$B$7-'Business Case'!$B$8*(('Business Case'!C11*$C898*'Business Case'!C12*$B898)-('Business Case'!B11*$C898*'Business Case'!B12*$B898))-'Business Case'!C15*$F898</f>
        <v>-47908384.7416698</v>
      </c>
      <c r="J898" s="39" t="n">
        <f aca="false">(('Business Case'!D11*$C898*'Business Case'!D12*$B898)-'Business Case'!D11*$C898*'Business Case'!D13*$D898-'Business Case'!D14*$E898)-MAX(0,(('Business Case'!D11*$C898*'Business Case'!D12*$B898)-'Business Case'!D11*$C898*'Business Case'!D13*$D898-'Business Case'!D14*$E898))*'Business Case'!$B$7-'Business Case'!$B$8*(('Business Case'!D11*$C898*'Business Case'!D12*$B898)-('Business Case'!C11*$C898*'Business Case'!C12*$B898))-'Business Case'!D15*$F898</f>
        <v>211177037.730284</v>
      </c>
      <c r="K898" s="39" t="n">
        <f aca="false">(('Business Case'!E11*$C898*'Business Case'!E12*$B898)-'Business Case'!E11*$C898*'Business Case'!E13*$D898-'Business Case'!E14*$E898)-MAX(0,(('Business Case'!E11*$C898*'Business Case'!E12*$B898)-'Business Case'!E11*$C898*'Business Case'!E13*$D898-'Business Case'!E14*$E898))*'Business Case'!$B$7-'Business Case'!$B$8*(('Business Case'!E11*$C898*'Business Case'!E12*$B898)-('Business Case'!D11*$C898*'Business Case'!D12*$B898))-'Business Case'!E15*$F898</f>
        <v>523723692.401321</v>
      </c>
      <c r="L898" s="39" t="n">
        <f aca="false">(('Business Case'!F11*$C898*'Business Case'!F12*$B898)-'Business Case'!F11*$C898*'Business Case'!F13*$D898-'Business Case'!F14*$E898)-MAX(0,(('Business Case'!F11*$C898*'Business Case'!F12*$B898)-'Business Case'!F11*$C898*'Business Case'!F13*$D898-'Business Case'!F14*$E898))*'Business Case'!$B$7-'Business Case'!$B$8*(('Business Case'!F11*$C898*'Business Case'!F12*$B898)-('Business Case'!E11*$C898*'Business Case'!E12*$B898))-'Business Case'!F15*$F898</f>
        <v>643108093.648358</v>
      </c>
      <c r="M898" s="39" t="n">
        <f aca="false">(('Business Case'!G11*$C898*'Business Case'!G12*$B898)-'Business Case'!G11*$C898*'Business Case'!G13*$D898-'Business Case'!G14*$E898)-MAX(0,(('Business Case'!G11*$C898*'Business Case'!G12*$B898)-'Business Case'!G11*$C898*'Business Case'!G13*$D898-'Business Case'!G14*$E898))*'Business Case'!$B$7-'Business Case'!$B$8*(('Business Case'!G11*$C898*'Business Case'!G12*$B898)-('Business Case'!F11*$C898*'Business Case'!F12*$B898))-'Business Case'!G15*$F898+'Business Case'!$B$8*('Business Case'!G11*$C898*'Business Case'!G12*$B898)</f>
        <v>824732359.308478</v>
      </c>
      <c r="N898" s="39" t="n">
        <f aca="false">IF(COUNT('Business Case'!B11:G11)=0,"",H898+NPV(G898,I898:M898))</f>
        <v>-675595915.917342</v>
      </c>
      <c r="P898" s="40" t="n">
        <f aca="true">RAND()</f>
        <v>0.0308643105080111</v>
      </c>
      <c r="Q898" s="40" t="n">
        <f aca="true">RAND()</f>
        <v>0.67575174015171</v>
      </c>
      <c r="R898" s="40" t="n">
        <f aca="true">RAND()</f>
        <v>0.43182311689171</v>
      </c>
      <c r="S898" s="40" t="n">
        <f aca="true">RAND()</f>
        <v>0.8859118650387</v>
      </c>
      <c r="T898" s="40" t="n">
        <f aca="true">RAND()</f>
        <v>0.657956125165607</v>
      </c>
      <c r="U898" s="40" t="n">
        <f aca="true">RAND()</f>
        <v>0.487723296389382</v>
      </c>
    </row>
    <row r="899" customFormat="false" ht="15" hidden="false" customHeight="false" outlineLevel="0" collapsed="false">
      <c r="A899" s="36" t="n">
        <v>819</v>
      </c>
      <c r="B899" s="37" t="n">
        <f aca="false">1+IF($G$6=$E$6,$F$6,IF(P899&lt;($F$6-$E$6)/($G$6-$E$6),$E$6+SQRT(P899*($G$6-$E$6)*($F$6-$E$6)),$G$6-SQRT((1-P899)*($G$6-$E$6)*($G$6-$F$6))))</f>
        <v>1.00279941442328</v>
      </c>
      <c r="C899" s="37" t="n">
        <f aca="false">1+IF($G$7=$E$7,$F$7,IF(Q899&lt;($F$7-$E$7)/($G$7-$E$7),$E$7+SQRT(Q899*($G$7-$E$7)*($F$7-$E$7)),$G$7-SQRT((1-Q899)*($G$7-$E$7)*($G$7-$F$7))))</f>
        <v>0.874146940597975</v>
      </c>
      <c r="D899" s="37" t="n">
        <f aca="false">1+IF($G$8=$E$8,$F$8,IF(R899&lt;($F$8-$E$8)/($G$8-$E$8),$E$8+SQRT(R899*($G$8-$E$8)*($F$8-$E$8)),$G$8-SQRT((1-R899)*($G$8-$E$8)*($G$8-$F$8))))</f>
        <v>1.04758744700934</v>
      </c>
      <c r="E899" s="37" t="n">
        <f aca="false">1+IF($G$9=$E$9,$F$9,IF(S899&lt;($F$9-$E$9)/($G$9-$E$9),$E$9+SQRT(S899*($G$9-$E$9)*($F$9-$E$9)),$G$9-SQRT((1-S899)*($G$9-$E$9)*($G$9-$F$9))))</f>
        <v>1.03270635397041</v>
      </c>
      <c r="F899" s="37" t="n">
        <f aca="false">1+IF($G$10=$E$10,$F$10,IF(T899&lt;($F$10-$E$10)/($G$10-$E$10),$E$10+SQRT(T899*($G$10-$E$10)*($F$10-$E$10)),$G$10-SQRT((1-T899)*($G$10-$E$10)*($G$10-$F$10))))</f>
        <v>1.12964327708737</v>
      </c>
      <c r="G899" s="38" t="n">
        <f aca="false">IF($G$11=$E$11,$F$11,IF(U899&lt;($F$11-$E$11)/($G$11-$E$11),$E$11+SQRT(U899*($G$11-$E$11)*($F$11-$E$11)),$G$11-SQRT((1-U899)*($G$11-$E$11)*($G$11-$F$11))))</f>
        <v>0.0966592663106464</v>
      </c>
      <c r="H899" s="39" t="n">
        <f aca="false">(('Business Case'!B11*$C899*'Business Case'!B12*$B899)-'Business Case'!B11*$C899*'Business Case'!B13*$D899-'Business Case'!B14*$E899)-MAX(0,(('Business Case'!B11*$C899*'Business Case'!B12*$B899)-'Business Case'!B11*$C899*'Business Case'!B13*$D899-'Business Case'!B14*$E899))*'Business Case'!$B$7-'Business Case'!$B$8*('Business Case'!B11*$C899*'Business Case'!B12*$B899)-'Business Case'!B15*$F899</f>
        <v>-2259286554.17475</v>
      </c>
      <c r="I899" s="39" t="n">
        <f aca="false">(('Business Case'!C11*$C899*'Business Case'!C12*$B899)-'Business Case'!C11*$C899*'Business Case'!C13*$D899-'Business Case'!C14*$E899)-MAX(0,(('Business Case'!C11*$C899*'Business Case'!C12*$B899)-'Business Case'!C11*$C899*'Business Case'!C13*$D899-'Business Case'!C14*$E899))*'Business Case'!$B$7-'Business Case'!$B$8*(('Business Case'!C11*$C899*'Business Case'!C12*$B899)-('Business Case'!B11*$C899*'Business Case'!B12*$B899))-'Business Case'!C15*$F899</f>
        <v>-56052538.248607</v>
      </c>
      <c r="J899" s="39" t="n">
        <f aca="false">(('Business Case'!D11*$C899*'Business Case'!D12*$B899)-'Business Case'!D11*$C899*'Business Case'!D13*$D899-'Business Case'!D14*$E899)-MAX(0,(('Business Case'!D11*$C899*'Business Case'!D12*$B899)-'Business Case'!D11*$C899*'Business Case'!D13*$D899-'Business Case'!D14*$E899))*'Business Case'!$B$7-'Business Case'!$B$8*(('Business Case'!D11*$C899*'Business Case'!D12*$B899)-('Business Case'!C11*$C899*'Business Case'!C12*$B899))-'Business Case'!D15*$F899</f>
        <v>193152729.787572</v>
      </c>
      <c r="K899" s="39" t="n">
        <f aca="false">(('Business Case'!E11*$C899*'Business Case'!E12*$B899)-'Business Case'!E11*$C899*'Business Case'!E13*$D899-'Business Case'!E14*$E899)-MAX(0,(('Business Case'!E11*$C899*'Business Case'!E12*$B899)-'Business Case'!E11*$C899*'Business Case'!E13*$D899-'Business Case'!E14*$E899))*'Business Case'!$B$7-'Business Case'!$B$8*(('Business Case'!E11*$C899*'Business Case'!E12*$B899)-('Business Case'!D11*$C899*'Business Case'!D12*$B899))-'Business Case'!E15*$F899</f>
        <v>498840161.678121</v>
      </c>
      <c r="L899" s="39" t="n">
        <f aca="false">(('Business Case'!F11*$C899*'Business Case'!F12*$B899)-'Business Case'!F11*$C899*'Business Case'!F13*$D899-'Business Case'!F14*$E899)-MAX(0,(('Business Case'!F11*$C899*'Business Case'!F12*$B899)-'Business Case'!F11*$C899*'Business Case'!F13*$D899-'Business Case'!F14*$E899))*'Business Case'!$B$7-'Business Case'!$B$8*(('Business Case'!F11*$C899*'Business Case'!F12*$B899)-('Business Case'!E11*$C899*'Business Case'!E12*$B899))-'Business Case'!F15*$F899</f>
        <v>612203674.384484</v>
      </c>
      <c r="M899" s="39" t="n">
        <f aca="false">(('Business Case'!G11*$C899*'Business Case'!G12*$B899)-'Business Case'!G11*$C899*'Business Case'!G13*$D899-'Business Case'!G14*$E899)-MAX(0,(('Business Case'!G11*$C899*'Business Case'!G12*$B899)-'Business Case'!G11*$C899*'Business Case'!G13*$D899-'Business Case'!G14*$E899))*'Business Case'!$B$7-'Business Case'!$B$8*(('Business Case'!G11*$C899*'Business Case'!G12*$B899)-('Business Case'!F11*$C899*'Business Case'!F12*$B899))-'Business Case'!G15*$F899+'Business Case'!$B$8*('Business Case'!G11*$C899*'Business Case'!G12*$B899)</f>
        <v>778826669.53649</v>
      </c>
      <c r="N899" s="39" t="n">
        <f aca="false">IF(COUNT('Business Case'!B11:G11)=0,"",H899+NPV(G899,I899:M899))</f>
        <v>-857310022.535805</v>
      </c>
      <c r="P899" s="40" t="n">
        <f aca="true">RAND()</f>
        <v>0.711690923489341</v>
      </c>
      <c r="Q899" s="40" t="n">
        <f aca="true">RAND()</f>
        <v>0.0785395542862794</v>
      </c>
      <c r="R899" s="40" t="n">
        <f aca="true">RAND()</f>
        <v>0.898983308521892</v>
      </c>
      <c r="S899" s="40" t="n">
        <f aca="true">RAND()</f>
        <v>0.698104346936318</v>
      </c>
      <c r="T899" s="40" t="n">
        <f aca="true">RAND()</f>
        <v>0.900998630819918</v>
      </c>
      <c r="U899" s="40" t="n">
        <f aca="true">RAND()</f>
        <v>0.147819425987035</v>
      </c>
    </row>
    <row r="900" customFormat="false" ht="15" hidden="false" customHeight="false" outlineLevel="0" collapsed="false">
      <c r="A900" s="36" t="n">
        <v>820</v>
      </c>
      <c r="B900" s="37" t="n">
        <f aca="false">1+IF($G$6=$E$6,$F$6,IF(P900&lt;($F$6-$E$6)/($G$6-$E$6),$E$6+SQRT(P900*($G$6-$E$6)*($F$6-$E$6)),$G$6-SQRT((1-P900)*($G$6-$E$6)*($G$6-$F$6))))</f>
        <v>1.03143180831358</v>
      </c>
      <c r="C900" s="37" t="n">
        <f aca="false">1+IF($G$7=$E$7,$F$7,IF(Q900&lt;($F$7-$E$7)/($G$7-$E$7),$E$7+SQRT(Q900*($G$7-$E$7)*($F$7-$E$7)),$G$7-SQRT((1-Q900)*($G$7-$E$7)*($G$7-$F$7))))</f>
        <v>0.98404220708483</v>
      </c>
      <c r="D900" s="37" t="n">
        <f aca="false">1+IF($G$8=$E$8,$F$8,IF(R900&lt;($F$8-$E$8)/($G$8-$E$8),$E$8+SQRT(R900*($G$8-$E$8)*($F$8-$E$8)),$G$8-SQRT((1-R900)*($G$8-$E$8)*($G$8-$F$8))))</f>
        <v>1.02584512183223</v>
      </c>
      <c r="E900" s="37" t="n">
        <f aca="false">1+IF($G$9=$E$9,$F$9,IF(S900&lt;($F$9-$E$9)/($G$9-$E$9),$E$9+SQRT(S900*($G$9-$E$9)*($F$9-$E$9)),$G$9-SQRT((1-S900)*($G$9-$E$9)*($G$9-$F$9))))</f>
        <v>1.04258708023376</v>
      </c>
      <c r="F900" s="37" t="n">
        <f aca="false">1+IF($G$10=$E$10,$F$10,IF(T900&lt;($F$10-$E$10)/($G$10-$E$10),$E$10+SQRT(T900*($G$10-$E$10)*($F$10-$E$10)),$G$10-SQRT((1-T900)*($G$10-$E$10)*($G$10-$F$10))))</f>
        <v>1.02201373851758</v>
      </c>
      <c r="G900" s="38" t="n">
        <f aca="false">IF($G$11=$E$11,$F$11,IF(U900&lt;($F$11-$E$11)/($G$11-$E$11),$E$11+SQRT(U900*($G$11-$E$11)*($F$11-$E$11)),$G$11-SQRT((1-U900)*($G$11-$E$11)*($G$11-$F$11))))</f>
        <v>0.104052276174684</v>
      </c>
      <c r="H900" s="39" t="n">
        <f aca="false">(('Business Case'!B11*$C900*'Business Case'!B12*$B900)-'Business Case'!B11*$C900*'Business Case'!B13*$D900-'Business Case'!B14*$E900)-MAX(0,(('Business Case'!B11*$C900*'Business Case'!B12*$B900)-'Business Case'!B11*$C900*'Business Case'!B13*$D900-'Business Case'!B14*$E900))*'Business Case'!$B$7-'Business Case'!$B$8*('Business Case'!B11*$C900*'Business Case'!B12*$B900)-'Business Case'!B15*$F900</f>
        <v>-2044027477.03515</v>
      </c>
      <c r="I900" s="39" t="n">
        <f aca="false">(('Business Case'!C11*$C900*'Business Case'!C12*$B900)-'Business Case'!C11*$C900*'Business Case'!C13*$D900-'Business Case'!C14*$E900)-MAX(0,(('Business Case'!C11*$C900*'Business Case'!C12*$B900)-'Business Case'!C11*$C900*'Business Case'!C13*$D900-'Business Case'!C14*$E900))*'Business Case'!$B$7-'Business Case'!$B$8*(('Business Case'!C11*$C900*'Business Case'!C12*$B900)-('Business Case'!B11*$C900*'Business Case'!B12*$B900))-'Business Case'!C15*$F900</f>
        <v>11491683.4497034</v>
      </c>
      <c r="J900" s="39" t="n">
        <f aca="false">(('Business Case'!D11*$C900*'Business Case'!D12*$B900)-'Business Case'!D11*$C900*'Business Case'!D13*$D900-'Business Case'!D14*$E900)-MAX(0,(('Business Case'!D11*$C900*'Business Case'!D12*$B900)-'Business Case'!D11*$C900*'Business Case'!D13*$D900-'Business Case'!D14*$E900))*'Business Case'!$B$7-'Business Case'!$B$8*(('Business Case'!D11*$C900*'Business Case'!D12*$B900)-('Business Case'!C11*$C900*'Business Case'!C12*$B900))-'Business Case'!D15*$F900</f>
        <v>326056794.492847</v>
      </c>
      <c r="K900" s="39" t="n">
        <f aca="false">(('Business Case'!E11*$C900*'Business Case'!E12*$B900)-'Business Case'!E11*$C900*'Business Case'!E13*$D900-'Business Case'!E14*$E900)-MAX(0,(('Business Case'!E11*$C900*'Business Case'!E12*$B900)-'Business Case'!E11*$C900*'Business Case'!E13*$D900-'Business Case'!E14*$E900))*'Business Case'!$B$7-'Business Case'!$B$8*(('Business Case'!E11*$C900*'Business Case'!E12*$B900)-('Business Case'!D11*$C900*'Business Case'!D12*$B900))-'Business Case'!E15*$F900</f>
        <v>691722592.46187</v>
      </c>
      <c r="L900" s="39" t="n">
        <f aca="false">(('Business Case'!F11*$C900*'Business Case'!F12*$B900)-'Business Case'!F11*$C900*'Business Case'!F13*$D900-'Business Case'!F14*$E900)-MAX(0,(('Business Case'!F11*$C900*'Business Case'!F12*$B900)-'Business Case'!F11*$C900*'Business Case'!F13*$D900-'Business Case'!F14*$E900))*'Business Case'!$B$7-'Business Case'!$B$8*(('Business Case'!F11*$C900*'Business Case'!F12*$B900)-('Business Case'!E11*$C900*'Business Case'!E12*$B900))-'Business Case'!F15*$F900</f>
        <v>831655076.764546</v>
      </c>
      <c r="M900" s="39" t="n">
        <f aca="false">(('Business Case'!G11*$C900*'Business Case'!G12*$B900)-'Business Case'!G11*$C900*'Business Case'!G13*$D900-'Business Case'!G14*$E900)-MAX(0,(('Business Case'!G11*$C900*'Business Case'!G12*$B900)-'Business Case'!G11*$C900*'Business Case'!G13*$D900-'Business Case'!G14*$E900))*'Business Case'!$B$7-'Business Case'!$B$8*(('Business Case'!G11*$C900*'Business Case'!G12*$B900)-('Business Case'!F11*$C900*'Business Case'!F12*$B900))-'Business Case'!G15*$F900+'Business Case'!$B$8*('Business Case'!G11*$C900*'Business Case'!G12*$B900)</f>
        <v>1024581036.85017</v>
      </c>
      <c r="N900" s="39" t="n">
        <f aca="false">IF(COUNT('Business Case'!B11:G11)=0,"",H900+NPV(G900,I900:M900))</f>
        <v>-67792629.5078645</v>
      </c>
      <c r="P900" s="40" t="n">
        <f aca="true">RAND()</f>
        <v>0.984705435671827</v>
      </c>
      <c r="Q900" s="40" t="n">
        <f aca="true">RAND()</f>
        <v>0.483879056980791</v>
      </c>
      <c r="R900" s="40" t="n">
        <f aca="true">RAND()</f>
        <v>0.718004727945578</v>
      </c>
      <c r="S900" s="40" t="n">
        <f aca="true">RAND()</f>
        <v>0.780250442927652</v>
      </c>
      <c r="T900" s="40" t="n">
        <f aca="true">RAND()</f>
        <v>0.366417814470207</v>
      </c>
      <c r="U900" s="40" t="n">
        <f aca="true">RAND()</f>
        <v>0.576116841319107</v>
      </c>
    </row>
    <row r="901" customFormat="false" ht="15" hidden="false" customHeight="false" outlineLevel="0" collapsed="false">
      <c r="A901" s="36" t="n">
        <v>821</v>
      </c>
      <c r="B901" s="37" t="n">
        <f aca="false">1+IF($G$6=$E$6,$F$6,IF(P901&lt;($F$6-$E$6)/($G$6-$E$6),$E$6+SQRT(P901*($G$6-$E$6)*($F$6-$E$6)),$G$6-SQRT((1-P901)*($G$6-$E$6)*($G$6-$F$6))))</f>
        <v>0.979544275756537</v>
      </c>
      <c r="C901" s="37" t="n">
        <f aca="false">1+IF($G$7=$E$7,$F$7,IF(Q901&lt;($F$7-$E$7)/($G$7-$E$7),$E$7+SQRT(Q901*($G$7-$E$7)*($F$7-$E$7)),$G$7-SQRT((1-Q901)*($G$7-$E$7)*($G$7-$F$7))))</f>
        <v>1.09148451125624</v>
      </c>
      <c r="D901" s="37" t="n">
        <f aca="false">1+IF($G$8=$E$8,$F$8,IF(R901&lt;($F$8-$E$8)/($G$8-$E$8),$E$8+SQRT(R901*($G$8-$E$8)*($F$8-$E$8)),$G$8-SQRT((1-R901)*($G$8-$E$8)*($G$8-$F$8))))</f>
        <v>1.01166612254072</v>
      </c>
      <c r="E901" s="37" t="n">
        <f aca="false">1+IF($G$9=$E$9,$F$9,IF(S901&lt;($F$9-$E$9)/($G$9-$E$9),$E$9+SQRT(S901*($G$9-$E$9)*($F$9-$E$9)),$G$9-SQRT((1-S901)*($G$9-$E$9)*($G$9-$F$9))))</f>
        <v>0.980242796188698</v>
      </c>
      <c r="F901" s="37" t="n">
        <f aca="false">1+IF($G$10=$E$10,$F$10,IF(T901&lt;($F$10-$E$10)/($G$10-$E$10),$E$10+SQRT(T901*($G$10-$E$10)*($F$10-$E$10)),$G$10-SQRT((1-T901)*($G$10-$E$10)*($G$10-$F$10))))</f>
        <v>1.0040627639269</v>
      </c>
      <c r="G901" s="38" t="n">
        <f aca="false">IF($G$11=$E$11,$F$11,IF(U901&lt;($F$11-$E$11)/($G$11-$E$11),$E$11+SQRT(U901*($G$11-$E$11)*($F$11-$E$11)),$G$11-SQRT((1-U901)*($G$11-$E$11)*($G$11-$F$11))))</f>
        <v>0.0978870617054898</v>
      </c>
      <c r="H901" s="39" t="n">
        <f aca="false">(('Business Case'!B11*$C901*'Business Case'!B12*$B901)-'Business Case'!B11*$C901*'Business Case'!B13*$D901-'Business Case'!B14*$E901)-MAX(0,(('Business Case'!B11*$C901*'Business Case'!B12*$B901)-'Business Case'!B11*$C901*'Business Case'!B13*$D901-'Business Case'!B14*$E901))*'Business Case'!$B$7-'Business Case'!$B$8*('Business Case'!B11*$C901*'Business Case'!B12*$B901)-'Business Case'!B15*$F901</f>
        <v>-2008125527.85381</v>
      </c>
      <c r="I901" s="39" t="n">
        <f aca="false">(('Business Case'!C11*$C901*'Business Case'!C12*$B901)-'Business Case'!C11*$C901*'Business Case'!C13*$D901-'Business Case'!C14*$E901)-MAX(0,(('Business Case'!C11*$C901*'Business Case'!C12*$B901)-'Business Case'!C11*$C901*'Business Case'!C13*$D901-'Business Case'!C14*$E901))*'Business Case'!$B$7-'Business Case'!$B$8*(('Business Case'!C11*$C901*'Business Case'!C12*$B901)-('Business Case'!B11*$C901*'Business Case'!B12*$B901))-'Business Case'!C15*$F901</f>
        <v>15223743.1366059</v>
      </c>
      <c r="J901" s="39" t="n">
        <f aca="false">(('Business Case'!D11*$C901*'Business Case'!D12*$B901)-'Business Case'!D11*$C901*'Business Case'!D13*$D901-'Business Case'!D14*$E901)-MAX(0,(('Business Case'!D11*$C901*'Business Case'!D12*$B901)-'Business Case'!D11*$C901*'Business Case'!D13*$D901-'Business Case'!D14*$E901))*'Business Case'!$B$7-'Business Case'!$B$8*(('Business Case'!D11*$C901*'Business Case'!D12*$B901)-('Business Case'!C11*$C901*'Business Case'!C12*$B901))-'Business Case'!D15*$F901</f>
        <v>325669408.163177</v>
      </c>
      <c r="K901" s="39" t="n">
        <f aca="false">(('Business Case'!E11*$C901*'Business Case'!E12*$B901)-'Business Case'!E11*$C901*'Business Case'!E13*$D901-'Business Case'!E14*$E901)-MAX(0,(('Business Case'!E11*$C901*'Business Case'!E12*$B901)-'Business Case'!E11*$C901*'Business Case'!E13*$D901-'Business Case'!E14*$E901))*'Business Case'!$B$7-'Business Case'!$B$8*(('Business Case'!E11*$C901*'Business Case'!E12*$B901)-('Business Case'!D11*$C901*'Business Case'!D12*$B901))-'Business Case'!E15*$F901</f>
        <v>686318211.386093</v>
      </c>
      <c r="L901" s="39" t="n">
        <f aca="false">(('Business Case'!F11*$C901*'Business Case'!F12*$B901)-'Business Case'!F11*$C901*'Business Case'!F13*$D901-'Business Case'!F14*$E901)-MAX(0,(('Business Case'!F11*$C901*'Business Case'!F12*$B901)-'Business Case'!F11*$C901*'Business Case'!F13*$D901-'Business Case'!F14*$E901))*'Business Case'!$B$7-'Business Case'!$B$8*(('Business Case'!F11*$C901*'Business Case'!F12*$B901)-('Business Case'!E11*$C901*'Business Case'!E12*$B901))-'Business Case'!F15*$F901</f>
        <v>826750179.647778</v>
      </c>
      <c r="M901" s="39" t="n">
        <f aca="false">(('Business Case'!G11*$C901*'Business Case'!G12*$B901)-'Business Case'!G11*$C901*'Business Case'!G13*$D901-'Business Case'!G14*$E901)-MAX(0,(('Business Case'!G11*$C901*'Business Case'!G12*$B901)-'Business Case'!G11*$C901*'Business Case'!G13*$D901-'Business Case'!G14*$E901))*'Business Case'!$B$7-'Business Case'!$B$8*(('Business Case'!G11*$C901*'Business Case'!G12*$B901)-('Business Case'!F11*$C901*'Business Case'!F12*$B901))-'Business Case'!G15*$F901+'Business Case'!$B$8*('Business Case'!G11*$C901*'Business Case'!G12*$B901)</f>
        <v>1029975619.205</v>
      </c>
      <c r="N901" s="39" t="n">
        <f aca="false">IF(COUNT('Business Case'!B11:G11)=0,"",H901+NPV(G901,I901:M901))</f>
        <v>9302738.26398134</v>
      </c>
      <c r="P901" s="40" t="n">
        <f aca="true">RAND()</f>
        <v>0.369325080767758</v>
      </c>
      <c r="Q901" s="40" t="n">
        <f aca="true">RAND()</f>
        <v>0.934779763372929</v>
      </c>
      <c r="R901" s="40" t="n">
        <f aca="true">RAND()</f>
        <v>0.551007806863495</v>
      </c>
      <c r="S901" s="40" t="n">
        <f aca="true">RAND()</f>
        <v>0.121950229508151</v>
      </c>
      <c r="T901" s="40" t="n">
        <f aca="true">RAND()</f>
        <v>0.232171990400712</v>
      </c>
      <c r="U901" s="40" t="n">
        <f aca="true">RAND()</f>
        <v>0.207352474487347</v>
      </c>
    </row>
    <row r="902" customFormat="false" ht="15" hidden="false" customHeight="false" outlineLevel="0" collapsed="false">
      <c r="A902" s="36" t="n">
        <v>822</v>
      </c>
      <c r="B902" s="37" t="n">
        <f aca="false">1+IF($G$6=$E$6,$F$6,IF(P902&lt;($F$6-$E$6)/($G$6-$E$6),$E$6+SQRT(P902*($G$6-$E$6)*($F$6-$E$6)),$G$6-SQRT((1-P902)*($G$6-$E$6)*($G$6-$F$6))))</f>
        <v>1.01435493822903</v>
      </c>
      <c r="C902" s="37" t="n">
        <f aca="false">1+IF($G$7=$E$7,$F$7,IF(Q902&lt;($F$7-$E$7)/($G$7-$E$7),$E$7+SQRT(Q902*($G$7-$E$7)*($F$7-$E$7)),$G$7-SQRT((1-Q902)*($G$7-$E$7)*($G$7-$F$7))))</f>
        <v>1.01621438492606</v>
      </c>
      <c r="D902" s="37" t="n">
        <f aca="false">1+IF($G$8=$E$8,$F$8,IF(R902&lt;($F$8-$E$8)/($G$8-$E$8),$E$8+SQRT(R902*($G$8-$E$8)*($F$8-$E$8)),$G$8-SQRT((1-R902)*($G$8-$E$8)*($G$8-$F$8))))</f>
        <v>1.00983638610629</v>
      </c>
      <c r="E902" s="37" t="n">
        <f aca="false">1+IF($G$9=$E$9,$F$9,IF(S902&lt;($F$9-$E$9)/($G$9-$E$9),$E$9+SQRT(S902*($G$9-$E$9)*($F$9-$E$9)),$G$9-SQRT((1-S902)*($G$9-$E$9)*($G$9-$F$9))))</f>
        <v>0.992713655894197</v>
      </c>
      <c r="F902" s="37" t="n">
        <f aca="false">1+IF($G$10=$E$10,$F$10,IF(T902&lt;($F$10-$E$10)/($G$10-$E$10),$E$10+SQRT(T902*($G$10-$E$10)*($F$10-$E$10)),$G$10-SQRT((1-T902)*($G$10-$E$10)*($G$10-$F$10))))</f>
        <v>1.02956983736737</v>
      </c>
      <c r="G902" s="38" t="n">
        <f aca="false">IF($G$11=$E$11,$F$11,IF(U902&lt;($F$11-$E$11)/($G$11-$E$11),$E$11+SQRT(U902*($G$11-$E$11)*($F$11-$E$11)),$G$11-SQRT((1-U902)*($G$11-$E$11)*($G$11-$F$11))))</f>
        <v>0.108252749786304</v>
      </c>
      <c r="H902" s="39" t="n">
        <f aca="false">(('Business Case'!B11*$C902*'Business Case'!B12*$B902)-'Business Case'!B11*$C902*'Business Case'!B13*$D902-'Business Case'!B14*$E902)-MAX(0,(('Business Case'!B11*$C902*'Business Case'!B12*$B902)-'Business Case'!B11*$C902*'Business Case'!B13*$D902-'Business Case'!B14*$E902))*'Business Case'!$B$7-'Business Case'!$B$8*('Business Case'!B11*$C902*'Business Case'!B12*$B902)-'Business Case'!B15*$F902</f>
        <v>-2059139674.73474</v>
      </c>
      <c r="I902" s="39" t="n">
        <f aca="false">(('Business Case'!C11*$C902*'Business Case'!C12*$B902)-'Business Case'!C11*$C902*'Business Case'!C13*$D902-'Business Case'!C14*$E902)-MAX(0,(('Business Case'!C11*$C902*'Business Case'!C12*$B902)-'Business Case'!C11*$C902*'Business Case'!C13*$D902-'Business Case'!C14*$E902))*'Business Case'!$B$7-'Business Case'!$B$8*(('Business Case'!C11*$C902*'Business Case'!C12*$B902)-('Business Case'!B11*$C902*'Business Case'!B12*$B902))-'Business Case'!C15*$F902</f>
        <v>21405918.2541524</v>
      </c>
      <c r="J902" s="39" t="n">
        <f aca="false">(('Business Case'!D11*$C902*'Business Case'!D12*$B902)-'Business Case'!D11*$C902*'Business Case'!D13*$D902-'Business Case'!D14*$E902)-MAX(0,(('Business Case'!D11*$C902*'Business Case'!D12*$B902)-'Business Case'!D11*$C902*'Business Case'!D13*$D902-'Business Case'!D14*$E902))*'Business Case'!$B$7-'Business Case'!$B$8*(('Business Case'!D11*$C902*'Business Case'!D12*$B902)-('Business Case'!C11*$C902*'Business Case'!C12*$B902))-'Business Case'!D15*$F902</f>
        <v>340369481.922207</v>
      </c>
      <c r="K902" s="39" t="n">
        <f aca="false">(('Business Case'!E11*$C902*'Business Case'!E12*$B902)-'Business Case'!E11*$C902*'Business Case'!E13*$D902-'Business Case'!E14*$E902)-MAX(0,(('Business Case'!E11*$C902*'Business Case'!E12*$B902)-'Business Case'!E11*$C902*'Business Case'!E13*$D902-'Business Case'!E14*$E902))*'Business Case'!$B$7-'Business Case'!$B$8*(('Business Case'!E11*$C902*'Business Case'!E12*$B902)-('Business Case'!D11*$C902*'Business Case'!D12*$B902))-'Business Case'!E15*$F902</f>
        <v>710811537.458631</v>
      </c>
      <c r="L902" s="39" t="n">
        <f aca="false">(('Business Case'!F11*$C902*'Business Case'!F12*$B902)-'Business Case'!F11*$C902*'Business Case'!F13*$D902-'Business Case'!F14*$E902)-MAX(0,(('Business Case'!F11*$C902*'Business Case'!F12*$B902)-'Business Case'!F11*$C902*'Business Case'!F13*$D902-'Business Case'!F14*$E902))*'Business Case'!$B$7-'Business Case'!$B$8*(('Business Case'!F11*$C902*'Business Case'!F12*$B902)-('Business Case'!E11*$C902*'Business Case'!E12*$B902))-'Business Case'!F15*$F902</f>
        <v>852757245.220656</v>
      </c>
      <c r="M902" s="39" t="n">
        <f aca="false">(('Business Case'!G11*$C902*'Business Case'!G12*$B902)-'Business Case'!G11*$C902*'Business Case'!G13*$D902-'Business Case'!G14*$E902)-MAX(0,(('Business Case'!G11*$C902*'Business Case'!G12*$B902)-'Business Case'!G11*$C902*'Business Case'!G13*$D902-'Business Case'!G14*$E902))*'Business Case'!$B$7-'Business Case'!$B$8*(('Business Case'!G11*$C902*'Business Case'!G12*$B902)-('Business Case'!F11*$C902*'Business Case'!F12*$B902))-'Business Case'!G15*$F902+'Business Case'!$B$8*('Business Case'!G11*$C902*'Business Case'!G12*$B902)</f>
        <v>1048692104.52036</v>
      </c>
      <c r="N902" s="39" t="n">
        <f aca="false">IF(COUNT('Business Case'!B11:G11)=0,"",H902+NPV(G902,I902:M902))</f>
        <v>-47942399.5357788</v>
      </c>
      <c r="P902" s="40" t="n">
        <f aca="true">RAND()</f>
        <v>0.862985584742321</v>
      </c>
      <c r="Q902" s="40" t="n">
        <f aca="true">RAND()</f>
        <v>0.659074460938811</v>
      </c>
      <c r="R902" s="40" t="n">
        <f aca="true">RAND()</f>
        <v>0.526641085132083</v>
      </c>
      <c r="S902" s="40" t="n">
        <f aca="true">RAND()</f>
        <v>0.243260853313054</v>
      </c>
      <c r="T902" s="40" t="n">
        <f aca="true">RAND()</f>
        <v>0.419071193300307</v>
      </c>
      <c r="U902" s="40" t="n">
        <f aca="true">RAND()</f>
        <v>0.770003520694716</v>
      </c>
    </row>
    <row r="903" customFormat="false" ht="15" hidden="false" customHeight="false" outlineLevel="0" collapsed="false">
      <c r="A903" s="36" t="n">
        <v>823</v>
      </c>
      <c r="B903" s="37" t="n">
        <f aca="false">1+IF($G$6=$E$6,$F$6,IF(P903&lt;($F$6-$E$6)/($G$6-$E$6),$E$6+SQRT(P903*($G$6-$E$6)*($F$6-$E$6)),$G$6-SQRT((1-P903)*($G$6-$E$6)*($G$6-$F$6))))</f>
        <v>0.999371278361104</v>
      </c>
      <c r="C903" s="37" t="n">
        <f aca="false">1+IF($G$7=$E$7,$F$7,IF(Q903&lt;($F$7-$E$7)/($G$7-$E$7),$E$7+SQRT(Q903*($G$7-$E$7)*($F$7-$E$7)),$G$7-SQRT((1-Q903)*($G$7-$E$7)*($G$7-$F$7))))</f>
        <v>0.898261335449772</v>
      </c>
      <c r="D903" s="37" t="n">
        <f aca="false">1+IF($G$8=$E$8,$F$8,IF(R903&lt;($F$8-$E$8)/($G$8-$E$8),$E$8+SQRT(R903*($G$8-$E$8)*($F$8-$E$8)),$G$8-SQRT((1-R903)*($G$8-$E$8)*($G$8-$F$8))))</f>
        <v>1.00531014553547</v>
      </c>
      <c r="E903" s="37" t="n">
        <f aca="false">1+IF($G$9=$E$9,$F$9,IF(S903&lt;($F$9-$E$9)/($G$9-$E$9),$E$9+SQRT(S903*($G$9-$E$9)*($F$9-$E$9)),$G$9-SQRT((1-S903)*($G$9-$E$9)*($G$9-$F$9))))</f>
        <v>0.981875996402288</v>
      </c>
      <c r="F903" s="37" t="n">
        <f aca="false">1+IF($G$10=$E$10,$F$10,IF(T903&lt;($F$10-$E$10)/($G$10-$E$10),$E$10+SQRT(T903*($G$10-$E$10)*($F$10-$E$10)),$G$10-SQRT((1-T903)*($G$10-$E$10)*($G$10-$F$10))))</f>
        <v>1.09506588417382</v>
      </c>
      <c r="G903" s="38" t="n">
        <f aca="false">IF($G$11=$E$11,$F$11,IF(U903&lt;($F$11-$E$11)/($G$11-$E$11),$E$11+SQRT(U903*($G$11-$E$11)*($F$11-$E$11)),$G$11-SQRT((1-U903)*($G$11-$E$11)*($G$11-$F$11))))</f>
        <v>0.110384226562466</v>
      </c>
      <c r="H903" s="39" t="n">
        <f aca="false">(('Business Case'!B11*$C903*'Business Case'!B12*$B903)-'Business Case'!B11*$C903*'Business Case'!B13*$D903-'Business Case'!B14*$E903)-MAX(0,(('Business Case'!B11*$C903*'Business Case'!B12*$B903)-'Business Case'!B11*$C903*'Business Case'!B13*$D903-'Business Case'!B14*$E903))*'Business Case'!$B$7-'Business Case'!$B$8*('Business Case'!B11*$C903*'Business Case'!B12*$B903)-'Business Case'!B15*$F903</f>
        <v>-2190131768.34765</v>
      </c>
      <c r="I903" s="39" t="n">
        <f aca="false">(('Business Case'!C11*$C903*'Business Case'!C12*$B903)-'Business Case'!C11*$C903*'Business Case'!C13*$D903-'Business Case'!C14*$E903)-MAX(0,(('Business Case'!C11*$C903*'Business Case'!C12*$B903)-'Business Case'!C11*$C903*'Business Case'!C13*$D903-'Business Case'!C14*$E903))*'Business Case'!$B$7-'Business Case'!$B$8*(('Business Case'!C11*$C903*'Business Case'!C12*$B903)-('Business Case'!B11*$C903*'Business Case'!B12*$B903))-'Business Case'!C15*$F903</f>
        <v>-22667562.5641355</v>
      </c>
      <c r="J903" s="39" t="n">
        <f aca="false">(('Business Case'!D11*$C903*'Business Case'!D12*$B903)-'Business Case'!D11*$C903*'Business Case'!D13*$D903-'Business Case'!D14*$E903)-MAX(0,(('Business Case'!D11*$C903*'Business Case'!D12*$B903)-'Business Case'!D11*$C903*'Business Case'!D13*$D903-'Business Case'!D14*$E903))*'Business Case'!$B$7-'Business Case'!$B$8*(('Business Case'!D11*$C903*'Business Case'!D12*$B903)-('Business Case'!C11*$C903*'Business Case'!C12*$B903))-'Business Case'!D15*$F903</f>
        <v>250330820.63862</v>
      </c>
      <c r="K903" s="39" t="n">
        <f aca="false">(('Business Case'!E11*$C903*'Business Case'!E12*$B903)-'Business Case'!E11*$C903*'Business Case'!E13*$D903-'Business Case'!E14*$E903)-MAX(0,(('Business Case'!E11*$C903*'Business Case'!E12*$B903)-'Business Case'!E11*$C903*'Business Case'!E13*$D903-'Business Case'!E14*$E903))*'Business Case'!$B$7-'Business Case'!$B$8*(('Business Case'!E11*$C903*'Business Case'!E12*$B903)-('Business Case'!D11*$C903*'Business Case'!D12*$B903))-'Business Case'!E15*$F903</f>
        <v>578082498.050067</v>
      </c>
      <c r="L903" s="39" t="n">
        <f aca="false">(('Business Case'!F11*$C903*'Business Case'!F12*$B903)-'Business Case'!F11*$C903*'Business Case'!F13*$D903-'Business Case'!F14*$E903)-MAX(0,(('Business Case'!F11*$C903*'Business Case'!F12*$B903)-'Business Case'!F11*$C903*'Business Case'!F13*$D903-'Business Case'!F14*$E903))*'Business Case'!$B$7-'Business Case'!$B$8*(('Business Case'!F11*$C903*'Business Case'!F12*$B903)-('Business Case'!E11*$C903*'Business Case'!E12*$B903))-'Business Case'!F15*$F903</f>
        <v>700106352.891721</v>
      </c>
      <c r="M903" s="39" t="n">
        <f aca="false">(('Business Case'!G11*$C903*'Business Case'!G12*$B903)-'Business Case'!G11*$C903*'Business Case'!G13*$D903-'Business Case'!G14*$E903)-MAX(0,(('Business Case'!G11*$C903*'Business Case'!G12*$B903)-'Business Case'!G11*$C903*'Business Case'!G13*$D903-'Business Case'!G14*$E903))*'Business Case'!$B$7-'Business Case'!$B$8*(('Business Case'!G11*$C903*'Business Case'!G12*$B903)-('Business Case'!F11*$C903*'Business Case'!F12*$B903))-'Business Case'!G15*$F903+'Business Case'!$B$8*('Business Case'!G11*$C903*'Business Case'!G12*$B903)</f>
        <v>870740518.6491</v>
      </c>
      <c r="N903" s="39" t="n">
        <f aca="false">IF(COUNT('Business Case'!B11:G11)=0,"",H903+NPV(G903,I903:M903))</f>
        <v>-608869668.33774</v>
      </c>
      <c r="P903" s="40" t="n">
        <f aca="true">RAND()</f>
        <v>0.656229148820394</v>
      </c>
      <c r="Q903" s="40" t="n">
        <f aca="true">RAND()</f>
        <v>0.137932714919607</v>
      </c>
      <c r="R903" s="40" t="n">
        <f aca="true">RAND()</f>
        <v>0.463598619237267</v>
      </c>
      <c r="S903" s="40" t="n">
        <f aca="true">RAND()</f>
        <v>0.135477219551822</v>
      </c>
      <c r="T903" s="40" t="n">
        <f aca="true">RAND()</f>
        <v>0.779776626715573</v>
      </c>
      <c r="U903" s="40" t="n">
        <f aca="true">RAND()</f>
        <v>0.845894835330019</v>
      </c>
    </row>
    <row r="904" customFormat="false" ht="15" hidden="false" customHeight="false" outlineLevel="0" collapsed="false">
      <c r="A904" s="36" t="n">
        <v>824</v>
      </c>
      <c r="B904" s="37" t="n">
        <f aca="false">1+IF($G$6=$E$6,$F$6,IF(P904&lt;($F$6-$E$6)/($G$6-$E$6),$E$6+SQRT(P904*($G$6-$E$6)*($F$6-$E$6)),$G$6-SQRT((1-P904)*($G$6-$E$6)*($G$6-$F$6))))</f>
        <v>0.992665765152091</v>
      </c>
      <c r="C904" s="37" t="n">
        <f aca="false">1+IF($G$7=$E$7,$F$7,IF(Q904&lt;($F$7-$E$7)/($G$7-$E$7),$E$7+SQRT(Q904*($G$7-$E$7)*($F$7-$E$7)),$G$7-SQRT((1-Q904)*($G$7-$E$7)*($G$7-$F$7))))</f>
        <v>1.10356677157958</v>
      </c>
      <c r="D904" s="37" t="n">
        <f aca="false">1+IF($G$8=$E$8,$F$8,IF(R904&lt;($F$8-$E$8)/($G$8-$E$8),$E$8+SQRT(R904*($G$8-$E$8)*($F$8-$E$8)),$G$8-SQRT((1-R904)*($G$8-$E$8)*($G$8-$F$8))))</f>
        <v>1.02989687996057</v>
      </c>
      <c r="E904" s="37" t="n">
        <f aca="false">1+IF($G$9=$E$9,$F$9,IF(S904&lt;($F$9-$E$9)/($G$9-$E$9),$E$9+SQRT(S904*($G$9-$E$9)*($F$9-$E$9)),$G$9-SQRT((1-S904)*($G$9-$E$9)*($G$9-$F$9))))</f>
        <v>1.06031213661459</v>
      </c>
      <c r="F904" s="37" t="n">
        <f aca="false">1+IF($G$10=$E$10,$F$10,IF(T904&lt;($F$10-$E$10)/($G$10-$E$10),$E$10+SQRT(T904*($G$10-$E$10)*($F$10-$E$10)),$G$10-SQRT((1-T904)*($G$10-$E$10)*($G$10-$F$10))))</f>
        <v>0.969346322736089</v>
      </c>
      <c r="G904" s="38" t="n">
        <f aca="false">IF($G$11=$E$11,$F$11,IF(U904&lt;($F$11-$E$11)/($G$11-$E$11),$E$11+SQRT(U904*($G$11-$E$11)*($F$11-$E$11)),$G$11-SQRT((1-U904)*($G$11-$E$11)*($G$11-$F$11))))</f>
        <v>0.0988980020791876</v>
      </c>
      <c r="H904" s="39" t="n">
        <f aca="false">(('Business Case'!B11*$C904*'Business Case'!B12*$B904)-'Business Case'!B11*$C904*'Business Case'!B13*$D904-'Business Case'!B14*$E904)-MAX(0,(('Business Case'!B11*$C904*'Business Case'!B12*$B904)-'Business Case'!B11*$C904*'Business Case'!B13*$D904-'Business Case'!B14*$E904))*'Business Case'!$B$7-'Business Case'!$B$8*('Business Case'!B11*$C904*'Business Case'!B12*$B904)-'Business Case'!B15*$F904</f>
        <v>-1938692645.47218</v>
      </c>
      <c r="I904" s="39" t="n">
        <f aca="false">(('Business Case'!C11*$C904*'Business Case'!C12*$B904)-'Business Case'!C11*$C904*'Business Case'!C13*$D904-'Business Case'!C14*$E904)-MAX(0,(('Business Case'!C11*$C904*'Business Case'!C12*$B904)-'Business Case'!C11*$C904*'Business Case'!C13*$D904-'Business Case'!C14*$E904))*'Business Case'!$B$7-'Business Case'!$B$8*(('Business Case'!C11*$C904*'Business Case'!C12*$B904)-('Business Case'!B11*$C904*'Business Case'!B12*$B904))-'Business Case'!C15*$F904</f>
        <v>10943104.7783854</v>
      </c>
      <c r="J904" s="39" t="n">
        <f aca="false">(('Business Case'!D11*$C904*'Business Case'!D12*$B904)-'Business Case'!D11*$C904*'Business Case'!D13*$D904-'Business Case'!D14*$E904)-MAX(0,(('Business Case'!D11*$C904*'Business Case'!D12*$B904)-'Business Case'!D11*$C904*'Business Case'!D13*$D904-'Business Case'!D14*$E904))*'Business Case'!$B$7-'Business Case'!$B$8*(('Business Case'!D11*$C904*'Business Case'!D12*$B904)-('Business Case'!C11*$C904*'Business Case'!C12*$B904))-'Business Case'!D15*$F904</f>
        <v>326386545.577117</v>
      </c>
      <c r="K904" s="39" t="n">
        <f aca="false">(('Business Case'!E11*$C904*'Business Case'!E12*$B904)-'Business Case'!E11*$C904*'Business Case'!E13*$D904-'Business Case'!E14*$E904)-MAX(0,(('Business Case'!E11*$C904*'Business Case'!E12*$B904)-'Business Case'!E11*$C904*'Business Case'!E13*$D904-'Business Case'!E14*$E904))*'Business Case'!$B$7-'Business Case'!$B$8*(('Business Case'!E11*$C904*'Business Case'!E12*$B904)-('Business Case'!D11*$C904*'Business Case'!D12*$B904))-'Business Case'!E15*$F904</f>
        <v>690297302.512655</v>
      </c>
      <c r="L904" s="39" t="n">
        <f aca="false">(('Business Case'!F11*$C904*'Business Case'!F12*$B904)-'Business Case'!F11*$C904*'Business Case'!F13*$D904-'Business Case'!F14*$E904)-MAX(0,(('Business Case'!F11*$C904*'Business Case'!F12*$B904)-'Business Case'!F11*$C904*'Business Case'!F13*$D904-'Business Case'!F14*$E904))*'Business Case'!$B$7-'Business Case'!$B$8*(('Business Case'!F11*$C904*'Business Case'!F12*$B904)-('Business Case'!E11*$C904*'Business Case'!E12*$B904))-'Business Case'!F15*$F904</f>
        <v>833304661.392327</v>
      </c>
      <c r="M904" s="39" t="n">
        <f aca="false">(('Business Case'!G11*$C904*'Business Case'!G12*$B904)-'Business Case'!G11*$C904*'Business Case'!G13*$D904-'Business Case'!G14*$E904)-MAX(0,(('Business Case'!G11*$C904*'Business Case'!G12*$B904)-'Business Case'!G11*$C904*'Business Case'!G13*$D904-'Business Case'!G14*$E904))*'Business Case'!$B$7-'Business Case'!$B$8*(('Business Case'!G11*$C904*'Business Case'!G12*$B904)-('Business Case'!F11*$C904*'Business Case'!F12*$B904))-'Business Case'!G15*$F904+'Business Case'!$B$8*('Business Case'!G11*$C904*'Business Case'!G12*$B904)</f>
        <v>1041532160.43285</v>
      </c>
      <c r="N904" s="39" t="n">
        <f aca="false">IF(COUNT('Business Case'!B11:G11)=0,"",H904+NPV(G904,I904:M904))</f>
        <v>83143750.702395</v>
      </c>
      <c r="P904" s="40" t="n">
        <f aca="true">RAND()</f>
        <v>0.550032648451965</v>
      </c>
      <c r="Q904" s="40" t="n">
        <f aca="true">RAND()</f>
        <v>0.958932481875372</v>
      </c>
      <c r="R904" s="40" t="n">
        <f aca="true">RAND()</f>
        <v>0.758622823299487</v>
      </c>
      <c r="S904" s="40" t="n">
        <f aca="true">RAND()</f>
        <v>0.894991566660066</v>
      </c>
      <c r="T904" s="40" t="n">
        <f aca="true">RAND()</f>
        <v>0.029942416272713</v>
      </c>
      <c r="U904" s="40" t="n">
        <f aca="true">RAND()</f>
        <v>0.263914803337423</v>
      </c>
    </row>
    <row r="905" customFormat="false" ht="15" hidden="false" customHeight="false" outlineLevel="0" collapsed="false">
      <c r="A905" s="36" t="n">
        <v>825</v>
      </c>
      <c r="B905" s="37" t="n">
        <f aca="false">1+IF($G$6=$E$6,$F$6,IF(P905&lt;($F$6-$E$6)/($G$6-$E$6),$E$6+SQRT(P905*($G$6-$E$6)*($F$6-$E$6)),$G$6-SQRT((1-P905)*($G$6-$E$6)*($G$6-$F$6))))</f>
        <v>0.939392080099432</v>
      </c>
      <c r="C905" s="37" t="n">
        <f aca="false">1+IF($G$7=$E$7,$F$7,IF(Q905&lt;($F$7-$E$7)/($G$7-$E$7),$E$7+SQRT(Q905*($G$7-$E$7)*($F$7-$E$7)),$G$7-SQRT((1-Q905)*($G$7-$E$7)*($G$7-$F$7))))</f>
        <v>0.919559066128953</v>
      </c>
      <c r="D905" s="37" t="n">
        <f aca="false">1+IF($G$8=$E$8,$F$8,IF(R905&lt;($F$8-$E$8)/($G$8-$E$8),$E$8+SQRT(R905*($G$8-$E$8)*($F$8-$E$8)),$G$8-SQRT((1-R905)*($G$8-$E$8)*($G$8-$F$8))))</f>
        <v>1.01379459147462</v>
      </c>
      <c r="E905" s="37" t="n">
        <f aca="false">1+IF($G$9=$E$9,$F$9,IF(S905&lt;($F$9-$E$9)/($G$9-$E$9),$E$9+SQRT(S905*($G$9-$E$9)*($F$9-$E$9)),$G$9-SQRT((1-S905)*($G$9-$E$9)*($G$9-$F$9))))</f>
        <v>1.00785713511018</v>
      </c>
      <c r="F905" s="37" t="n">
        <f aca="false">1+IF($G$10=$E$10,$F$10,IF(T905&lt;($F$10-$E$10)/($G$10-$E$10),$E$10+SQRT(T905*($G$10-$E$10)*($F$10-$E$10)),$G$10-SQRT((1-T905)*($G$10-$E$10)*($G$10-$F$10))))</f>
        <v>0.972913077596976</v>
      </c>
      <c r="G905" s="38" t="n">
        <f aca="false">IF($G$11=$E$11,$F$11,IF(U905&lt;($F$11-$E$11)/($G$11-$E$11),$E$11+SQRT(U905*($G$11-$E$11)*($F$11-$E$11)),$G$11-SQRT((1-U905)*($G$11-$E$11)*($G$11-$F$11))))</f>
        <v>0.10180593202203</v>
      </c>
      <c r="H905" s="39" t="n">
        <f aca="false">(('Business Case'!B11*$C905*'Business Case'!B12*$B905)-'Business Case'!B11*$C905*'Business Case'!B13*$D905-'Business Case'!B14*$E905)-MAX(0,(('Business Case'!B11*$C905*'Business Case'!B12*$B905)-'Business Case'!B11*$C905*'Business Case'!B13*$D905-'Business Case'!B14*$E905))*'Business Case'!$B$7-'Business Case'!$B$8*('Business Case'!B11*$C905*'Business Case'!B12*$B905)-'Business Case'!B15*$F905</f>
        <v>-1945826155.19395</v>
      </c>
      <c r="I905" s="39" t="n">
        <f aca="false">(('Business Case'!C11*$C905*'Business Case'!C12*$B905)-'Business Case'!C11*$C905*'Business Case'!C13*$D905-'Business Case'!C14*$E905)-MAX(0,(('Business Case'!C11*$C905*'Business Case'!C12*$B905)-'Business Case'!C11*$C905*'Business Case'!C13*$D905-'Business Case'!C14*$E905))*'Business Case'!$B$7-'Business Case'!$B$8*(('Business Case'!C11*$C905*'Business Case'!C12*$B905)-('Business Case'!B11*$C905*'Business Case'!B12*$B905))-'Business Case'!C15*$F905</f>
        <v>-55087608.5924593</v>
      </c>
      <c r="J905" s="39" t="n">
        <f aca="false">(('Business Case'!D11*$C905*'Business Case'!D12*$B905)-'Business Case'!D11*$C905*'Business Case'!D13*$D905-'Business Case'!D14*$E905)-MAX(0,(('Business Case'!D11*$C905*'Business Case'!D12*$B905)-'Business Case'!D11*$C905*'Business Case'!D13*$D905-'Business Case'!D14*$E905))*'Business Case'!$B$7-'Business Case'!$B$8*(('Business Case'!D11*$C905*'Business Case'!D12*$B905)-('Business Case'!C11*$C905*'Business Case'!C12*$B905))-'Business Case'!D15*$F905</f>
        <v>175214141.149891</v>
      </c>
      <c r="K905" s="39" t="n">
        <f aca="false">(('Business Case'!E11*$C905*'Business Case'!E12*$B905)-'Business Case'!E11*$C905*'Business Case'!E13*$D905-'Business Case'!E14*$E905)-MAX(0,(('Business Case'!E11*$C905*'Business Case'!E12*$B905)-'Business Case'!E11*$C905*'Business Case'!E13*$D905-'Business Case'!E14*$E905))*'Business Case'!$B$7-'Business Case'!$B$8*(('Business Case'!E11*$C905*'Business Case'!E12*$B905)-('Business Case'!D11*$C905*'Business Case'!D12*$B905))-'Business Case'!E15*$F905</f>
        <v>454161544.772089</v>
      </c>
      <c r="L905" s="39" t="n">
        <f aca="false">(('Business Case'!F11*$C905*'Business Case'!F12*$B905)-'Business Case'!F11*$C905*'Business Case'!F13*$D905-'Business Case'!F14*$E905)-MAX(0,(('Business Case'!F11*$C905*'Business Case'!F12*$B905)-'Business Case'!F11*$C905*'Business Case'!F13*$D905-'Business Case'!F14*$E905))*'Business Case'!$B$7-'Business Case'!$B$8*(('Business Case'!F11*$C905*'Business Case'!F12*$B905)-('Business Case'!E11*$C905*'Business Case'!E12*$B905))-'Business Case'!F15*$F905</f>
        <v>560782638.661169</v>
      </c>
      <c r="M905" s="39" t="n">
        <f aca="false">(('Business Case'!G11*$C905*'Business Case'!G12*$B905)-'Business Case'!G11*$C905*'Business Case'!G13*$D905-'Business Case'!G14*$E905)-MAX(0,(('Business Case'!G11*$C905*'Business Case'!G12*$B905)-'Business Case'!G11*$C905*'Business Case'!G13*$D905-'Business Case'!G14*$E905))*'Business Case'!$B$7-'Business Case'!$B$8*(('Business Case'!G11*$C905*'Business Case'!G12*$B905)-('Business Case'!F11*$C905*'Business Case'!F12*$B905))-'Business Case'!G15*$F905+'Business Case'!$B$8*('Business Case'!G11*$C905*'Business Case'!G12*$B905)</f>
        <v>724978780.523463</v>
      </c>
      <c r="N905" s="39" t="n">
        <f aca="false">IF(COUNT('Business Case'!B11:G11)=0,"",H905+NPV(G905,I905:M905))</f>
        <v>-684954985.772439</v>
      </c>
      <c r="P905" s="40" t="n">
        <f aca="true">RAND()</f>
        <v>0.0391721636023723</v>
      </c>
      <c r="Q905" s="40" t="n">
        <f aca="true">RAND()</f>
        <v>0.204205289908962</v>
      </c>
      <c r="R905" s="40" t="n">
        <f aca="true">RAND()</f>
        <v>0.57854268096029</v>
      </c>
      <c r="S905" s="40" t="n">
        <f aca="true">RAND()</f>
        <v>0.433979496659764</v>
      </c>
      <c r="T905" s="40" t="n">
        <f aca="true">RAND()</f>
        <v>0.0420007299972033</v>
      </c>
      <c r="U905" s="40" t="n">
        <f aca="true">RAND()</f>
        <v>0.44829315068837</v>
      </c>
    </row>
    <row r="906" customFormat="false" ht="15" hidden="false" customHeight="false" outlineLevel="0" collapsed="false">
      <c r="A906" s="36" t="n">
        <v>826</v>
      </c>
      <c r="B906" s="37" t="n">
        <f aca="false">1+IF($G$6=$E$6,$F$6,IF(P906&lt;($F$6-$E$6)/($G$6-$E$6),$E$6+SQRT(P906*($G$6-$E$6)*($F$6-$E$6)),$G$6-SQRT((1-P906)*($G$6-$E$6)*($G$6-$F$6))))</f>
        <v>0.977105973913974</v>
      </c>
      <c r="C906" s="37" t="n">
        <f aca="false">1+IF($G$7=$E$7,$F$7,IF(Q906&lt;($F$7-$E$7)/($G$7-$E$7),$E$7+SQRT(Q906*($G$7-$E$7)*($F$7-$E$7)),$G$7-SQRT((1-Q906)*($G$7-$E$7)*($G$7-$F$7))))</f>
        <v>1.01515458796366</v>
      </c>
      <c r="D906" s="37" t="n">
        <f aca="false">1+IF($G$8=$E$8,$F$8,IF(R906&lt;($F$8-$E$8)/($G$8-$E$8),$E$8+SQRT(R906*($G$8-$E$8)*($F$8-$E$8)),$G$8-SQRT((1-R906)*($G$8-$E$8)*($G$8-$F$8))))</f>
        <v>1.0310476320669</v>
      </c>
      <c r="E906" s="37" t="n">
        <f aca="false">1+IF($G$9=$E$9,$F$9,IF(S906&lt;($F$9-$E$9)/($G$9-$E$9),$E$9+SQRT(S906*($G$9-$E$9)*($F$9-$E$9)),$G$9-SQRT((1-S906)*($G$9-$E$9)*($G$9-$F$9))))</f>
        <v>1.01830590367621</v>
      </c>
      <c r="F906" s="37" t="n">
        <f aca="false">1+IF($G$10=$E$10,$F$10,IF(T906&lt;($F$10-$E$10)/($G$10-$E$10),$E$10+SQRT(T906*($G$10-$E$10)*($F$10-$E$10)),$G$10-SQRT((1-T906)*($G$10-$E$10)*($G$10-$F$10))))</f>
        <v>1.04801648444815</v>
      </c>
      <c r="G906" s="38" t="n">
        <f aca="false">IF($G$11=$E$11,$F$11,IF(U906&lt;($F$11-$E$11)/($G$11-$E$11),$E$11+SQRT(U906*($G$11-$E$11)*($F$11-$E$11)),$G$11-SQRT((1-U906)*($G$11-$E$11)*($G$11-$F$11))))</f>
        <v>0.0983525117980086</v>
      </c>
      <c r="H906" s="39" t="n">
        <f aca="false">(('Business Case'!B11*$C906*'Business Case'!B12*$B906)-'Business Case'!B11*$C906*'Business Case'!B13*$D906-'Business Case'!B14*$E906)-MAX(0,(('Business Case'!B11*$C906*'Business Case'!B12*$B906)-'Business Case'!B11*$C906*'Business Case'!B13*$D906-'Business Case'!B14*$E906))*'Business Case'!$B$7-'Business Case'!$B$8*('Business Case'!B11*$C906*'Business Case'!B12*$B906)-'Business Case'!B15*$F906</f>
        <v>-2096032968.8963</v>
      </c>
      <c r="I906" s="39" t="n">
        <f aca="false">(('Business Case'!C11*$C906*'Business Case'!C12*$B906)-'Business Case'!C11*$C906*'Business Case'!C13*$D906-'Business Case'!C14*$E906)-MAX(0,(('Business Case'!C11*$C906*'Business Case'!C12*$B906)-'Business Case'!C11*$C906*'Business Case'!C13*$D906-'Business Case'!C14*$E906))*'Business Case'!$B$7-'Business Case'!$B$8*(('Business Case'!C11*$C906*'Business Case'!C12*$B906)-('Business Case'!B11*$C906*'Business Case'!B12*$B906))-'Business Case'!C15*$F906</f>
        <v>-24389589.3619128</v>
      </c>
      <c r="J906" s="39" t="n">
        <f aca="false">(('Business Case'!D11*$C906*'Business Case'!D12*$B906)-'Business Case'!D11*$C906*'Business Case'!D13*$D906-'Business Case'!D14*$E906)-MAX(0,(('Business Case'!D11*$C906*'Business Case'!D12*$B906)-'Business Case'!D11*$C906*'Business Case'!D13*$D906-'Business Case'!D14*$E906))*'Business Case'!$B$7-'Business Case'!$B$8*(('Business Case'!D11*$C906*'Business Case'!D12*$B906)-('Business Case'!C11*$C906*'Business Case'!C12*$B906))-'Business Case'!D15*$F906</f>
        <v>252246370.887737</v>
      </c>
      <c r="K906" s="39" t="n">
        <f aca="false">(('Business Case'!E11*$C906*'Business Case'!E12*$B906)-'Business Case'!E11*$C906*'Business Case'!E13*$D906-'Business Case'!E14*$E906)-MAX(0,(('Business Case'!E11*$C906*'Business Case'!E12*$B906)-'Business Case'!E11*$C906*'Business Case'!E13*$D906-'Business Case'!E14*$E906))*'Business Case'!$B$7-'Business Case'!$B$8*(('Business Case'!E11*$C906*'Business Case'!E12*$B906)-('Business Case'!D11*$C906*'Business Case'!D12*$B906))-'Business Case'!E15*$F906</f>
        <v>581283155.359794</v>
      </c>
      <c r="L906" s="39" t="n">
        <f aca="false">(('Business Case'!F11*$C906*'Business Case'!F12*$B906)-'Business Case'!F11*$C906*'Business Case'!F13*$D906-'Business Case'!F14*$E906)-MAX(0,(('Business Case'!F11*$C906*'Business Case'!F12*$B906)-'Business Case'!F11*$C906*'Business Case'!F13*$D906-'Business Case'!F14*$E906))*'Business Case'!$B$7-'Business Case'!$B$8*(('Business Case'!F11*$C906*'Business Case'!F12*$B906)-('Business Case'!E11*$C906*'Business Case'!E12*$B906))-'Business Case'!F15*$F906</f>
        <v>707775676.552336</v>
      </c>
      <c r="M906" s="39" t="n">
        <f aca="false">(('Business Case'!G11*$C906*'Business Case'!G12*$B906)-'Business Case'!G11*$C906*'Business Case'!G13*$D906-'Business Case'!G14*$E906)-MAX(0,(('Business Case'!G11*$C906*'Business Case'!G12*$B906)-'Business Case'!G11*$C906*'Business Case'!G13*$D906-'Business Case'!G14*$E906))*'Business Case'!$B$7-'Business Case'!$B$8*(('Business Case'!G11*$C906*'Business Case'!G12*$B906)-('Business Case'!F11*$C906*'Business Case'!F12*$B906))-'Business Case'!G15*$F906+'Business Case'!$B$8*('Business Case'!G11*$C906*'Business Case'!G12*$B906)</f>
        <v>896318615.986964</v>
      </c>
      <c r="N906" s="39" t="n">
        <f aca="false">IF(COUNT('Business Case'!B11:G11)=0,"",H906+NPV(G906,I906:M906))</f>
        <v>-423392691.850815</v>
      </c>
      <c r="P906" s="40" t="n">
        <f aca="true">RAND()</f>
        <v>0.339697110069109</v>
      </c>
      <c r="Q906" s="40" t="n">
        <f aca="true">RAND()</f>
        <v>0.653651711480969</v>
      </c>
      <c r="R906" s="40" t="n">
        <f aca="true">RAND()</f>
        <v>0.769583237859799</v>
      </c>
      <c r="S906" s="40" t="n">
        <f aca="true">RAND()</f>
        <v>0.555071641722665</v>
      </c>
      <c r="T906" s="40" t="n">
        <f aca="true">RAND()</f>
        <v>0.538020220010012</v>
      </c>
      <c r="U906" s="40" t="n">
        <f aca="true">RAND()</f>
        <v>0.23254817778624</v>
      </c>
    </row>
    <row r="907" customFormat="false" ht="15" hidden="false" customHeight="false" outlineLevel="0" collapsed="false">
      <c r="A907" s="36" t="n">
        <v>827</v>
      </c>
      <c r="B907" s="37" t="n">
        <f aca="false">1+IF($G$6=$E$6,$F$6,IF(P907&lt;($F$6-$E$6)/($G$6-$E$6),$E$6+SQRT(P907*($G$6-$E$6)*($F$6-$E$6)),$G$6-SQRT((1-P907)*($G$6-$E$6)*($G$6-$F$6))))</f>
        <v>1.01512901471083</v>
      </c>
      <c r="C907" s="37" t="n">
        <f aca="false">1+IF($G$7=$E$7,$F$7,IF(Q907&lt;($F$7-$E$7)/($G$7-$E$7),$E$7+SQRT(Q907*($G$7-$E$7)*($F$7-$E$7)),$G$7-SQRT((1-Q907)*($G$7-$E$7)*($G$7-$F$7))))</f>
        <v>1.04061674358822</v>
      </c>
      <c r="D907" s="37" t="n">
        <f aca="false">1+IF($G$8=$E$8,$F$8,IF(R907&lt;($F$8-$E$8)/($G$8-$E$8),$E$8+SQRT(R907*($G$8-$E$8)*($F$8-$E$8)),$G$8-SQRT((1-R907)*($G$8-$E$8)*($G$8-$F$8))))</f>
        <v>0.982296792243875</v>
      </c>
      <c r="E907" s="37" t="n">
        <f aca="false">1+IF($G$9=$E$9,$F$9,IF(S907&lt;($F$9-$E$9)/($G$9-$E$9),$E$9+SQRT(S907*($G$9-$E$9)*($F$9-$E$9)),$G$9-SQRT((1-S907)*($G$9-$E$9)*($G$9-$F$9))))</f>
        <v>1.02146126187332</v>
      </c>
      <c r="F907" s="37" t="n">
        <f aca="false">1+IF($G$10=$E$10,$F$10,IF(T907&lt;($F$10-$E$10)/($G$10-$E$10),$E$10+SQRT(T907*($G$10-$E$10)*($F$10-$E$10)),$G$10-SQRT((1-T907)*($G$10-$E$10)*($G$10-$F$10))))</f>
        <v>1.00788010417887</v>
      </c>
      <c r="G907" s="38" t="n">
        <f aca="false">IF($G$11=$E$11,$F$11,IF(U907&lt;($F$11-$E$11)/($G$11-$E$11),$E$11+SQRT(U907*($G$11-$E$11)*($F$11-$E$11)),$G$11-SQRT((1-U907)*($G$11-$E$11)*($G$11-$F$11))))</f>
        <v>0.0975735728542617</v>
      </c>
      <c r="H907" s="39" t="n">
        <f aca="false">(('Business Case'!B11*$C907*'Business Case'!B12*$B907)-'Business Case'!B11*$C907*'Business Case'!B13*$D907-'Business Case'!B14*$E907)-MAX(0,(('Business Case'!B11*$C907*'Business Case'!B12*$B907)-'Business Case'!B11*$C907*'Business Case'!B13*$D907-'Business Case'!B14*$E907))*'Business Case'!$B$7-'Business Case'!$B$8*('Business Case'!B11*$C907*'Business Case'!B12*$B907)-'Business Case'!B15*$F907</f>
        <v>-2015760208.35773</v>
      </c>
      <c r="I907" s="39" t="n">
        <f aca="false">(('Business Case'!C11*$C907*'Business Case'!C12*$B907)-'Business Case'!C11*$C907*'Business Case'!C13*$D907-'Business Case'!C14*$E907)-MAX(0,(('Business Case'!C11*$C907*'Business Case'!C12*$B907)-'Business Case'!C11*$C907*'Business Case'!C13*$D907-'Business Case'!C14*$E907))*'Business Case'!$B$7-'Business Case'!$B$8*(('Business Case'!C11*$C907*'Business Case'!C12*$B907)-('Business Case'!B11*$C907*'Business Case'!B12*$B907))-'Business Case'!C15*$F907</f>
        <v>41151782.2707001</v>
      </c>
      <c r="J907" s="39" t="n">
        <f aca="false">(('Business Case'!D11*$C907*'Business Case'!D12*$B907)-'Business Case'!D11*$C907*'Business Case'!D13*$D907-'Business Case'!D14*$E907)-MAX(0,(('Business Case'!D11*$C907*'Business Case'!D12*$B907)-'Business Case'!D11*$C907*'Business Case'!D13*$D907-'Business Case'!D14*$E907))*'Business Case'!$B$7-'Business Case'!$B$8*(('Business Case'!D11*$C907*'Business Case'!D12*$B907)-('Business Case'!C11*$C907*'Business Case'!C12*$B907))-'Business Case'!D15*$F907</f>
        <v>383105081.737471</v>
      </c>
      <c r="K907" s="39" t="n">
        <f aca="false">(('Business Case'!E11*$C907*'Business Case'!E12*$B907)-'Business Case'!E11*$C907*'Business Case'!E13*$D907-'Business Case'!E14*$E907)-MAX(0,(('Business Case'!E11*$C907*'Business Case'!E12*$B907)-'Business Case'!E11*$C907*'Business Case'!E13*$D907-'Business Case'!E14*$E907))*'Business Case'!$B$7-'Business Case'!$B$8*(('Business Case'!E11*$C907*'Business Case'!E12*$B907)-('Business Case'!D11*$C907*'Business Case'!D12*$B907))-'Business Case'!E15*$F907</f>
        <v>775452386.413186</v>
      </c>
      <c r="L907" s="39" t="n">
        <f aca="false">(('Business Case'!F11*$C907*'Business Case'!F12*$B907)-'Business Case'!F11*$C907*'Business Case'!F13*$D907-'Business Case'!F14*$E907)-MAX(0,(('Business Case'!F11*$C907*'Business Case'!F12*$B907)-'Business Case'!F11*$C907*'Business Case'!F13*$D907-'Business Case'!F14*$E907))*'Business Case'!$B$7-'Business Case'!$B$8*(('Business Case'!F11*$C907*'Business Case'!F12*$B907)-('Business Case'!E11*$C907*'Business Case'!E12*$B907))-'Business Case'!F15*$F907</f>
        <v>925944629.795309</v>
      </c>
      <c r="M907" s="39" t="n">
        <f aca="false">(('Business Case'!G11*$C907*'Business Case'!G12*$B907)-'Business Case'!G11*$C907*'Business Case'!G13*$D907-'Business Case'!G14*$E907)-MAX(0,(('Business Case'!G11*$C907*'Business Case'!G12*$B907)-'Business Case'!G11*$C907*'Business Case'!G13*$D907-'Business Case'!G14*$E907))*'Business Case'!$B$7-'Business Case'!$B$8*(('Business Case'!G11*$C907*'Business Case'!G12*$B907)-('Business Case'!F11*$C907*'Business Case'!F12*$B907))-'Business Case'!G15*$F907+'Business Case'!$B$8*('Business Case'!G11*$C907*'Business Case'!G12*$B907)</f>
        <v>1126737586.04123</v>
      </c>
      <c r="N907" s="39" t="n">
        <f aca="false">IF(COUNT('Business Case'!B11:G11)=0,"",H907+NPV(G907,I907:M907))</f>
        <v>271658444.742006</v>
      </c>
      <c r="P907" s="40" t="n">
        <f aca="true">RAND()</f>
        <v>0.871132102238701</v>
      </c>
      <c r="Q907" s="40" t="n">
        <f aca="true">RAND()</f>
        <v>0.772101013652485</v>
      </c>
      <c r="R907" s="40" t="n">
        <f aca="true">RAND()</f>
        <v>0.160474275268316</v>
      </c>
      <c r="S907" s="40" t="n">
        <f aca="true">RAND()</f>
        <v>0.588777774231284</v>
      </c>
      <c r="T907" s="40" t="n">
        <f aca="true">RAND()</f>
        <v>0.261798912593525</v>
      </c>
      <c r="U907" s="40" t="n">
        <f aca="true">RAND()</f>
        <v>0.191196685929363</v>
      </c>
    </row>
    <row r="908" customFormat="false" ht="15" hidden="false" customHeight="false" outlineLevel="0" collapsed="false">
      <c r="A908" s="36" t="n">
        <v>828</v>
      </c>
      <c r="B908" s="37" t="n">
        <f aca="false">1+IF($G$6=$E$6,$F$6,IF(P908&lt;($F$6-$E$6)/($G$6-$E$6),$E$6+SQRT(P908*($G$6-$E$6)*($F$6-$E$6)),$G$6-SQRT((1-P908)*($G$6-$E$6)*($G$6-$F$6))))</f>
        <v>0.966681965353055</v>
      </c>
      <c r="C908" s="37" t="n">
        <f aca="false">1+IF($G$7=$E$7,$F$7,IF(Q908&lt;($F$7-$E$7)/($G$7-$E$7),$E$7+SQRT(Q908*($G$7-$E$7)*($F$7-$E$7)),$G$7-SQRT((1-Q908)*($G$7-$E$7)*($G$7-$F$7))))</f>
        <v>0.934870137997209</v>
      </c>
      <c r="D908" s="37" t="n">
        <f aca="false">1+IF($G$8=$E$8,$F$8,IF(R908&lt;($F$8-$E$8)/($G$8-$E$8),$E$8+SQRT(R908*($G$8-$E$8)*($F$8-$E$8)),$G$8-SQRT((1-R908)*($G$8-$E$8)*($G$8-$F$8))))</f>
        <v>0.974060893042114</v>
      </c>
      <c r="E908" s="37" t="n">
        <f aca="false">1+IF($G$9=$E$9,$F$9,IF(S908&lt;($F$9-$E$9)/($G$9-$E$9),$E$9+SQRT(S908*($G$9-$E$9)*($F$9-$E$9)),$G$9-SQRT((1-S908)*($G$9-$E$9)*($G$9-$F$9))))</f>
        <v>1.02898724375021</v>
      </c>
      <c r="F908" s="37" t="n">
        <f aca="false">1+IF($G$10=$E$10,$F$10,IF(T908&lt;($F$10-$E$10)/($G$10-$E$10),$E$10+SQRT(T908*($G$10-$E$10)*($F$10-$E$10)),$G$10-SQRT((1-T908)*($G$10-$E$10)*($G$10-$F$10))))</f>
        <v>1.02889255750119</v>
      </c>
      <c r="G908" s="38" t="n">
        <f aca="false">IF($G$11=$E$11,$F$11,IF(U908&lt;($F$11-$E$11)/($G$11-$E$11),$E$11+SQRT(U908*($G$11-$E$11)*($F$11-$E$11)),$G$11-SQRT((1-U908)*($G$11-$E$11)*($G$11-$F$11))))</f>
        <v>0.114299818919654</v>
      </c>
      <c r="H908" s="39" t="n">
        <f aca="false">(('Business Case'!B11*$C908*'Business Case'!B12*$B908)-'Business Case'!B11*$C908*'Business Case'!B13*$D908-'Business Case'!B14*$E908)-MAX(0,(('Business Case'!B11*$C908*'Business Case'!B12*$B908)-'Business Case'!B11*$C908*'Business Case'!B13*$D908-'Business Case'!B14*$E908))*'Business Case'!$B$7-'Business Case'!$B$8*('Business Case'!B11*$C908*'Business Case'!B12*$B908)-'Business Case'!B15*$F908</f>
        <v>-2057785115.00238</v>
      </c>
      <c r="I908" s="39" t="n">
        <f aca="false">(('Business Case'!C11*$C908*'Business Case'!C12*$B908)-'Business Case'!C11*$C908*'Business Case'!C13*$D908-'Business Case'!C14*$E908)-MAX(0,(('Business Case'!C11*$C908*'Business Case'!C12*$B908)-'Business Case'!C11*$C908*'Business Case'!C13*$D908-'Business Case'!C14*$E908))*'Business Case'!$B$7-'Business Case'!$B$8*(('Business Case'!C11*$C908*'Business Case'!C12*$B908)-('Business Case'!B11*$C908*'Business Case'!B12*$B908))-'Business Case'!C15*$F908</f>
        <v>-22011542.1925674</v>
      </c>
      <c r="J908" s="39" t="n">
        <f aca="false">(('Business Case'!D11*$C908*'Business Case'!D12*$B908)-'Business Case'!D11*$C908*'Business Case'!D13*$D908-'Business Case'!D14*$E908)-MAX(0,(('Business Case'!D11*$C908*'Business Case'!D12*$B908)-'Business Case'!D11*$C908*'Business Case'!D13*$D908-'Business Case'!D14*$E908))*'Business Case'!$B$7-'Business Case'!$B$8*(('Business Case'!D11*$C908*'Business Case'!D12*$B908)-('Business Case'!C11*$C908*'Business Case'!C12*$B908))-'Business Case'!D15*$F908</f>
        <v>252037111.212037</v>
      </c>
      <c r="K908" s="39" t="n">
        <f aca="false">(('Business Case'!E11*$C908*'Business Case'!E12*$B908)-'Business Case'!E11*$C908*'Business Case'!E13*$D908-'Business Case'!E14*$E908)-MAX(0,(('Business Case'!E11*$C908*'Business Case'!E12*$B908)-'Business Case'!E11*$C908*'Business Case'!E13*$D908-'Business Case'!E14*$E908))*'Business Case'!$B$7-'Business Case'!$B$8*(('Business Case'!E11*$C908*'Business Case'!E12*$B908)-('Business Case'!D11*$C908*'Business Case'!D12*$B908))-'Business Case'!E15*$F908</f>
        <v>577530392.491701</v>
      </c>
      <c r="L908" s="39" t="n">
        <f aca="false">(('Business Case'!F11*$C908*'Business Case'!F12*$B908)-'Business Case'!F11*$C908*'Business Case'!F13*$D908-'Business Case'!F14*$E908)-MAX(0,(('Business Case'!F11*$C908*'Business Case'!F12*$B908)-'Business Case'!F11*$C908*'Business Case'!F13*$D908-'Business Case'!F14*$E908))*'Business Case'!$B$7-'Business Case'!$B$8*(('Business Case'!F11*$C908*'Business Case'!F12*$B908)-('Business Case'!E11*$C908*'Business Case'!E12*$B908))-'Business Case'!F15*$F908</f>
        <v>700112579.483752</v>
      </c>
      <c r="M908" s="39" t="n">
        <f aca="false">(('Business Case'!G11*$C908*'Business Case'!G12*$B908)-'Business Case'!G11*$C908*'Business Case'!G13*$D908-'Business Case'!G14*$E908)-MAX(0,(('Business Case'!G11*$C908*'Business Case'!G12*$B908)-'Business Case'!G11*$C908*'Business Case'!G13*$D908-'Business Case'!G14*$E908))*'Business Case'!$B$7-'Business Case'!$B$8*(('Business Case'!G11*$C908*'Business Case'!G12*$B908)-('Business Case'!F11*$C908*'Business Case'!F12*$B908))-'Business Case'!G15*$F908+'Business Case'!$B$8*('Business Case'!G11*$C908*'Business Case'!G12*$B908)</f>
        <v>871892076.698254</v>
      </c>
      <c r="N908" s="39" t="n">
        <f aca="false">IF(COUNT('Business Case'!B11:G11)=0,"",H908+NPV(G908,I908:M908))</f>
        <v>-495512236.678368</v>
      </c>
      <c r="P908" s="40" t="n">
        <f aca="true">RAND()</f>
        <v>0.227000613460812</v>
      </c>
      <c r="Q908" s="40" t="n">
        <f aca="true">RAND()</f>
        <v>0.259856487476946</v>
      </c>
      <c r="R908" s="40" t="n">
        <f aca="true">RAND()</f>
        <v>0.0890656267667773</v>
      </c>
      <c r="S908" s="40" t="n">
        <f aca="true">RAND()</f>
        <v>0.663812563320506</v>
      </c>
      <c r="T908" s="40" t="n">
        <f aca="true">RAND()</f>
        <v>0.414444862430327</v>
      </c>
      <c r="U908" s="40" t="n">
        <f aca="true">RAND()</f>
        <v>0.945846559418781</v>
      </c>
    </row>
    <row r="909" customFormat="false" ht="15" hidden="false" customHeight="false" outlineLevel="0" collapsed="false">
      <c r="A909" s="36" t="n">
        <v>829</v>
      </c>
      <c r="B909" s="37" t="n">
        <f aca="false">1+IF($G$6=$E$6,$F$6,IF(P909&lt;($F$6-$E$6)/($G$6-$E$6),$E$6+SQRT(P909*($G$6-$E$6)*($F$6-$E$6)),$G$6-SQRT((1-P909)*($G$6-$E$6)*($G$6-$F$6))))</f>
        <v>1.02073838958279</v>
      </c>
      <c r="C909" s="37" t="n">
        <f aca="false">1+IF($G$7=$E$7,$F$7,IF(Q909&lt;($F$7-$E$7)/($G$7-$E$7),$E$7+SQRT(Q909*($G$7-$E$7)*($F$7-$E$7)),$G$7-SQRT((1-Q909)*($G$7-$E$7)*($G$7-$F$7))))</f>
        <v>0.940202002699321</v>
      </c>
      <c r="D909" s="37" t="n">
        <f aca="false">1+IF($G$8=$E$8,$F$8,IF(R909&lt;($F$8-$E$8)/($G$8-$E$8),$E$8+SQRT(R909*($G$8-$E$8)*($F$8-$E$8)),$G$8-SQRT((1-R909)*($G$8-$E$8)*($G$8-$F$8))))</f>
        <v>0.995994307733848</v>
      </c>
      <c r="E909" s="37" t="n">
        <f aca="false">1+IF($G$9=$E$9,$F$9,IF(S909&lt;($F$9-$E$9)/($G$9-$E$9),$E$9+SQRT(S909*($G$9-$E$9)*($F$9-$E$9)),$G$9-SQRT((1-S909)*($G$9-$E$9)*($G$9-$F$9))))</f>
        <v>0.998122343714428</v>
      </c>
      <c r="F909" s="37" t="n">
        <f aca="false">1+IF($G$10=$E$10,$F$10,IF(T909&lt;($F$10-$E$10)/($G$10-$E$10),$E$10+SQRT(T909*($G$10-$E$10)*($F$10-$E$10)),$G$10-SQRT((1-T909)*($G$10-$E$10)*($G$10-$F$10))))</f>
        <v>1.01887240146595</v>
      </c>
      <c r="G909" s="38" t="n">
        <f aca="false">IF($G$11=$E$11,$F$11,IF(U909&lt;($F$11-$E$11)/($G$11-$E$11),$E$11+SQRT(U909*($G$11-$E$11)*($F$11-$E$11)),$G$11-SQRT((1-U909)*($G$11-$E$11)*($G$11-$F$11))))</f>
        <v>0.107952324114458</v>
      </c>
      <c r="H909" s="39" t="n">
        <f aca="false">(('Business Case'!B11*$C909*'Business Case'!B12*$B909)-'Business Case'!B11*$C909*'Business Case'!B13*$D909-'Business Case'!B14*$E909)-MAX(0,(('Business Case'!B11*$C909*'Business Case'!B12*$B909)-'Business Case'!B11*$C909*'Business Case'!B13*$D909-'Business Case'!B14*$E909))*'Business Case'!$B$7-'Business Case'!$B$8*('Business Case'!B11*$C909*'Business Case'!B12*$B909)-'Business Case'!B15*$F909</f>
        <v>-2037744802.9319</v>
      </c>
      <c r="I909" s="39" t="n">
        <f aca="false">(('Business Case'!C11*$C909*'Business Case'!C12*$B909)-'Business Case'!C11*$C909*'Business Case'!C13*$D909-'Business Case'!C14*$E909)-MAX(0,(('Business Case'!C11*$C909*'Business Case'!C12*$B909)-'Business Case'!C11*$C909*'Business Case'!C13*$D909-'Business Case'!C14*$E909))*'Business Case'!$B$7-'Business Case'!$B$8*(('Business Case'!C11*$C909*'Business Case'!C12*$B909)-('Business Case'!B11*$C909*'Business Case'!B12*$B909))-'Business Case'!C15*$F909</f>
        <v>13112289.7075852</v>
      </c>
      <c r="J909" s="39" t="n">
        <f aca="false">(('Business Case'!D11*$C909*'Business Case'!D12*$B909)-'Business Case'!D11*$C909*'Business Case'!D13*$D909-'Business Case'!D14*$E909)-MAX(0,(('Business Case'!D11*$C909*'Business Case'!D12*$B909)-'Business Case'!D11*$C909*'Business Case'!D13*$D909-'Business Case'!D14*$E909))*'Business Case'!$B$7-'Business Case'!$B$8*(('Business Case'!D11*$C909*'Business Case'!D12*$B909)-('Business Case'!C11*$C909*'Business Case'!C12*$B909))-'Business Case'!D15*$F909</f>
        <v>319795679.255585</v>
      </c>
      <c r="K909" s="39" t="n">
        <f aca="false">(('Business Case'!E11*$C909*'Business Case'!E12*$B909)-'Business Case'!E11*$C909*'Business Case'!E13*$D909-'Business Case'!E14*$E909)-MAX(0,(('Business Case'!E11*$C909*'Business Case'!E12*$B909)-'Business Case'!E11*$C909*'Business Case'!E13*$D909-'Business Case'!E14*$E909))*'Business Case'!$B$7-'Business Case'!$B$8*(('Business Case'!E11*$C909*'Business Case'!E12*$B909)-('Business Case'!D11*$C909*'Business Case'!D12*$B909))-'Business Case'!E15*$F909</f>
        <v>677422688.876882</v>
      </c>
      <c r="L909" s="39" t="n">
        <f aca="false">(('Business Case'!F11*$C909*'Business Case'!F12*$B909)-'Business Case'!F11*$C909*'Business Case'!F13*$D909-'Business Case'!F14*$E909)-MAX(0,(('Business Case'!F11*$C909*'Business Case'!F12*$B909)-'Business Case'!F11*$C909*'Business Case'!F13*$D909-'Business Case'!F14*$E909))*'Business Case'!$B$7-'Business Case'!$B$8*(('Business Case'!F11*$C909*'Business Case'!F12*$B909)-('Business Case'!E11*$C909*'Business Case'!E12*$B909))-'Business Case'!F15*$F909</f>
        <v>812817727.004635</v>
      </c>
      <c r="M909" s="39" t="n">
        <f aca="false">(('Business Case'!G11*$C909*'Business Case'!G12*$B909)-'Business Case'!G11*$C909*'Business Case'!G13*$D909-'Business Case'!G14*$E909)-MAX(0,(('Business Case'!G11*$C909*'Business Case'!G12*$B909)-'Business Case'!G11*$C909*'Business Case'!G13*$D909-'Business Case'!G14*$E909))*'Business Case'!$B$7-'Business Case'!$B$8*(('Business Case'!G11*$C909*'Business Case'!G12*$B909)-('Business Case'!F11*$C909*'Business Case'!F12*$B909))-'Business Case'!G15*$F909+'Business Case'!$B$8*('Business Case'!G11*$C909*'Business Case'!G12*$B909)</f>
        <v>995237555.86927</v>
      </c>
      <c r="N909" s="39" t="n">
        <f aca="false">IF(COUNT('Business Case'!B11:G11)=0,"",H909+NPV(G909,I909:M909))</f>
        <v>-131818883.825324</v>
      </c>
      <c r="P909" s="40" t="n">
        <f aca="true">RAND()</f>
        <v>0.922706325861615</v>
      </c>
      <c r="Q909" s="40" t="n">
        <f aca="true">RAND()</f>
        <v>0.28080859372715</v>
      </c>
      <c r="R909" s="40" t="n">
        <f aca="true">RAND()</f>
        <v>0.325457899063981</v>
      </c>
      <c r="S909" s="40" t="n">
        <f aca="true">RAND()</f>
        <v>0.308767995275938</v>
      </c>
      <c r="T909" s="40" t="n">
        <f aca="true">RAND()</f>
        <v>0.343855860985774</v>
      </c>
      <c r="U909" s="40" t="n">
        <f aca="true">RAND()</f>
        <v>0.758089176261553</v>
      </c>
    </row>
    <row r="910" customFormat="false" ht="15" hidden="false" customHeight="false" outlineLevel="0" collapsed="false">
      <c r="A910" s="36" t="n">
        <v>830</v>
      </c>
      <c r="B910" s="37" t="n">
        <f aca="false">1+IF($G$6=$E$6,$F$6,IF(P910&lt;($F$6-$E$6)/($G$6-$E$6),$E$6+SQRT(P910*($G$6-$E$6)*($F$6-$E$6)),$G$6-SQRT((1-P910)*($G$6-$E$6)*($G$6-$F$6))))</f>
        <v>1.03205167429583</v>
      </c>
      <c r="C910" s="37" t="n">
        <f aca="false">1+IF($G$7=$E$7,$F$7,IF(Q910&lt;($F$7-$E$7)/($G$7-$E$7),$E$7+SQRT(Q910*($G$7-$E$7)*($F$7-$E$7)),$G$7-SQRT((1-Q910)*($G$7-$E$7)*($G$7-$F$7))))</f>
        <v>1.09522632090302</v>
      </c>
      <c r="D910" s="37" t="n">
        <f aca="false">1+IF($G$8=$E$8,$F$8,IF(R910&lt;($F$8-$E$8)/($G$8-$E$8),$E$8+SQRT(R910*($G$8-$E$8)*($F$8-$E$8)),$G$8-SQRT((1-R910)*($G$8-$E$8)*($G$8-$F$8))))</f>
        <v>1.04195882730306</v>
      </c>
      <c r="E910" s="37" t="n">
        <f aca="false">1+IF($G$9=$E$9,$F$9,IF(S910&lt;($F$9-$E$9)/($G$9-$E$9),$E$9+SQRT(S910*($G$9-$E$9)*($F$9-$E$9)),$G$9-SQRT((1-S910)*($G$9-$E$9)*($G$9-$F$9))))</f>
        <v>0.988135814243819</v>
      </c>
      <c r="F910" s="37" t="n">
        <f aca="false">1+IF($G$10=$E$10,$F$10,IF(T910&lt;($F$10-$E$10)/($G$10-$E$10),$E$10+SQRT(T910*($G$10-$E$10)*($F$10-$E$10)),$G$10-SQRT((1-T910)*($G$10-$E$10)*($G$10-$F$10))))</f>
        <v>1.02070141254666</v>
      </c>
      <c r="G910" s="38" t="n">
        <f aca="false">IF($G$11=$E$11,$F$11,IF(U910&lt;($F$11-$E$11)/($G$11-$E$11),$E$11+SQRT(U910*($G$11-$E$11)*($F$11-$E$11)),$G$11-SQRT((1-U910)*($G$11-$E$11)*($G$11-$F$11))))</f>
        <v>0.103993445412999</v>
      </c>
      <c r="H910" s="39" t="n">
        <f aca="false">(('Business Case'!B11*$C910*'Business Case'!B12*$B910)-'Business Case'!B11*$C910*'Business Case'!B13*$D910-'Business Case'!B14*$E910)-MAX(0,(('Business Case'!B11*$C910*'Business Case'!B12*$B910)-'Business Case'!B11*$C910*'Business Case'!B13*$D910-'Business Case'!B14*$E910))*'Business Case'!$B$7-'Business Case'!$B$8*('Business Case'!B11*$C910*'Business Case'!B12*$B910)-'Business Case'!B15*$F910</f>
        <v>-2041402825.09331</v>
      </c>
      <c r="I910" s="39" t="n">
        <f aca="false">(('Business Case'!C11*$C910*'Business Case'!C12*$B910)-'Business Case'!C11*$C910*'Business Case'!C13*$D910-'Business Case'!C14*$E910)-MAX(0,(('Business Case'!C11*$C910*'Business Case'!C12*$B910)-'Business Case'!C11*$C910*'Business Case'!C13*$D910-'Business Case'!C14*$E910))*'Business Case'!$B$7-'Business Case'!$B$8*(('Business Case'!C11*$C910*'Business Case'!C12*$B910)-('Business Case'!B11*$C910*'Business Case'!B12*$B910))-'Business Case'!C15*$F910</f>
        <v>40449173.095286</v>
      </c>
      <c r="J910" s="39" t="n">
        <f aca="false">(('Business Case'!D11*$C910*'Business Case'!D12*$B910)-'Business Case'!D11*$C910*'Business Case'!D13*$D910-'Business Case'!D14*$E910)-MAX(0,(('Business Case'!D11*$C910*'Business Case'!D12*$B910)-'Business Case'!D11*$C910*'Business Case'!D13*$D910-'Business Case'!D14*$E910))*'Business Case'!$B$7-'Business Case'!$B$8*(('Business Case'!D11*$C910*'Business Case'!D12*$B910)-('Business Case'!C11*$C910*'Business Case'!C12*$B910))-'Business Case'!D15*$F910</f>
        <v>382077715.632876</v>
      </c>
      <c r="K910" s="39" t="n">
        <f aca="false">(('Business Case'!E11*$C910*'Business Case'!E12*$B910)-'Business Case'!E11*$C910*'Business Case'!E13*$D910-'Business Case'!E14*$E910)-MAX(0,(('Business Case'!E11*$C910*'Business Case'!E12*$B910)-'Business Case'!E11*$C910*'Business Case'!E13*$D910-'Business Case'!E14*$E910))*'Business Case'!$B$7-'Business Case'!$B$8*(('Business Case'!E11*$C910*'Business Case'!E12*$B910)-('Business Case'!D11*$C910*'Business Case'!D12*$B910))-'Business Case'!E15*$F910</f>
        <v>774741328.7978</v>
      </c>
      <c r="L910" s="39" t="n">
        <f aca="false">(('Business Case'!F11*$C910*'Business Case'!F12*$B910)-'Business Case'!F11*$C910*'Business Case'!F13*$D910-'Business Case'!F14*$E910)-MAX(0,(('Business Case'!F11*$C910*'Business Case'!F12*$B910)-'Business Case'!F11*$C910*'Business Case'!F13*$D910-'Business Case'!F14*$E910))*'Business Case'!$B$7-'Business Case'!$B$8*(('Business Case'!F11*$C910*'Business Case'!F12*$B910)-('Business Case'!E11*$C910*'Business Case'!E12*$B910))-'Business Case'!F15*$F910</f>
        <v>927681719.911775</v>
      </c>
      <c r="M910" s="39" t="n">
        <f aca="false">(('Business Case'!G11*$C910*'Business Case'!G12*$B910)-'Business Case'!G11*$C910*'Business Case'!G13*$D910-'Business Case'!G14*$E910)-MAX(0,(('Business Case'!G11*$C910*'Business Case'!G12*$B910)-'Business Case'!G11*$C910*'Business Case'!G13*$D910-'Business Case'!G14*$E910))*'Business Case'!$B$7-'Business Case'!$B$8*(('Business Case'!G11*$C910*'Business Case'!G12*$B910)-('Business Case'!F11*$C910*'Business Case'!F12*$B910))-'Business Case'!G15*$F910+'Business Case'!$B$8*('Business Case'!G11*$C910*'Business Case'!G12*$B910)</f>
        <v>1142534876.38639</v>
      </c>
      <c r="N910" s="39" t="n">
        <f aca="false">IF(COUNT('Business Case'!B11:G11)=0,"",H910+NPV(G910,I910:M910))</f>
        <v>205690107.95135</v>
      </c>
      <c r="P910" s="40" t="n">
        <f aca="true">RAND()</f>
        <v>0.986838358020922</v>
      </c>
      <c r="Q910" s="40" t="n">
        <f aca="true">RAND()</f>
        <v>0.942854172917745</v>
      </c>
      <c r="R910" s="40" t="n">
        <f aca="true">RAND()</f>
        <v>0.86085280575402</v>
      </c>
      <c r="S910" s="40" t="n">
        <f aca="true">RAND()</f>
        <v>0.193912043738546</v>
      </c>
      <c r="T910" s="40" t="n">
        <f aca="true">RAND()</f>
        <v>0.357040330744711</v>
      </c>
      <c r="U910" s="40" t="n">
        <f aca="true">RAND()</f>
        <v>0.572983683755601</v>
      </c>
    </row>
    <row r="911" customFormat="false" ht="15" hidden="false" customHeight="false" outlineLevel="0" collapsed="false">
      <c r="A911" s="36" t="n">
        <v>831</v>
      </c>
      <c r="B911" s="37" t="n">
        <f aca="false">1+IF($G$6=$E$6,$F$6,IF(P911&lt;($F$6-$E$6)/($G$6-$E$6),$E$6+SQRT(P911*($G$6-$E$6)*($F$6-$E$6)),$G$6-SQRT((1-P911)*($G$6-$E$6)*($G$6-$F$6))))</f>
        <v>0.990350385994833</v>
      </c>
      <c r="C911" s="37" t="n">
        <f aca="false">1+IF($G$7=$E$7,$F$7,IF(Q911&lt;($F$7-$E$7)/($G$7-$E$7),$E$7+SQRT(Q911*($G$7-$E$7)*($F$7-$E$7)),$G$7-SQRT((1-Q911)*($G$7-$E$7)*($G$7-$F$7))))</f>
        <v>0.988220188755376</v>
      </c>
      <c r="D911" s="37" t="n">
        <f aca="false">1+IF($G$8=$E$8,$F$8,IF(R911&lt;($F$8-$E$8)/($G$8-$E$8),$E$8+SQRT(R911*($G$8-$E$8)*($F$8-$E$8)),$G$8-SQRT((1-R911)*($G$8-$E$8)*($G$8-$F$8))))</f>
        <v>0.982720369601288</v>
      </c>
      <c r="E911" s="37" t="n">
        <f aca="false">1+IF($G$9=$E$9,$F$9,IF(S911&lt;($F$9-$E$9)/($G$9-$E$9),$E$9+SQRT(S911*($G$9-$E$9)*($F$9-$E$9)),$G$9-SQRT((1-S911)*($G$9-$E$9)*($G$9-$F$9))))</f>
        <v>1.06203990782933</v>
      </c>
      <c r="F911" s="37" t="n">
        <f aca="false">1+IF($G$10=$E$10,$F$10,IF(T911&lt;($F$10-$E$10)/($G$10-$E$10),$E$10+SQRT(T911*($G$10-$E$10)*($F$10-$E$10)),$G$10-SQRT((1-T911)*($G$10-$E$10)*($G$10-$F$10))))</f>
        <v>1.00867045596219</v>
      </c>
      <c r="G911" s="38" t="n">
        <f aca="false">IF($G$11=$E$11,$F$11,IF(U911&lt;($F$11-$E$11)/($G$11-$E$11),$E$11+SQRT(U911*($G$11-$E$11)*($F$11-$E$11)),$G$11-SQRT((1-U911)*($G$11-$E$11)*($G$11-$F$11))))</f>
        <v>0.0948119784927367</v>
      </c>
      <c r="H911" s="39" t="n">
        <f aca="false">(('Business Case'!B11*$C911*'Business Case'!B12*$B911)-'Business Case'!B11*$C911*'Business Case'!B13*$D911-'Business Case'!B14*$E911)-MAX(0,(('Business Case'!B11*$C911*'Business Case'!B12*$B911)-'Business Case'!B11*$C911*'Business Case'!B13*$D911-'Business Case'!B14*$E911))*'Business Case'!$B$7-'Business Case'!$B$8*('Business Case'!B11*$C911*'Business Case'!B12*$B911)-'Business Case'!B15*$F911</f>
        <v>-2017340911.92439</v>
      </c>
      <c r="I911" s="39" t="n">
        <f aca="false">(('Business Case'!C11*$C911*'Business Case'!C12*$B911)-'Business Case'!C11*$C911*'Business Case'!C13*$D911-'Business Case'!C14*$E911)-MAX(0,(('Business Case'!C11*$C911*'Business Case'!C12*$B911)-'Business Case'!C11*$C911*'Business Case'!C13*$D911-'Business Case'!C14*$E911))*'Business Case'!$B$7-'Business Case'!$B$8*(('Business Case'!C11*$C911*'Business Case'!C12*$B911)-('Business Case'!B11*$C911*'Business Case'!B12*$B911))-'Business Case'!C15*$F911</f>
        <v>1840658.11166677</v>
      </c>
      <c r="J911" s="39" t="n">
        <f aca="false">(('Business Case'!D11*$C911*'Business Case'!D12*$B911)-'Business Case'!D11*$C911*'Business Case'!D13*$D911-'Business Case'!D14*$E911)-MAX(0,(('Business Case'!D11*$C911*'Business Case'!D12*$B911)-'Business Case'!D11*$C911*'Business Case'!D13*$D911-'Business Case'!D14*$E911))*'Business Case'!$B$7-'Business Case'!$B$8*(('Business Case'!D11*$C911*'Business Case'!D12*$B911)-('Business Case'!C11*$C911*'Business Case'!C12*$B911))-'Business Case'!D15*$F911</f>
        <v>306305427.993475</v>
      </c>
      <c r="K911" s="39" t="n">
        <f aca="false">(('Business Case'!E11*$C911*'Business Case'!E12*$B911)-'Business Case'!E11*$C911*'Business Case'!E13*$D911-'Business Case'!E14*$E911)-MAX(0,(('Business Case'!E11*$C911*'Business Case'!E12*$B911)-'Business Case'!E11*$C911*'Business Case'!E13*$D911-'Business Case'!E14*$E911))*'Business Case'!$B$7-'Business Case'!$B$8*(('Business Case'!E11*$C911*'Business Case'!E12*$B911)-('Business Case'!D11*$C911*'Business Case'!D12*$B911))-'Business Case'!E15*$F911</f>
        <v>661203720.673394</v>
      </c>
      <c r="L911" s="39" t="n">
        <f aca="false">(('Business Case'!F11*$C911*'Business Case'!F12*$B911)-'Business Case'!F11*$C911*'Business Case'!F13*$D911-'Business Case'!F14*$E911)-MAX(0,(('Business Case'!F11*$C911*'Business Case'!F12*$B911)-'Business Case'!F11*$C911*'Business Case'!F13*$D911-'Business Case'!F14*$E911))*'Business Case'!$B$7-'Business Case'!$B$8*(('Business Case'!F11*$C911*'Business Case'!F12*$B911)-('Business Case'!E11*$C911*'Business Case'!E12*$B911))-'Business Case'!F15*$F911</f>
        <v>796515304.821057</v>
      </c>
      <c r="M911" s="39" t="n">
        <f aca="false">(('Business Case'!G11*$C911*'Business Case'!G12*$B911)-'Business Case'!G11*$C911*'Business Case'!G13*$D911-'Business Case'!G14*$E911)-MAX(0,(('Business Case'!G11*$C911*'Business Case'!G12*$B911)-'Business Case'!G11*$C911*'Business Case'!G13*$D911-'Business Case'!G14*$E911))*'Business Case'!$B$7-'Business Case'!$B$8*(('Business Case'!G11*$C911*'Business Case'!G12*$B911)-('Business Case'!F11*$C911*'Business Case'!F12*$B911))-'Business Case'!G15*$F911+'Business Case'!$B$8*('Business Case'!G11*$C911*'Business Case'!G12*$B911)</f>
        <v>982543606.183225</v>
      </c>
      <c r="N911" s="39" t="n">
        <f aca="false">IF(COUNT('Business Case'!B11:G11)=0,"",H911+NPV(G911,I911:M911))</f>
        <v>-77150671.1474545</v>
      </c>
      <c r="P911" s="40" t="n">
        <f aca="true">RAND()</f>
        <v>0.515539251002291</v>
      </c>
      <c r="Q911" s="40" t="n">
        <f aca="true">RAND()</f>
        <v>0.50609770650156</v>
      </c>
      <c r="R911" s="40" t="n">
        <f aca="true">RAND()</f>
        <v>0.164711167206903</v>
      </c>
      <c r="S911" s="40" t="n">
        <f aca="true">RAND()</f>
        <v>0.903935426826303</v>
      </c>
      <c r="T911" s="40" t="n">
        <f aca="true">RAND()</f>
        <v>0.267860111565711</v>
      </c>
      <c r="U911" s="40" t="n">
        <f aca="true">RAND()</f>
        <v>0.0771837900485349</v>
      </c>
    </row>
    <row r="912" customFormat="false" ht="15" hidden="false" customHeight="false" outlineLevel="0" collapsed="false">
      <c r="A912" s="36" t="n">
        <v>832</v>
      </c>
      <c r="B912" s="37" t="n">
        <f aca="false">1+IF($G$6=$E$6,$F$6,IF(P912&lt;($F$6-$E$6)/($G$6-$E$6),$E$6+SQRT(P912*($G$6-$E$6)*($F$6-$E$6)),$G$6-SQRT((1-P912)*($G$6-$E$6)*($G$6-$F$6))))</f>
        <v>0.986139341214207</v>
      </c>
      <c r="C912" s="37" t="n">
        <f aca="false">1+IF($G$7=$E$7,$F$7,IF(Q912&lt;($F$7-$E$7)/($G$7-$E$7),$E$7+SQRT(Q912*($G$7-$E$7)*($F$7-$E$7)),$G$7-SQRT((1-Q912)*($G$7-$E$7)*($G$7-$F$7))))</f>
        <v>1.01085782919139</v>
      </c>
      <c r="D912" s="37" t="n">
        <f aca="false">1+IF($G$8=$E$8,$F$8,IF(R912&lt;($F$8-$E$8)/($G$8-$E$8),$E$8+SQRT(R912*($G$8-$E$8)*($F$8-$E$8)),$G$8-SQRT((1-R912)*($G$8-$E$8)*($G$8-$F$8))))</f>
        <v>1.02888196612245</v>
      </c>
      <c r="E912" s="37" t="n">
        <f aca="false">1+IF($G$9=$E$9,$F$9,IF(S912&lt;($F$9-$E$9)/($G$9-$E$9),$E$9+SQRT(S912*($G$9-$E$9)*($F$9-$E$9)),$G$9-SQRT((1-S912)*($G$9-$E$9)*($G$9-$F$9))))</f>
        <v>1.01790232198382</v>
      </c>
      <c r="F912" s="37" t="n">
        <f aca="false">1+IF($G$10=$E$10,$F$10,IF(T912&lt;($F$10-$E$10)/($G$10-$E$10),$E$10+SQRT(T912*($G$10-$E$10)*($F$10-$E$10)),$G$10-SQRT((1-T912)*($G$10-$E$10)*($G$10-$F$10))))</f>
        <v>1.04278642882773</v>
      </c>
      <c r="G912" s="38" t="n">
        <f aca="false">IF($G$11=$E$11,$F$11,IF(U912&lt;($F$11-$E$11)/($G$11-$E$11),$E$11+SQRT(U912*($G$11-$E$11)*($F$11-$E$11)),$G$11-SQRT((1-U912)*($G$11-$E$11)*($G$11-$F$11))))</f>
        <v>0.0972140450501093</v>
      </c>
      <c r="H912" s="39" t="n">
        <f aca="false">(('Business Case'!B11*$C912*'Business Case'!B12*$B912)-'Business Case'!B11*$C912*'Business Case'!B13*$D912-'Business Case'!B14*$E912)-MAX(0,(('Business Case'!B11*$C912*'Business Case'!B12*$B912)-'Business Case'!B11*$C912*'Business Case'!B13*$D912-'Business Case'!B14*$E912))*'Business Case'!$B$7-'Business Case'!$B$8*('Business Case'!B11*$C912*'Business Case'!B12*$B912)-'Business Case'!B15*$F912</f>
        <v>-2085572857.65547</v>
      </c>
      <c r="I912" s="39" t="n">
        <f aca="false">(('Business Case'!C11*$C912*'Business Case'!C12*$B912)-'Business Case'!C11*$C912*'Business Case'!C13*$D912-'Business Case'!C14*$E912)-MAX(0,(('Business Case'!C11*$C912*'Business Case'!C12*$B912)-'Business Case'!C11*$C912*'Business Case'!C13*$D912-'Business Case'!C14*$E912))*'Business Case'!$B$7-'Business Case'!$B$8*(('Business Case'!C11*$C912*'Business Case'!C12*$B912)-('Business Case'!B11*$C912*'Business Case'!B12*$B912))-'Business Case'!C15*$F912</f>
        <v>-16635817.6842875</v>
      </c>
      <c r="J912" s="39" t="n">
        <f aca="false">(('Business Case'!D11*$C912*'Business Case'!D12*$B912)-'Business Case'!D11*$C912*'Business Case'!D13*$D912-'Business Case'!D14*$E912)-MAX(0,(('Business Case'!D11*$C912*'Business Case'!D12*$B912)-'Business Case'!D11*$C912*'Business Case'!D13*$D912-'Business Case'!D14*$E912))*'Business Case'!$B$7-'Business Case'!$B$8*(('Business Case'!D11*$C912*'Business Case'!D12*$B912)-('Business Case'!C11*$C912*'Business Case'!C12*$B912))-'Business Case'!D15*$F912</f>
        <v>267429249.26698</v>
      </c>
      <c r="K912" s="39" t="n">
        <f aca="false">(('Business Case'!E11*$C912*'Business Case'!E12*$B912)-'Business Case'!E11*$C912*'Business Case'!E13*$D912-'Business Case'!E14*$E912)-MAX(0,(('Business Case'!E11*$C912*'Business Case'!E12*$B912)-'Business Case'!E11*$C912*'Business Case'!E13*$D912-'Business Case'!E14*$E912))*'Business Case'!$B$7-'Business Case'!$B$8*(('Business Case'!E11*$C912*'Business Case'!E12*$B912)-('Business Case'!D11*$C912*'Business Case'!D12*$B912))-'Business Case'!E15*$F912</f>
        <v>603633637.659635</v>
      </c>
      <c r="L912" s="39" t="n">
        <f aca="false">(('Business Case'!F11*$C912*'Business Case'!F12*$B912)-'Business Case'!F11*$C912*'Business Case'!F13*$D912-'Business Case'!F14*$E912)-MAX(0,(('Business Case'!F11*$C912*'Business Case'!F12*$B912)-'Business Case'!F11*$C912*'Business Case'!F13*$D912-'Business Case'!F14*$E912))*'Business Case'!$B$7-'Business Case'!$B$8*(('Business Case'!F11*$C912*'Business Case'!F12*$B912)-('Business Case'!E11*$C912*'Business Case'!E12*$B912))-'Business Case'!F15*$F912</f>
        <v>732773014.354512</v>
      </c>
      <c r="M912" s="39" t="n">
        <f aca="false">(('Business Case'!G11*$C912*'Business Case'!G12*$B912)-'Business Case'!G11*$C912*'Business Case'!G13*$D912-'Business Case'!G14*$E912)-MAX(0,(('Business Case'!G11*$C912*'Business Case'!G12*$B912)-'Business Case'!G11*$C912*'Business Case'!G13*$D912-'Business Case'!G14*$E912))*'Business Case'!$B$7-'Business Case'!$B$8*(('Business Case'!G11*$C912*'Business Case'!G12*$B912)-('Business Case'!F11*$C912*'Business Case'!F12*$B912))-'Business Case'!G15*$F912+'Business Case'!$B$8*('Business Case'!G11*$C912*'Business Case'!G12*$B912)</f>
        <v>922253630.099014</v>
      </c>
      <c r="N912" s="39" t="n">
        <f aca="false">IF(COUNT('Business Case'!B11:G11)=0,"",H912+NPV(G912,I912:M912))</f>
        <v>-336062229.456135</v>
      </c>
      <c r="P912" s="40" t="n">
        <f aca="true">RAND()</f>
        <v>0.455667964192632</v>
      </c>
      <c r="Q912" s="40" t="n">
        <f aca="true">RAND()</f>
        <v>0.631227739098414</v>
      </c>
      <c r="R912" s="40" t="n">
        <f aca="true">RAND()</f>
        <v>0.748744866585927</v>
      </c>
      <c r="S912" s="40" t="n">
        <f aca="true">RAND()</f>
        <v>0.550664750956773</v>
      </c>
      <c r="T912" s="40" t="n">
        <f aca="true">RAND()</f>
        <v>0.505677860785263</v>
      </c>
      <c r="U912" s="40" t="n">
        <f aca="true">RAND()</f>
        <v>0.173474819950023</v>
      </c>
    </row>
    <row r="913" customFormat="false" ht="15" hidden="false" customHeight="false" outlineLevel="0" collapsed="false">
      <c r="A913" s="36" t="n">
        <v>833</v>
      </c>
      <c r="B913" s="37" t="n">
        <f aca="false">1+IF($G$6=$E$6,$F$6,IF(P913&lt;($F$6-$E$6)/($G$6-$E$6),$E$6+SQRT(P913*($G$6-$E$6)*($F$6-$E$6)),$G$6-SQRT((1-P913)*($G$6-$E$6)*($G$6-$F$6))))</f>
        <v>0.991226715165348</v>
      </c>
      <c r="C913" s="37" t="n">
        <f aca="false">1+IF($G$7=$E$7,$F$7,IF(Q913&lt;($F$7-$E$7)/($G$7-$E$7),$E$7+SQRT(Q913*($G$7-$E$7)*($F$7-$E$7)),$G$7-SQRT((1-Q913)*($G$7-$E$7)*($G$7-$F$7))))</f>
        <v>0.899169193123037</v>
      </c>
      <c r="D913" s="37" t="n">
        <f aca="false">1+IF($G$8=$E$8,$F$8,IF(R913&lt;($F$8-$E$8)/($G$8-$E$8),$E$8+SQRT(R913*($G$8-$E$8)*($F$8-$E$8)),$G$8-SQRT((1-R913)*($G$8-$E$8)*($G$8-$F$8))))</f>
        <v>0.980071822400838</v>
      </c>
      <c r="E913" s="37" t="n">
        <f aca="false">1+IF($G$9=$E$9,$F$9,IF(S913&lt;($F$9-$E$9)/($G$9-$E$9),$E$9+SQRT(S913*($G$9-$E$9)*($F$9-$E$9)),$G$9-SQRT((1-S913)*($G$9-$E$9)*($G$9-$F$9))))</f>
        <v>1.03200174735617</v>
      </c>
      <c r="F913" s="37" t="n">
        <f aca="false">1+IF($G$10=$E$10,$F$10,IF(T913&lt;($F$10-$E$10)/($G$10-$E$10),$E$10+SQRT(T913*($G$10-$E$10)*($F$10-$E$10)),$G$10-SQRT((1-T913)*($G$10-$E$10)*($G$10-$F$10))))</f>
        <v>0.976091972877535</v>
      </c>
      <c r="G913" s="38" t="n">
        <f aca="false">IF($G$11=$E$11,$F$11,IF(U913&lt;($F$11-$E$11)/($G$11-$E$11),$E$11+SQRT(U913*($G$11-$E$11)*($F$11-$E$11)),$G$11-SQRT((1-U913)*($G$11-$E$11)*($G$11-$F$11))))</f>
        <v>0.0987521357564789</v>
      </c>
      <c r="H913" s="39" t="n">
        <f aca="false">(('Business Case'!B11*$C913*'Business Case'!B12*$B913)-'Business Case'!B11*$C913*'Business Case'!B13*$D913-'Business Case'!B14*$E913)-MAX(0,(('Business Case'!B11*$C913*'Business Case'!B12*$B913)-'Business Case'!B11*$C913*'Business Case'!B13*$D913-'Business Case'!B14*$E913))*'Business Case'!$B$7-'Business Case'!$B$8*('Business Case'!B11*$C913*'Business Case'!B12*$B913)-'Business Case'!B15*$F913</f>
        <v>-1952183945.75507</v>
      </c>
      <c r="I913" s="39" t="n">
        <f aca="false">(('Business Case'!C11*$C913*'Business Case'!C12*$B913)-'Business Case'!C11*$C913*'Business Case'!C13*$D913-'Business Case'!C14*$E913)-MAX(0,(('Business Case'!C11*$C913*'Business Case'!C12*$B913)-'Business Case'!C11*$C913*'Business Case'!C13*$D913-'Business Case'!C14*$E913))*'Business Case'!$B$7-'Business Case'!$B$8*(('Business Case'!C11*$C913*'Business Case'!C12*$B913)-('Business Case'!B11*$C913*'Business Case'!B12*$B913))-'Business Case'!C15*$F913</f>
        <v>-11670605.0066348</v>
      </c>
      <c r="J913" s="39" t="n">
        <f aca="false">(('Business Case'!D11*$C913*'Business Case'!D12*$B913)-'Business Case'!D11*$C913*'Business Case'!D13*$D913-'Business Case'!D14*$E913)-MAX(0,(('Business Case'!D11*$C913*'Business Case'!D12*$B913)-'Business Case'!D11*$C913*'Business Case'!D13*$D913-'Business Case'!D14*$E913))*'Business Case'!$B$7-'Business Case'!$B$8*(('Business Case'!D11*$C913*'Business Case'!D12*$B913)-('Business Case'!C11*$C913*'Business Case'!C12*$B913))-'Business Case'!D15*$F913</f>
        <v>267222618.199639</v>
      </c>
      <c r="K913" s="39" t="n">
        <f aca="false">(('Business Case'!E11*$C913*'Business Case'!E12*$B913)-'Business Case'!E11*$C913*'Business Case'!E13*$D913-'Business Case'!E14*$E913)-MAX(0,(('Business Case'!E11*$C913*'Business Case'!E12*$B913)-'Business Case'!E11*$C913*'Business Case'!E13*$D913-'Business Case'!E14*$E913))*'Business Case'!$B$7-'Business Case'!$B$8*(('Business Case'!E11*$C913*'Business Case'!E12*$B913)-('Business Case'!D11*$C913*'Business Case'!D12*$B913))-'Business Case'!E15*$F913</f>
        <v>594920440.049789</v>
      </c>
      <c r="L913" s="39" t="n">
        <f aca="false">(('Business Case'!F11*$C913*'Business Case'!F12*$B913)-'Business Case'!F11*$C913*'Business Case'!F13*$D913-'Business Case'!F14*$E913)-MAX(0,(('Business Case'!F11*$C913*'Business Case'!F12*$B913)-'Business Case'!F11*$C913*'Business Case'!F13*$D913-'Business Case'!F14*$E913))*'Business Case'!$B$7-'Business Case'!$B$8*(('Business Case'!F11*$C913*'Business Case'!F12*$B913)-('Business Case'!E11*$C913*'Business Case'!E12*$B913))-'Business Case'!F15*$F913</f>
        <v>718687502.752619</v>
      </c>
      <c r="M913" s="39" t="n">
        <f aca="false">(('Business Case'!G11*$C913*'Business Case'!G12*$B913)-'Business Case'!G11*$C913*'Business Case'!G13*$D913-'Business Case'!G14*$E913)-MAX(0,(('Business Case'!G11*$C913*'Business Case'!G12*$B913)-'Business Case'!G11*$C913*'Business Case'!G13*$D913-'Business Case'!G14*$E913))*'Business Case'!$B$7-'Business Case'!$B$8*(('Business Case'!G11*$C913*'Business Case'!G12*$B913)-('Business Case'!F11*$C913*'Business Case'!F12*$B913))-'Business Case'!G15*$F913+'Business Case'!$B$8*('Business Case'!G11*$C913*'Business Case'!G12*$B913)</f>
        <v>888102105.073346</v>
      </c>
      <c r="N913" s="39" t="n">
        <f aca="false">IF(COUNT('Business Case'!B11:G11)=0,"",H913+NPV(G913,I913:M913))</f>
        <v>-245274383.703668</v>
      </c>
      <c r="P913" s="40" t="n">
        <f aca="true">RAND()</f>
        <v>0.528463015963092</v>
      </c>
      <c r="Q913" s="40" t="n">
        <f aca="true">RAND()</f>
        <v>0.140493269495347</v>
      </c>
      <c r="R913" s="40" t="n">
        <f aca="true">RAND()</f>
        <v>0.139125308078081</v>
      </c>
      <c r="S913" s="40" t="n">
        <f aca="true">RAND()</f>
        <v>0.691749175825753</v>
      </c>
      <c r="T913" s="40" t="n">
        <f aca="true">RAND()</f>
        <v>0.0544632838913631</v>
      </c>
      <c r="U913" s="40" t="n">
        <f aca="true">RAND()</f>
        <v>0.255332934332791</v>
      </c>
    </row>
    <row r="914" customFormat="false" ht="15" hidden="false" customHeight="false" outlineLevel="0" collapsed="false">
      <c r="A914" s="36" t="n">
        <v>834</v>
      </c>
      <c r="B914" s="37" t="n">
        <f aca="false">1+IF($G$6=$E$6,$F$6,IF(P914&lt;($F$6-$E$6)/($G$6-$E$6),$E$6+SQRT(P914*($G$6-$E$6)*($F$6-$E$6)),$G$6-SQRT((1-P914)*($G$6-$E$6)*($G$6-$F$6))))</f>
        <v>0.939207376198159</v>
      </c>
      <c r="C914" s="37" t="n">
        <f aca="false">1+IF($G$7=$E$7,$F$7,IF(Q914&lt;($F$7-$E$7)/($G$7-$E$7),$E$7+SQRT(Q914*($G$7-$E$7)*($F$7-$E$7)),$G$7-SQRT((1-Q914)*($G$7-$E$7)*($G$7-$F$7))))</f>
        <v>1.06705288170887</v>
      </c>
      <c r="D914" s="37" t="n">
        <f aca="false">1+IF($G$8=$E$8,$F$8,IF(R914&lt;($F$8-$E$8)/($G$8-$E$8),$E$8+SQRT(R914*($G$8-$E$8)*($F$8-$E$8)),$G$8-SQRT((1-R914)*($G$8-$E$8)*($G$8-$F$8))))</f>
        <v>1.00228186709862</v>
      </c>
      <c r="E914" s="37" t="n">
        <f aca="false">1+IF($G$9=$E$9,$F$9,IF(S914&lt;($F$9-$E$9)/($G$9-$E$9),$E$9+SQRT(S914*($G$9-$E$9)*($F$9-$E$9)),$G$9-SQRT((1-S914)*($G$9-$E$9)*($G$9-$F$9))))</f>
        <v>1.00820216495753</v>
      </c>
      <c r="F914" s="37" t="n">
        <f aca="false">1+IF($G$10=$E$10,$F$10,IF(T914&lt;($F$10-$E$10)/($G$10-$E$10),$E$10+SQRT(T914*($G$10-$E$10)*($F$10-$E$10)),$G$10-SQRT((1-T914)*($G$10-$E$10)*($G$10-$F$10))))</f>
        <v>0.961213008962957</v>
      </c>
      <c r="G914" s="38" t="n">
        <f aca="false">IF($G$11=$E$11,$F$11,IF(U914&lt;($F$11-$E$11)/($G$11-$E$11),$E$11+SQRT(U914*($G$11-$E$11)*($F$11-$E$11)),$G$11-SQRT((1-U914)*($G$11-$E$11)*($G$11-$F$11))))</f>
        <v>0.10569718449125</v>
      </c>
      <c r="H914" s="39" t="n">
        <f aca="false">(('Business Case'!B11*$C914*'Business Case'!B12*$B914)-'Business Case'!B11*$C914*'Business Case'!B13*$D914-'Business Case'!B14*$E914)-MAX(0,(('Business Case'!B11*$C914*'Business Case'!B12*$B914)-'Business Case'!B11*$C914*'Business Case'!B13*$D914-'Business Case'!B14*$E914))*'Business Case'!$B$7-'Business Case'!$B$8*('Business Case'!B11*$C914*'Business Case'!B12*$B914)-'Business Case'!B15*$F914</f>
        <v>-1922426017.92591</v>
      </c>
      <c r="I914" s="39" t="n">
        <f aca="false">(('Business Case'!C11*$C914*'Business Case'!C12*$B914)-'Business Case'!C11*$C914*'Business Case'!C13*$D914-'Business Case'!C14*$E914)-MAX(0,(('Business Case'!C11*$C914*'Business Case'!C12*$B914)-'Business Case'!C11*$C914*'Business Case'!C13*$D914-'Business Case'!C14*$E914))*'Business Case'!$B$7-'Business Case'!$B$8*(('Business Case'!C11*$C914*'Business Case'!C12*$B914)-('Business Case'!B11*$C914*'Business Case'!B12*$B914))-'Business Case'!C15*$F914</f>
        <v>-18072233.4955066</v>
      </c>
      <c r="J914" s="39" t="n">
        <f aca="false">(('Business Case'!D11*$C914*'Business Case'!D12*$B914)-'Business Case'!D11*$C914*'Business Case'!D13*$D914-'Business Case'!D14*$E914)-MAX(0,(('Business Case'!D11*$C914*'Business Case'!D12*$B914)-'Business Case'!D11*$C914*'Business Case'!D13*$D914-'Business Case'!D14*$E914))*'Business Case'!$B$7-'Business Case'!$B$8*(('Business Case'!D11*$C914*'Business Case'!D12*$B914)-('Business Case'!C11*$C914*'Business Case'!C12*$B914))-'Business Case'!D15*$F914</f>
        <v>255296397.071588</v>
      </c>
      <c r="K914" s="39" t="n">
        <f aca="false">(('Business Case'!E11*$C914*'Business Case'!E12*$B914)-'Business Case'!E11*$C914*'Business Case'!E13*$D914-'Business Case'!E14*$E914)-MAX(0,(('Business Case'!E11*$C914*'Business Case'!E12*$B914)-'Business Case'!E11*$C914*'Business Case'!E13*$D914-'Business Case'!E14*$E914))*'Business Case'!$B$7-'Business Case'!$B$8*(('Business Case'!E11*$C914*'Business Case'!E12*$B914)-('Business Case'!D11*$C914*'Business Case'!D12*$B914))-'Business Case'!E15*$F914</f>
        <v>576725678.086831</v>
      </c>
      <c r="L914" s="39" t="n">
        <f aca="false">(('Business Case'!F11*$C914*'Business Case'!F12*$B914)-'Business Case'!F11*$C914*'Business Case'!F13*$D914-'Business Case'!F14*$E914)-MAX(0,(('Business Case'!F11*$C914*'Business Case'!F12*$B914)-'Business Case'!F11*$C914*'Business Case'!F13*$D914-'Business Case'!F14*$E914))*'Business Case'!$B$7-'Business Case'!$B$8*(('Business Case'!F11*$C914*'Business Case'!F12*$B914)-('Business Case'!E11*$C914*'Business Case'!E12*$B914))-'Business Case'!F15*$F914</f>
        <v>702484031.815426</v>
      </c>
      <c r="M914" s="39" t="n">
        <f aca="false">(('Business Case'!G11*$C914*'Business Case'!G12*$B914)-'Business Case'!G11*$C914*'Business Case'!G13*$D914-'Business Case'!G14*$E914)-MAX(0,(('Business Case'!G11*$C914*'Business Case'!G12*$B914)-'Business Case'!G11*$C914*'Business Case'!G13*$D914-'Business Case'!G14*$E914))*'Business Case'!$B$7-'Business Case'!$B$8*(('Business Case'!G11*$C914*'Business Case'!G12*$B914)-('Business Case'!F11*$C914*'Business Case'!F12*$B914))-'Business Case'!G15*$F914+'Business Case'!$B$8*('Business Case'!G11*$C914*'Business Case'!G12*$B914)</f>
        <v>892979154.61636</v>
      </c>
      <c r="N914" s="39" t="n">
        <f aca="false">IF(COUNT('Business Case'!B11:G11)=0,"",H914+NPV(G914,I914:M914))</f>
        <v>-292986663.262862</v>
      </c>
      <c r="P914" s="40" t="n">
        <f aca="true">RAND()</f>
        <v>0.0384295104601669</v>
      </c>
      <c r="Q914" s="40" t="n">
        <f aca="true">RAND()</f>
        <v>0.868948106041868</v>
      </c>
      <c r="R914" s="40" t="n">
        <f aca="true">RAND()</f>
        <v>0.419220367146485</v>
      </c>
      <c r="S914" s="40" t="n">
        <f aca="true">RAND()</f>
        <v>0.438210498767645</v>
      </c>
      <c r="T914" s="40" t="n">
        <f aca="true">RAND()</f>
        <v>0.0100585256002674</v>
      </c>
      <c r="U914" s="40" t="n">
        <f aca="true">RAND()</f>
        <v>0.659049114204456</v>
      </c>
    </row>
    <row r="915" customFormat="false" ht="15" hidden="false" customHeight="false" outlineLevel="0" collapsed="false">
      <c r="A915" s="36" t="n">
        <v>835</v>
      </c>
      <c r="B915" s="37" t="n">
        <f aca="false">1+IF($G$6=$E$6,$F$6,IF(P915&lt;($F$6-$E$6)/($G$6-$E$6),$E$6+SQRT(P915*($G$6-$E$6)*($F$6-$E$6)),$G$6-SQRT((1-P915)*($G$6-$E$6)*($G$6-$F$6))))</f>
        <v>1.00324484715308</v>
      </c>
      <c r="C915" s="37" t="n">
        <f aca="false">1+IF($G$7=$E$7,$F$7,IF(Q915&lt;($F$7-$E$7)/($G$7-$E$7),$E$7+SQRT(Q915*($G$7-$E$7)*($F$7-$E$7)),$G$7-SQRT((1-Q915)*($G$7-$E$7)*($G$7-$F$7))))</f>
        <v>0.872904028668155</v>
      </c>
      <c r="D915" s="37" t="n">
        <f aca="false">1+IF($G$8=$E$8,$F$8,IF(R915&lt;($F$8-$E$8)/($G$8-$E$8),$E$8+SQRT(R915*($G$8-$E$8)*($F$8-$E$8)),$G$8-SQRT((1-R915)*($G$8-$E$8)*($G$8-$F$8))))</f>
        <v>0.983403042056953</v>
      </c>
      <c r="E915" s="37" t="n">
        <f aca="false">1+IF($G$9=$E$9,$F$9,IF(S915&lt;($F$9-$E$9)/($G$9-$E$9),$E$9+SQRT(S915*($G$9-$E$9)*($F$9-$E$9)),$G$9-SQRT((1-S915)*($G$9-$E$9)*($G$9-$F$9))))</f>
        <v>1.02950184713552</v>
      </c>
      <c r="F915" s="37" t="n">
        <f aca="false">1+IF($G$10=$E$10,$F$10,IF(T915&lt;($F$10-$E$10)/($G$10-$E$10),$E$10+SQRT(T915*($G$10-$E$10)*($F$10-$E$10)),$G$10-SQRT((1-T915)*($G$10-$E$10)*($G$10-$F$10))))</f>
        <v>0.99857063138797</v>
      </c>
      <c r="G915" s="38" t="n">
        <f aca="false">IF($G$11=$E$11,$F$11,IF(U915&lt;($F$11-$E$11)/($G$11-$E$11),$E$11+SQRT(U915*($G$11-$E$11)*($F$11-$E$11)),$G$11-SQRT((1-U915)*($G$11-$E$11)*($G$11-$F$11))))</f>
        <v>0.109029741840964</v>
      </c>
      <c r="H915" s="39" t="n">
        <f aca="false">(('Business Case'!B11*$C915*'Business Case'!B12*$B915)-'Business Case'!B11*$C915*'Business Case'!B13*$D915-'Business Case'!B14*$E915)-MAX(0,(('Business Case'!B11*$C915*'Business Case'!B12*$B915)-'Business Case'!B11*$C915*'Business Case'!B13*$D915-'Business Case'!B14*$E915))*'Business Case'!$B$7-'Business Case'!$B$8*('Business Case'!B11*$C915*'Business Case'!B12*$B915)-'Business Case'!B15*$F915</f>
        <v>-1997141262.77594</v>
      </c>
      <c r="I915" s="39" t="n">
        <f aca="false">(('Business Case'!C11*$C915*'Business Case'!C12*$B915)-'Business Case'!C11*$C915*'Business Case'!C13*$D915-'Business Case'!C14*$E915)-MAX(0,(('Business Case'!C11*$C915*'Business Case'!C12*$B915)-'Business Case'!C11*$C915*'Business Case'!C13*$D915-'Business Case'!C14*$E915))*'Business Case'!$B$7-'Business Case'!$B$8*(('Business Case'!C11*$C915*'Business Case'!C12*$B915)-('Business Case'!B11*$C915*'Business Case'!B12*$B915))-'Business Case'!C15*$F915</f>
        <v>-13799746.3718138</v>
      </c>
      <c r="J915" s="39" t="n">
        <f aca="false">(('Business Case'!D11*$C915*'Business Case'!D12*$B915)-'Business Case'!D11*$C915*'Business Case'!D13*$D915-'Business Case'!D14*$E915)-MAX(0,(('Business Case'!D11*$C915*'Business Case'!D12*$B915)-'Business Case'!D11*$C915*'Business Case'!D13*$D915-'Business Case'!D14*$E915))*'Business Case'!$B$7-'Business Case'!$B$8*(('Business Case'!D11*$C915*'Business Case'!D12*$B915)-('Business Case'!C11*$C915*'Business Case'!C12*$B915))-'Business Case'!D15*$F915</f>
        <v>264050911.601494</v>
      </c>
      <c r="K915" s="39" t="n">
        <f aca="false">(('Business Case'!E11*$C915*'Business Case'!E12*$B915)-'Business Case'!E11*$C915*'Business Case'!E13*$D915-'Business Case'!E14*$E915)-MAX(0,(('Business Case'!E11*$C915*'Business Case'!E12*$B915)-'Business Case'!E11*$C915*'Business Case'!E13*$D915-'Business Case'!E14*$E915))*'Business Case'!$B$7-'Business Case'!$B$8*(('Business Case'!E11*$C915*'Business Case'!E12*$B915)-('Business Case'!D11*$C915*'Business Case'!D12*$B915))-'Business Case'!E15*$F915</f>
        <v>591830101.144201</v>
      </c>
      <c r="L915" s="39" t="n">
        <f aca="false">(('Business Case'!F11*$C915*'Business Case'!F12*$B915)-'Business Case'!F11*$C915*'Business Case'!F13*$D915-'Business Case'!F14*$E915)-MAX(0,(('Business Case'!F11*$C915*'Business Case'!F12*$B915)-'Business Case'!F11*$C915*'Business Case'!F13*$D915-'Business Case'!F14*$E915))*'Business Case'!$B$7-'Business Case'!$B$8*(('Business Case'!F11*$C915*'Business Case'!F12*$B915)-('Business Case'!E11*$C915*'Business Case'!E12*$B915))-'Business Case'!F15*$F915</f>
        <v>714712439.49774</v>
      </c>
      <c r="M915" s="39" t="n">
        <f aca="false">(('Business Case'!G11*$C915*'Business Case'!G12*$B915)-'Business Case'!G11*$C915*'Business Case'!G13*$D915-'Business Case'!G14*$E915)-MAX(0,(('Business Case'!G11*$C915*'Business Case'!G12*$B915)-'Business Case'!G11*$C915*'Business Case'!G13*$D915-'Business Case'!G14*$E915))*'Business Case'!$B$7-'Business Case'!$B$8*(('Business Case'!G11*$C915*'Business Case'!G12*$B915)-('Business Case'!F11*$C915*'Business Case'!F12*$B915))-'Business Case'!G15*$F915+'Business Case'!$B$8*('Business Case'!G11*$C915*'Business Case'!G12*$B915)</f>
        <v>881172427.49114</v>
      </c>
      <c r="N915" s="39" t="n">
        <f aca="false">IF(COUNT('Business Case'!B11:G11)=0,"",H915+NPV(G915,I915:M915))</f>
        <v>-363344306.295817</v>
      </c>
      <c r="P915" s="40" t="n">
        <f aca="true">RAND()</f>
        <v>0.71855390399997</v>
      </c>
      <c r="Q915" s="40" t="n">
        <f aca="true">RAND()</f>
        <v>0.075928534229245</v>
      </c>
      <c r="R915" s="40" t="n">
        <f aca="true">RAND()</f>
        <v>0.171655879793629</v>
      </c>
      <c r="S915" s="40" t="n">
        <f aca="true">RAND()</f>
        <v>0.668667362846397</v>
      </c>
      <c r="T915" s="40" t="n">
        <f aca="true">RAND()</f>
        <v>0.188728498674083</v>
      </c>
      <c r="U915" s="40" t="n">
        <f aca="true">RAND()</f>
        <v>0.799422393206829</v>
      </c>
    </row>
    <row r="916" customFormat="false" ht="15" hidden="false" customHeight="false" outlineLevel="0" collapsed="false">
      <c r="A916" s="36" t="n">
        <v>836</v>
      </c>
      <c r="B916" s="37" t="n">
        <f aca="false">1+IF($G$6=$E$6,$F$6,IF(P916&lt;($F$6-$E$6)/($G$6-$E$6),$E$6+SQRT(P916*($G$6-$E$6)*($F$6-$E$6)),$G$6-SQRT((1-P916)*($G$6-$E$6)*($G$6-$F$6))))</f>
        <v>0.987706639869516</v>
      </c>
      <c r="C916" s="37" t="n">
        <f aca="false">1+IF($G$7=$E$7,$F$7,IF(Q916&lt;($F$7-$E$7)/($G$7-$E$7),$E$7+SQRT(Q916*($G$7-$E$7)*($F$7-$E$7)),$G$7-SQRT((1-Q916)*($G$7-$E$7)*($G$7-$F$7))))</f>
        <v>1.00009160433412</v>
      </c>
      <c r="D916" s="37" t="n">
        <f aca="false">1+IF($G$8=$E$8,$F$8,IF(R916&lt;($F$8-$E$8)/($G$8-$E$8),$E$8+SQRT(R916*($G$8-$E$8)*($F$8-$E$8)),$G$8-SQRT((1-R916)*($G$8-$E$8)*($G$8-$F$8))))</f>
        <v>0.980187744098834</v>
      </c>
      <c r="E916" s="37" t="n">
        <f aca="false">1+IF($G$9=$E$9,$F$9,IF(S916&lt;($F$9-$E$9)/($G$9-$E$9),$E$9+SQRT(S916*($G$9-$E$9)*($F$9-$E$9)),$G$9-SQRT((1-S916)*($G$9-$E$9)*($G$9-$F$9))))</f>
        <v>1.06212683822271</v>
      </c>
      <c r="F916" s="37" t="n">
        <f aca="false">1+IF($G$10=$E$10,$F$10,IF(T916&lt;($F$10-$E$10)/($G$10-$E$10),$E$10+SQRT(T916*($G$10-$E$10)*($F$10-$E$10)),$G$10-SQRT((1-T916)*($G$10-$E$10)*($G$10-$F$10))))</f>
        <v>1.06013191027341</v>
      </c>
      <c r="G916" s="38" t="n">
        <f aca="false">IF($G$11=$E$11,$F$11,IF(U916&lt;($F$11-$E$11)/($G$11-$E$11),$E$11+SQRT(U916*($G$11-$E$11)*($F$11-$E$11)),$G$11-SQRT((1-U916)*($G$11-$E$11)*($G$11-$F$11))))</f>
        <v>0.110994996653139</v>
      </c>
      <c r="H916" s="39" t="n">
        <f aca="false">(('Business Case'!B11*$C916*'Business Case'!B12*$B916)-'Business Case'!B11*$C916*'Business Case'!B13*$D916-'Business Case'!B14*$E916)-MAX(0,(('Business Case'!B11*$C916*'Business Case'!B12*$B916)-'Business Case'!B11*$C916*'Business Case'!B13*$D916-'Business Case'!B14*$E916))*'Business Case'!$B$7-'Business Case'!$B$8*('Business Case'!B11*$C916*'Business Case'!B12*$B916)-'Business Case'!B15*$F916</f>
        <v>-2120263820.54681</v>
      </c>
      <c r="I916" s="39" t="n">
        <f aca="false">(('Business Case'!C11*$C916*'Business Case'!C12*$B916)-'Business Case'!C11*$C916*'Business Case'!C13*$D916-'Business Case'!C14*$E916)-MAX(0,(('Business Case'!C11*$C916*'Business Case'!C12*$B916)-'Business Case'!C11*$C916*'Business Case'!C13*$D916-'Business Case'!C14*$E916))*'Business Case'!$B$7-'Business Case'!$B$8*(('Business Case'!C11*$C916*'Business Case'!C12*$B916)-('Business Case'!B11*$C916*'Business Case'!B12*$B916))-'Business Case'!C15*$F916</f>
        <v>-1001743.897026</v>
      </c>
      <c r="J916" s="39" t="n">
        <f aca="false">(('Business Case'!D11*$C916*'Business Case'!D12*$B916)-'Business Case'!D11*$C916*'Business Case'!D13*$D916-'Business Case'!D14*$E916)-MAX(0,(('Business Case'!D11*$C916*'Business Case'!D12*$B916)-'Business Case'!D11*$C916*'Business Case'!D13*$D916-'Business Case'!D14*$E916))*'Business Case'!$B$7-'Business Case'!$B$8*(('Business Case'!D11*$C916*'Business Case'!D12*$B916)-('Business Case'!C11*$C916*'Business Case'!C12*$B916))-'Business Case'!D15*$F916</f>
        <v>306251542.229751</v>
      </c>
      <c r="K916" s="39" t="n">
        <f aca="false">(('Business Case'!E11*$C916*'Business Case'!E12*$B916)-'Business Case'!E11*$C916*'Business Case'!E13*$D916-'Business Case'!E14*$E916)-MAX(0,(('Business Case'!E11*$C916*'Business Case'!E12*$B916)-'Business Case'!E11*$C916*'Business Case'!E13*$D916-'Business Case'!E14*$E916))*'Business Case'!$B$7-'Business Case'!$B$8*(('Business Case'!E11*$C916*'Business Case'!E12*$B916)-('Business Case'!D11*$C916*'Business Case'!D12*$B916))-'Business Case'!E15*$F916</f>
        <v>666511423.870199</v>
      </c>
      <c r="L916" s="39" t="n">
        <f aca="false">(('Business Case'!F11*$C916*'Business Case'!F12*$B916)-'Business Case'!F11*$C916*'Business Case'!F13*$D916-'Business Case'!F14*$E916)-MAX(0,(('Business Case'!F11*$C916*'Business Case'!F12*$B916)-'Business Case'!F11*$C916*'Business Case'!F13*$D916-'Business Case'!F14*$E916))*'Business Case'!$B$7-'Business Case'!$B$8*(('Business Case'!F11*$C916*'Business Case'!F12*$B916)-('Business Case'!E11*$C916*'Business Case'!E12*$B916))-'Business Case'!F15*$F916</f>
        <v>803067454.313253</v>
      </c>
      <c r="M916" s="39" t="n">
        <f aca="false">(('Business Case'!G11*$C916*'Business Case'!G12*$B916)-'Business Case'!G11*$C916*'Business Case'!G13*$D916-'Business Case'!G14*$E916)-MAX(0,(('Business Case'!G11*$C916*'Business Case'!G12*$B916)-'Business Case'!G11*$C916*'Business Case'!G13*$D916-'Business Case'!G14*$E916))*'Business Case'!$B$7-'Business Case'!$B$8*(('Business Case'!G11*$C916*'Business Case'!G12*$B916)-('Business Case'!F11*$C916*'Business Case'!F12*$B916))-'Business Case'!G15*$F916+'Business Case'!$B$8*('Business Case'!G11*$C916*'Business Case'!G12*$B916)</f>
        <v>990827930.517628</v>
      </c>
      <c r="N916" s="39" t="n">
        <f aca="false">IF(COUNT('Business Case'!B11:G11)=0,"",H916+NPV(G916,I916:M916))</f>
        <v>-274518038.080498</v>
      </c>
      <c r="P916" s="40" t="n">
        <f aca="true">RAND()</f>
        <v>0.47751969608545</v>
      </c>
      <c r="Q916" s="40" t="n">
        <f aca="true">RAND()</f>
        <v>0.571951864931106</v>
      </c>
      <c r="R916" s="40" t="n">
        <f aca="true">RAND()</f>
        <v>0.140199983657951</v>
      </c>
      <c r="S916" s="40" t="n">
        <f aca="true">RAND()</f>
        <v>0.904374907799419</v>
      </c>
      <c r="T916" s="40" t="n">
        <f aca="true">RAND()</f>
        <v>0.608738349524665</v>
      </c>
      <c r="U916" s="40" t="n">
        <f aca="true">RAND()</f>
        <v>0.864849857871691</v>
      </c>
    </row>
    <row r="917" customFormat="false" ht="15" hidden="false" customHeight="false" outlineLevel="0" collapsed="false">
      <c r="A917" s="36" t="n">
        <v>837</v>
      </c>
      <c r="B917" s="37" t="n">
        <f aca="false">1+IF($G$6=$E$6,$F$6,IF(P917&lt;($F$6-$E$6)/($G$6-$E$6),$E$6+SQRT(P917*($G$6-$E$6)*($F$6-$E$6)),$G$6-SQRT((1-P917)*($G$6-$E$6)*($G$6-$F$6))))</f>
        <v>0.972659236942867</v>
      </c>
      <c r="C917" s="37" t="n">
        <f aca="false">1+IF($G$7=$E$7,$F$7,IF(Q917&lt;($F$7-$E$7)/($G$7-$E$7),$E$7+SQRT(Q917*($G$7-$E$7)*($F$7-$E$7)),$G$7-SQRT((1-Q917)*($G$7-$E$7)*($G$7-$F$7))))</f>
        <v>0.965471765769107</v>
      </c>
      <c r="D917" s="37" t="n">
        <f aca="false">1+IF($G$8=$E$8,$F$8,IF(R917&lt;($F$8-$E$8)/($G$8-$E$8),$E$8+SQRT(R917*($G$8-$E$8)*($F$8-$E$8)),$G$8-SQRT((1-R917)*($G$8-$E$8)*($G$8-$F$8))))</f>
        <v>1.03148233755782</v>
      </c>
      <c r="E917" s="37" t="n">
        <f aca="false">1+IF($G$9=$E$9,$F$9,IF(S917&lt;($F$9-$E$9)/($G$9-$E$9),$E$9+SQRT(S917*($G$9-$E$9)*($F$9-$E$9)),$G$9-SQRT((1-S917)*($G$9-$E$9)*($G$9-$F$9))))</f>
        <v>1.08546183117353</v>
      </c>
      <c r="F917" s="37" t="n">
        <f aca="false">1+IF($G$10=$E$10,$F$10,IF(T917&lt;($F$10-$E$10)/($G$10-$E$10),$E$10+SQRT(T917*($G$10-$E$10)*($F$10-$E$10)),$G$10-SQRT((1-T917)*($G$10-$E$10)*($G$10-$F$10))))</f>
        <v>1.09581171244076</v>
      </c>
      <c r="G917" s="38" t="n">
        <f aca="false">IF($G$11=$E$11,$F$11,IF(U917&lt;($F$11-$E$11)/($G$11-$E$11),$E$11+SQRT(U917*($G$11-$E$11)*($F$11-$E$11)),$G$11-SQRT((1-U917)*($G$11-$E$11)*($G$11-$F$11))))</f>
        <v>0.104822421317223</v>
      </c>
      <c r="H917" s="39" t="n">
        <f aca="false">(('Business Case'!B11*$C917*'Business Case'!B12*$B917)-'Business Case'!B11*$C917*'Business Case'!B13*$D917-'Business Case'!B14*$E917)-MAX(0,(('Business Case'!B11*$C917*'Business Case'!B12*$B917)-'Business Case'!B11*$C917*'Business Case'!B13*$D917-'Business Case'!B14*$E917))*'Business Case'!$B$7-'Business Case'!$B$8*('Business Case'!B11*$C917*'Business Case'!B12*$B917)-'Business Case'!B15*$F917</f>
        <v>-2191623424.88153</v>
      </c>
      <c r="I917" s="39" t="n">
        <f aca="false">(('Business Case'!C11*$C917*'Business Case'!C12*$B917)-'Business Case'!C11*$C917*'Business Case'!C13*$D917-'Business Case'!C14*$E917)-MAX(0,(('Business Case'!C11*$C917*'Business Case'!C12*$B917)-'Business Case'!C11*$C917*'Business Case'!C13*$D917-'Business Case'!C14*$E917))*'Business Case'!$B$7-'Business Case'!$B$8*(('Business Case'!C11*$C917*'Business Case'!C12*$B917)-('Business Case'!B11*$C917*'Business Case'!B12*$B917))-'Business Case'!C15*$F917</f>
        <v>-53249701.8864204</v>
      </c>
      <c r="J917" s="39" t="n">
        <f aca="false">(('Business Case'!D11*$C917*'Business Case'!D12*$B917)-'Business Case'!D11*$C917*'Business Case'!D13*$D917-'Business Case'!D14*$E917)-MAX(0,(('Business Case'!D11*$C917*'Business Case'!D12*$B917)-'Business Case'!D11*$C917*'Business Case'!D13*$D917-'Business Case'!D14*$E917))*'Business Case'!$B$7-'Business Case'!$B$8*(('Business Case'!D11*$C917*'Business Case'!D12*$B917)-('Business Case'!C11*$C917*'Business Case'!C12*$B917))-'Business Case'!D15*$F917</f>
        <v>206116089.470263</v>
      </c>
      <c r="K917" s="39" t="n">
        <f aca="false">(('Business Case'!E11*$C917*'Business Case'!E12*$B917)-'Business Case'!E11*$C917*'Business Case'!E13*$D917-'Business Case'!E14*$E917)-MAX(0,(('Business Case'!E11*$C917*'Business Case'!E12*$B917)-'Business Case'!E11*$C917*'Business Case'!E13*$D917-'Business Case'!E14*$E917))*'Business Case'!$B$7-'Business Case'!$B$8*(('Business Case'!E11*$C917*'Business Case'!E12*$B917)-('Business Case'!D11*$C917*'Business Case'!D12*$B917))-'Business Case'!E15*$F917</f>
        <v>520272466.448986</v>
      </c>
      <c r="L917" s="39" t="n">
        <f aca="false">(('Business Case'!F11*$C917*'Business Case'!F12*$B917)-'Business Case'!F11*$C917*'Business Case'!F13*$D917-'Business Case'!F14*$E917)-MAX(0,(('Business Case'!F11*$C917*'Business Case'!F12*$B917)-'Business Case'!F11*$C917*'Business Case'!F13*$D917-'Business Case'!F14*$E917))*'Business Case'!$B$7-'Business Case'!$B$8*(('Business Case'!F11*$C917*'Business Case'!F12*$B917)-('Business Case'!E11*$C917*'Business Case'!E12*$B917))-'Business Case'!F15*$F917</f>
        <v>639182163.305315</v>
      </c>
      <c r="M917" s="39" t="n">
        <f aca="false">(('Business Case'!G11*$C917*'Business Case'!G12*$B917)-'Business Case'!G11*$C917*'Business Case'!G13*$D917-'Business Case'!G14*$E917)-MAX(0,(('Business Case'!G11*$C917*'Business Case'!G12*$B917)-'Business Case'!G11*$C917*'Business Case'!G13*$D917-'Business Case'!G14*$E917))*'Business Case'!$B$7-'Business Case'!$B$8*(('Business Case'!G11*$C917*'Business Case'!G12*$B917)-('Business Case'!F11*$C917*'Business Case'!F12*$B917))-'Business Case'!G15*$F917+'Business Case'!$B$8*('Business Case'!G11*$C917*'Business Case'!G12*$B917)</f>
        <v>817681545.194537</v>
      </c>
      <c r="N917" s="39" t="n">
        <f aca="false">IF(COUNT('Business Case'!B11:G11)=0,"",H917+NPV(G917,I917:M917))</f>
        <v>-759439638.884909</v>
      </c>
      <c r="P917" s="40" t="n">
        <f aca="true">RAND()</f>
        <v>0.288853670354688</v>
      </c>
      <c r="Q917" s="40" t="n">
        <f aca="true">RAND()</f>
        <v>0.391155789524947</v>
      </c>
      <c r="R917" s="40" t="n">
        <f aca="true">RAND()</f>
        <v>0.773657349148691</v>
      </c>
      <c r="S917" s="40" t="n">
        <f aca="true">RAND()</f>
        <v>0.985909443144875</v>
      </c>
      <c r="T917" s="40" t="n">
        <f aca="true">RAND()</f>
        <v>0.782896014709482</v>
      </c>
      <c r="U917" s="40" t="n">
        <f aca="true">RAND()</f>
        <v>0.616068508880194</v>
      </c>
    </row>
    <row r="918" customFormat="false" ht="15" hidden="false" customHeight="false" outlineLevel="0" collapsed="false">
      <c r="A918" s="36" t="n">
        <v>838</v>
      </c>
      <c r="B918" s="37" t="n">
        <f aca="false">1+IF($G$6=$E$6,$F$6,IF(P918&lt;($F$6-$E$6)/($G$6-$E$6),$E$6+SQRT(P918*($G$6-$E$6)*($F$6-$E$6)),$G$6-SQRT((1-P918)*($G$6-$E$6)*($G$6-$F$6))))</f>
        <v>0.954942043012599</v>
      </c>
      <c r="C918" s="37" t="n">
        <f aca="false">1+IF($G$7=$E$7,$F$7,IF(Q918&lt;($F$7-$E$7)/($G$7-$E$7),$E$7+SQRT(Q918*($G$7-$E$7)*($F$7-$E$7)),$G$7-SQRT((1-Q918)*($G$7-$E$7)*($G$7-$F$7))))</f>
        <v>0.951598399873629</v>
      </c>
      <c r="D918" s="37" t="n">
        <f aca="false">1+IF($G$8=$E$8,$F$8,IF(R918&lt;($F$8-$E$8)/($G$8-$E$8),$E$8+SQRT(R918*($G$8-$E$8)*($F$8-$E$8)),$G$8-SQRT((1-R918)*($G$8-$E$8)*($G$8-$F$8))))</f>
        <v>1.04697479902025</v>
      </c>
      <c r="E918" s="37" t="n">
        <f aca="false">1+IF($G$9=$E$9,$F$9,IF(S918&lt;($F$9-$E$9)/($G$9-$E$9),$E$9+SQRT(S918*($G$9-$E$9)*($F$9-$E$9)),$G$9-SQRT((1-S918)*($G$9-$E$9)*($G$9-$F$9))))</f>
        <v>1.03430883533171</v>
      </c>
      <c r="F918" s="37" t="n">
        <f aca="false">1+IF($G$10=$E$10,$F$10,IF(T918&lt;($F$10-$E$10)/($G$10-$E$10),$E$10+SQRT(T918*($G$10-$E$10)*($F$10-$E$10)),$G$10-SQRT((1-T918)*($G$10-$E$10)*($G$10-$F$10))))</f>
        <v>1.0860586400832</v>
      </c>
      <c r="G918" s="38" t="n">
        <f aca="false">IF($G$11=$E$11,$F$11,IF(U918&lt;($F$11-$E$11)/($G$11-$E$11),$E$11+SQRT(U918*($G$11-$E$11)*($F$11-$E$11)),$G$11-SQRT((1-U918)*($G$11-$E$11)*($G$11-$F$11))))</f>
        <v>0.114403021355751</v>
      </c>
      <c r="H918" s="39" t="n">
        <f aca="false">(('Business Case'!B11*$C918*'Business Case'!B12*$B918)-'Business Case'!B11*$C918*'Business Case'!B13*$D918-'Business Case'!B14*$E918)-MAX(0,(('Business Case'!B11*$C918*'Business Case'!B12*$B918)-'Business Case'!B11*$C918*'Business Case'!B13*$D918-'Business Case'!B14*$E918))*'Business Case'!$B$7-'Business Case'!$B$8*('Business Case'!B11*$C918*'Business Case'!B12*$B918)-'Business Case'!B15*$F918</f>
        <v>-2172117280.16641</v>
      </c>
      <c r="I918" s="39" t="n">
        <f aca="false">(('Business Case'!C11*$C918*'Business Case'!C12*$B918)-'Business Case'!C11*$C918*'Business Case'!C13*$D918-'Business Case'!C14*$E918)-MAX(0,(('Business Case'!C11*$C918*'Business Case'!C12*$B918)-'Business Case'!C11*$C918*'Business Case'!C13*$D918-'Business Case'!C14*$E918))*'Business Case'!$B$7-'Business Case'!$B$8*(('Business Case'!C11*$C918*'Business Case'!C12*$B918)-('Business Case'!B11*$C918*'Business Case'!B12*$B918))-'Business Case'!C15*$F918</f>
        <v>-68510166.8131781</v>
      </c>
      <c r="J918" s="39" t="n">
        <f aca="false">(('Business Case'!D11*$C918*'Business Case'!D12*$B918)-'Business Case'!D11*$C918*'Business Case'!D13*$D918-'Business Case'!D14*$E918)-MAX(0,(('Business Case'!D11*$C918*'Business Case'!D12*$B918)-'Business Case'!D11*$C918*'Business Case'!D13*$D918-'Business Case'!D14*$E918))*'Business Case'!$B$7-'Business Case'!$B$8*(('Business Case'!D11*$C918*'Business Case'!D12*$B918)-('Business Case'!C11*$C918*'Business Case'!C12*$B918))-'Business Case'!D15*$F918</f>
        <v>165772360.000265</v>
      </c>
      <c r="K918" s="39" t="n">
        <f aca="false">(('Business Case'!E11*$C918*'Business Case'!E12*$B918)-'Business Case'!E11*$C918*'Business Case'!E13*$D918-'Business Case'!E14*$E918)-MAX(0,(('Business Case'!E11*$C918*'Business Case'!E12*$B918)-'Business Case'!E11*$C918*'Business Case'!E13*$D918-'Business Case'!E14*$E918))*'Business Case'!$B$7-'Business Case'!$B$8*(('Business Case'!E11*$C918*'Business Case'!E12*$B918)-('Business Case'!D11*$C918*'Business Case'!D12*$B918))-'Business Case'!E15*$F918</f>
        <v>454357818.817869</v>
      </c>
      <c r="L918" s="39" t="n">
        <f aca="false">(('Business Case'!F11*$C918*'Business Case'!F12*$B918)-'Business Case'!F11*$C918*'Business Case'!F13*$D918-'Business Case'!F14*$E918)-MAX(0,(('Business Case'!F11*$C918*'Business Case'!F12*$B918)-'Business Case'!F11*$C918*'Business Case'!F13*$D918-'Business Case'!F14*$E918))*'Business Case'!$B$7-'Business Case'!$B$8*(('Business Case'!F11*$C918*'Business Case'!F12*$B918)-('Business Case'!E11*$C918*'Business Case'!E12*$B918))-'Business Case'!F15*$F918</f>
        <v>563857403.245104</v>
      </c>
      <c r="M918" s="39" t="n">
        <f aca="false">(('Business Case'!G11*$C918*'Business Case'!G12*$B918)-'Business Case'!G11*$C918*'Business Case'!G13*$D918-'Business Case'!G14*$E918)-MAX(0,(('Business Case'!G11*$C918*'Business Case'!G12*$B918)-'Business Case'!G11*$C918*'Business Case'!G13*$D918-'Business Case'!G14*$E918))*'Business Case'!$B$7-'Business Case'!$B$8*(('Business Case'!G11*$C918*'Business Case'!G12*$B918)-('Business Case'!F11*$C918*'Business Case'!F12*$B918))-'Business Case'!G15*$F918+'Business Case'!$B$8*('Business Case'!G11*$C918*'Business Case'!G12*$B918)</f>
        <v>736587151.770252</v>
      </c>
      <c r="N918" s="39" t="n">
        <f aca="false">IF(COUNT('Business Case'!B11:G11)=0,"",H918+NPV(G918,I918:M918))</f>
        <v>-977654571.133952</v>
      </c>
      <c r="P918" s="40" t="n">
        <f aca="true">RAND()</f>
        <v>0.12718191353066</v>
      </c>
      <c r="Q918" s="40" t="n">
        <f aca="true">RAND()</f>
        <v>0.328315354917782</v>
      </c>
      <c r="R918" s="40" t="n">
        <f aca="true">RAND()</f>
        <v>0.8951284711776</v>
      </c>
      <c r="S918" s="40" t="n">
        <f aca="true">RAND()</f>
        <v>0.712311392301593</v>
      </c>
      <c r="T918" s="40" t="n">
        <f aca="true">RAND()</f>
        <v>0.740347330006217</v>
      </c>
      <c r="U918" s="40" t="n">
        <f aca="true">RAND()</f>
        <v>0.947789716759699</v>
      </c>
    </row>
    <row r="919" customFormat="false" ht="15" hidden="false" customHeight="false" outlineLevel="0" collapsed="false">
      <c r="A919" s="36" t="n">
        <v>839</v>
      </c>
      <c r="B919" s="37" t="n">
        <f aca="false">1+IF($G$6=$E$6,$F$6,IF(P919&lt;($F$6-$E$6)/($G$6-$E$6),$E$6+SQRT(P919*($G$6-$E$6)*($F$6-$E$6)),$G$6-SQRT((1-P919)*($G$6-$E$6)*($G$6-$F$6))))</f>
        <v>0.99082366520231</v>
      </c>
      <c r="C919" s="37" t="n">
        <f aca="false">1+IF($G$7=$E$7,$F$7,IF(Q919&lt;($F$7-$E$7)/($G$7-$E$7),$E$7+SQRT(Q919*($G$7-$E$7)*($F$7-$E$7)),$G$7-SQRT((1-Q919)*($G$7-$E$7)*($G$7-$F$7))))</f>
        <v>0.996874837565171</v>
      </c>
      <c r="D919" s="37" t="n">
        <f aca="false">1+IF($G$8=$E$8,$F$8,IF(R919&lt;($F$8-$E$8)/($G$8-$E$8),$E$8+SQRT(R919*($G$8-$E$8)*($F$8-$E$8)),$G$8-SQRT((1-R919)*($G$8-$E$8)*($G$8-$F$8))))</f>
        <v>1.04610251386998</v>
      </c>
      <c r="E919" s="37" t="n">
        <f aca="false">1+IF($G$9=$E$9,$F$9,IF(S919&lt;($F$9-$E$9)/($G$9-$E$9),$E$9+SQRT(S919*($G$9-$E$9)*($F$9-$E$9)),$G$9-SQRT((1-S919)*($G$9-$E$9)*($G$9-$F$9))))</f>
        <v>1.00204536359422</v>
      </c>
      <c r="F919" s="37" t="n">
        <f aca="false">1+IF($G$10=$E$10,$F$10,IF(T919&lt;($F$10-$E$10)/($G$10-$E$10),$E$10+SQRT(T919*($G$10-$E$10)*($F$10-$E$10)),$G$10-SQRT((1-T919)*($G$10-$E$10)*($G$10-$F$10))))</f>
        <v>0.977801616803057</v>
      </c>
      <c r="G919" s="38" t="n">
        <f aca="false">IF($G$11=$E$11,$F$11,IF(U919&lt;($F$11-$E$11)/($G$11-$E$11),$E$11+SQRT(U919*($G$11-$E$11)*($F$11-$E$11)),$G$11-SQRT((1-U919)*($G$11-$E$11)*($G$11-$F$11))))</f>
        <v>0.0970828611372919</v>
      </c>
      <c r="H919" s="39" t="n">
        <f aca="false">(('Business Case'!B11*$C919*'Business Case'!B12*$B919)-'Business Case'!B11*$C919*'Business Case'!B13*$D919-'Business Case'!B14*$E919)-MAX(0,(('Business Case'!B11*$C919*'Business Case'!B12*$B919)-'Business Case'!B11*$C919*'Business Case'!B13*$D919-'Business Case'!B14*$E919))*'Business Case'!$B$7-'Business Case'!$B$8*('Business Case'!B11*$C919*'Business Case'!B12*$B919)-'Business Case'!B15*$F919</f>
        <v>-1955603233.60611</v>
      </c>
      <c r="I919" s="39" t="n">
        <f aca="false">(('Business Case'!C11*$C919*'Business Case'!C12*$B919)-'Business Case'!C11*$C919*'Business Case'!C13*$D919-'Business Case'!C14*$E919)-MAX(0,(('Business Case'!C11*$C919*'Business Case'!C12*$B919)-'Business Case'!C11*$C919*'Business Case'!C13*$D919-'Business Case'!C14*$E919))*'Business Case'!$B$7-'Business Case'!$B$8*(('Business Case'!C11*$C919*'Business Case'!C12*$B919)-('Business Case'!B11*$C919*'Business Case'!B12*$B919))-'Business Case'!C15*$F919</f>
        <v>-16302321.8007192</v>
      </c>
      <c r="J919" s="39" t="n">
        <f aca="false">(('Business Case'!D11*$C919*'Business Case'!D12*$B919)-'Business Case'!D11*$C919*'Business Case'!D13*$D919-'Business Case'!D14*$E919)-MAX(0,(('Business Case'!D11*$C919*'Business Case'!D12*$B919)-'Business Case'!D11*$C919*'Business Case'!D13*$D919-'Business Case'!D14*$E919))*'Business Case'!$B$7-'Business Case'!$B$8*(('Business Case'!D11*$C919*'Business Case'!D12*$B919)-('Business Case'!C11*$C919*'Business Case'!C12*$B919))-'Business Case'!D15*$F919</f>
        <v>258870145.808939</v>
      </c>
      <c r="K919" s="39" t="n">
        <f aca="false">(('Business Case'!E11*$C919*'Business Case'!E12*$B919)-'Business Case'!E11*$C919*'Business Case'!E13*$D919-'Business Case'!E14*$E919)-MAX(0,(('Business Case'!E11*$C919*'Business Case'!E12*$B919)-'Business Case'!E11*$C919*'Business Case'!E13*$D919-'Business Case'!E14*$E919))*'Business Case'!$B$7-'Business Case'!$B$8*(('Business Case'!E11*$C919*'Business Case'!E12*$B919)-('Business Case'!D11*$C919*'Business Case'!D12*$B919))-'Business Case'!E15*$F919</f>
        <v>582932694.258749</v>
      </c>
      <c r="L919" s="39" t="n">
        <f aca="false">(('Business Case'!F11*$C919*'Business Case'!F12*$B919)-'Business Case'!F11*$C919*'Business Case'!F13*$D919-'Business Case'!F14*$E919)-MAX(0,(('Business Case'!F11*$C919*'Business Case'!F12*$B919)-'Business Case'!F11*$C919*'Business Case'!F13*$D919-'Business Case'!F14*$E919))*'Business Case'!$B$7-'Business Case'!$B$8*(('Business Case'!F11*$C919*'Business Case'!F12*$B919)-('Business Case'!E11*$C919*'Business Case'!E12*$B919))-'Business Case'!F15*$F919</f>
        <v>708792701.47995</v>
      </c>
      <c r="M919" s="39" t="n">
        <f aca="false">(('Business Case'!G11*$C919*'Business Case'!G12*$B919)-'Business Case'!G11*$C919*'Business Case'!G13*$D919-'Business Case'!G14*$E919)-MAX(0,(('Business Case'!G11*$C919*'Business Case'!G12*$B919)-'Business Case'!G11*$C919*'Business Case'!G13*$D919-'Business Case'!G14*$E919))*'Business Case'!$B$7-'Business Case'!$B$8*(('Business Case'!G11*$C919*'Business Case'!G12*$B919)-('Business Case'!F11*$C919*'Business Case'!F12*$B919))-'Business Case'!G15*$F919+'Business Case'!$B$8*('Business Case'!G11*$C919*'Business Case'!G12*$B919)</f>
        <v>896539883.912188</v>
      </c>
      <c r="N919" s="39" t="n">
        <f aca="false">IF(COUNT('Business Case'!B11:G11)=0,"",H919+NPV(G919,I919:M919))</f>
        <v>-260506682.316658</v>
      </c>
      <c r="P919" s="40" t="n">
        <f aca="true">RAND()</f>
        <v>0.522499120071754</v>
      </c>
      <c r="Q919" s="40" t="n">
        <f aca="true">RAND()</f>
        <v>0.553710023804461</v>
      </c>
      <c r="R919" s="40" t="n">
        <f aca="true">RAND()</f>
        <v>0.889515426352438</v>
      </c>
      <c r="S919" s="40" t="n">
        <f aca="true">RAND()</f>
        <v>0.36032594710737</v>
      </c>
      <c r="T919" s="40" t="n">
        <f aca="true">RAND()</f>
        <v>0.06183439174912</v>
      </c>
      <c r="U919" s="40" t="n">
        <f aca="true">RAND()</f>
        <v>0.167223072967201</v>
      </c>
    </row>
    <row r="920" customFormat="false" ht="15" hidden="false" customHeight="false" outlineLevel="0" collapsed="false">
      <c r="A920" s="36" t="n">
        <v>840</v>
      </c>
      <c r="B920" s="37" t="n">
        <f aca="false">1+IF($G$6=$E$6,$F$6,IF(P920&lt;($F$6-$E$6)/($G$6-$E$6),$E$6+SQRT(P920*($G$6-$E$6)*($F$6-$E$6)),$G$6-SQRT((1-P920)*($G$6-$E$6)*($G$6-$F$6))))</f>
        <v>0.987035802784859</v>
      </c>
      <c r="C920" s="37" t="n">
        <f aca="false">1+IF($G$7=$E$7,$F$7,IF(Q920&lt;($F$7-$E$7)/($G$7-$E$7),$E$7+SQRT(Q920*($G$7-$E$7)*($F$7-$E$7)),$G$7-SQRT((1-Q920)*($G$7-$E$7)*($G$7-$F$7))))</f>
        <v>1.0657820772905</v>
      </c>
      <c r="D920" s="37" t="n">
        <f aca="false">1+IF($G$8=$E$8,$F$8,IF(R920&lt;($F$8-$E$8)/($G$8-$E$8),$E$8+SQRT(R920*($G$8-$E$8)*($F$8-$E$8)),$G$8-SQRT((1-R920)*($G$8-$E$8)*($G$8-$F$8))))</f>
        <v>1.01165459680017</v>
      </c>
      <c r="E920" s="37" t="n">
        <f aca="false">1+IF($G$9=$E$9,$F$9,IF(S920&lt;($F$9-$E$9)/($G$9-$E$9),$E$9+SQRT(S920*($G$9-$E$9)*($F$9-$E$9)),$G$9-SQRT((1-S920)*($G$9-$E$9)*($G$9-$F$9))))</f>
        <v>1.06116028900012</v>
      </c>
      <c r="F920" s="37" t="n">
        <f aca="false">1+IF($G$10=$E$10,$F$10,IF(T920&lt;($F$10-$E$10)/($G$10-$E$10),$E$10+SQRT(T920*($G$10-$E$10)*($F$10-$E$10)),$G$10-SQRT((1-T920)*($G$10-$E$10)*($G$10-$F$10))))</f>
        <v>0.998353259928192</v>
      </c>
      <c r="G920" s="38" t="n">
        <f aca="false">IF($G$11=$E$11,$F$11,IF(U920&lt;($F$11-$E$11)/($G$11-$E$11),$E$11+SQRT(U920*($G$11-$E$11)*($F$11-$E$11)),$G$11-SQRT((1-U920)*($G$11-$E$11)*($G$11-$F$11))))</f>
        <v>0.100298119490592</v>
      </c>
      <c r="H920" s="39" t="n">
        <f aca="false">(('Business Case'!B11*$C920*'Business Case'!B12*$B920)-'Business Case'!B11*$C920*'Business Case'!B13*$D920-'Business Case'!B14*$E920)-MAX(0,(('Business Case'!B11*$C920*'Business Case'!B12*$B920)-'Business Case'!B11*$C920*'Business Case'!B13*$D920-'Business Case'!B14*$E920))*'Business Case'!$B$7-'Business Case'!$B$8*('Business Case'!B11*$C920*'Business Case'!B12*$B920)-'Business Case'!B15*$F920</f>
        <v>-1996706519.85638</v>
      </c>
      <c r="I920" s="39" t="n">
        <f aca="false">(('Business Case'!C11*$C920*'Business Case'!C12*$B920)-'Business Case'!C11*$C920*'Business Case'!C13*$D920-'Business Case'!C14*$E920)-MAX(0,(('Business Case'!C11*$C920*'Business Case'!C12*$B920)-'Business Case'!C11*$C920*'Business Case'!C13*$D920-'Business Case'!C14*$E920))*'Business Case'!$B$7-'Business Case'!$B$8*(('Business Case'!C11*$C920*'Business Case'!C12*$B920)-('Business Case'!B11*$C920*'Business Case'!B12*$B920))-'Business Case'!C15*$F920</f>
        <v>4415091.53238371</v>
      </c>
      <c r="J920" s="39" t="n">
        <f aca="false">(('Business Case'!D11*$C920*'Business Case'!D12*$B920)-'Business Case'!D11*$C920*'Business Case'!D13*$D920-'Business Case'!D14*$E920)-MAX(0,(('Business Case'!D11*$C920*'Business Case'!D12*$B920)-'Business Case'!D11*$C920*'Business Case'!D13*$D920-'Business Case'!D14*$E920))*'Business Case'!$B$7-'Business Case'!$B$8*(('Business Case'!D11*$C920*'Business Case'!D12*$B920)-('Business Case'!C11*$C920*'Business Case'!C12*$B920))-'Business Case'!D15*$F920</f>
        <v>314096371.291595</v>
      </c>
      <c r="K920" s="39" t="n">
        <f aca="false">(('Business Case'!E11*$C920*'Business Case'!E12*$B920)-'Business Case'!E11*$C920*'Business Case'!E13*$D920-'Business Case'!E14*$E920)-MAX(0,(('Business Case'!E11*$C920*'Business Case'!E12*$B920)-'Business Case'!E11*$C920*'Business Case'!E13*$D920-'Business Case'!E14*$E920))*'Business Case'!$B$7-'Business Case'!$B$8*(('Business Case'!E11*$C920*'Business Case'!E12*$B920)-('Business Case'!D11*$C920*'Business Case'!D12*$B920))-'Business Case'!E15*$F920</f>
        <v>673695314.047216</v>
      </c>
      <c r="L920" s="39" t="n">
        <f aca="false">(('Business Case'!F11*$C920*'Business Case'!F12*$B920)-'Business Case'!F11*$C920*'Business Case'!F13*$D920-'Business Case'!F14*$E920)-MAX(0,(('Business Case'!F11*$C920*'Business Case'!F12*$B920)-'Business Case'!F11*$C920*'Business Case'!F13*$D920-'Business Case'!F14*$E920))*'Business Case'!$B$7-'Business Case'!$B$8*(('Business Case'!F11*$C920*'Business Case'!F12*$B920)-('Business Case'!E11*$C920*'Business Case'!E12*$B920))-'Business Case'!F15*$F920</f>
        <v>813278320.05908</v>
      </c>
      <c r="M920" s="39" t="n">
        <f aca="false">(('Business Case'!G11*$C920*'Business Case'!G12*$B920)-'Business Case'!G11*$C920*'Business Case'!G13*$D920-'Business Case'!G14*$E920)-MAX(0,(('Business Case'!G11*$C920*'Business Case'!G12*$B920)-'Business Case'!G11*$C920*'Business Case'!G13*$D920-'Business Case'!G14*$E920))*'Business Case'!$B$7-'Business Case'!$B$8*(('Business Case'!G11*$C920*'Business Case'!G12*$B920)-('Business Case'!F11*$C920*'Business Case'!F12*$B920))-'Business Case'!G15*$F920+'Business Case'!$B$8*('Business Case'!G11*$C920*'Business Case'!G12*$B920)</f>
        <v>1013235840.23245</v>
      </c>
      <c r="N920" s="39" t="n">
        <f aca="false">IF(COUNT('Business Case'!B11:G11)=0,"",H920+NPV(G920,I920:M920))</f>
        <v>-44338650.5901945</v>
      </c>
      <c r="P920" s="40" t="n">
        <f aca="true">RAND()</f>
        <v>0.46810404739693</v>
      </c>
      <c r="Q920" s="40" t="n">
        <f aca="true">RAND()</f>
        <v>0.864901742752311</v>
      </c>
      <c r="R920" s="40" t="n">
        <f aca="true">RAND()</f>
        <v>0.550856332831981</v>
      </c>
      <c r="S920" s="40" t="n">
        <f aca="true">RAND()</f>
        <v>0.899431789963067</v>
      </c>
      <c r="T920" s="40" t="n">
        <f aca="true">RAND()</f>
        <v>0.187043019654664</v>
      </c>
      <c r="U920" s="40" t="n">
        <f aca="true">RAND()</f>
        <v>0.35305984065504</v>
      </c>
    </row>
    <row r="921" customFormat="false" ht="15" hidden="false" customHeight="false" outlineLevel="0" collapsed="false">
      <c r="A921" s="36" t="n">
        <v>841</v>
      </c>
      <c r="B921" s="37" t="n">
        <f aca="false">1+IF($G$6=$E$6,$F$6,IF(P921&lt;($F$6-$E$6)/($G$6-$E$6),$E$6+SQRT(P921*($G$6-$E$6)*($F$6-$E$6)),$G$6-SQRT((1-P921)*($G$6-$E$6)*($G$6-$F$6))))</f>
        <v>0.995079826530268</v>
      </c>
      <c r="C921" s="37" t="n">
        <f aca="false">1+IF($G$7=$E$7,$F$7,IF(Q921&lt;($F$7-$E$7)/($G$7-$E$7),$E$7+SQRT(Q921*($G$7-$E$7)*($F$7-$E$7)),$G$7-SQRT((1-Q921)*($G$7-$E$7)*($G$7-$F$7))))</f>
        <v>0.986394080114611</v>
      </c>
      <c r="D921" s="37" t="n">
        <f aca="false">1+IF($G$8=$E$8,$F$8,IF(R921&lt;($F$8-$E$8)/($G$8-$E$8),$E$8+SQRT(R921*($G$8-$E$8)*($F$8-$E$8)),$G$8-SQRT((1-R921)*($G$8-$E$8)*($G$8-$F$8))))</f>
        <v>0.991372742068444</v>
      </c>
      <c r="E921" s="37" t="n">
        <f aca="false">1+IF($G$9=$E$9,$F$9,IF(S921&lt;($F$9-$E$9)/($G$9-$E$9),$E$9+SQRT(S921*($G$9-$E$9)*($F$9-$E$9)),$G$9-SQRT((1-S921)*($G$9-$E$9)*($G$9-$F$9))))</f>
        <v>0.994086733896498</v>
      </c>
      <c r="F921" s="37" t="n">
        <f aca="false">1+IF($G$10=$E$10,$F$10,IF(T921&lt;($F$10-$E$10)/($G$10-$E$10),$E$10+SQRT(T921*($G$10-$E$10)*($F$10-$E$10)),$G$10-SQRT((1-T921)*($G$10-$E$10)*($G$10-$F$10))))</f>
        <v>0.964116579013329</v>
      </c>
      <c r="G921" s="38" t="n">
        <f aca="false">IF($G$11=$E$11,$F$11,IF(U921&lt;($F$11-$E$11)/($G$11-$E$11),$E$11+SQRT(U921*($G$11-$E$11)*($F$11-$E$11)),$G$11-SQRT((1-U921)*($G$11-$E$11)*($G$11-$F$11))))</f>
        <v>0.0976371975336385</v>
      </c>
      <c r="H921" s="39" t="n">
        <f aca="false">(('Business Case'!B11*$C921*'Business Case'!B12*$B921)-'Business Case'!B11*$C921*'Business Case'!B13*$D921-'Business Case'!B14*$E921)-MAX(0,(('Business Case'!B11*$C921*'Business Case'!B12*$B921)-'Business Case'!B11*$C921*'Business Case'!B13*$D921-'Business Case'!B14*$E921))*'Business Case'!$B$7-'Business Case'!$B$8*('Business Case'!B11*$C921*'Business Case'!B12*$B921)-'Business Case'!B15*$F921</f>
        <v>-1928233158.02666</v>
      </c>
      <c r="I921" s="39" t="n">
        <f aca="false">(('Business Case'!C11*$C921*'Business Case'!C12*$B921)-'Business Case'!C11*$C921*'Business Case'!C13*$D921-'Business Case'!C14*$E921)-MAX(0,(('Business Case'!C11*$C921*'Business Case'!C12*$B921)-'Business Case'!C11*$C921*'Business Case'!C13*$D921-'Business Case'!C14*$E921))*'Business Case'!$B$7-'Business Case'!$B$8*(('Business Case'!C11*$C921*'Business Case'!C12*$B921)-('Business Case'!B11*$C921*'Business Case'!B12*$B921))-'Business Case'!C15*$F921</f>
        <v>14700276.3733449</v>
      </c>
      <c r="J921" s="39" t="n">
        <f aca="false">(('Business Case'!D11*$C921*'Business Case'!D12*$B921)-'Business Case'!D11*$C921*'Business Case'!D13*$D921-'Business Case'!D14*$E921)-MAX(0,(('Business Case'!D11*$C921*'Business Case'!D12*$B921)-'Business Case'!D11*$C921*'Business Case'!D13*$D921-'Business Case'!D14*$E921))*'Business Case'!$B$7-'Business Case'!$B$8*(('Business Case'!D11*$C921*'Business Case'!D12*$B921)-('Business Case'!C11*$C921*'Business Case'!C12*$B921))-'Business Case'!D15*$F921</f>
        <v>318054421.878892</v>
      </c>
      <c r="K921" s="39" t="n">
        <f aca="false">(('Business Case'!E11*$C921*'Business Case'!E12*$B921)-'Business Case'!E11*$C921*'Business Case'!E13*$D921-'Business Case'!E14*$E921)-MAX(0,(('Business Case'!E11*$C921*'Business Case'!E12*$B921)-'Business Case'!E11*$C921*'Business Case'!E13*$D921-'Business Case'!E14*$E921))*'Business Case'!$B$7-'Business Case'!$B$8*(('Business Case'!E11*$C921*'Business Case'!E12*$B921)-('Business Case'!D11*$C921*'Business Case'!D12*$B921))-'Business Case'!E15*$F921</f>
        <v>669614396.335106</v>
      </c>
      <c r="L921" s="39" t="n">
        <f aca="false">(('Business Case'!F11*$C921*'Business Case'!F12*$B921)-'Business Case'!F11*$C921*'Business Case'!F13*$D921-'Business Case'!F14*$E921)-MAX(0,(('Business Case'!F11*$C921*'Business Case'!F12*$B921)-'Business Case'!F11*$C921*'Business Case'!F13*$D921-'Business Case'!F14*$E921))*'Business Case'!$B$7-'Business Case'!$B$8*(('Business Case'!F11*$C921*'Business Case'!F12*$B921)-('Business Case'!E11*$C921*'Business Case'!E12*$B921))-'Business Case'!F15*$F921</f>
        <v>804654496.61748</v>
      </c>
      <c r="M921" s="39" t="n">
        <f aca="false">(('Business Case'!G11*$C921*'Business Case'!G12*$B921)-'Business Case'!G11*$C921*'Business Case'!G13*$D921-'Business Case'!G14*$E921)-MAX(0,(('Business Case'!G11*$C921*'Business Case'!G12*$B921)-'Business Case'!G11*$C921*'Business Case'!G13*$D921-'Business Case'!G14*$E921))*'Business Case'!$B$7-'Business Case'!$B$8*(('Business Case'!G11*$C921*'Business Case'!G12*$B921)-('Business Case'!F11*$C921*'Business Case'!F12*$B921))-'Business Case'!G15*$F921+'Business Case'!$B$8*('Business Case'!G11*$C921*'Business Case'!G12*$B921)</f>
        <v>991225781.410367</v>
      </c>
      <c r="N921" s="39" t="n">
        <f aca="false">IF(COUNT('Business Case'!B11:G11)=0,"",H921+NPV(G921,I921:M921))</f>
        <v>31957992.5410454</v>
      </c>
      <c r="P921" s="40" t="n">
        <f aca="true">RAND()</f>
        <v>0.587185453314072</v>
      </c>
      <c r="Q921" s="40" t="n">
        <f aca="true">RAND()</f>
        <v>0.496325044311027</v>
      </c>
      <c r="R921" s="40" t="n">
        <f aca="true">RAND()</f>
        <v>0.263339044040312</v>
      </c>
      <c r="S921" s="40" t="n">
        <f aca="true">RAND()</f>
        <v>0.259152014088081</v>
      </c>
      <c r="T921" s="40" t="n">
        <f aca="true">RAND()</f>
        <v>0.0159422242431637</v>
      </c>
      <c r="U921" s="40" t="n">
        <f aca="true">RAND()</f>
        <v>0.194422620559377</v>
      </c>
    </row>
    <row r="922" customFormat="false" ht="15" hidden="false" customHeight="false" outlineLevel="0" collapsed="false">
      <c r="A922" s="36" t="n">
        <v>842</v>
      </c>
      <c r="B922" s="37" t="n">
        <f aca="false">1+IF($G$6=$E$6,$F$6,IF(P922&lt;($F$6-$E$6)/($G$6-$E$6),$E$6+SQRT(P922*($G$6-$E$6)*($F$6-$E$6)),$G$6-SQRT((1-P922)*($G$6-$E$6)*($G$6-$F$6))))</f>
        <v>0.972651715872543</v>
      </c>
      <c r="C922" s="37" t="n">
        <f aca="false">1+IF($G$7=$E$7,$F$7,IF(Q922&lt;($F$7-$E$7)/($G$7-$E$7),$E$7+SQRT(Q922*($G$7-$E$7)*($F$7-$E$7)),$G$7-SQRT((1-Q922)*($G$7-$E$7)*($G$7-$F$7))))</f>
        <v>1.11078335713905</v>
      </c>
      <c r="D922" s="37" t="n">
        <f aca="false">1+IF($G$8=$E$8,$F$8,IF(R922&lt;($F$8-$E$8)/($G$8-$E$8),$E$8+SQRT(R922*($G$8-$E$8)*($F$8-$E$8)),$G$8-SQRT((1-R922)*($G$8-$E$8)*($G$8-$F$8))))</f>
        <v>1.03217187719791</v>
      </c>
      <c r="E922" s="37" t="n">
        <f aca="false">1+IF($G$9=$E$9,$F$9,IF(S922&lt;($F$9-$E$9)/($G$9-$E$9),$E$9+SQRT(S922*($G$9-$E$9)*($F$9-$E$9)),$G$9-SQRT((1-S922)*($G$9-$E$9)*($G$9-$F$9))))</f>
        <v>1.02186599030928</v>
      </c>
      <c r="F922" s="37" t="n">
        <f aca="false">1+IF($G$10=$E$10,$F$10,IF(T922&lt;($F$10-$E$10)/($G$10-$E$10),$E$10+SQRT(T922*($G$10-$E$10)*($F$10-$E$10)),$G$10-SQRT((1-T922)*($G$10-$E$10)*($G$10-$F$10))))</f>
        <v>0.99840019537025</v>
      </c>
      <c r="G922" s="38" t="n">
        <f aca="false">IF($G$11=$E$11,$F$11,IF(U922&lt;($F$11-$E$11)/($G$11-$E$11),$E$11+SQRT(U922*($G$11-$E$11)*($F$11-$E$11)),$G$11-SQRT((1-U922)*($G$11-$E$11)*($G$11-$F$11))))</f>
        <v>0.101511586114124</v>
      </c>
      <c r="H922" s="39" t="n">
        <f aca="false">(('Business Case'!B11*$C922*'Business Case'!B12*$B922)-'Business Case'!B11*$C922*'Business Case'!B13*$D922-'Business Case'!B14*$E922)-MAX(0,(('Business Case'!B11*$C922*'Business Case'!B12*$B922)-'Business Case'!B11*$C922*'Business Case'!B13*$D922-'Business Case'!B14*$E922))*'Business Case'!$B$7-'Business Case'!$B$8*('Business Case'!B11*$C922*'Business Case'!B12*$B922)-'Business Case'!B15*$F922</f>
        <v>-1996800390.7405</v>
      </c>
      <c r="I922" s="39" t="n">
        <f aca="false">(('Business Case'!C11*$C922*'Business Case'!C12*$B922)-'Business Case'!C11*$C922*'Business Case'!C13*$D922-'Business Case'!C14*$E922)-MAX(0,(('Business Case'!C11*$C922*'Business Case'!C12*$B922)-'Business Case'!C11*$C922*'Business Case'!C13*$D922-'Business Case'!C14*$E922))*'Business Case'!$B$7-'Business Case'!$B$8*(('Business Case'!C11*$C922*'Business Case'!C12*$B922)-('Business Case'!B11*$C922*'Business Case'!B12*$B922))-'Business Case'!C15*$F922</f>
        <v>-3153996.87327863</v>
      </c>
      <c r="J922" s="39" t="n">
        <f aca="false">(('Business Case'!D11*$C922*'Business Case'!D12*$B922)-'Business Case'!D11*$C922*'Business Case'!D13*$D922-'Business Case'!D14*$E922)-MAX(0,(('Business Case'!D11*$C922*'Business Case'!D12*$B922)-'Business Case'!D11*$C922*'Business Case'!D13*$D922-'Business Case'!D14*$E922))*'Business Case'!$B$7-'Business Case'!$B$8*(('Business Case'!D11*$C922*'Business Case'!D12*$B922)-('Business Case'!C11*$C922*'Business Case'!C12*$B922))-'Business Case'!D15*$F922</f>
        <v>294849582.349087</v>
      </c>
      <c r="K922" s="39" t="n">
        <f aca="false">(('Business Case'!E11*$C922*'Business Case'!E12*$B922)-'Business Case'!E11*$C922*'Business Case'!E13*$D922-'Business Case'!E14*$E922)-MAX(0,(('Business Case'!E11*$C922*'Business Case'!E12*$B922)-'Business Case'!E11*$C922*'Business Case'!E13*$D922-'Business Case'!E14*$E922))*'Business Case'!$B$7-'Business Case'!$B$8*(('Business Case'!E11*$C922*'Business Case'!E12*$B922)-('Business Case'!D11*$C922*'Business Case'!D12*$B922))-'Business Case'!E15*$F922</f>
        <v>642773171.339966</v>
      </c>
      <c r="L922" s="39" t="n">
        <f aca="false">(('Business Case'!F11*$C922*'Business Case'!F12*$B922)-'Business Case'!F11*$C922*'Business Case'!F13*$D922-'Business Case'!F14*$E922)-MAX(0,(('Business Case'!F11*$C922*'Business Case'!F12*$B922)-'Business Case'!F11*$C922*'Business Case'!F13*$D922-'Business Case'!F14*$E922))*'Business Case'!$B$7-'Business Case'!$B$8*(('Business Case'!F11*$C922*'Business Case'!F12*$B922)-('Business Case'!E11*$C922*'Business Case'!E12*$B922))-'Business Case'!F15*$F922</f>
        <v>779446506.238515</v>
      </c>
      <c r="M922" s="39" t="n">
        <f aca="false">(('Business Case'!G11*$C922*'Business Case'!G12*$B922)-'Business Case'!G11*$C922*'Business Case'!G13*$D922-'Business Case'!G14*$E922)-MAX(0,(('Business Case'!G11*$C922*'Business Case'!G12*$B922)-'Business Case'!G11*$C922*'Business Case'!G13*$D922-'Business Case'!G14*$E922))*'Business Case'!$B$7-'Business Case'!$B$8*(('Business Case'!G11*$C922*'Business Case'!G12*$B922)-('Business Case'!F11*$C922*'Business Case'!F12*$B922))-'Business Case'!G15*$F922+'Business Case'!$B$8*('Business Case'!G11*$C922*'Business Case'!G12*$B922)</f>
        <v>984809952.93953</v>
      </c>
      <c r="N922" s="39" t="n">
        <f aca="false">IF(COUNT('Business Case'!B11:G11)=0,"",H922+NPV(G922,I922:M922))</f>
        <v>-138953609.111815</v>
      </c>
      <c r="P922" s="40" t="n">
        <f aca="true">RAND()</f>
        <v>0.28877116503364</v>
      </c>
      <c r="Q922" s="40" t="n">
        <f aca="true">RAND()</f>
        <v>0.970705808051748</v>
      </c>
      <c r="R922" s="40" t="n">
        <f aca="true">RAND()</f>
        <v>0.78004525665656</v>
      </c>
      <c r="S922" s="40" t="n">
        <f aca="true">RAND()</f>
        <v>0.593005101976654</v>
      </c>
      <c r="T922" s="40" t="n">
        <f aca="true">RAND()</f>
        <v>0.187406312950273</v>
      </c>
      <c r="U922" s="40" t="n">
        <f aca="true">RAND()</f>
        <v>0.430297586640914</v>
      </c>
    </row>
    <row r="923" customFormat="false" ht="15" hidden="false" customHeight="false" outlineLevel="0" collapsed="false">
      <c r="A923" s="36" t="n">
        <v>843</v>
      </c>
      <c r="B923" s="37" t="n">
        <f aca="false">1+IF($G$6=$E$6,$F$6,IF(P923&lt;($F$6-$E$6)/($G$6-$E$6),$E$6+SQRT(P923*($G$6-$E$6)*($F$6-$E$6)),$G$6-SQRT((1-P923)*($G$6-$E$6)*($G$6-$F$6))))</f>
        <v>1.00083197095091</v>
      </c>
      <c r="C923" s="37" t="n">
        <f aca="false">1+IF($G$7=$E$7,$F$7,IF(Q923&lt;($F$7-$E$7)/($G$7-$E$7),$E$7+SQRT(Q923*($G$7-$E$7)*($F$7-$E$7)),$G$7-SQRT((1-Q923)*($G$7-$E$7)*($G$7-$F$7))))</f>
        <v>0.961343484860996</v>
      </c>
      <c r="D923" s="37" t="n">
        <f aca="false">1+IF($G$8=$E$8,$F$8,IF(R923&lt;($F$8-$E$8)/($G$8-$E$8),$E$8+SQRT(R923*($G$8-$E$8)*($F$8-$E$8)),$G$8-SQRT((1-R923)*($G$8-$E$8)*($G$8-$F$8))))</f>
        <v>1.01266810789518</v>
      </c>
      <c r="E923" s="37" t="n">
        <f aca="false">1+IF($G$9=$E$9,$F$9,IF(S923&lt;($F$9-$E$9)/($G$9-$E$9),$E$9+SQRT(S923*($G$9-$E$9)*($F$9-$E$9)),$G$9-SQRT((1-S923)*($G$9-$E$9)*($G$9-$F$9))))</f>
        <v>1.00891235987547</v>
      </c>
      <c r="F923" s="37" t="n">
        <f aca="false">1+IF($G$10=$E$10,$F$10,IF(T923&lt;($F$10-$E$10)/($G$10-$E$10),$E$10+SQRT(T923*($G$10-$E$10)*($F$10-$E$10)),$G$10-SQRT((1-T923)*($G$10-$E$10)*($G$10-$F$10))))</f>
        <v>1.0243629580917</v>
      </c>
      <c r="G923" s="38" t="n">
        <f aca="false">IF($G$11=$E$11,$F$11,IF(U923&lt;($F$11-$E$11)/($G$11-$E$11),$E$11+SQRT(U923*($G$11-$E$11)*($F$11-$E$11)),$G$11-SQRT((1-U923)*($G$11-$E$11)*($G$11-$F$11))))</f>
        <v>0.0928193840188774</v>
      </c>
      <c r="H923" s="39" t="n">
        <f aca="false">(('Business Case'!B11*$C923*'Business Case'!B12*$B923)-'Business Case'!B11*$C923*'Business Case'!B13*$D923-'Business Case'!B14*$E923)-MAX(0,(('Business Case'!B11*$C923*'Business Case'!B12*$B923)-'Business Case'!B11*$C923*'Business Case'!B13*$D923-'Business Case'!B14*$E923))*'Business Case'!$B$7-'Business Case'!$B$8*('Business Case'!B11*$C923*'Business Case'!B12*$B923)-'Business Case'!B15*$F923</f>
        <v>-2048725916.1834</v>
      </c>
      <c r="I923" s="39" t="n">
        <f aca="false">(('Business Case'!C11*$C923*'Business Case'!C12*$B923)-'Business Case'!C11*$C923*'Business Case'!C13*$D923-'Business Case'!C14*$E923)-MAX(0,(('Business Case'!C11*$C923*'Business Case'!C12*$B923)-'Business Case'!C11*$C923*'Business Case'!C13*$D923-'Business Case'!C14*$E923))*'Business Case'!$B$7-'Business Case'!$B$8*(('Business Case'!C11*$C923*'Business Case'!C12*$B923)-('Business Case'!B11*$C923*'Business Case'!B12*$B923))-'Business Case'!C15*$F923</f>
        <v>-6081833.92222342</v>
      </c>
      <c r="J923" s="39" t="n">
        <f aca="false">(('Business Case'!D11*$C923*'Business Case'!D12*$B923)-'Business Case'!D11*$C923*'Business Case'!D13*$D923-'Business Case'!D14*$E923)-MAX(0,(('Business Case'!D11*$C923*'Business Case'!D12*$B923)-'Business Case'!D11*$C923*'Business Case'!D13*$D923-'Business Case'!D14*$E923))*'Business Case'!$B$7-'Business Case'!$B$8*(('Business Case'!D11*$C923*'Business Case'!D12*$B923)-('Business Case'!C11*$C923*'Business Case'!C12*$B923))-'Business Case'!D15*$F923</f>
        <v>283617473.937002</v>
      </c>
      <c r="K923" s="39" t="n">
        <f aca="false">(('Business Case'!E11*$C923*'Business Case'!E12*$B923)-'Business Case'!E11*$C923*'Business Case'!E13*$D923-'Business Case'!E14*$E923)-MAX(0,(('Business Case'!E11*$C923*'Business Case'!E12*$B923)-'Business Case'!E11*$C923*'Business Case'!E13*$D923-'Business Case'!E14*$E923))*'Business Case'!$B$7-'Business Case'!$B$8*(('Business Case'!E11*$C923*'Business Case'!E12*$B923)-('Business Case'!D11*$C923*'Business Case'!D12*$B923))-'Business Case'!E15*$F923</f>
        <v>624534929.700813</v>
      </c>
      <c r="L923" s="39" t="n">
        <f aca="false">(('Business Case'!F11*$C923*'Business Case'!F12*$B923)-'Business Case'!F11*$C923*'Business Case'!F13*$D923-'Business Case'!F14*$E923)-MAX(0,(('Business Case'!F11*$C923*'Business Case'!F12*$B923)-'Business Case'!F11*$C923*'Business Case'!F13*$D923-'Business Case'!F14*$E923))*'Business Case'!$B$7-'Business Case'!$B$8*(('Business Case'!F11*$C923*'Business Case'!F12*$B923)-('Business Case'!E11*$C923*'Business Case'!E12*$B923))-'Business Case'!F15*$F923</f>
        <v>754353037.919213</v>
      </c>
      <c r="M923" s="39" t="n">
        <f aca="false">(('Business Case'!G11*$C923*'Business Case'!G12*$B923)-'Business Case'!G11*$C923*'Business Case'!G13*$D923-'Business Case'!G14*$E923)-MAX(0,(('Business Case'!G11*$C923*'Business Case'!G12*$B923)-'Business Case'!G11*$C923*'Business Case'!G13*$D923-'Business Case'!G14*$E923))*'Business Case'!$B$7-'Business Case'!$B$8*(('Business Case'!G11*$C923*'Business Case'!G12*$B923)-('Business Case'!F11*$C923*'Business Case'!F12*$B923))-'Business Case'!G15*$F923+'Business Case'!$B$8*('Business Case'!G11*$C923*'Business Case'!G12*$B923)</f>
        <v>937237235.378496</v>
      </c>
      <c r="N923" s="39" t="n">
        <f aca="false">IF(COUNT('Business Case'!B11:G11)=0,"",H923+NPV(G923,I923:M923))</f>
        <v>-208041698.884035</v>
      </c>
      <c r="P923" s="40" t="n">
        <f aca="true">RAND()</f>
        <v>0.680388645918648</v>
      </c>
      <c r="Q923" s="40" t="n">
        <f aca="true">RAND()</f>
        <v>0.371881715815576</v>
      </c>
      <c r="R923" s="40" t="n">
        <f aca="true">RAND()</f>
        <v>0.564078490921586</v>
      </c>
      <c r="S923" s="40" t="n">
        <f aca="true">RAND()</f>
        <v>0.446869454436328</v>
      </c>
      <c r="T923" s="40" t="n">
        <f aca="true">RAND()</f>
        <v>0.383032590194044</v>
      </c>
      <c r="U923" s="40" t="n">
        <f aca="true">RAND()</f>
        <v>0.0264964208196716</v>
      </c>
    </row>
    <row r="924" customFormat="false" ht="15" hidden="false" customHeight="false" outlineLevel="0" collapsed="false">
      <c r="A924" s="36" t="n">
        <v>844</v>
      </c>
      <c r="B924" s="37" t="n">
        <f aca="false">1+IF($G$6=$E$6,$F$6,IF(P924&lt;($F$6-$E$6)/($G$6-$E$6),$E$6+SQRT(P924*($G$6-$E$6)*($F$6-$E$6)),$G$6-SQRT((1-P924)*($G$6-$E$6)*($G$6-$F$6))))</f>
        <v>1.02593000622363</v>
      </c>
      <c r="C924" s="37" t="n">
        <f aca="false">1+IF($G$7=$E$7,$F$7,IF(Q924&lt;($F$7-$E$7)/($G$7-$E$7),$E$7+SQRT(Q924*($G$7-$E$7)*($F$7-$E$7)),$G$7-SQRT((1-Q924)*($G$7-$E$7)*($G$7-$F$7))))</f>
        <v>1.10066417143135</v>
      </c>
      <c r="D924" s="37" t="n">
        <f aca="false">1+IF($G$8=$E$8,$F$8,IF(R924&lt;($F$8-$E$8)/($G$8-$E$8),$E$8+SQRT(R924*($G$8-$E$8)*($F$8-$E$8)),$G$8-SQRT((1-R924)*($G$8-$E$8)*($G$8-$F$8))))</f>
        <v>0.983213223069364</v>
      </c>
      <c r="E924" s="37" t="n">
        <f aca="false">1+IF($G$9=$E$9,$F$9,IF(S924&lt;($F$9-$E$9)/($G$9-$E$9),$E$9+SQRT(S924*($G$9-$E$9)*($F$9-$E$9)),$G$9-SQRT((1-S924)*($G$9-$E$9)*($G$9-$F$9))))</f>
        <v>1.0121897195375</v>
      </c>
      <c r="F924" s="37" t="n">
        <f aca="false">1+IF($G$10=$E$10,$F$10,IF(T924&lt;($F$10-$E$10)/($G$10-$E$10),$E$10+SQRT(T924*($G$10-$E$10)*($F$10-$E$10)),$G$10-SQRT((1-T924)*($G$10-$E$10)*($G$10-$F$10))))</f>
        <v>1.02201046958634</v>
      </c>
      <c r="G924" s="38" t="n">
        <f aca="false">IF($G$11=$E$11,$F$11,IF(U924&lt;($F$11-$E$11)/($G$11-$E$11),$E$11+SQRT(U924*($G$11-$E$11)*($F$11-$E$11)),$G$11-SQRT((1-U924)*($G$11-$E$11)*($G$11-$F$11))))</f>
        <v>0.105920506189147</v>
      </c>
      <c r="H924" s="39" t="n">
        <f aca="false">(('Business Case'!B11*$C924*'Business Case'!B12*$B924)-'Business Case'!B11*$C924*'Business Case'!B13*$D924-'Business Case'!B14*$E924)-MAX(0,(('Business Case'!B11*$C924*'Business Case'!B12*$B924)-'Business Case'!B11*$C924*'Business Case'!B13*$D924-'Business Case'!B14*$E924))*'Business Case'!$B$7-'Business Case'!$B$8*('Business Case'!B11*$C924*'Business Case'!B12*$B924)-'Business Case'!B15*$F924</f>
        <v>-2044020939.17267</v>
      </c>
      <c r="I924" s="39" t="n">
        <f aca="false">(('Business Case'!C11*$C924*'Business Case'!C12*$B924)-'Business Case'!C11*$C924*'Business Case'!C13*$D924-'Business Case'!C14*$E924)-MAX(0,(('Business Case'!C11*$C924*'Business Case'!C12*$B924)-'Business Case'!C11*$C924*'Business Case'!C13*$D924-'Business Case'!C14*$E924))*'Business Case'!$B$7-'Business Case'!$B$8*(('Business Case'!C11*$C924*'Business Case'!C12*$B924)-('Business Case'!B11*$C924*'Business Case'!B12*$B924))-'Business Case'!C15*$F924</f>
        <v>66233865.7734885</v>
      </c>
      <c r="J924" s="39" t="n">
        <f aca="false">(('Business Case'!D11*$C924*'Business Case'!D12*$B924)-'Business Case'!D11*$C924*'Business Case'!D13*$D924-'Business Case'!D14*$E924)-MAX(0,(('Business Case'!D11*$C924*'Business Case'!D12*$B924)-'Business Case'!D11*$C924*'Business Case'!D13*$D924-'Business Case'!D14*$E924))*'Business Case'!$B$7-'Business Case'!$B$8*(('Business Case'!D11*$C924*'Business Case'!D12*$B924)-('Business Case'!C11*$C924*'Business Case'!C12*$B924))-'Business Case'!D15*$F924</f>
        <v>437140112.732631</v>
      </c>
      <c r="K924" s="39" t="n">
        <f aca="false">(('Business Case'!E11*$C924*'Business Case'!E12*$B924)-'Business Case'!E11*$C924*'Business Case'!E13*$D924-'Business Case'!E14*$E924)-MAX(0,(('Business Case'!E11*$C924*'Business Case'!E12*$B924)-'Business Case'!E11*$C924*'Business Case'!E13*$D924-'Business Case'!E14*$E924))*'Business Case'!$B$7-'Business Case'!$B$8*(('Business Case'!E11*$C924*'Business Case'!E12*$B924)-('Business Case'!D11*$C924*'Business Case'!D12*$B924))-'Business Case'!E15*$F924</f>
        <v>859146883.17109</v>
      </c>
      <c r="L924" s="39" t="n">
        <f aca="false">(('Business Case'!F11*$C924*'Business Case'!F12*$B924)-'Business Case'!F11*$C924*'Business Case'!F13*$D924-'Business Case'!F14*$E924)-MAX(0,(('Business Case'!F11*$C924*'Business Case'!F12*$B924)-'Business Case'!F11*$C924*'Business Case'!F13*$D924-'Business Case'!F14*$E924))*'Business Case'!$B$7-'Business Case'!$B$8*(('Business Case'!F11*$C924*'Business Case'!F12*$B924)-('Business Case'!E11*$C924*'Business Case'!E12*$B924))-'Business Case'!F15*$F924</f>
        <v>1021807602.89666</v>
      </c>
      <c r="M924" s="39" t="n">
        <f aca="false">(('Business Case'!G11*$C924*'Business Case'!G12*$B924)-'Business Case'!G11*$C924*'Business Case'!G13*$D924-'Business Case'!G14*$E924)-MAX(0,(('Business Case'!G11*$C924*'Business Case'!G12*$B924)-'Business Case'!G11*$C924*'Business Case'!G13*$D924-'Business Case'!G14*$E924))*'Business Case'!$B$7-'Business Case'!$B$8*(('Business Case'!G11*$C924*'Business Case'!G12*$B924)-('Business Case'!F11*$C924*'Business Case'!F12*$B924))-'Business Case'!G15*$F924+'Business Case'!$B$8*('Business Case'!G11*$C924*'Business Case'!G12*$B924)</f>
        <v>1236446775.29555</v>
      </c>
      <c r="N924" s="39" t="n">
        <f aca="false">IF(COUNT('Business Case'!B11:G11)=0,"",H924+NPV(G924,I924:M924))</f>
        <v>438950516.438087</v>
      </c>
      <c r="P924" s="40" t="n">
        <f aca="true">RAND()</f>
        <v>0.958757348986011</v>
      </c>
      <c r="Q924" s="40" t="n">
        <f aca="true">RAND()</f>
        <v>0.953637638465612</v>
      </c>
      <c r="R924" s="40" t="n">
        <f aca="true">RAND()</f>
        <v>0.169710490254669</v>
      </c>
      <c r="S924" s="40" t="n">
        <f aca="true">RAND()</f>
        <v>0.485956976339749</v>
      </c>
      <c r="T924" s="40" t="n">
        <f aca="true">RAND()</f>
        <v>0.366394541262473</v>
      </c>
      <c r="U924" s="40" t="n">
        <f aca="true">RAND()</f>
        <v>0.669613090050238</v>
      </c>
    </row>
    <row r="925" customFormat="false" ht="15" hidden="false" customHeight="false" outlineLevel="0" collapsed="false">
      <c r="A925" s="36" t="n">
        <v>845</v>
      </c>
      <c r="B925" s="37" t="n">
        <f aca="false">1+IF($G$6=$E$6,$F$6,IF(P925&lt;($F$6-$E$6)/($G$6-$E$6),$E$6+SQRT(P925*($G$6-$E$6)*($F$6-$E$6)),$G$6-SQRT((1-P925)*($G$6-$E$6)*($G$6-$F$6))))</f>
        <v>0.976147102649357</v>
      </c>
      <c r="C925" s="37" t="n">
        <f aca="false">1+IF($G$7=$E$7,$F$7,IF(Q925&lt;($F$7-$E$7)/($G$7-$E$7),$E$7+SQRT(Q925*($G$7-$E$7)*($F$7-$E$7)),$G$7-SQRT((1-Q925)*($G$7-$E$7)*($G$7-$F$7))))</f>
        <v>0.9353358182289</v>
      </c>
      <c r="D925" s="37" t="n">
        <f aca="false">1+IF($G$8=$E$8,$F$8,IF(R925&lt;($F$8-$E$8)/($G$8-$E$8),$E$8+SQRT(R925*($G$8-$E$8)*($F$8-$E$8)),$G$8-SQRT((1-R925)*($G$8-$E$8)*($G$8-$F$8))))</f>
        <v>1.04222060721196</v>
      </c>
      <c r="E925" s="37" t="n">
        <f aca="false">1+IF($G$9=$E$9,$F$9,IF(S925&lt;($F$9-$E$9)/($G$9-$E$9),$E$9+SQRT(S925*($G$9-$E$9)*($F$9-$E$9)),$G$9-SQRT((1-S925)*($G$9-$E$9)*($G$9-$F$9))))</f>
        <v>0.995830657823074</v>
      </c>
      <c r="F925" s="37" t="n">
        <f aca="false">1+IF($G$10=$E$10,$F$10,IF(T925&lt;($F$10-$E$10)/($G$10-$E$10),$E$10+SQRT(T925*($G$10-$E$10)*($F$10-$E$10)),$G$10-SQRT((1-T925)*($G$10-$E$10)*($G$10-$F$10))))</f>
        <v>0.97637417639263</v>
      </c>
      <c r="G925" s="38" t="n">
        <f aca="false">IF($G$11=$E$11,$F$11,IF(U925&lt;($F$11-$E$11)/($G$11-$E$11),$E$11+SQRT(U925*($G$11-$E$11)*($F$11-$E$11)),$G$11-SQRT((1-U925)*($G$11-$E$11)*($G$11-$F$11))))</f>
        <v>0.105009523078472</v>
      </c>
      <c r="H925" s="39" t="n">
        <f aca="false">(('Business Case'!B11*$C925*'Business Case'!B12*$B925)-'Business Case'!B11*$C925*'Business Case'!B13*$D925-'Business Case'!B14*$E925)-MAX(0,(('Business Case'!B11*$C925*'Business Case'!B12*$B925)-'Business Case'!B11*$C925*'Business Case'!B13*$D925-'Business Case'!B14*$E925))*'Business Case'!$B$7-'Business Case'!$B$8*('Business Case'!B11*$C925*'Business Case'!B12*$B925)-'Business Case'!B15*$F925</f>
        <v>-1952748352.78526</v>
      </c>
      <c r="I925" s="39" t="n">
        <f aca="false">(('Business Case'!C11*$C925*'Business Case'!C12*$B925)-'Business Case'!C11*$C925*'Business Case'!C13*$D925-'Business Case'!C14*$E925)-MAX(0,(('Business Case'!C11*$C925*'Business Case'!C12*$B925)-'Business Case'!C11*$C925*'Business Case'!C13*$D925-'Business Case'!C14*$E925))*'Business Case'!$B$7-'Business Case'!$B$8*(('Business Case'!C11*$C925*'Business Case'!C12*$B925)-('Business Case'!B11*$C925*'Business Case'!B12*$B925))-'Business Case'!C15*$F925</f>
        <v>-37775333.9247658</v>
      </c>
      <c r="J925" s="39" t="n">
        <f aca="false">(('Business Case'!D11*$C925*'Business Case'!D12*$B925)-'Business Case'!D11*$C925*'Business Case'!D13*$D925-'Business Case'!D14*$E925)-MAX(0,(('Business Case'!D11*$C925*'Business Case'!D12*$B925)-'Business Case'!D11*$C925*'Business Case'!D13*$D925-'Business Case'!D14*$E925))*'Business Case'!$B$7-'Business Case'!$B$8*(('Business Case'!D11*$C925*'Business Case'!D12*$B925)-('Business Case'!C11*$C925*'Business Case'!C12*$B925))-'Business Case'!D15*$F925</f>
        <v>211025103.422689</v>
      </c>
      <c r="K925" s="39" t="n">
        <f aca="false">(('Business Case'!E11*$C925*'Business Case'!E12*$B925)-'Business Case'!E11*$C925*'Business Case'!E13*$D925-'Business Case'!E14*$E925)-MAX(0,(('Business Case'!E11*$C925*'Business Case'!E12*$B925)-'Business Case'!E11*$C925*'Business Case'!E13*$D925-'Business Case'!E14*$E925))*'Business Case'!$B$7-'Business Case'!$B$8*(('Business Case'!E11*$C925*'Business Case'!E12*$B925)-('Business Case'!D11*$C925*'Business Case'!D12*$B925))-'Business Case'!E15*$F925</f>
        <v>508644249.589776</v>
      </c>
      <c r="L925" s="39" t="n">
        <f aca="false">(('Business Case'!F11*$C925*'Business Case'!F12*$B925)-'Business Case'!F11*$C925*'Business Case'!F13*$D925-'Business Case'!F14*$E925)-MAX(0,(('Business Case'!F11*$C925*'Business Case'!F12*$B925)-'Business Case'!F11*$C925*'Business Case'!F13*$D925-'Business Case'!F14*$E925))*'Business Case'!$B$7-'Business Case'!$B$8*(('Business Case'!F11*$C925*'Business Case'!F12*$B925)-('Business Case'!E11*$C925*'Business Case'!E12*$B925))-'Business Case'!F15*$F925</f>
        <v>623131884.76594</v>
      </c>
      <c r="M925" s="39" t="n">
        <f aca="false">(('Business Case'!G11*$C925*'Business Case'!G12*$B925)-'Business Case'!G11*$C925*'Business Case'!G13*$D925-'Business Case'!G14*$E925)-MAX(0,(('Business Case'!G11*$C925*'Business Case'!G12*$B925)-'Business Case'!G11*$C925*'Business Case'!G13*$D925-'Business Case'!G14*$E925))*'Business Case'!$B$7-'Business Case'!$B$8*(('Business Case'!G11*$C925*'Business Case'!G12*$B925)-('Business Case'!F11*$C925*'Business Case'!F12*$B925))-'Business Case'!G15*$F925+'Business Case'!$B$8*('Business Case'!G11*$C925*'Business Case'!G12*$B925)</f>
        <v>796679743.097835</v>
      </c>
      <c r="N925" s="39" t="n">
        <f aca="false">IF(COUNT('Business Case'!B11:G11)=0,"",H925+NPV(G925,I925:M925))</f>
        <v>-535627049.500567</v>
      </c>
      <c r="P925" s="40" t="n">
        <f aca="true">RAND()</f>
        <v>0.32838511832473</v>
      </c>
      <c r="Q925" s="40" t="n">
        <f aca="true">RAND()</f>
        <v>0.261654052795513</v>
      </c>
      <c r="R925" s="40" t="n">
        <f aca="true">RAND()</f>
        <v>0.862761296208331</v>
      </c>
      <c r="S925" s="40" t="n">
        <f aca="true">RAND()</f>
        <v>0.280059892866086</v>
      </c>
      <c r="T925" s="40" t="n">
        <f aca="true">RAND()</f>
        <v>0.0556477744311633</v>
      </c>
      <c r="U925" s="40" t="n">
        <f aca="true">RAND()</f>
        <v>0.625476002775241</v>
      </c>
    </row>
    <row r="926" customFormat="false" ht="15" hidden="false" customHeight="false" outlineLevel="0" collapsed="false">
      <c r="A926" s="36" t="n">
        <v>846</v>
      </c>
      <c r="B926" s="37" t="n">
        <f aca="false">1+IF($G$6=$E$6,$F$6,IF(P926&lt;($F$6-$E$6)/($G$6-$E$6),$E$6+SQRT(P926*($G$6-$E$6)*($F$6-$E$6)),$G$6-SQRT((1-P926)*($G$6-$E$6)*($G$6-$F$6))))</f>
        <v>0.998878923180406</v>
      </c>
      <c r="C926" s="37" t="n">
        <f aca="false">1+IF($G$7=$E$7,$F$7,IF(Q926&lt;($F$7-$E$7)/($G$7-$E$7),$E$7+SQRT(Q926*($G$7-$E$7)*($F$7-$E$7)),$G$7-SQRT((1-Q926)*($G$7-$E$7)*($G$7-$F$7))))</f>
        <v>1.05062117918946</v>
      </c>
      <c r="D926" s="37" t="n">
        <f aca="false">1+IF($G$8=$E$8,$F$8,IF(R926&lt;($F$8-$E$8)/($G$8-$E$8),$E$8+SQRT(R926*($G$8-$E$8)*($F$8-$E$8)),$G$8-SQRT((1-R926)*($G$8-$E$8)*($G$8-$F$8))))</f>
        <v>0.989941290330195</v>
      </c>
      <c r="E926" s="37" t="n">
        <f aca="false">1+IF($G$9=$E$9,$F$9,IF(S926&lt;($F$9-$E$9)/($G$9-$E$9),$E$9+SQRT(S926*($G$9-$E$9)*($F$9-$E$9)),$G$9-SQRT((1-S926)*($G$9-$E$9)*($G$9-$F$9))))</f>
        <v>1.06386718444217</v>
      </c>
      <c r="F926" s="37" t="n">
        <f aca="false">1+IF($G$10=$E$10,$F$10,IF(T926&lt;($F$10-$E$10)/($G$10-$E$10),$E$10+SQRT(T926*($G$10-$E$10)*($F$10-$E$10)),$G$10-SQRT((1-T926)*($G$10-$E$10)*($G$10-$F$10))))</f>
        <v>1.16420336621617</v>
      </c>
      <c r="G926" s="38" t="n">
        <f aca="false">IF($G$11=$E$11,$F$11,IF(U926&lt;($F$11-$E$11)/($G$11-$E$11),$E$11+SQRT(U926*($G$11-$E$11)*($F$11-$E$11)),$G$11-SQRT((1-U926)*($G$11-$E$11)*($G$11-$F$11))))</f>
        <v>0.105097773607229</v>
      </c>
      <c r="H926" s="39" t="n">
        <f aca="false">(('Business Case'!B11*$C926*'Business Case'!B12*$B926)-'Business Case'!B11*$C926*'Business Case'!B13*$D926-'Business Case'!B14*$E926)-MAX(0,(('Business Case'!B11*$C926*'Business Case'!B12*$B926)-'Business Case'!B11*$C926*'Business Case'!B13*$D926-'Business Case'!B14*$E926))*'Business Case'!$B$7-'Business Case'!$B$8*('Business Case'!B11*$C926*'Business Case'!B12*$B926)-'Business Case'!B15*$F926</f>
        <v>-2328406732.43234</v>
      </c>
      <c r="I926" s="39" t="n">
        <f aca="false">(('Business Case'!C11*$C926*'Business Case'!C12*$B926)-'Business Case'!C11*$C926*'Business Case'!C13*$D926-'Business Case'!C14*$E926)-MAX(0,(('Business Case'!C11*$C926*'Business Case'!C12*$B926)-'Business Case'!C11*$C926*'Business Case'!C13*$D926-'Business Case'!C14*$E926))*'Business Case'!$B$7-'Business Case'!$B$8*(('Business Case'!C11*$C926*'Business Case'!C12*$B926)-('Business Case'!B11*$C926*'Business Case'!B12*$B926))-'Business Case'!C15*$F926</f>
        <v>5040193.64528371</v>
      </c>
      <c r="J926" s="39" t="n">
        <f aca="false">(('Business Case'!D11*$C926*'Business Case'!D12*$B926)-'Business Case'!D11*$C926*'Business Case'!D13*$D926-'Business Case'!D14*$E926)-MAX(0,(('Business Case'!D11*$C926*'Business Case'!D12*$B926)-'Business Case'!D11*$C926*'Business Case'!D13*$D926-'Business Case'!D14*$E926))*'Business Case'!$B$7-'Business Case'!$B$8*(('Business Case'!D11*$C926*'Business Case'!D12*$B926)-('Business Case'!C11*$C926*'Business Case'!C12*$B926))-'Business Case'!D15*$F926</f>
        <v>332185780.914762</v>
      </c>
      <c r="K926" s="39" t="n">
        <f aca="false">(('Business Case'!E11*$C926*'Business Case'!E12*$B926)-'Business Case'!E11*$C926*'Business Case'!E13*$D926-'Business Case'!E14*$E926)-MAX(0,(('Business Case'!E11*$C926*'Business Case'!E12*$B926)-'Business Case'!E11*$C926*'Business Case'!E13*$D926-'Business Case'!E14*$E926))*'Business Case'!$B$7-'Business Case'!$B$8*(('Business Case'!E11*$C926*'Business Case'!E12*$B926)-('Business Case'!D11*$C926*'Business Case'!D12*$B926))-'Business Case'!E15*$F926</f>
        <v>717541536.495048</v>
      </c>
      <c r="L926" s="39" t="n">
        <f aca="false">(('Business Case'!F11*$C926*'Business Case'!F12*$B926)-'Business Case'!F11*$C926*'Business Case'!F13*$D926-'Business Case'!F14*$E926)-MAX(0,(('Business Case'!F11*$C926*'Business Case'!F12*$B926)-'Business Case'!F11*$C926*'Business Case'!F13*$D926-'Business Case'!F14*$E926))*'Business Case'!$B$7-'Business Case'!$B$8*(('Business Case'!F11*$C926*'Business Case'!F12*$B926)-('Business Case'!E11*$C926*'Business Case'!E12*$B926))-'Business Case'!F15*$F926</f>
        <v>862858827.834808</v>
      </c>
      <c r="M926" s="39" t="n">
        <f aca="false">(('Business Case'!G11*$C926*'Business Case'!G12*$B926)-'Business Case'!G11*$C926*'Business Case'!G13*$D926-'Business Case'!G14*$E926)-MAX(0,(('Business Case'!G11*$C926*'Business Case'!G12*$B926)-'Business Case'!G11*$C926*'Business Case'!G13*$D926-'Business Case'!G14*$E926))*'Business Case'!$B$7-'Business Case'!$B$8*(('Business Case'!G11*$C926*'Business Case'!G12*$B926)-('Business Case'!F11*$C926*'Business Case'!F12*$B926))-'Business Case'!G15*$F926+'Business Case'!$B$8*('Business Case'!G11*$C926*'Business Case'!G12*$B926)</f>
        <v>1062337020.20945</v>
      </c>
      <c r="N926" s="39" t="n">
        <f aca="false">IF(COUNT('Business Case'!B11:G11)=0,"",H926+NPV(G926,I926:M926))</f>
        <v>-297067798.745697</v>
      </c>
      <c r="P926" s="40" t="n">
        <f aca="true">RAND()</f>
        <v>0.648112971052125</v>
      </c>
      <c r="Q926" s="40" t="n">
        <f aca="true">RAND()</f>
        <v>0.811882856653473</v>
      </c>
      <c r="R926" s="40" t="n">
        <f aca="true">RAND()</f>
        <v>0.245431795883219</v>
      </c>
      <c r="S926" s="40" t="n">
        <f aca="true">RAND()</f>
        <v>0.912961309324237</v>
      </c>
      <c r="T926" s="40" t="n">
        <f aca="true">RAND()</f>
        <v>0.974372020194925</v>
      </c>
      <c r="U926" s="40" t="n">
        <f aca="true">RAND()</f>
        <v>0.629872747564322</v>
      </c>
    </row>
    <row r="927" customFormat="false" ht="15" hidden="false" customHeight="false" outlineLevel="0" collapsed="false">
      <c r="A927" s="36" t="n">
        <v>847</v>
      </c>
      <c r="B927" s="37" t="n">
        <f aca="false">1+IF($G$6=$E$6,$F$6,IF(P927&lt;($F$6-$E$6)/($G$6-$E$6),$E$6+SQRT(P927*($G$6-$E$6)*($F$6-$E$6)),$G$6-SQRT((1-P927)*($G$6-$E$6)*($G$6-$F$6))))</f>
        <v>0.987466736609897</v>
      </c>
      <c r="C927" s="37" t="n">
        <f aca="false">1+IF($G$7=$E$7,$F$7,IF(Q927&lt;($F$7-$E$7)/($G$7-$E$7),$E$7+SQRT(Q927*($G$7-$E$7)*($F$7-$E$7)),$G$7-SQRT((1-Q927)*($G$7-$E$7)*($G$7-$F$7))))</f>
        <v>0.851559889678912</v>
      </c>
      <c r="D927" s="37" t="n">
        <f aca="false">1+IF($G$8=$E$8,$F$8,IF(R927&lt;($F$8-$E$8)/($G$8-$E$8),$E$8+SQRT(R927*($G$8-$E$8)*($F$8-$E$8)),$G$8-SQRT((1-R927)*($G$8-$E$8)*($G$8-$F$8))))</f>
        <v>0.960060066811639</v>
      </c>
      <c r="E927" s="37" t="n">
        <f aca="false">1+IF($G$9=$E$9,$F$9,IF(S927&lt;($F$9-$E$9)/($G$9-$E$9),$E$9+SQRT(S927*($G$9-$E$9)*($F$9-$E$9)),$G$9-SQRT((1-S927)*($G$9-$E$9)*($G$9-$F$9))))</f>
        <v>0.998560077093989</v>
      </c>
      <c r="F927" s="37" t="n">
        <f aca="false">1+IF($G$10=$E$10,$F$10,IF(T927&lt;($F$10-$E$10)/($G$10-$E$10),$E$10+SQRT(T927*($G$10-$E$10)*($F$10-$E$10)),$G$10-SQRT((1-T927)*($G$10-$E$10)*($G$10-$F$10))))</f>
        <v>1.145032365899</v>
      </c>
      <c r="G927" s="38" t="n">
        <f aca="false">IF($G$11=$E$11,$F$11,IF(U927&lt;($F$11-$E$11)/($G$11-$E$11),$E$11+SQRT(U927*($G$11-$E$11)*($F$11-$E$11)),$G$11-SQRT((1-U927)*($G$11-$E$11)*($G$11-$F$11))))</f>
        <v>0.102300804465761</v>
      </c>
      <c r="H927" s="39" t="n">
        <f aca="false">(('Business Case'!B11*$C927*'Business Case'!B12*$B927)-'Business Case'!B11*$C927*'Business Case'!B13*$D927-'Business Case'!B14*$E927)-MAX(0,(('Business Case'!B11*$C927*'Business Case'!B12*$B927)-'Business Case'!B11*$C927*'Business Case'!B13*$D927-'Business Case'!B14*$E927))*'Business Case'!$B$7-'Business Case'!$B$8*('Business Case'!B11*$C927*'Business Case'!B12*$B927)-'Business Case'!B15*$F927</f>
        <v>-2290064731.79801</v>
      </c>
      <c r="I927" s="39" t="n">
        <f aca="false">(('Business Case'!C11*$C927*'Business Case'!C12*$B927)-'Business Case'!C11*$C927*'Business Case'!C13*$D927-'Business Case'!C14*$E927)-MAX(0,(('Business Case'!C11*$C927*'Business Case'!C12*$B927)-'Business Case'!C11*$C927*'Business Case'!C13*$D927-'Business Case'!C14*$E927))*'Business Case'!$B$7-'Business Case'!$B$8*(('Business Case'!C11*$C927*'Business Case'!C12*$B927)-('Business Case'!B11*$C927*'Business Case'!B12*$B927))-'Business Case'!C15*$F927</f>
        <v>-29862516.8097726</v>
      </c>
      <c r="J927" s="39" t="n">
        <f aca="false">(('Business Case'!D11*$C927*'Business Case'!D12*$B927)-'Business Case'!D11*$C927*'Business Case'!D13*$D927-'Business Case'!D14*$E927)-MAX(0,(('Business Case'!D11*$C927*'Business Case'!D12*$B927)-'Business Case'!D11*$C927*'Business Case'!D13*$D927-'Business Case'!D14*$E927))*'Business Case'!$B$7-'Business Case'!$B$8*(('Business Case'!D11*$C927*'Business Case'!D12*$B927)-('Business Case'!C11*$C927*'Business Case'!C12*$B927))-'Business Case'!D15*$F927</f>
        <v>240365031.397708</v>
      </c>
      <c r="K927" s="39" t="n">
        <f aca="false">(('Business Case'!E11*$C927*'Business Case'!E12*$B927)-'Business Case'!E11*$C927*'Business Case'!E13*$D927-'Business Case'!E14*$E927)-MAX(0,(('Business Case'!E11*$C927*'Business Case'!E12*$B927)-'Business Case'!E11*$C927*'Business Case'!E13*$D927-'Business Case'!E14*$E927))*'Business Case'!$B$7-'Business Case'!$B$8*(('Business Case'!E11*$C927*'Business Case'!E12*$B927)-('Business Case'!D11*$C927*'Business Case'!D12*$B927))-'Business Case'!E15*$F927</f>
        <v>567844197.90014</v>
      </c>
      <c r="L927" s="39" t="n">
        <f aca="false">(('Business Case'!F11*$C927*'Business Case'!F12*$B927)-'Business Case'!F11*$C927*'Business Case'!F13*$D927-'Business Case'!F14*$E927)-MAX(0,(('Business Case'!F11*$C927*'Business Case'!F12*$B927)-'Business Case'!F11*$C927*'Business Case'!F13*$D927-'Business Case'!F14*$E927))*'Business Case'!$B$7-'Business Case'!$B$8*(('Business Case'!F11*$C927*'Business Case'!F12*$B927)-('Business Case'!E11*$C927*'Business Case'!E12*$B927))-'Business Case'!F15*$F927</f>
        <v>686981104.279025</v>
      </c>
      <c r="M927" s="39" t="n">
        <f aca="false">(('Business Case'!G11*$C927*'Business Case'!G12*$B927)-'Business Case'!G11*$C927*'Business Case'!G13*$D927-'Business Case'!G14*$E927)-MAX(0,(('Business Case'!G11*$C927*'Business Case'!G12*$B927)-'Business Case'!G11*$C927*'Business Case'!G13*$D927-'Business Case'!G14*$E927))*'Business Case'!$B$7-'Business Case'!$B$8*(('Business Case'!G11*$C927*'Business Case'!G12*$B927)-('Business Case'!F11*$C927*'Business Case'!F12*$B927))-'Business Case'!G15*$F927+'Business Case'!$B$8*('Business Case'!G11*$C927*'Business Case'!G12*$B927)</f>
        <v>846816917.649181</v>
      </c>
      <c r="N927" s="39" t="n">
        <f aca="false">IF(COUNT('Business Case'!B11:G11)=0,"",H927+NPV(G927,I927:M927))</f>
        <v>-709717513.649742</v>
      </c>
      <c r="P927" s="40" t="n">
        <f aca="true">RAND()</f>
        <v>0.474141723832214</v>
      </c>
      <c r="Q927" s="40" t="n">
        <f aca="true">RAND()</f>
        <v>0.0379774603385943</v>
      </c>
      <c r="R927" s="40" t="n">
        <f aca="true">RAND()</f>
        <v>0.0155699914237899</v>
      </c>
      <c r="S927" s="40" t="n">
        <f aca="true">RAND()</f>
        <v>0.314410811649892</v>
      </c>
      <c r="T927" s="40" t="n">
        <f aca="true">RAND()</f>
        <v>0.939571184026781</v>
      </c>
      <c r="U927" s="40" t="n">
        <f aca="true">RAND()</f>
        <v>0.477897462401279</v>
      </c>
    </row>
    <row r="928" customFormat="false" ht="15" hidden="false" customHeight="false" outlineLevel="0" collapsed="false">
      <c r="A928" s="36" t="n">
        <v>848</v>
      </c>
      <c r="B928" s="37" t="n">
        <f aca="false">1+IF($G$6=$E$6,$F$6,IF(P928&lt;($F$6-$E$6)/($G$6-$E$6),$E$6+SQRT(P928*($G$6-$E$6)*($F$6-$E$6)),$G$6-SQRT((1-P928)*($G$6-$E$6)*($G$6-$F$6))))</f>
        <v>0.988100275255962</v>
      </c>
      <c r="C928" s="37" t="n">
        <f aca="false">1+IF($G$7=$E$7,$F$7,IF(Q928&lt;($F$7-$E$7)/($G$7-$E$7),$E$7+SQRT(Q928*($G$7-$E$7)*($F$7-$E$7)),$G$7-SQRT((1-Q928)*($G$7-$E$7)*($G$7-$F$7))))</f>
        <v>0.910608855105702</v>
      </c>
      <c r="D928" s="37" t="n">
        <f aca="false">1+IF($G$8=$E$8,$F$8,IF(R928&lt;($F$8-$E$8)/($G$8-$E$8),$E$8+SQRT(R928*($G$8-$E$8)*($F$8-$E$8)),$G$8-SQRT((1-R928)*($G$8-$E$8)*($G$8-$F$8))))</f>
        <v>1.00009020198111</v>
      </c>
      <c r="E928" s="37" t="n">
        <f aca="false">1+IF($G$9=$E$9,$F$9,IF(S928&lt;($F$9-$E$9)/($G$9-$E$9),$E$9+SQRT(S928*($G$9-$E$9)*($F$9-$E$9)),$G$9-SQRT((1-S928)*($G$9-$E$9)*($G$9-$F$9))))</f>
        <v>1.06027702545376</v>
      </c>
      <c r="F928" s="37" t="n">
        <f aca="false">1+IF($G$10=$E$10,$F$10,IF(T928&lt;($F$10-$E$10)/($G$10-$E$10),$E$10+SQRT(T928*($G$10-$E$10)*($F$10-$E$10)),$G$10-SQRT((1-T928)*($G$10-$E$10)*($G$10-$F$10))))</f>
        <v>1.07849794682722</v>
      </c>
      <c r="G928" s="38" t="n">
        <f aca="false">IF($G$11=$E$11,$F$11,IF(U928&lt;($F$11-$E$11)/($G$11-$E$11),$E$11+SQRT(U928*($G$11-$E$11)*($F$11-$E$11)),$G$11-SQRT((1-U928)*($G$11-$E$11)*($G$11-$F$11))))</f>
        <v>0.115353604742766</v>
      </c>
      <c r="H928" s="39" t="n">
        <f aca="false">(('Business Case'!B11*$C928*'Business Case'!B12*$B928)-'Business Case'!B11*$C928*'Business Case'!B13*$D928-'Business Case'!B14*$E928)-MAX(0,(('Business Case'!B11*$C928*'Business Case'!B12*$B928)-'Business Case'!B11*$C928*'Business Case'!B13*$D928-'Business Case'!B14*$E928))*'Business Case'!$B$7-'Business Case'!$B$8*('Business Case'!B11*$C928*'Business Case'!B12*$B928)-'Business Case'!B15*$F928</f>
        <v>-2156995893.65444</v>
      </c>
      <c r="I928" s="39" t="n">
        <f aca="false">(('Business Case'!C11*$C928*'Business Case'!C12*$B928)-'Business Case'!C11*$C928*'Business Case'!C13*$D928-'Business Case'!C14*$E928)-MAX(0,(('Business Case'!C11*$C928*'Business Case'!C12*$B928)-'Business Case'!C11*$C928*'Business Case'!C13*$D928-'Business Case'!C14*$E928))*'Business Case'!$B$7-'Business Case'!$B$8*(('Business Case'!C11*$C928*'Business Case'!C12*$B928)-('Business Case'!B11*$C928*'Business Case'!B12*$B928))-'Business Case'!C15*$F928</f>
        <v>-34487590.0474859</v>
      </c>
      <c r="J928" s="39" t="n">
        <f aca="false">(('Business Case'!D11*$C928*'Business Case'!D12*$B928)-'Business Case'!D11*$C928*'Business Case'!D13*$D928-'Business Case'!D14*$E928)-MAX(0,(('Business Case'!D11*$C928*'Business Case'!D12*$B928)-'Business Case'!D11*$C928*'Business Case'!D13*$D928-'Business Case'!D14*$E928))*'Business Case'!$B$7-'Business Case'!$B$8*(('Business Case'!D11*$C928*'Business Case'!D12*$B928)-('Business Case'!C11*$C928*'Business Case'!C12*$B928))-'Business Case'!D15*$F928</f>
        <v>236290232.689398</v>
      </c>
      <c r="K928" s="39" t="n">
        <f aca="false">(('Business Case'!E11*$C928*'Business Case'!E12*$B928)-'Business Case'!E11*$C928*'Business Case'!E13*$D928-'Business Case'!E14*$E928)-MAX(0,(('Business Case'!E11*$C928*'Business Case'!E12*$B928)-'Business Case'!E11*$C928*'Business Case'!E13*$D928-'Business Case'!E14*$E928))*'Business Case'!$B$7-'Business Case'!$B$8*(('Business Case'!E11*$C928*'Business Case'!E12*$B928)-('Business Case'!D11*$C928*'Business Case'!D12*$B928))-'Business Case'!E15*$F928</f>
        <v>560992952.767644</v>
      </c>
      <c r="L928" s="39" t="n">
        <f aca="false">(('Business Case'!F11*$C928*'Business Case'!F12*$B928)-'Business Case'!F11*$C928*'Business Case'!F13*$D928-'Business Case'!F14*$E928)-MAX(0,(('Business Case'!F11*$C928*'Business Case'!F12*$B928)-'Business Case'!F11*$C928*'Business Case'!F13*$D928-'Business Case'!F14*$E928))*'Business Case'!$B$7-'Business Case'!$B$8*(('Business Case'!F11*$C928*'Business Case'!F12*$B928)-('Business Case'!E11*$C928*'Business Case'!E12*$B928))-'Business Case'!F15*$F928</f>
        <v>682348377.068021</v>
      </c>
      <c r="M928" s="39" t="n">
        <f aca="false">(('Business Case'!G11*$C928*'Business Case'!G12*$B928)-'Business Case'!G11*$C928*'Business Case'!G13*$D928-'Business Case'!G14*$E928)-MAX(0,(('Business Case'!G11*$C928*'Business Case'!G12*$B928)-'Business Case'!G11*$C928*'Business Case'!G13*$D928-'Business Case'!G14*$E928))*'Business Case'!$B$7-'Business Case'!$B$8*(('Business Case'!G11*$C928*'Business Case'!G12*$B928)-('Business Case'!F11*$C928*'Business Case'!F12*$B928))-'Business Case'!G15*$F928+'Business Case'!$B$8*('Business Case'!G11*$C928*'Business Case'!G12*$B928)</f>
        <v>853377202.369139</v>
      </c>
      <c r="N928" s="39" t="n">
        <f aca="false">IF(COUNT('Business Case'!B11:G11)=0,"",H928+NPV(G928,I928:M928))</f>
        <v>-658344332.837079</v>
      </c>
      <c r="P928" s="40" t="n">
        <f aca="true">RAND()</f>
        <v>0.483088280201853</v>
      </c>
      <c r="Q928" s="40" t="n">
        <f aca="true">RAND()</f>
        <v>0.174775983254203</v>
      </c>
      <c r="R928" s="40" t="n">
        <f aca="true">RAND()</f>
        <v>0.386002325055816</v>
      </c>
      <c r="S928" s="40" t="n">
        <f aca="true">RAND()</f>
        <v>0.89480568621327</v>
      </c>
      <c r="T928" s="40" t="n">
        <f aca="true">RAND()</f>
        <v>0.704745021495973</v>
      </c>
      <c r="U928" s="40" t="n">
        <f aca="true">RAND()</f>
        <v>0.964018351855924</v>
      </c>
    </row>
    <row r="929" customFormat="false" ht="15" hidden="false" customHeight="false" outlineLevel="0" collapsed="false">
      <c r="A929" s="36" t="n">
        <v>849</v>
      </c>
      <c r="B929" s="37" t="n">
        <f aca="false">1+IF($G$6=$E$6,$F$6,IF(P929&lt;($F$6-$E$6)/($G$6-$E$6),$E$6+SQRT(P929*($G$6-$E$6)*($F$6-$E$6)),$G$6-SQRT((1-P929)*($G$6-$E$6)*($G$6-$F$6))))</f>
        <v>0.990155823310644</v>
      </c>
      <c r="C929" s="37" t="n">
        <f aca="false">1+IF($G$7=$E$7,$F$7,IF(Q929&lt;($F$7-$E$7)/($G$7-$E$7),$E$7+SQRT(Q929*($G$7-$E$7)*($F$7-$E$7)),$G$7-SQRT((1-Q929)*($G$7-$E$7)*($G$7-$F$7))))</f>
        <v>1.00553914845212</v>
      </c>
      <c r="D929" s="37" t="n">
        <f aca="false">1+IF($G$8=$E$8,$F$8,IF(R929&lt;($F$8-$E$8)/($G$8-$E$8),$E$8+SQRT(R929*($G$8-$E$8)*($F$8-$E$8)),$G$8-SQRT((1-R929)*($G$8-$E$8)*($G$8-$F$8))))</f>
        <v>0.991404840801776</v>
      </c>
      <c r="E929" s="37" t="n">
        <f aca="false">1+IF($G$9=$E$9,$F$9,IF(S929&lt;($F$9-$E$9)/($G$9-$E$9),$E$9+SQRT(S929*($G$9-$E$9)*($F$9-$E$9)),$G$9-SQRT((1-S929)*($G$9-$E$9)*($G$9-$F$9))))</f>
        <v>0.986634665281971</v>
      </c>
      <c r="F929" s="37" t="n">
        <f aca="false">1+IF($G$10=$E$10,$F$10,IF(T929&lt;($F$10-$E$10)/($G$10-$E$10),$E$10+SQRT(T929*($G$10-$E$10)*($F$10-$E$10)),$G$10-SQRT((1-T929)*($G$10-$E$10)*($G$10-$F$10))))</f>
        <v>0.966944940692202</v>
      </c>
      <c r="G929" s="38" t="n">
        <f aca="false">IF($G$11=$E$11,$F$11,IF(U929&lt;($F$11-$E$11)/($G$11-$E$11),$E$11+SQRT(U929*($G$11-$E$11)*($F$11-$E$11)),$G$11-SQRT((1-U929)*($G$11-$E$11)*($G$11-$F$11))))</f>
        <v>0.101268974096741</v>
      </c>
      <c r="H929" s="39" t="n">
        <f aca="false">(('Business Case'!B11*$C929*'Business Case'!B12*$B929)-'Business Case'!B11*$C929*'Business Case'!B13*$D929-'Business Case'!B14*$E929)-MAX(0,(('Business Case'!B11*$C929*'Business Case'!B12*$B929)-'Business Case'!B11*$C929*'Business Case'!B13*$D929-'Business Case'!B14*$E929))*'Business Case'!$B$7-'Business Case'!$B$8*('Business Case'!B11*$C929*'Business Case'!B12*$B929)-'Business Case'!B15*$F929</f>
        <v>-1933889881.3844</v>
      </c>
      <c r="I929" s="39" t="n">
        <f aca="false">(('Business Case'!C11*$C929*'Business Case'!C12*$B929)-'Business Case'!C11*$C929*'Business Case'!C13*$D929-'Business Case'!C14*$E929)-MAX(0,(('Business Case'!C11*$C929*'Business Case'!C12*$B929)-'Business Case'!C11*$C929*'Business Case'!C13*$D929-'Business Case'!C14*$E929))*'Business Case'!$B$7-'Business Case'!$B$8*(('Business Case'!C11*$C929*'Business Case'!C12*$B929)-('Business Case'!B11*$C929*'Business Case'!B12*$B929))-'Business Case'!C15*$F929</f>
        <v>16562070.6655799</v>
      </c>
      <c r="J929" s="39" t="n">
        <f aca="false">(('Business Case'!D11*$C929*'Business Case'!D12*$B929)-'Business Case'!D11*$C929*'Business Case'!D13*$D929-'Business Case'!D14*$E929)-MAX(0,(('Business Case'!D11*$C929*'Business Case'!D12*$B929)-'Business Case'!D11*$C929*'Business Case'!D13*$D929-'Business Case'!D14*$E929))*'Business Case'!$B$7-'Business Case'!$B$8*(('Business Case'!D11*$C929*'Business Case'!D12*$B929)-('Business Case'!C11*$C929*'Business Case'!C12*$B929))-'Business Case'!D15*$F929</f>
        <v>321732085.389679</v>
      </c>
      <c r="K929" s="39" t="n">
        <f aca="false">(('Business Case'!E11*$C929*'Business Case'!E12*$B929)-'Business Case'!E11*$C929*'Business Case'!E13*$D929-'Business Case'!E14*$E929)-MAX(0,(('Business Case'!E11*$C929*'Business Case'!E12*$B929)-'Business Case'!E11*$C929*'Business Case'!E13*$D929-'Business Case'!E14*$E929))*'Business Case'!$B$7-'Business Case'!$B$8*(('Business Case'!E11*$C929*'Business Case'!E12*$B929)-('Business Case'!D11*$C929*'Business Case'!D12*$B929))-'Business Case'!E15*$F929</f>
        <v>675249347.148388</v>
      </c>
      <c r="L929" s="39" t="n">
        <f aca="false">(('Business Case'!F11*$C929*'Business Case'!F12*$B929)-'Business Case'!F11*$C929*'Business Case'!F13*$D929-'Business Case'!F14*$E929)-MAX(0,(('Business Case'!F11*$C929*'Business Case'!F12*$B929)-'Business Case'!F11*$C929*'Business Case'!F13*$D929-'Business Case'!F14*$E929))*'Business Case'!$B$7-'Business Case'!$B$8*(('Business Case'!F11*$C929*'Business Case'!F12*$B929)-('Business Case'!E11*$C929*'Business Case'!E12*$B929))-'Business Case'!F15*$F929</f>
        <v>811382019.11389</v>
      </c>
      <c r="M929" s="39" t="n">
        <f aca="false">(('Business Case'!G11*$C929*'Business Case'!G12*$B929)-'Business Case'!G11*$C929*'Business Case'!G13*$D929-'Business Case'!G14*$E929)-MAX(0,(('Business Case'!G11*$C929*'Business Case'!G12*$B929)-'Business Case'!G11*$C929*'Business Case'!G13*$D929-'Business Case'!G14*$E929))*'Business Case'!$B$7-'Business Case'!$B$8*(('Business Case'!G11*$C929*'Business Case'!G12*$B929)-('Business Case'!F11*$C929*'Business Case'!F12*$B929))-'Business Case'!G15*$F929+'Business Case'!$B$8*('Business Case'!G11*$C929*'Business Case'!G12*$B929)</f>
        <v>1000633354.59663</v>
      </c>
      <c r="N929" s="39" t="n">
        <f aca="false">IF(COUNT('Business Case'!B11:G11)=0,"",H929+NPV(G929,I929:M929))</f>
        <v>21382276.7027977</v>
      </c>
      <c r="P929" s="40" t="n">
        <f aca="true">RAND()</f>
        <v>0.512691619207733</v>
      </c>
      <c r="Q929" s="40" t="n">
        <f aca="true">RAND()</f>
        <v>0.60249642609638</v>
      </c>
      <c r="R929" s="40" t="n">
        <f aca="true">RAND()</f>
        <v>0.26374782181852</v>
      </c>
      <c r="S929" s="40" t="n">
        <f aca="true">RAND()</f>
        <v>0.178946493376269</v>
      </c>
      <c r="T929" s="40" t="n">
        <f aca="true">RAND()</f>
        <v>0.022970481204979</v>
      </c>
      <c r="U929" s="40" t="n">
        <f aca="true">RAND()</f>
        <v>0.415247781019057</v>
      </c>
    </row>
    <row r="930" customFormat="false" ht="15" hidden="false" customHeight="false" outlineLevel="0" collapsed="false">
      <c r="A930" s="36" t="n">
        <v>850</v>
      </c>
      <c r="B930" s="37" t="n">
        <f aca="false">1+IF($G$6=$E$6,$F$6,IF(P930&lt;($F$6-$E$6)/($G$6-$E$6),$E$6+SQRT(P930*($G$6-$E$6)*($F$6-$E$6)),$G$6-SQRT((1-P930)*($G$6-$E$6)*($G$6-$F$6))))</f>
        <v>1.01066697162669</v>
      </c>
      <c r="C930" s="37" t="n">
        <f aca="false">1+IF($G$7=$E$7,$F$7,IF(Q930&lt;($F$7-$E$7)/($G$7-$E$7),$E$7+SQRT(Q930*($G$7-$E$7)*($F$7-$E$7)),$G$7-SQRT((1-Q930)*($G$7-$E$7)*($G$7-$F$7))))</f>
        <v>0.950803705595418</v>
      </c>
      <c r="D930" s="37" t="n">
        <f aca="false">1+IF($G$8=$E$8,$F$8,IF(R930&lt;($F$8-$E$8)/($G$8-$E$8),$E$8+SQRT(R930*($G$8-$E$8)*($F$8-$E$8)),$G$8-SQRT((1-R930)*($G$8-$E$8)*($G$8-$F$8))))</f>
        <v>1.02673242813207</v>
      </c>
      <c r="E930" s="37" t="n">
        <f aca="false">1+IF($G$9=$E$9,$F$9,IF(S930&lt;($F$9-$E$9)/($G$9-$E$9),$E$9+SQRT(S930*($G$9-$E$9)*($F$9-$E$9)),$G$9-SQRT((1-S930)*($G$9-$E$9)*($G$9-$F$9))))</f>
        <v>0.998962472321059</v>
      </c>
      <c r="F930" s="37" t="n">
        <f aca="false">1+IF($G$10=$E$10,$F$10,IF(T930&lt;($F$10-$E$10)/($G$10-$E$10),$E$10+SQRT(T930*($G$10-$E$10)*($F$10-$E$10)),$G$10-SQRT((1-T930)*($G$10-$E$10)*($G$10-$F$10))))</f>
        <v>1.05472322749019</v>
      </c>
      <c r="G930" s="38" t="n">
        <f aca="false">IF($G$11=$E$11,$F$11,IF(U930&lt;($F$11-$E$11)/($G$11-$E$11),$E$11+SQRT(U930*($G$11-$E$11)*($F$11-$E$11)),$G$11-SQRT((1-U930)*($G$11-$E$11)*($G$11-$F$11))))</f>
        <v>0.100912583805522</v>
      </c>
      <c r="H930" s="39" t="n">
        <f aca="false">(('Business Case'!B11*$C930*'Business Case'!B12*$B930)-'Business Case'!B11*$C930*'Business Case'!B13*$D930-'Business Case'!B14*$E930)-MAX(0,(('Business Case'!B11*$C930*'Business Case'!B12*$B930)-'Business Case'!B11*$C930*'Business Case'!B13*$D930-'Business Case'!B14*$E930))*'Business Case'!$B$7-'Business Case'!$B$8*('Business Case'!B11*$C930*'Business Case'!B12*$B930)-'Business Case'!B15*$F930</f>
        <v>-2109446454.98038</v>
      </c>
      <c r="I930" s="39" t="n">
        <f aca="false">(('Business Case'!C11*$C930*'Business Case'!C12*$B930)-'Business Case'!C11*$C930*'Business Case'!C13*$D930-'Business Case'!C14*$E930)-MAX(0,(('Business Case'!C11*$C930*'Business Case'!C12*$B930)-'Business Case'!C11*$C930*'Business Case'!C13*$D930-'Business Case'!C14*$E930))*'Business Case'!$B$7-'Business Case'!$B$8*(('Business Case'!C11*$C930*'Business Case'!C12*$B930)-('Business Case'!B11*$C930*'Business Case'!B12*$B930))-'Business Case'!C15*$F930</f>
        <v>-10003393.1745924</v>
      </c>
      <c r="J930" s="39" t="n">
        <f aca="false">(('Business Case'!D11*$C930*'Business Case'!D12*$B930)-'Business Case'!D11*$C930*'Business Case'!D13*$D930-'Business Case'!D14*$E930)-MAX(0,(('Business Case'!D11*$C930*'Business Case'!D12*$B930)-'Business Case'!D11*$C930*'Business Case'!D13*$D930-'Business Case'!D14*$E930))*'Business Case'!$B$7-'Business Case'!$B$8*(('Business Case'!D11*$C930*'Business Case'!D12*$B930)-('Business Case'!C11*$C930*'Business Case'!C12*$B930))-'Business Case'!D15*$F930</f>
        <v>277333435.510379</v>
      </c>
      <c r="K930" s="39" t="n">
        <f aca="false">(('Business Case'!E11*$C930*'Business Case'!E12*$B930)-'Business Case'!E11*$C930*'Business Case'!E13*$D930-'Business Case'!E14*$E930)-MAX(0,(('Business Case'!E11*$C930*'Business Case'!E12*$B930)-'Business Case'!E11*$C930*'Business Case'!E13*$D930-'Business Case'!E14*$E930))*'Business Case'!$B$7-'Business Case'!$B$8*(('Business Case'!E11*$C930*'Business Case'!E12*$B930)-('Business Case'!D11*$C930*'Business Case'!D12*$B930))-'Business Case'!E15*$F930</f>
        <v>617406425.569859</v>
      </c>
      <c r="L930" s="39" t="n">
        <f aca="false">(('Business Case'!F11*$C930*'Business Case'!F12*$B930)-'Business Case'!F11*$C930*'Business Case'!F13*$D930-'Business Case'!F14*$E930)-MAX(0,(('Business Case'!F11*$C930*'Business Case'!F12*$B930)-'Business Case'!F11*$C930*'Business Case'!F13*$D930-'Business Case'!F14*$E930))*'Business Case'!$B$7-'Business Case'!$B$8*(('Business Case'!F11*$C930*'Business Case'!F12*$B930)-('Business Case'!E11*$C930*'Business Case'!E12*$B930))-'Business Case'!F15*$F930</f>
        <v>746395658.829176</v>
      </c>
      <c r="M930" s="39" t="n">
        <f aca="false">(('Business Case'!G11*$C930*'Business Case'!G12*$B930)-'Business Case'!G11*$C930*'Business Case'!G13*$D930-'Business Case'!G14*$E930)-MAX(0,(('Business Case'!G11*$C930*'Business Case'!G12*$B930)-'Business Case'!G11*$C930*'Business Case'!G13*$D930-'Business Case'!G14*$E930))*'Business Case'!$B$7-'Business Case'!$B$8*(('Business Case'!G11*$C930*'Business Case'!G12*$B930)-('Business Case'!F11*$C930*'Business Case'!F12*$B930))-'Business Case'!G15*$F930+'Business Case'!$B$8*('Business Case'!G11*$C930*'Business Case'!G12*$B930)</f>
        <v>929052255.832972</v>
      </c>
      <c r="N930" s="39" t="n">
        <f aca="false">IF(COUNT('Business Case'!B11:G11)=0,"",H930+NPV(G930,I930:M930))</f>
        <v>-344406144.59304</v>
      </c>
      <c r="P930" s="40" t="n">
        <f aca="true">RAND()</f>
        <v>0.820744468010577</v>
      </c>
      <c r="Q930" s="40" t="n">
        <f aca="true">RAND()</f>
        <v>0.324882251732995</v>
      </c>
      <c r="R930" s="40" t="n">
        <f aca="true">RAND()</f>
        <v>0.727169787239921</v>
      </c>
      <c r="S930" s="40" t="n">
        <f aca="true">RAND()</f>
        <v>0.319643159438726</v>
      </c>
      <c r="T930" s="40" t="n">
        <f aca="true">RAND()</f>
        <v>0.577893187382656</v>
      </c>
      <c r="U930" s="40" t="n">
        <f aca="true">RAND()</f>
        <v>0.392784238364606</v>
      </c>
    </row>
    <row r="931" customFormat="false" ht="15" hidden="false" customHeight="false" outlineLevel="0" collapsed="false">
      <c r="A931" s="36" t="n">
        <v>851</v>
      </c>
      <c r="B931" s="37" t="n">
        <f aca="false">1+IF($G$6=$E$6,$F$6,IF(P931&lt;($F$6-$E$6)/($G$6-$E$6),$E$6+SQRT(P931*($G$6-$E$6)*($F$6-$E$6)),$G$6-SQRT((1-P931)*($G$6-$E$6)*($G$6-$F$6))))</f>
        <v>1.01101332557772</v>
      </c>
      <c r="C931" s="37" t="n">
        <f aca="false">1+IF($G$7=$E$7,$F$7,IF(Q931&lt;($F$7-$E$7)/($G$7-$E$7),$E$7+SQRT(Q931*($G$7-$E$7)*($F$7-$E$7)),$G$7-SQRT((1-Q931)*($G$7-$E$7)*($G$7-$F$7))))</f>
        <v>1.1052389253591</v>
      </c>
      <c r="D931" s="37" t="n">
        <f aca="false">1+IF($G$8=$E$8,$F$8,IF(R931&lt;($F$8-$E$8)/($G$8-$E$8),$E$8+SQRT(R931*($G$8-$E$8)*($F$8-$E$8)),$G$8-SQRT((1-R931)*($G$8-$E$8)*($G$8-$F$8))))</f>
        <v>1.01999382558754</v>
      </c>
      <c r="E931" s="37" t="n">
        <f aca="false">1+IF($G$9=$E$9,$F$9,IF(S931&lt;($F$9-$E$9)/($G$9-$E$9),$E$9+SQRT(S931*($G$9-$E$9)*($F$9-$E$9)),$G$9-SQRT((1-S931)*($G$9-$E$9)*($G$9-$F$9))))</f>
        <v>1.04097564556592</v>
      </c>
      <c r="F931" s="37" t="n">
        <f aca="false">1+IF($G$10=$E$10,$F$10,IF(T931&lt;($F$10-$E$10)/($G$10-$E$10),$E$10+SQRT(T931*($G$10-$E$10)*($F$10-$E$10)),$G$10-SQRT((1-T931)*($G$10-$E$10)*($G$10-$F$10))))</f>
        <v>1.08031832132376</v>
      </c>
      <c r="G931" s="38" t="n">
        <f aca="false">IF($G$11=$E$11,$F$11,IF(U931&lt;($F$11-$E$11)/($G$11-$E$11),$E$11+SQRT(U931*($G$11-$E$11)*($F$11-$E$11)),$G$11-SQRT((1-U931)*($G$11-$E$11)*($G$11-$F$11))))</f>
        <v>0.0984366344438254</v>
      </c>
      <c r="H931" s="39" t="n">
        <f aca="false">(('Business Case'!B11*$C931*'Business Case'!B12*$B931)-'Business Case'!B11*$C931*'Business Case'!B13*$D931-'Business Case'!B14*$E931)-MAX(0,(('Business Case'!B11*$C931*'Business Case'!B12*$B931)-'Business Case'!B11*$C931*'Business Case'!B13*$D931-'Business Case'!B14*$E931))*'Business Case'!$B$7-'Business Case'!$B$8*('Business Case'!B11*$C931*'Business Case'!B12*$B931)-'Business Case'!B15*$F931</f>
        <v>-2160636642.64753</v>
      </c>
      <c r="I931" s="39" t="n">
        <f aca="false">(('Business Case'!C11*$C931*'Business Case'!C12*$B931)-'Business Case'!C11*$C931*'Business Case'!C13*$D931-'Business Case'!C14*$E931)-MAX(0,(('Business Case'!C11*$C931*'Business Case'!C12*$B931)-'Business Case'!C11*$C931*'Business Case'!C13*$D931-'Business Case'!C14*$E931))*'Business Case'!$B$7-'Business Case'!$B$8*(('Business Case'!C11*$C931*'Business Case'!C12*$B931)-('Business Case'!B11*$C931*'Business Case'!B12*$B931))-'Business Case'!C15*$F931</f>
        <v>24148827.9463868</v>
      </c>
      <c r="J931" s="39" t="n">
        <f aca="false">(('Business Case'!D11*$C931*'Business Case'!D12*$B931)-'Business Case'!D11*$C931*'Business Case'!D13*$D931-'Business Case'!D14*$E931)-MAX(0,(('Business Case'!D11*$C931*'Business Case'!D12*$B931)-'Business Case'!D11*$C931*'Business Case'!D13*$D931-'Business Case'!D14*$E931))*'Business Case'!$B$7-'Business Case'!$B$8*(('Business Case'!D11*$C931*'Business Case'!D12*$B931)-('Business Case'!C11*$C931*'Business Case'!C12*$B931))-'Business Case'!D15*$F931</f>
        <v>362282825.65682</v>
      </c>
      <c r="K931" s="39" t="n">
        <f aca="false">(('Business Case'!E11*$C931*'Business Case'!E12*$B931)-'Business Case'!E11*$C931*'Business Case'!E13*$D931-'Business Case'!E14*$E931)-MAX(0,(('Business Case'!E11*$C931*'Business Case'!E12*$B931)-'Business Case'!E11*$C931*'Business Case'!E13*$D931-'Business Case'!E14*$E931))*'Business Case'!$B$7-'Business Case'!$B$8*(('Business Case'!E11*$C931*'Business Case'!E12*$B931)-('Business Case'!D11*$C931*'Business Case'!D12*$B931))-'Business Case'!E15*$F931</f>
        <v>754432739.433441</v>
      </c>
      <c r="L931" s="39" t="n">
        <f aca="false">(('Business Case'!F11*$C931*'Business Case'!F12*$B931)-'Business Case'!F11*$C931*'Business Case'!F13*$D931-'Business Case'!F14*$E931)-MAX(0,(('Business Case'!F11*$C931*'Business Case'!F12*$B931)-'Business Case'!F11*$C931*'Business Case'!F13*$D931-'Business Case'!F14*$E931))*'Business Case'!$B$7-'Business Case'!$B$8*(('Business Case'!F11*$C931*'Business Case'!F12*$B931)-('Business Case'!E11*$C931*'Business Case'!E12*$B931))-'Business Case'!F15*$F931</f>
        <v>905761805.891717</v>
      </c>
      <c r="M931" s="39" t="n">
        <f aca="false">(('Business Case'!G11*$C931*'Business Case'!G12*$B931)-'Business Case'!G11*$C931*'Business Case'!G13*$D931-'Business Case'!G14*$E931)-MAX(0,(('Business Case'!G11*$C931*'Business Case'!G12*$B931)-'Business Case'!G11*$C931*'Business Case'!G13*$D931-'Business Case'!G14*$E931))*'Business Case'!$B$7-'Business Case'!$B$8*(('Business Case'!G11*$C931*'Business Case'!G12*$B931)-('Business Case'!F11*$C931*'Business Case'!F12*$B931))-'Business Case'!G15*$F931+'Business Case'!$B$8*('Business Case'!G11*$C931*'Business Case'!G12*$B931)</f>
        <v>1118159342.27643</v>
      </c>
      <c r="N931" s="39" t="n">
        <f aca="false">IF(COUNT('Business Case'!B11:G11)=0,"",H931+NPV(G931,I931:M931))</f>
        <v>52269241.2115755</v>
      </c>
      <c r="P931" s="40" t="n">
        <f aca="true">RAND()</f>
        <v>0.824952647070211</v>
      </c>
      <c r="Q931" s="40" t="n">
        <f aca="true">RAND()</f>
        <v>0.961837070418896</v>
      </c>
      <c r="R931" s="40" t="n">
        <f aca="true">RAND()</f>
        <v>0.653774906959805</v>
      </c>
      <c r="S931" s="40" t="n">
        <f aca="true">RAND()</f>
        <v>0.767741705576043</v>
      </c>
      <c r="T931" s="40" t="n">
        <f aca="true">RAND()</f>
        <v>0.713525915784765</v>
      </c>
      <c r="U931" s="40" t="n">
        <f aca="true">RAND()</f>
        <v>0.237256002462472</v>
      </c>
    </row>
    <row r="932" customFormat="false" ht="15" hidden="false" customHeight="false" outlineLevel="0" collapsed="false">
      <c r="A932" s="36" t="n">
        <v>852</v>
      </c>
      <c r="B932" s="37" t="n">
        <f aca="false">1+IF($G$6=$E$6,$F$6,IF(P932&lt;($F$6-$E$6)/($G$6-$E$6),$E$6+SQRT(P932*($G$6-$E$6)*($F$6-$E$6)),$G$6-SQRT((1-P932)*($G$6-$E$6)*($G$6-$F$6))))</f>
        <v>1.03315571622285</v>
      </c>
      <c r="C932" s="37" t="n">
        <f aca="false">1+IF($G$7=$E$7,$F$7,IF(Q932&lt;($F$7-$E$7)/($G$7-$E$7),$E$7+SQRT(Q932*($G$7-$E$7)*($F$7-$E$7)),$G$7-SQRT((1-Q932)*($G$7-$E$7)*($G$7-$F$7))))</f>
        <v>0.954931569454961</v>
      </c>
      <c r="D932" s="37" t="n">
        <f aca="false">1+IF($G$8=$E$8,$F$8,IF(R932&lt;($F$8-$E$8)/($G$8-$E$8),$E$8+SQRT(R932*($G$8-$E$8)*($F$8-$E$8)),$G$8-SQRT((1-R932)*($G$8-$E$8)*($G$8-$F$8))))</f>
        <v>0.987839402040996</v>
      </c>
      <c r="E932" s="37" t="n">
        <f aca="false">1+IF($G$9=$E$9,$F$9,IF(S932&lt;($F$9-$E$9)/($G$9-$E$9),$E$9+SQRT(S932*($G$9-$E$9)*($F$9-$E$9)),$G$9-SQRT((1-S932)*($G$9-$E$9)*($G$9-$F$9))))</f>
        <v>1.04158599769628</v>
      </c>
      <c r="F932" s="37" t="n">
        <f aca="false">1+IF($G$10=$E$10,$F$10,IF(T932&lt;($F$10-$E$10)/($G$10-$E$10),$E$10+SQRT(T932*($G$10-$E$10)*($F$10-$E$10)),$G$10-SQRT((1-T932)*($G$10-$E$10)*($G$10-$F$10))))</f>
        <v>1.04253617183344</v>
      </c>
      <c r="G932" s="38" t="n">
        <f aca="false">IF($G$11=$E$11,$F$11,IF(U932&lt;($F$11-$E$11)/($G$11-$E$11),$E$11+SQRT(U932*($G$11-$E$11)*($F$11-$E$11)),$G$11-SQRT((1-U932)*($G$11-$E$11)*($G$11-$F$11))))</f>
        <v>0.109057718118254</v>
      </c>
      <c r="H932" s="39" t="n">
        <f aca="false">(('Business Case'!B11*$C932*'Business Case'!B12*$B932)-'Business Case'!B11*$C932*'Business Case'!B13*$D932-'Business Case'!B14*$E932)-MAX(0,(('Business Case'!B11*$C932*'Business Case'!B12*$B932)-'Business Case'!B11*$C932*'Business Case'!B13*$D932-'Business Case'!B14*$E932))*'Business Case'!$B$7-'Business Case'!$B$8*('Business Case'!B11*$C932*'Business Case'!B12*$B932)-'Business Case'!B15*$F932</f>
        <v>-2085072343.66687</v>
      </c>
      <c r="I932" s="39" t="n">
        <f aca="false">(('Business Case'!C11*$C932*'Business Case'!C12*$B932)-'Business Case'!C11*$C932*'Business Case'!C13*$D932-'Business Case'!C14*$E932)-MAX(0,(('Business Case'!C11*$C932*'Business Case'!C12*$B932)-'Business Case'!C11*$C932*'Business Case'!C13*$D932-'Business Case'!C14*$E932))*'Business Case'!$B$7-'Business Case'!$B$8*(('Business Case'!C11*$C932*'Business Case'!C12*$B932)-('Business Case'!B11*$C932*'Business Case'!B12*$B932))-'Business Case'!C15*$F932</f>
        <v>21674703.748929</v>
      </c>
      <c r="J932" s="39" t="n">
        <f aca="false">(('Business Case'!D11*$C932*'Business Case'!D12*$B932)-'Business Case'!D11*$C932*'Business Case'!D13*$D932-'Business Case'!D14*$E932)-MAX(0,(('Business Case'!D11*$C932*'Business Case'!D12*$B932)-'Business Case'!D11*$C932*'Business Case'!D13*$D932-'Business Case'!D14*$E932))*'Business Case'!$B$7-'Business Case'!$B$8*(('Business Case'!D11*$C932*'Business Case'!D12*$B932)-('Business Case'!C11*$C932*'Business Case'!C12*$B932))-'Business Case'!D15*$F932</f>
        <v>346861535.170449</v>
      </c>
      <c r="K932" s="39" t="n">
        <f aca="false">(('Business Case'!E11*$C932*'Business Case'!E12*$B932)-'Business Case'!E11*$C932*'Business Case'!E13*$D932-'Business Case'!E14*$E932)-MAX(0,(('Business Case'!E11*$C932*'Business Case'!E12*$B932)-'Business Case'!E11*$C932*'Business Case'!E13*$D932-'Business Case'!E14*$E932))*'Business Case'!$B$7-'Business Case'!$B$8*(('Business Case'!E11*$C932*'Business Case'!E12*$B932)-('Business Case'!D11*$C932*'Business Case'!D12*$B932))-'Business Case'!E15*$F932</f>
        <v>724175175.183642</v>
      </c>
      <c r="L932" s="39" t="n">
        <f aca="false">(('Business Case'!F11*$C932*'Business Case'!F12*$B932)-'Business Case'!F11*$C932*'Business Case'!F13*$D932-'Business Case'!F14*$E932)-MAX(0,(('Business Case'!F11*$C932*'Business Case'!F12*$B932)-'Business Case'!F11*$C932*'Business Case'!F13*$D932-'Business Case'!F14*$E932))*'Business Case'!$B$7-'Business Case'!$B$8*(('Business Case'!F11*$C932*'Business Case'!F12*$B932)-('Business Case'!E11*$C932*'Business Case'!E12*$B932))-'Business Case'!F15*$F932</f>
        <v>866667440.068706</v>
      </c>
      <c r="M932" s="39" t="n">
        <f aca="false">(('Business Case'!G11*$C932*'Business Case'!G12*$B932)-'Business Case'!G11*$C932*'Business Case'!G13*$D932-'Business Case'!G14*$E932)-MAX(0,(('Business Case'!G11*$C932*'Business Case'!G12*$B932)-'Business Case'!G11*$C932*'Business Case'!G13*$D932-'Business Case'!G14*$E932))*'Business Case'!$B$7-'Business Case'!$B$8*(('Business Case'!G11*$C932*'Business Case'!G12*$B932)-('Business Case'!F11*$C932*'Business Case'!F12*$B932))-'Business Case'!G15*$F932+'Business Case'!$B$8*('Business Case'!G11*$C932*'Business Case'!G12*$B932)</f>
        <v>1054199039.33044</v>
      </c>
      <c r="N932" s="39" t="n">
        <f aca="false">IF(COUNT('Business Case'!B11:G11)=0,"",H932+NPV(G932,I932:M932))</f>
        <v>-51546970.3241537</v>
      </c>
      <c r="P932" s="40" t="n">
        <f aca="true">RAND()</f>
        <v>0.990240787412061</v>
      </c>
      <c r="Q932" s="40" t="n">
        <f aca="true">RAND()</f>
        <v>0.342911303053962</v>
      </c>
      <c r="R932" s="40" t="n">
        <f aca="true">RAND()</f>
        <v>0.220280053356943</v>
      </c>
      <c r="S932" s="40" t="n">
        <f aca="true">RAND()</f>
        <v>0.772520288990696</v>
      </c>
      <c r="T932" s="40" t="n">
        <f aca="true">RAND()</f>
        <v>0.504102856382611</v>
      </c>
      <c r="U932" s="40" t="n">
        <f aca="true">RAND()</f>
        <v>0.800444112034006</v>
      </c>
    </row>
    <row r="933" customFormat="false" ht="15" hidden="false" customHeight="false" outlineLevel="0" collapsed="false">
      <c r="A933" s="36" t="n">
        <v>853</v>
      </c>
      <c r="B933" s="37" t="n">
        <f aca="false">1+IF($G$6=$E$6,$F$6,IF(P933&lt;($F$6-$E$6)/($G$6-$E$6),$E$6+SQRT(P933*($G$6-$E$6)*($F$6-$E$6)),$G$6-SQRT((1-P933)*($G$6-$E$6)*($G$6-$F$6))))</f>
        <v>0.994085336291456</v>
      </c>
      <c r="C933" s="37" t="n">
        <f aca="false">1+IF($G$7=$E$7,$F$7,IF(Q933&lt;($F$7-$E$7)/($G$7-$E$7),$E$7+SQRT(Q933*($G$7-$E$7)*($F$7-$E$7)),$G$7-SQRT((1-Q933)*($G$7-$E$7)*($G$7-$F$7))))</f>
        <v>1.02598288087233</v>
      </c>
      <c r="D933" s="37" t="n">
        <f aca="false">1+IF($G$8=$E$8,$F$8,IF(R933&lt;($F$8-$E$8)/($G$8-$E$8),$E$8+SQRT(R933*($G$8-$E$8)*($F$8-$E$8)),$G$8-SQRT((1-R933)*($G$8-$E$8)*($G$8-$F$8))))</f>
        <v>1.03703250529233</v>
      </c>
      <c r="E933" s="37" t="n">
        <f aca="false">1+IF($G$9=$E$9,$F$9,IF(S933&lt;($F$9-$E$9)/($G$9-$E$9),$E$9+SQRT(S933*($G$9-$E$9)*($F$9-$E$9)),$G$9-SQRT((1-S933)*($G$9-$E$9)*($G$9-$F$9))))</f>
        <v>1.00980602766362</v>
      </c>
      <c r="F933" s="37" t="n">
        <f aca="false">1+IF($G$10=$E$10,$F$10,IF(T933&lt;($F$10-$E$10)/($G$10-$E$10),$E$10+SQRT(T933*($G$10-$E$10)*($F$10-$E$10)),$G$10-SQRT((1-T933)*($G$10-$E$10)*($G$10-$F$10))))</f>
        <v>1.04158886232973</v>
      </c>
      <c r="G933" s="38" t="n">
        <f aca="false">IF($G$11=$E$11,$F$11,IF(U933&lt;($F$11-$E$11)/($G$11-$E$11),$E$11+SQRT(U933*($G$11-$E$11)*($F$11-$E$11)),$G$11-SQRT((1-U933)*($G$11-$E$11)*($G$11-$F$11))))</f>
        <v>0.0992039034459745</v>
      </c>
      <c r="H933" s="39" t="n">
        <f aca="false">(('Business Case'!B11*$C933*'Business Case'!B12*$B933)-'Business Case'!B11*$C933*'Business Case'!B13*$D933-'Business Case'!B14*$E933)-MAX(0,(('Business Case'!B11*$C933*'Business Case'!B12*$B933)-'Business Case'!B11*$C933*'Business Case'!B13*$D933-'Business Case'!B14*$E933))*'Business Case'!$B$7-'Business Case'!$B$8*('Business Case'!B11*$C933*'Business Case'!B12*$B933)-'Business Case'!B15*$F933</f>
        <v>-2083177724.65945</v>
      </c>
      <c r="I933" s="39" t="n">
        <f aca="false">(('Business Case'!C11*$C933*'Business Case'!C12*$B933)-'Business Case'!C11*$C933*'Business Case'!C13*$D933-'Business Case'!C14*$E933)-MAX(0,(('Business Case'!C11*$C933*'Business Case'!C12*$B933)-'Business Case'!C11*$C933*'Business Case'!C13*$D933-'Business Case'!C14*$E933))*'Business Case'!$B$7-'Business Case'!$B$8*(('Business Case'!C11*$C933*'Business Case'!C12*$B933)-('Business Case'!B11*$C933*'Business Case'!B12*$B933))-'Business Case'!C15*$F933</f>
        <v>-9913644.82074752</v>
      </c>
      <c r="J933" s="39" t="n">
        <f aca="false">(('Business Case'!D11*$C933*'Business Case'!D12*$B933)-'Business Case'!D11*$C933*'Business Case'!D13*$D933-'Business Case'!D14*$E933)-MAX(0,(('Business Case'!D11*$C933*'Business Case'!D12*$B933)-'Business Case'!D11*$C933*'Business Case'!D13*$D933-'Business Case'!D14*$E933))*'Business Case'!$B$7-'Business Case'!$B$8*(('Business Case'!D11*$C933*'Business Case'!D12*$B933)-('Business Case'!C11*$C933*'Business Case'!C12*$B933))-'Business Case'!D15*$F933</f>
        <v>280798383.331683</v>
      </c>
      <c r="K933" s="39" t="n">
        <f aca="false">(('Business Case'!E11*$C933*'Business Case'!E12*$B933)-'Business Case'!E11*$C933*'Business Case'!E13*$D933-'Business Case'!E14*$E933)-MAX(0,(('Business Case'!E11*$C933*'Business Case'!E12*$B933)-'Business Case'!E11*$C933*'Business Case'!E13*$D933-'Business Case'!E14*$E933))*'Business Case'!$B$7-'Business Case'!$B$8*(('Business Case'!E11*$C933*'Business Case'!E12*$B933)-('Business Case'!D11*$C933*'Business Case'!D12*$B933))-'Business Case'!E15*$F933</f>
        <v>623589854.600601</v>
      </c>
      <c r="L933" s="39" t="n">
        <f aca="false">(('Business Case'!F11*$C933*'Business Case'!F12*$B933)-'Business Case'!F11*$C933*'Business Case'!F13*$D933-'Business Case'!F14*$E933)-MAX(0,(('Business Case'!F11*$C933*'Business Case'!F12*$B933)-'Business Case'!F11*$C933*'Business Case'!F13*$D933-'Business Case'!F14*$E933))*'Business Case'!$B$7-'Business Case'!$B$8*(('Business Case'!F11*$C933*'Business Case'!F12*$B933)-('Business Case'!E11*$C933*'Business Case'!E12*$B933))-'Business Case'!F15*$F933</f>
        <v>755742110.389037</v>
      </c>
      <c r="M933" s="39" t="n">
        <f aca="false">(('Business Case'!G11*$C933*'Business Case'!G12*$B933)-'Business Case'!G11*$C933*'Business Case'!G13*$D933-'Business Case'!G14*$E933)-MAX(0,(('Business Case'!G11*$C933*'Business Case'!G12*$B933)-'Business Case'!G11*$C933*'Business Case'!G13*$D933-'Business Case'!G14*$E933))*'Business Case'!$B$7-'Business Case'!$B$8*(('Business Case'!G11*$C933*'Business Case'!G12*$B933)-('Business Case'!F11*$C933*'Business Case'!F12*$B933))-'Business Case'!G15*$F933+'Business Case'!$B$8*('Business Case'!G11*$C933*'Business Case'!G12*$B933)</f>
        <v>949607465.612646</v>
      </c>
      <c r="N933" s="39" t="n">
        <f aca="false">IF(COUNT('Business Case'!B11:G11)=0,"",H933+NPV(G933,I933:M933))</f>
        <v>-280815778.855861</v>
      </c>
      <c r="P933" s="40" t="n">
        <f aca="true">RAND()</f>
        <v>0.571733026397725</v>
      </c>
      <c r="Q933" s="40" t="n">
        <f aca="true">RAND()</f>
        <v>0.707042936443299</v>
      </c>
      <c r="R933" s="40" t="n">
        <f aca="true">RAND()</f>
        <v>0.82248023062944</v>
      </c>
      <c r="S933" s="40" t="n">
        <f aca="true">RAND()</f>
        <v>0.457669823612304</v>
      </c>
      <c r="T933" s="40" t="n">
        <f aca="true">RAND()</f>
        <v>0.49811822924019</v>
      </c>
      <c r="U933" s="40" t="n">
        <f aca="true">RAND()</f>
        <v>0.28237279547607</v>
      </c>
    </row>
    <row r="934" customFormat="false" ht="15" hidden="false" customHeight="false" outlineLevel="0" collapsed="false">
      <c r="A934" s="36" t="n">
        <v>854</v>
      </c>
      <c r="B934" s="37" t="n">
        <f aca="false">1+IF($G$6=$E$6,$F$6,IF(P934&lt;($F$6-$E$6)/($G$6-$E$6),$E$6+SQRT(P934*($G$6-$E$6)*($F$6-$E$6)),$G$6-SQRT((1-P934)*($G$6-$E$6)*($G$6-$F$6))))</f>
        <v>0.99955910946299</v>
      </c>
      <c r="C934" s="37" t="n">
        <f aca="false">1+IF($G$7=$E$7,$F$7,IF(Q934&lt;($F$7-$E$7)/($G$7-$E$7),$E$7+SQRT(Q934*($G$7-$E$7)*($F$7-$E$7)),$G$7-SQRT((1-Q934)*($G$7-$E$7)*($G$7-$F$7))))</f>
        <v>0.986608251634554</v>
      </c>
      <c r="D934" s="37" t="n">
        <f aca="false">1+IF($G$8=$E$8,$F$8,IF(R934&lt;($F$8-$E$8)/($G$8-$E$8),$E$8+SQRT(R934*($G$8-$E$8)*($F$8-$E$8)),$G$8-SQRT((1-R934)*($G$8-$E$8)*($G$8-$F$8))))</f>
        <v>1.0036628342243</v>
      </c>
      <c r="E934" s="37" t="n">
        <f aca="false">1+IF($G$9=$E$9,$F$9,IF(S934&lt;($F$9-$E$9)/($G$9-$E$9),$E$9+SQRT(S934*($G$9-$E$9)*($F$9-$E$9)),$G$9-SQRT((1-S934)*($G$9-$E$9)*($G$9-$F$9))))</f>
        <v>1.08687474051355</v>
      </c>
      <c r="F934" s="37" t="n">
        <f aca="false">1+IF($G$10=$E$10,$F$10,IF(T934&lt;($F$10-$E$10)/($G$10-$E$10),$E$10+SQRT(T934*($G$10-$E$10)*($F$10-$E$10)),$G$10-SQRT((1-T934)*($G$10-$E$10)*($G$10-$F$10))))</f>
        <v>1.16312414665896</v>
      </c>
      <c r="G934" s="38" t="n">
        <f aca="false">IF($G$11=$E$11,$F$11,IF(U934&lt;($F$11-$E$11)/($G$11-$E$11),$E$11+SQRT(U934*($G$11-$E$11)*($F$11-$E$11)),$G$11-SQRT((1-U934)*($G$11-$E$11)*($G$11-$F$11))))</f>
        <v>0.10490040464397</v>
      </c>
      <c r="H934" s="39" t="n">
        <f aca="false">(('Business Case'!B11*$C934*'Business Case'!B12*$B934)-'Business Case'!B11*$C934*'Business Case'!B13*$D934-'Business Case'!B14*$E934)-MAX(0,(('Business Case'!B11*$C934*'Business Case'!B12*$B934)-'Business Case'!B11*$C934*'Business Case'!B13*$D934-'Business Case'!B14*$E934))*'Business Case'!$B$7-'Business Case'!$B$8*('Business Case'!B11*$C934*'Business Case'!B12*$B934)-'Business Case'!B15*$F934</f>
        <v>-2326248293.31792</v>
      </c>
      <c r="I934" s="39" t="n">
        <f aca="false">(('Business Case'!C11*$C934*'Business Case'!C12*$B934)-'Business Case'!C11*$C934*'Business Case'!C13*$D934-'Business Case'!C14*$E934)-MAX(0,(('Business Case'!C11*$C934*'Business Case'!C12*$B934)-'Business Case'!C11*$C934*'Business Case'!C13*$D934-'Business Case'!C14*$E934))*'Business Case'!$B$7-'Business Case'!$B$8*(('Business Case'!C11*$C934*'Business Case'!C12*$B934)-('Business Case'!B11*$C934*'Business Case'!B12*$B934))-'Business Case'!C15*$F934</f>
        <v>-21156779.712008</v>
      </c>
      <c r="J934" s="39" t="n">
        <f aca="false">(('Business Case'!D11*$C934*'Business Case'!D12*$B934)-'Business Case'!D11*$C934*'Business Case'!D13*$D934-'Business Case'!D14*$E934)-MAX(0,(('Business Case'!D11*$C934*'Business Case'!D12*$B934)-'Business Case'!D11*$C934*'Business Case'!D13*$D934-'Business Case'!D14*$E934))*'Business Case'!$B$7-'Business Case'!$B$8*(('Business Case'!D11*$C934*'Business Case'!D12*$B934)-('Business Case'!C11*$C934*'Business Case'!C12*$B934))-'Business Case'!D15*$F934</f>
        <v>279675665.420864</v>
      </c>
      <c r="K934" s="39" t="n">
        <f aca="false">(('Business Case'!E11*$C934*'Business Case'!E12*$B934)-'Business Case'!E11*$C934*'Business Case'!E13*$D934-'Business Case'!E14*$E934)-MAX(0,(('Business Case'!E11*$C934*'Business Case'!E12*$B934)-'Business Case'!E11*$C934*'Business Case'!E13*$D934-'Business Case'!E14*$E934))*'Business Case'!$B$7-'Business Case'!$B$8*(('Business Case'!E11*$C934*'Business Case'!E12*$B934)-('Business Case'!D11*$C934*'Business Case'!D12*$B934))-'Business Case'!E15*$F934</f>
        <v>638664317.886684</v>
      </c>
      <c r="L934" s="39" t="n">
        <f aca="false">(('Business Case'!F11*$C934*'Business Case'!F12*$B934)-'Business Case'!F11*$C934*'Business Case'!F13*$D934-'Business Case'!F14*$E934)-MAX(0,(('Business Case'!F11*$C934*'Business Case'!F12*$B934)-'Business Case'!F11*$C934*'Business Case'!F13*$D934-'Business Case'!F14*$E934))*'Business Case'!$B$7-'Business Case'!$B$8*(('Business Case'!F11*$C934*'Business Case'!F12*$B934)-('Business Case'!E11*$C934*'Business Case'!E12*$B934))-'Business Case'!F15*$F934</f>
        <v>773023947.649612</v>
      </c>
      <c r="M934" s="39" t="n">
        <f aca="false">(('Business Case'!G11*$C934*'Business Case'!G12*$B934)-'Business Case'!G11*$C934*'Business Case'!G13*$D934-'Business Case'!G14*$E934)-MAX(0,(('Business Case'!G11*$C934*'Business Case'!G12*$B934)-'Business Case'!G11*$C934*'Business Case'!G13*$D934-'Business Case'!G14*$E934))*'Business Case'!$B$7-'Business Case'!$B$8*(('Business Case'!G11*$C934*'Business Case'!G12*$B934)-('Business Case'!F11*$C934*'Business Case'!F12*$B934))-'Business Case'!G15*$F934+'Business Case'!$B$8*('Business Case'!G11*$C934*'Business Case'!G12*$B934)</f>
        <v>960475761.935451</v>
      </c>
      <c r="N934" s="39" t="n">
        <f aca="false">IF(COUNT('Business Case'!B11:G11)=0,"",H934+NPV(G934,I934:M934))</f>
        <v>-540870879.870728</v>
      </c>
      <c r="P934" s="40" t="n">
        <f aca="true">RAND()</f>
        <v>0.659338739431661</v>
      </c>
      <c r="Q934" s="40" t="n">
        <f aca="true">RAND()</f>
        <v>0.497466279687216</v>
      </c>
      <c r="R934" s="40" t="n">
        <f aca="true">RAND()</f>
        <v>0.439676646282018</v>
      </c>
      <c r="S934" s="40" t="n">
        <f aca="true">RAND()</f>
        <v>0.988515170894231</v>
      </c>
      <c r="T934" s="40" t="n">
        <f aca="true">RAND()</f>
        <v>0.972803428807403</v>
      </c>
      <c r="U934" s="40" t="n">
        <f aca="true">RAND()</f>
        <v>0.620003700140244</v>
      </c>
    </row>
    <row r="935" customFormat="false" ht="15" hidden="false" customHeight="false" outlineLevel="0" collapsed="false">
      <c r="A935" s="36" t="n">
        <v>855</v>
      </c>
      <c r="B935" s="37" t="n">
        <f aca="false">1+IF($G$6=$E$6,$F$6,IF(P935&lt;($F$6-$E$6)/($G$6-$E$6),$E$6+SQRT(P935*($G$6-$E$6)*($F$6-$E$6)),$G$6-SQRT((1-P935)*($G$6-$E$6)*($G$6-$F$6))))</f>
        <v>0.996303267374283</v>
      </c>
      <c r="C935" s="37" t="n">
        <f aca="false">1+IF($G$7=$E$7,$F$7,IF(Q935&lt;($F$7-$E$7)/($G$7-$E$7),$E$7+SQRT(Q935*($G$7-$E$7)*($F$7-$E$7)),$G$7-SQRT((1-Q935)*($G$7-$E$7)*($G$7-$F$7))))</f>
        <v>0.969559670363608</v>
      </c>
      <c r="D935" s="37" t="n">
        <f aca="false">1+IF($G$8=$E$8,$F$8,IF(R935&lt;($F$8-$E$8)/($G$8-$E$8),$E$8+SQRT(R935*($G$8-$E$8)*($F$8-$E$8)),$G$8-SQRT((1-R935)*($G$8-$E$8)*($G$8-$F$8))))</f>
        <v>0.961134003160357</v>
      </c>
      <c r="E935" s="37" t="n">
        <f aca="false">1+IF($G$9=$E$9,$F$9,IF(S935&lt;($F$9-$E$9)/($G$9-$E$9),$E$9+SQRT(S935*($G$9-$E$9)*($F$9-$E$9)),$G$9-SQRT((1-S935)*($G$9-$E$9)*($G$9-$F$9))))</f>
        <v>1.01840182387612</v>
      </c>
      <c r="F935" s="37" t="n">
        <f aca="false">1+IF($G$10=$E$10,$F$10,IF(T935&lt;($F$10-$E$10)/($G$10-$E$10),$E$10+SQRT(T935*($G$10-$E$10)*($F$10-$E$10)),$G$10-SQRT((1-T935)*($G$10-$E$10)*($G$10-$F$10))))</f>
        <v>1.18873849593431</v>
      </c>
      <c r="G935" s="38" t="n">
        <f aca="false">IF($G$11=$E$11,$F$11,IF(U935&lt;($F$11-$E$11)/($G$11-$E$11),$E$11+SQRT(U935*($G$11-$E$11)*($F$11-$E$11)),$G$11-SQRT((1-U935)*($G$11-$E$11)*($G$11-$F$11))))</f>
        <v>0.107389562129051</v>
      </c>
      <c r="H935" s="39" t="n">
        <f aca="false">(('Business Case'!B11*$C935*'Business Case'!B12*$B935)-'Business Case'!B11*$C935*'Business Case'!B13*$D935-'Business Case'!B14*$E935)-MAX(0,(('Business Case'!B11*$C935*'Business Case'!B12*$B935)-'Business Case'!B11*$C935*'Business Case'!B13*$D935-'Business Case'!B14*$E935))*'Business Case'!$B$7-'Business Case'!$B$8*('Business Case'!B11*$C935*'Business Case'!B12*$B935)-'Business Case'!B15*$F935</f>
        <v>-2377476991.86863</v>
      </c>
      <c r="I935" s="39" t="n">
        <f aca="false">(('Business Case'!C11*$C935*'Business Case'!C12*$B935)-'Business Case'!C11*$C935*'Business Case'!C13*$D935-'Business Case'!C14*$E935)-MAX(0,(('Business Case'!C11*$C935*'Business Case'!C12*$B935)-'Business Case'!C11*$C935*'Business Case'!C13*$D935-'Business Case'!C14*$E935))*'Business Case'!$B$7-'Business Case'!$B$8*(('Business Case'!C11*$C935*'Business Case'!C12*$B935)-('Business Case'!B11*$C935*'Business Case'!B12*$B935))-'Business Case'!C15*$F935</f>
        <v>390346.22482343</v>
      </c>
      <c r="J935" s="39" t="n">
        <f aca="false">(('Business Case'!D11*$C935*'Business Case'!D12*$B935)-'Business Case'!D11*$C935*'Business Case'!D13*$D935-'Business Case'!D14*$E935)-MAX(0,(('Business Case'!D11*$C935*'Business Case'!D12*$B935)-'Business Case'!D11*$C935*'Business Case'!D13*$D935-'Business Case'!D14*$E935))*'Business Case'!$B$7-'Business Case'!$B$8*(('Business Case'!D11*$C935*'Business Case'!D12*$B935)-('Business Case'!C11*$C935*'Business Case'!C12*$B935))-'Business Case'!D15*$F935</f>
        <v>314547449.633338</v>
      </c>
      <c r="K935" s="39" t="n">
        <f aca="false">(('Business Case'!E11*$C935*'Business Case'!E12*$B935)-'Business Case'!E11*$C935*'Business Case'!E13*$D935-'Business Case'!E14*$E935)-MAX(0,(('Business Case'!E11*$C935*'Business Case'!E12*$B935)-'Business Case'!E11*$C935*'Business Case'!E13*$D935-'Business Case'!E14*$E935))*'Business Case'!$B$7-'Business Case'!$B$8*(('Business Case'!E11*$C935*'Business Case'!E12*$B935)-('Business Case'!D11*$C935*'Business Case'!D12*$B935))-'Business Case'!E15*$F935</f>
        <v>688141477.838569</v>
      </c>
      <c r="L935" s="39" t="n">
        <f aca="false">(('Business Case'!F11*$C935*'Business Case'!F12*$B935)-'Business Case'!F11*$C935*'Business Case'!F13*$D935-'Business Case'!F14*$E935)-MAX(0,(('Business Case'!F11*$C935*'Business Case'!F12*$B935)-'Business Case'!F11*$C935*'Business Case'!F13*$D935-'Business Case'!F14*$E935))*'Business Case'!$B$7-'Business Case'!$B$8*(('Business Case'!F11*$C935*'Business Case'!F12*$B935)-('Business Case'!E11*$C935*'Business Case'!E12*$B935))-'Business Case'!F15*$F935</f>
        <v>826244624.46479</v>
      </c>
      <c r="M935" s="39" t="n">
        <f aca="false">(('Business Case'!G11*$C935*'Business Case'!G12*$B935)-'Business Case'!G11*$C935*'Business Case'!G13*$D935-'Business Case'!G14*$E935)-MAX(0,(('Business Case'!G11*$C935*'Business Case'!G12*$B935)-'Business Case'!G11*$C935*'Business Case'!G13*$D935-'Business Case'!G14*$E935))*'Business Case'!$B$7-'Business Case'!$B$8*(('Business Case'!G11*$C935*'Business Case'!G12*$B935)-('Business Case'!F11*$C935*'Business Case'!F12*$B935))-'Business Case'!G15*$F935+'Business Case'!$B$8*('Business Case'!G11*$C935*'Business Case'!G12*$B935)</f>
        <v>1009857241.32673</v>
      </c>
      <c r="N935" s="39" t="n">
        <f aca="false">IF(COUNT('Business Case'!B11:G11)=0,"",H935+NPV(G935,I935:M935))</f>
        <v>-458074626.030138</v>
      </c>
      <c r="P935" s="40" t="n">
        <f aca="true">RAND()</f>
        <v>0.60647798041576</v>
      </c>
      <c r="Q935" s="40" t="n">
        <f aca="true">RAND()</f>
        <v>0.410721168768791</v>
      </c>
      <c r="R935" s="40" t="n">
        <f aca="true">RAND()</f>
        <v>0.0190716963653582</v>
      </c>
      <c r="S935" s="40" t="n">
        <f aca="true">RAND()</f>
        <v>0.55611584355045</v>
      </c>
      <c r="T935" s="40" t="n">
        <f aca="true">RAND()</f>
        <v>0.99746357052357</v>
      </c>
      <c r="U935" s="40" t="n">
        <f aca="true">RAND()</f>
        <v>0.734961427838214</v>
      </c>
    </row>
    <row r="936" customFormat="false" ht="15" hidden="false" customHeight="false" outlineLevel="0" collapsed="false">
      <c r="A936" s="36" t="n">
        <v>856</v>
      </c>
      <c r="B936" s="37" t="n">
        <f aca="false">1+IF($G$6=$E$6,$F$6,IF(P936&lt;($F$6-$E$6)/($G$6-$E$6),$E$6+SQRT(P936*($G$6-$E$6)*($F$6-$E$6)),$G$6-SQRT((1-P936)*($G$6-$E$6)*($G$6-$F$6))))</f>
        <v>0.957152214388221</v>
      </c>
      <c r="C936" s="37" t="n">
        <f aca="false">1+IF($G$7=$E$7,$F$7,IF(Q936&lt;($F$7-$E$7)/($G$7-$E$7),$E$7+SQRT(Q936*($G$7-$E$7)*($F$7-$E$7)),$G$7-SQRT((1-Q936)*($G$7-$E$7)*($G$7-$F$7))))</f>
        <v>0.955817504756471</v>
      </c>
      <c r="D936" s="37" t="n">
        <f aca="false">1+IF($G$8=$E$8,$F$8,IF(R936&lt;($F$8-$E$8)/($G$8-$E$8),$E$8+SQRT(R936*($G$8-$E$8)*($F$8-$E$8)),$G$8-SQRT((1-R936)*($G$8-$E$8)*($G$8-$F$8))))</f>
        <v>1.02514075139441</v>
      </c>
      <c r="E936" s="37" t="n">
        <f aca="false">1+IF($G$9=$E$9,$F$9,IF(S936&lt;($F$9-$E$9)/($G$9-$E$9),$E$9+SQRT(S936*($G$9-$E$9)*($F$9-$E$9)),$G$9-SQRT((1-S936)*($G$9-$E$9)*($G$9-$F$9))))</f>
        <v>0.960296321234381</v>
      </c>
      <c r="F936" s="37" t="n">
        <f aca="false">1+IF($G$10=$E$10,$F$10,IF(T936&lt;($F$10-$E$10)/($G$10-$E$10),$E$10+SQRT(T936*($G$10-$E$10)*($F$10-$E$10)),$G$10-SQRT((1-T936)*($G$10-$E$10)*($G$10-$F$10))))</f>
        <v>1.03741087992386</v>
      </c>
      <c r="G936" s="38" t="n">
        <f aca="false">IF($G$11=$E$11,$F$11,IF(U936&lt;($F$11-$E$11)/($G$11-$E$11),$E$11+SQRT(U936*($G$11-$E$11)*($F$11-$E$11)),$G$11-SQRT((1-U936)*($G$11-$E$11)*($G$11-$F$11))))</f>
        <v>0.100990651850014</v>
      </c>
      <c r="H936" s="39" t="n">
        <f aca="false">(('Business Case'!B11*$C936*'Business Case'!B12*$B936)-'Business Case'!B11*$C936*'Business Case'!B13*$D936-'Business Case'!B14*$E936)-MAX(0,(('Business Case'!B11*$C936*'Business Case'!B12*$B936)-'Business Case'!B11*$C936*'Business Case'!B13*$D936-'Business Case'!B14*$E936))*'Business Case'!$B$7-'Business Case'!$B$8*('Business Case'!B11*$C936*'Business Case'!B12*$B936)-'Business Case'!B15*$F936</f>
        <v>-2074821759.84772</v>
      </c>
      <c r="I936" s="39" t="n">
        <f aca="false">(('Business Case'!C11*$C936*'Business Case'!C12*$B936)-'Business Case'!C11*$C936*'Business Case'!C13*$D936-'Business Case'!C14*$E936)-MAX(0,(('Business Case'!C11*$C936*'Business Case'!C12*$B936)-'Business Case'!C11*$C936*'Business Case'!C13*$D936-'Business Case'!C14*$E936))*'Business Case'!$B$7-'Business Case'!$B$8*(('Business Case'!C11*$C936*'Business Case'!C12*$B936)-('Business Case'!B11*$C936*'Business Case'!B12*$B936))-'Business Case'!C15*$F936</f>
        <v>-39986696.8836018</v>
      </c>
      <c r="J936" s="39" t="n">
        <f aca="false">(('Business Case'!D11*$C936*'Business Case'!D12*$B936)-'Business Case'!D11*$C936*'Business Case'!D13*$D936-'Business Case'!D14*$E936)-MAX(0,(('Business Case'!D11*$C936*'Business Case'!D12*$B936)-'Business Case'!D11*$C936*'Business Case'!D13*$D936-'Business Case'!D14*$E936))*'Business Case'!$B$7-'Business Case'!$B$8*(('Business Case'!D11*$C936*'Business Case'!D12*$B936)-('Business Case'!C11*$C936*'Business Case'!C12*$B936))-'Business Case'!D15*$F936</f>
        <v>207748320.794006</v>
      </c>
      <c r="K936" s="39" t="n">
        <f aca="false">(('Business Case'!E11*$C936*'Business Case'!E12*$B936)-'Business Case'!E11*$C936*'Business Case'!E13*$D936-'Business Case'!E14*$E936)-MAX(0,(('Business Case'!E11*$C936*'Business Case'!E12*$B936)-'Business Case'!E11*$C936*'Business Case'!E13*$D936-'Business Case'!E14*$E936))*'Business Case'!$B$7-'Business Case'!$B$8*(('Business Case'!E11*$C936*'Business Case'!E12*$B936)-('Business Case'!D11*$C936*'Business Case'!D12*$B936))-'Business Case'!E15*$F936</f>
        <v>507353882.467806</v>
      </c>
      <c r="L936" s="39" t="n">
        <f aca="false">(('Business Case'!F11*$C936*'Business Case'!F12*$B936)-'Business Case'!F11*$C936*'Business Case'!F13*$D936-'Business Case'!F14*$E936)-MAX(0,(('Business Case'!F11*$C936*'Business Case'!F12*$B936)-'Business Case'!F11*$C936*'Business Case'!F13*$D936-'Business Case'!F14*$E936))*'Business Case'!$B$7-'Business Case'!$B$8*(('Business Case'!F11*$C936*'Business Case'!F12*$B936)-('Business Case'!E11*$C936*'Business Case'!E12*$B936))-'Business Case'!F15*$F936</f>
        <v>621549881.486539</v>
      </c>
      <c r="M936" s="39" t="n">
        <f aca="false">(('Business Case'!G11*$C936*'Business Case'!G12*$B936)-'Business Case'!G11*$C936*'Business Case'!G13*$D936-'Business Case'!G14*$E936)-MAX(0,(('Business Case'!G11*$C936*'Business Case'!G12*$B936)-'Business Case'!G11*$C936*'Business Case'!G13*$D936-'Business Case'!G14*$E936))*'Business Case'!$B$7-'Business Case'!$B$8*(('Business Case'!G11*$C936*'Business Case'!G12*$B936)-('Business Case'!F11*$C936*'Business Case'!F12*$B936))-'Business Case'!G15*$F936+'Business Case'!$B$8*('Business Case'!G11*$C936*'Business Case'!G12*$B936)</f>
        <v>795447010.347286</v>
      </c>
      <c r="N936" s="39" t="n">
        <f aca="false">IF(COUNT('Business Case'!B11:G11)=0,"",H936+NPV(G936,I936:M936))</f>
        <v>-644909123.24328</v>
      </c>
      <c r="P936" s="40" t="n">
        <f aca="true">RAND()</f>
        <v>0.143779899369617</v>
      </c>
      <c r="Q936" s="40" t="n">
        <f aca="true">RAND()</f>
        <v>0.346844211264754</v>
      </c>
      <c r="R936" s="40" t="n">
        <f aca="true">RAND()</f>
        <v>0.710621427156701</v>
      </c>
      <c r="S936" s="40" t="n">
        <f aca="true">RAND()</f>
        <v>0.0141352307948752</v>
      </c>
      <c r="T936" s="40" t="n">
        <f aca="true">RAND()</f>
        <v>0.471295560657319</v>
      </c>
      <c r="U936" s="40" t="n">
        <f aca="true">RAND()</f>
        <v>0.397741138187707</v>
      </c>
    </row>
    <row r="937" customFormat="false" ht="15" hidden="false" customHeight="false" outlineLevel="0" collapsed="false">
      <c r="A937" s="36" t="n">
        <v>857</v>
      </c>
      <c r="B937" s="37" t="n">
        <f aca="false">1+IF($G$6=$E$6,$F$6,IF(P937&lt;($F$6-$E$6)/($G$6-$E$6),$E$6+SQRT(P937*($G$6-$E$6)*($F$6-$E$6)),$G$6-SQRT((1-P937)*($G$6-$E$6)*($G$6-$F$6))))</f>
        <v>0.968282671134558</v>
      </c>
      <c r="C937" s="37" t="n">
        <f aca="false">1+IF($G$7=$E$7,$F$7,IF(Q937&lt;($F$7-$E$7)/($G$7-$E$7),$E$7+SQRT(Q937*($G$7-$E$7)*($F$7-$E$7)),$G$7-SQRT((1-Q937)*($G$7-$E$7)*($G$7-$F$7))))</f>
        <v>0.973236059063637</v>
      </c>
      <c r="D937" s="37" t="n">
        <f aca="false">1+IF($G$8=$E$8,$F$8,IF(R937&lt;($F$8-$E$8)/($G$8-$E$8),$E$8+SQRT(R937*($G$8-$E$8)*($F$8-$E$8)),$G$8-SQRT((1-R937)*($G$8-$E$8)*($G$8-$F$8))))</f>
        <v>0.991765260909731</v>
      </c>
      <c r="E937" s="37" t="n">
        <f aca="false">1+IF($G$9=$E$9,$F$9,IF(S937&lt;($F$9-$E$9)/($G$9-$E$9),$E$9+SQRT(S937*($G$9-$E$9)*($F$9-$E$9)),$G$9-SQRT((1-S937)*($G$9-$E$9)*($G$9-$F$9))))</f>
        <v>1.03485135477061</v>
      </c>
      <c r="F937" s="37" t="n">
        <f aca="false">1+IF($G$10=$E$10,$F$10,IF(T937&lt;($F$10-$E$10)/($G$10-$E$10),$E$10+SQRT(T937*($G$10-$E$10)*($F$10-$E$10)),$G$10-SQRT((1-T937)*($G$10-$E$10)*($G$10-$F$10))))</f>
        <v>1.02749868233951</v>
      </c>
      <c r="G937" s="38" t="n">
        <f aca="false">IF($G$11=$E$11,$F$11,IF(U937&lt;($F$11-$E$11)/($G$11-$E$11),$E$11+SQRT(U937*($G$11-$E$11)*($F$11-$E$11)),$G$11-SQRT((1-U937)*($G$11-$E$11)*($G$11-$F$11))))</f>
        <v>0.112283815971574</v>
      </c>
      <c r="H937" s="39" t="n">
        <f aca="false">(('Business Case'!B11*$C937*'Business Case'!B12*$B937)-'Business Case'!B11*$C937*'Business Case'!B13*$D937-'Business Case'!B14*$E937)-MAX(0,(('Business Case'!B11*$C937*'Business Case'!B12*$B937)-'Business Case'!B11*$C937*'Business Case'!B13*$D937-'Business Case'!B14*$E937))*'Business Case'!$B$7-'Business Case'!$B$8*('Business Case'!B11*$C937*'Business Case'!B12*$B937)-'Business Case'!B15*$F937</f>
        <v>-2054997364.67901</v>
      </c>
      <c r="I937" s="39" t="n">
        <f aca="false">(('Business Case'!C11*$C937*'Business Case'!C12*$B937)-'Business Case'!C11*$C937*'Business Case'!C13*$D937-'Business Case'!C14*$E937)-MAX(0,(('Business Case'!C11*$C937*'Business Case'!C12*$B937)-'Business Case'!C11*$C937*'Business Case'!C13*$D937-'Business Case'!C14*$E937))*'Business Case'!$B$7-'Business Case'!$B$8*(('Business Case'!C11*$C937*'Business Case'!C12*$B937)-('Business Case'!B11*$C937*'Business Case'!B12*$B937))-'Business Case'!C15*$F937</f>
        <v>-21007443.878502</v>
      </c>
      <c r="J937" s="39" t="n">
        <f aca="false">(('Business Case'!D11*$C937*'Business Case'!D12*$B937)-'Business Case'!D11*$C937*'Business Case'!D13*$D937-'Business Case'!D14*$E937)-MAX(0,(('Business Case'!D11*$C937*'Business Case'!D12*$B937)-'Business Case'!D11*$C937*'Business Case'!D13*$D937-'Business Case'!D14*$E937))*'Business Case'!$B$7-'Business Case'!$B$8*(('Business Case'!D11*$C937*'Business Case'!D12*$B937)-('Business Case'!C11*$C937*'Business Case'!C12*$B937))-'Business Case'!D15*$F937</f>
        <v>256743180.07514</v>
      </c>
      <c r="K937" s="39" t="n">
        <f aca="false">(('Business Case'!E11*$C937*'Business Case'!E12*$B937)-'Business Case'!E11*$C937*'Business Case'!E13*$D937-'Business Case'!E14*$E937)-MAX(0,(('Business Case'!E11*$C937*'Business Case'!E12*$B937)-'Business Case'!E11*$C937*'Business Case'!E13*$D937-'Business Case'!E14*$E937))*'Business Case'!$B$7-'Business Case'!$B$8*(('Business Case'!E11*$C937*'Business Case'!E12*$B937)-('Business Case'!D11*$C937*'Business Case'!D12*$B937))-'Business Case'!E15*$F937</f>
        <v>585868738.145757</v>
      </c>
      <c r="L937" s="39" t="n">
        <f aca="false">(('Business Case'!F11*$C937*'Business Case'!F12*$B937)-'Business Case'!F11*$C937*'Business Case'!F13*$D937-'Business Case'!F14*$E937)-MAX(0,(('Business Case'!F11*$C937*'Business Case'!F12*$B937)-'Business Case'!F11*$C937*'Business Case'!F13*$D937-'Business Case'!F14*$E937))*'Business Case'!$B$7-'Business Case'!$B$8*(('Business Case'!F11*$C937*'Business Case'!F12*$B937)-('Business Case'!E11*$C937*'Business Case'!E12*$B937))-'Business Case'!F15*$F937</f>
        <v>711020504.096847</v>
      </c>
      <c r="M937" s="39" t="n">
        <f aca="false">(('Business Case'!G11*$C937*'Business Case'!G12*$B937)-'Business Case'!G11*$C937*'Business Case'!G13*$D937-'Business Case'!G14*$E937)-MAX(0,(('Business Case'!G11*$C937*'Business Case'!G12*$B937)-'Business Case'!G11*$C937*'Business Case'!G13*$D937-'Business Case'!G14*$E937))*'Business Case'!$B$7-'Business Case'!$B$8*(('Business Case'!G11*$C937*'Business Case'!G12*$B937)-('Business Case'!F11*$C937*'Business Case'!F12*$B937))-'Business Case'!G15*$F937+'Business Case'!$B$8*('Business Case'!G11*$C937*'Business Case'!G12*$B937)</f>
        <v>890145739.579496</v>
      </c>
      <c r="N937" s="39" t="n">
        <f aca="false">IF(COUNT('Business Case'!B11:G11)=0,"",H937+NPV(G937,I937:M937))</f>
        <v>-453218188.191178</v>
      </c>
      <c r="P937" s="40" t="n">
        <f aca="true">RAND()</f>
        <v>0.242835034571649</v>
      </c>
      <c r="Q937" s="40" t="n">
        <f aca="true">RAND()</f>
        <v>0.428724745141426</v>
      </c>
      <c r="R937" s="40" t="n">
        <f aca="true">RAND()</f>
        <v>0.26835954136276</v>
      </c>
      <c r="S937" s="40" t="n">
        <f aca="true">RAND()</f>
        <v>0.717043601651644</v>
      </c>
      <c r="T937" s="40" t="n">
        <f aca="true">RAND()</f>
        <v>0.40486590810786</v>
      </c>
      <c r="U937" s="40" t="n">
        <f aca="true">RAND()</f>
        <v>0.900767506732448</v>
      </c>
    </row>
    <row r="938" customFormat="false" ht="15" hidden="false" customHeight="false" outlineLevel="0" collapsed="false">
      <c r="A938" s="36" t="n">
        <v>858</v>
      </c>
      <c r="B938" s="37" t="n">
        <f aca="false">1+IF($G$6=$E$6,$F$6,IF(P938&lt;($F$6-$E$6)/($G$6-$E$6),$E$6+SQRT(P938*($G$6-$E$6)*($F$6-$E$6)),$G$6-SQRT((1-P938)*($G$6-$E$6)*($G$6-$F$6))))</f>
        <v>0.997068515606866</v>
      </c>
      <c r="C938" s="37" t="n">
        <f aca="false">1+IF($G$7=$E$7,$F$7,IF(Q938&lt;($F$7-$E$7)/($G$7-$E$7),$E$7+SQRT(Q938*($G$7-$E$7)*($F$7-$E$7)),$G$7-SQRT((1-Q938)*($G$7-$E$7)*($G$7-$F$7))))</f>
        <v>1.0357869321339</v>
      </c>
      <c r="D938" s="37" t="n">
        <f aca="false">1+IF($G$8=$E$8,$F$8,IF(R938&lt;($F$8-$E$8)/($G$8-$E$8),$E$8+SQRT(R938*($G$8-$E$8)*($F$8-$E$8)),$G$8-SQRT((1-R938)*($G$8-$E$8)*($G$8-$F$8))))</f>
        <v>0.986632811345757</v>
      </c>
      <c r="E938" s="37" t="n">
        <f aca="false">1+IF($G$9=$E$9,$F$9,IF(S938&lt;($F$9-$E$9)/($G$9-$E$9),$E$9+SQRT(S938*($G$9-$E$9)*($F$9-$E$9)),$G$9-SQRT((1-S938)*($G$9-$E$9)*($G$9-$F$9))))</f>
        <v>1.00371230644374</v>
      </c>
      <c r="F938" s="37" t="n">
        <f aca="false">1+IF($G$10=$E$10,$F$10,IF(T938&lt;($F$10-$E$10)/($G$10-$E$10),$E$10+SQRT(T938*($G$10-$E$10)*($F$10-$E$10)),$G$10-SQRT((1-T938)*($G$10-$E$10)*($G$10-$F$10))))</f>
        <v>0.954441501825866</v>
      </c>
      <c r="G938" s="38" t="n">
        <f aca="false">IF($G$11=$E$11,$F$11,IF(U938&lt;($F$11-$E$11)/($G$11-$E$11),$E$11+SQRT(U938*($G$11-$E$11)*($F$11-$E$11)),$G$11-SQRT((1-U938)*($G$11-$E$11)*($G$11-$F$11))))</f>
        <v>0.113773434271469</v>
      </c>
      <c r="H938" s="39" t="n">
        <f aca="false">(('Business Case'!B11*$C938*'Business Case'!B12*$B938)-'Business Case'!B11*$C938*'Business Case'!B13*$D938-'Business Case'!B14*$E938)-MAX(0,(('Business Case'!B11*$C938*'Business Case'!B12*$B938)-'Business Case'!B11*$C938*'Business Case'!B13*$D938-'Business Case'!B14*$E938))*'Business Case'!$B$7-'Business Case'!$B$8*('Business Case'!B11*$C938*'Business Case'!B12*$B938)-'Business Case'!B15*$F938</f>
        <v>-1908883003.65173</v>
      </c>
      <c r="I938" s="39" t="n">
        <f aca="false">(('Business Case'!C11*$C938*'Business Case'!C12*$B938)-'Business Case'!C11*$C938*'Business Case'!C13*$D938-'Business Case'!C14*$E938)-MAX(0,(('Business Case'!C11*$C938*'Business Case'!C12*$B938)-'Business Case'!C11*$C938*'Business Case'!C13*$D938-'Business Case'!C14*$E938))*'Business Case'!$B$7-'Business Case'!$B$8*(('Business Case'!C11*$C938*'Business Case'!C12*$B938)-('Business Case'!B11*$C938*'Business Case'!B12*$B938))-'Business Case'!C15*$F938</f>
        <v>31034993.7412886</v>
      </c>
      <c r="J938" s="39" t="n">
        <f aca="false">(('Business Case'!D11*$C938*'Business Case'!D12*$B938)-'Business Case'!D11*$C938*'Business Case'!D13*$D938-'Business Case'!D14*$E938)-MAX(0,(('Business Case'!D11*$C938*'Business Case'!D12*$B938)-'Business Case'!D11*$C938*'Business Case'!D13*$D938-'Business Case'!D14*$E938))*'Business Case'!$B$7-'Business Case'!$B$8*(('Business Case'!D11*$C938*'Business Case'!D12*$B938)-('Business Case'!C11*$C938*'Business Case'!C12*$B938))-'Business Case'!D15*$F938</f>
        <v>353779815.57844</v>
      </c>
      <c r="K938" s="39" t="n">
        <f aca="false">(('Business Case'!E11*$C938*'Business Case'!E12*$B938)-'Business Case'!E11*$C938*'Business Case'!E13*$D938-'Business Case'!E14*$E938)-MAX(0,(('Business Case'!E11*$C938*'Business Case'!E12*$B938)-'Business Case'!E11*$C938*'Business Case'!E13*$D938-'Business Case'!E14*$E938))*'Business Case'!$B$7-'Business Case'!$B$8*(('Business Case'!E11*$C938*'Business Case'!E12*$B938)-('Business Case'!D11*$C938*'Business Case'!D12*$B938))-'Business Case'!E15*$F938</f>
        <v>724246712.506885</v>
      </c>
      <c r="L938" s="39" t="n">
        <f aca="false">(('Business Case'!F11*$C938*'Business Case'!F12*$B938)-'Business Case'!F11*$C938*'Business Case'!F13*$D938-'Business Case'!F14*$E938)-MAX(0,(('Business Case'!F11*$C938*'Business Case'!F12*$B938)-'Business Case'!F11*$C938*'Business Case'!F13*$D938-'Business Case'!F14*$E938))*'Business Case'!$B$7-'Business Case'!$B$8*(('Business Case'!F11*$C938*'Business Case'!F12*$B938)-('Business Case'!E11*$C938*'Business Case'!E12*$B938))-'Business Case'!F15*$F938</f>
        <v>867520178.410587</v>
      </c>
      <c r="M938" s="39" t="n">
        <f aca="false">(('Business Case'!G11*$C938*'Business Case'!G12*$B938)-'Business Case'!G11*$C938*'Business Case'!G13*$D938-'Business Case'!G14*$E938)-MAX(0,(('Business Case'!G11*$C938*'Business Case'!G12*$B938)-'Business Case'!G11*$C938*'Business Case'!G13*$D938-'Business Case'!G14*$E938))*'Business Case'!$B$7-'Business Case'!$B$8*(('Business Case'!G11*$C938*'Business Case'!G12*$B938)-('Business Case'!F11*$C938*'Business Case'!F12*$B938))-'Business Case'!G15*$F938+'Business Case'!$B$8*('Business Case'!G11*$C938*'Business Case'!G12*$B938)</f>
        <v>1063825400.84617</v>
      </c>
      <c r="N938" s="39" t="n">
        <f aca="false">IF(COUNT('Business Case'!B11:G11)=0,"",H938+NPV(G938,I938:M938))</f>
        <v>112837253.835801</v>
      </c>
      <c r="P938" s="40" t="n">
        <f aca="true">RAND()</f>
        <v>0.618703760192267</v>
      </c>
      <c r="Q938" s="40" t="n">
        <f aca="true">RAND()</f>
        <v>0.751530954830733</v>
      </c>
      <c r="R938" s="40" t="n">
        <f aca="true">RAND()</f>
        <v>0.206455825706745</v>
      </c>
      <c r="S938" s="40" t="n">
        <f aca="true">RAND()</f>
        <v>0.381912004641016</v>
      </c>
      <c r="T938" s="40" t="n">
        <f aca="true">RAND()</f>
        <v>0.00157815507753394</v>
      </c>
      <c r="U938" s="40" t="n">
        <f aca="true">RAND()</f>
        <v>0.935383132047141</v>
      </c>
    </row>
    <row r="939" customFormat="false" ht="15" hidden="false" customHeight="false" outlineLevel="0" collapsed="false">
      <c r="A939" s="36" t="n">
        <v>859</v>
      </c>
      <c r="B939" s="37" t="n">
        <f aca="false">1+IF($G$6=$E$6,$F$6,IF(P939&lt;($F$6-$E$6)/($G$6-$E$6),$E$6+SQRT(P939*($G$6-$E$6)*($F$6-$E$6)),$G$6-SQRT((1-P939)*($G$6-$E$6)*($G$6-$F$6))))</f>
        <v>1.02681174264176</v>
      </c>
      <c r="C939" s="37" t="n">
        <f aca="false">1+IF($G$7=$E$7,$F$7,IF(Q939&lt;($F$7-$E$7)/($G$7-$E$7),$E$7+SQRT(Q939*($G$7-$E$7)*($F$7-$E$7)),$G$7-SQRT((1-Q939)*($G$7-$E$7)*($G$7-$F$7))))</f>
        <v>1.03884859516676</v>
      </c>
      <c r="D939" s="37" t="n">
        <f aca="false">1+IF($G$8=$E$8,$F$8,IF(R939&lt;($F$8-$E$8)/($G$8-$E$8),$E$8+SQRT(R939*($G$8-$E$8)*($F$8-$E$8)),$G$8-SQRT((1-R939)*($G$8-$E$8)*($G$8-$F$8))))</f>
        <v>1.01410063832202</v>
      </c>
      <c r="E939" s="37" t="n">
        <f aca="false">1+IF($G$9=$E$9,$F$9,IF(S939&lt;($F$9-$E$9)/($G$9-$E$9),$E$9+SQRT(S939*($G$9-$E$9)*($F$9-$E$9)),$G$9-SQRT((1-S939)*($G$9-$E$9)*($G$9-$F$9))))</f>
        <v>1.08120459768438</v>
      </c>
      <c r="F939" s="37" t="n">
        <f aca="false">1+IF($G$10=$E$10,$F$10,IF(T939&lt;($F$10-$E$10)/($G$10-$E$10),$E$10+SQRT(T939*($G$10-$E$10)*($F$10-$E$10)),$G$10-SQRT((1-T939)*($G$10-$E$10)*($G$10-$F$10))))</f>
        <v>1.1421493078105</v>
      </c>
      <c r="G939" s="38" t="n">
        <f aca="false">IF($G$11=$E$11,$F$11,IF(U939&lt;($F$11-$E$11)/($G$11-$E$11),$E$11+SQRT(U939*($G$11-$E$11)*($F$11-$E$11)),$G$11-SQRT((1-U939)*($G$11-$E$11)*($G$11-$F$11))))</f>
        <v>0.0992249775578697</v>
      </c>
      <c r="H939" s="39" t="n">
        <f aca="false">(('Business Case'!B11*$C939*'Business Case'!B12*$B939)-'Business Case'!B11*$C939*'Business Case'!B13*$D939-'Business Case'!B14*$E939)-MAX(0,(('Business Case'!B11*$C939*'Business Case'!B12*$B939)-'Business Case'!B11*$C939*'Business Case'!B13*$D939-'Business Case'!B14*$E939))*'Business Case'!$B$7-'Business Case'!$B$8*('Business Case'!B11*$C939*'Business Case'!B12*$B939)-'Business Case'!B15*$F939</f>
        <v>-2284298615.62099</v>
      </c>
      <c r="I939" s="39" t="n">
        <f aca="false">(('Business Case'!C11*$C939*'Business Case'!C12*$B939)-'Business Case'!C11*$C939*'Business Case'!C13*$D939-'Business Case'!C14*$E939)-MAX(0,(('Business Case'!C11*$C939*'Business Case'!C12*$B939)-'Business Case'!C11*$C939*'Business Case'!C13*$D939-'Business Case'!C14*$E939))*'Business Case'!$B$7-'Business Case'!$B$8*(('Business Case'!C11*$C939*'Business Case'!C12*$B939)-('Business Case'!B11*$C939*'Business Case'!B12*$B939))-'Business Case'!C15*$F939</f>
        <v>11139439.1942719</v>
      </c>
      <c r="J939" s="39" t="n">
        <f aca="false">(('Business Case'!D11*$C939*'Business Case'!D12*$B939)-'Business Case'!D11*$C939*'Business Case'!D13*$D939-'Business Case'!D14*$E939)-MAX(0,(('Business Case'!D11*$C939*'Business Case'!D12*$B939)-'Business Case'!D11*$C939*'Business Case'!D13*$D939-'Business Case'!D14*$E939))*'Business Case'!$B$7-'Business Case'!$B$8*(('Business Case'!D11*$C939*'Business Case'!D12*$B939)-('Business Case'!C11*$C939*'Business Case'!C12*$B939))-'Business Case'!D15*$F939</f>
        <v>345538931.340391</v>
      </c>
      <c r="K939" s="39" t="n">
        <f aca="false">(('Business Case'!E11*$C939*'Business Case'!E12*$B939)-'Business Case'!E11*$C939*'Business Case'!E13*$D939-'Business Case'!E14*$E939)-MAX(0,(('Business Case'!E11*$C939*'Business Case'!E12*$B939)-'Business Case'!E11*$C939*'Business Case'!E13*$D939-'Business Case'!E14*$E939))*'Business Case'!$B$7-'Business Case'!$B$8*(('Business Case'!E11*$C939*'Business Case'!E12*$B939)-('Business Case'!D11*$C939*'Business Case'!D12*$B939))-'Business Case'!E15*$F939</f>
        <v>737045888.877036</v>
      </c>
      <c r="L939" s="39" t="n">
        <f aca="false">(('Business Case'!F11*$C939*'Business Case'!F12*$B939)-'Business Case'!F11*$C939*'Business Case'!F13*$D939-'Business Case'!F14*$E939)-MAX(0,(('Business Case'!F11*$C939*'Business Case'!F12*$B939)-'Business Case'!F11*$C939*'Business Case'!F13*$D939-'Business Case'!F14*$E939))*'Business Case'!$B$7-'Business Case'!$B$8*(('Business Case'!F11*$C939*'Business Case'!F12*$B939)-('Business Case'!E11*$C939*'Business Case'!E12*$B939))-'Business Case'!F15*$F939</f>
        <v>885377605.179128</v>
      </c>
      <c r="M939" s="39" t="n">
        <f aca="false">(('Business Case'!G11*$C939*'Business Case'!G12*$B939)-'Business Case'!G11*$C939*'Business Case'!G13*$D939-'Business Case'!G14*$E939)-MAX(0,(('Business Case'!G11*$C939*'Business Case'!G12*$B939)-'Business Case'!G11*$C939*'Business Case'!G13*$D939-'Business Case'!G14*$E939))*'Business Case'!$B$7-'Business Case'!$B$8*(('Business Case'!G11*$C939*'Business Case'!G12*$B939)-('Business Case'!F11*$C939*'Business Case'!F12*$B939))-'Business Case'!G15*$F939+'Business Case'!$B$8*('Business Case'!G11*$C939*'Business Case'!G12*$B939)</f>
        <v>1088136309.23942</v>
      </c>
      <c r="N939" s="39" t="n">
        <f aca="false">IF(COUNT('Business Case'!B11:G11)=0,"",H939+NPV(G939,I939:M939))</f>
        <v>-148802550.837315</v>
      </c>
      <c r="P939" s="40" t="n">
        <f aca="true">RAND()</f>
        <v>0.963764555802676</v>
      </c>
      <c r="Q939" s="40" t="n">
        <f aca="true">RAND()</f>
        <v>0.764673622925644</v>
      </c>
      <c r="R939" s="40" t="n">
        <f aca="true">RAND()</f>
        <v>0.582430204849459</v>
      </c>
      <c r="S939" s="40" t="n">
        <f aca="true">RAND()</f>
        <v>0.976448856786262</v>
      </c>
      <c r="T939" s="40" t="n">
        <f aca="true">RAND()</f>
        <v>0.933065948263907</v>
      </c>
      <c r="U939" s="40" t="n">
        <f aca="true">RAND()</f>
        <v>0.283667369810664</v>
      </c>
    </row>
    <row r="940" customFormat="false" ht="15" hidden="false" customHeight="false" outlineLevel="0" collapsed="false">
      <c r="A940" s="36" t="n">
        <v>860</v>
      </c>
      <c r="B940" s="37" t="n">
        <f aca="false">1+IF($G$6=$E$6,$F$6,IF(P940&lt;($F$6-$E$6)/($G$6-$E$6),$E$6+SQRT(P940*($G$6-$E$6)*($F$6-$E$6)),$G$6-SQRT((1-P940)*($G$6-$E$6)*($G$6-$F$6))))</f>
        <v>0.99083899956037</v>
      </c>
      <c r="C940" s="37" t="n">
        <f aca="false">1+IF($G$7=$E$7,$F$7,IF(Q940&lt;($F$7-$E$7)/($G$7-$E$7),$E$7+SQRT(Q940*($G$7-$E$7)*($F$7-$E$7)),$G$7-SQRT((1-Q940)*($G$7-$E$7)*($G$7-$F$7))))</f>
        <v>0.898612655390712</v>
      </c>
      <c r="D940" s="37" t="n">
        <f aca="false">1+IF($G$8=$E$8,$F$8,IF(R940&lt;($F$8-$E$8)/($G$8-$E$8),$E$8+SQRT(R940*($G$8-$E$8)*($F$8-$E$8)),$G$8-SQRT((1-R940)*($G$8-$E$8)*($G$8-$F$8))))</f>
        <v>1.0057429681032</v>
      </c>
      <c r="E940" s="37" t="n">
        <f aca="false">1+IF($G$9=$E$9,$F$9,IF(S940&lt;($F$9-$E$9)/($G$9-$E$9),$E$9+SQRT(S940*($G$9-$E$9)*($F$9-$E$9)),$G$9-SQRT((1-S940)*($G$9-$E$9)*($G$9-$F$9))))</f>
        <v>1.0633033735554</v>
      </c>
      <c r="F940" s="37" t="n">
        <f aca="false">1+IF($G$10=$E$10,$F$10,IF(T940&lt;($F$10-$E$10)/($G$10-$E$10),$E$10+SQRT(T940*($G$10-$E$10)*($F$10-$E$10)),$G$10-SQRT((1-T940)*($G$10-$E$10)*($G$10-$F$10))))</f>
        <v>1.02853219797464</v>
      </c>
      <c r="G940" s="38" t="n">
        <f aca="false">IF($G$11=$E$11,$F$11,IF(U940&lt;($F$11-$E$11)/($G$11-$E$11),$E$11+SQRT(U940*($G$11-$E$11)*($F$11-$E$11)),$G$11-SQRT((1-U940)*($G$11-$E$11)*($G$11-$F$11))))</f>
        <v>0.116527392140767</v>
      </c>
      <c r="H940" s="39" t="n">
        <f aca="false">(('Business Case'!B11*$C940*'Business Case'!B12*$B940)-'Business Case'!B11*$C940*'Business Case'!B13*$D940-'Business Case'!B14*$E940)-MAX(0,(('Business Case'!B11*$C940*'Business Case'!B12*$B940)-'Business Case'!B11*$C940*'Business Case'!B13*$D940-'Business Case'!B14*$E940))*'Business Case'!$B$7-'Business Case'!$B$8*('Business Case'!B11*$C940*'Business Case'!B12*$B940)-'Business Case'!B15*$F940</f>
        <v>-2057064395.94927</v>
      </c>
      <c r="I940" s="39" t="n">
        <f aca="false">(('Business Case'!C11*$C940*'Business Case'!C12*$B940)-'Business Case'!C11*$C940*'Business Case'!C13*$D940-'Business Case'!C14*$E940)-MAX(0,(('Business Case'!C11*$C940*'Business Case'!C12*$B940)-'Business Case'!C11*$C940*'Business Case'!C13*$D940-'Business Case'!C14*$E940))*'Business Case'!$B$7-'Business Case'!$B$8*(('Business Case'!C11*$C940*'Business Case'!C12*$B940)-('Business Case'!B11*$C940*'Business Case'!B12*$B940))-'Business Case'!C15*$F940</f>
        <v>-33586233.0543883</v>
      </c>
      <c r="J940" s="39" t="n">
        <f aca="false">(('Business Case'!D11*$C940*'Business Case'!D12*$B940)-'Business Case'!D11*$C940*'Business Case'!D13*$D940-'Business Case'!D14*$E940)-MAX(0,(('Business Case'!D11*$C940*'Business Case'!D12*$B940)-'Business Case'!D11*$C940*'Business Case'!D13*$D940-'Business Case'!D14*$E940))*'Business Case'!$B$7-'Business Case'!$B$8*(('Business Case'!D11*$C940*'Business Case'!D12*$B940)-('Business Case'!C11*$C940*'Business Case'!C12*$B940))-'Business Case'!D15*$F940</f>
        <v>233039816.685851</v>
      </c>
      <c r="K940" s="39" t="n">
        <f aca="false">(('Business Case'!E11*$C940*'Business Case'!E12*$B940)-'Business Case'!E11*$C940*'Business Case'!E13*$D940-'Business Case'!E14*$E940)-MAX(0,(('Business Case'!E11*$C940*'Business Case'!E12*$B940)-'Business Case'!E11*$C940*'Business Case'!E13*$D940-'Business Case'!E14*$E940))*'Business Case'!$B$7-'Business Case'!$B$8*(('Business Case'!E11*$C940*'Business Case'!E12*$B940)-('Business Case'!D11*$C940*'Business Case'!D12*$B940))-'Business Case'!E15*$F940</f>
        <v>551092476.324823</v>
      </c>
      <c r="L940" s="39" t="n">
        <f aca="false">(('Business Case'!F11*$C940*'Business Case'!F12*$B940)-'Business Case'!F11*$C940*'Business Case'!F13*$D940-'Business Case'!F14*$E940)-MAX(0,(('Business Case'!F11*$C940*'Business Case'!F12*$B940)-'Business Case'!F11*$C940*'Business Case'!F13*$D940-'Business Case'!F14*$E940))*'Business Case'!$B$7-'Business Case'!$B$8*(('Business Case'!F11*$C940*'Business Case'!F12*$B940)-('Business Case'!E11*$C940*'Business Case'!E12*$B940))-'Business Case'!F15*$F940</f>
        <v>670739375.089961</v>
      </c>
      <c r="M940" s="39" t="n">
        <f aca="false">(('Business Case'!G11*$C940*'Business Case'!G12*$B940)-'Business Case'!G11*$C940*'Business Case'!G13*$D940-'Business Case'!G14*$E940)-MAX(0,(('Business Case'!G11*$C940*'Business Case'!G12*$B940)-'Business Case'!G11*$C940*'Business Case'!G13*$D940-'Business Case'!G14*$E940))*'Business Case'!$B$7-'Business Case'!$B$8*(('Business Case'!G11*$C940*'Business Case'!G12*$B940)-('Business Case'!F11*$C940*'Business Case'!F12*$B940))-'Business Case'!G15*$F940+'Business Case'!$B$8*('Business Case'!G11*$C940*'Business Case'!G12*$B940)</f>
        <v>839982893.774445</v>
      </c>
      <c r="N940" s="39" t="n">
        <f aca="false">IF(COUNT('Business Case'!B11:G11)=0,"",H940+NPV(G940,I940:M940))</f>
        <v>-588599950.476217</v>
      </c>
      <c r="P940" s="40" t="n">
        <f aca="true">RAND()</f>
        <v>0.52272540194938</v>
      </c>
      <c r="Q940" s="40" t="n">
        <f aca="true">RAND()</f>
        <v>0.138920797188676</v>
      </c>
      <c r="R940" s="40" t="n">
        <f aca="true">RAND()</f>
        <v>0.469797424411242</v>
      </c>
      <c r="S940" s="40" t="n">
        <f aca="true">RAND()</f>
        <v>0.91022384050568</v>
      </c>
      <c r="T940" s="40" t="n">
        <f aca="true">RAND()</f>
        <v>0.411975857371819</v>
      </c>
      <c r="U940" s="40" t="n">
        <f aca="true">RAND()</f>
        <v>0.979901657759989</v>
      </c>
    </row>
    <row r="941" customFormat="false" ht="15" hidden="false" customHeight="false" outlineLevel="0" collapsed="false">
      <c r="A941" s="36" t="n">
        <v>861</v>
      </c>
      <c r="B941" s="37" t="n">
        <f aca="false">1+IF($G$6=$E$6,$F$6,IF(P941&lt;($F$6-$E$6)/($G$6-$E$6),$E$6+SQRT(P941*($G$6-$E$6)*($F$6-$E$6)),$G$6-SQRT((1-P941)*($G$6-$E$6)*($G$6-$F$6))))</f>
        <v>0.977612274893307</v>
      </c>
      <c r="C941" s="37" t="n">
        <f aca="false">1+IF($G$7=$E$7,$F$7,IF(Q941&lt;($F$7-$E$7)/($G$7-$E$7),$E$7+SQRT(Q941*($G$7-$E$7)*($F$7-$E$7)),$G$7-SQRT((1-Q941)*($G$7-$E$7)*($G$7-$F$7))))</f>
        <v>1.06868824978109</v>
      </c>
      <c r="D941" s="37" t="n">
        <f aca="false">1+IF($G$8=$E$8,$F$8,IF(R941&lt;($F$8-$E$8)/($G$8-$E$8),$E$8+SQRT(R941*($G$8-$E$8)*($F$8-$E$8)),$G$8-SQRT((1-R941)*($G$8-$E$8)*($G$8-$F$8))))</f>
        <v>1.00599211586659</v>
      </c>
      <c r="E941" s="37" t="n">
        <f aca="false">1+IF($G$9=$E$9,$F$9,IF(S941&lt;($F$9-$E$9)/($G$9-$E$9),$E$9+SQRT(S941*($G$9-$E$9)*($F$9-$E$9)),$G$9-SQRT((1-S941)*($G$9-$E$9)*($G$9-$F$9))))</f>
        <v>0.985765725169125</v>
      </c>
      <c r="F941" s="37" t="n">
        <f aca="false">1+IF($G$10=$E$10,$F$10,IF(T941&lt;($F$10-$E$10)/($G$10-$E$10),$E$10+SQRT(T941*($G$10-$E$10)*($F$10-$E$10)),$G$10-SQRT((1-T941)*($G$10-$E$10)*($G$10-$F$10))))</f>
        <v>1.01296528441463</v>
      </c>
      <c r="G941" s="38" t="n">
        <f aca="false">IF($G$11=$E$11,$F$11,IF(U941&lt;($F$11-$E$11)/($G$11-$E$11),$E$11+SQRT(U941*($G$11-$E$11)*($F$11-$E$11)),$G$11-SQRT((1-U941)*($G$11-$E$11)*($G$11-$F$11))))</f>
        <v>0.0977396785228063</v>
      </c>
      <c r="H941" s="39" t="n">
        <f aca="false">(('Business Case'!B11*$C941*'Business Case'!B12*$B941)-'Business Case'!B11*$C941*'Business Case'!B13*$D941-'Business Case'!B14*$E941)-MAX(0,(('Business Case'!B11*$C941*'Business Case'!B12*$B941)-'Business Case'!B11*$C941*'Business Case'!B13*$D941-'Business Case'!B14*$E941))*'Business Case'!$B$7-'Business Case'!$B$8*('Business Case'!B11*$C941*'Business Case'!B12*$B941)-'Business Case'!B15*$F941</f>
        <v>-2025930568.82926</v>
      </c>
      <c r="I941" s="39" t="n">
        <f aca="false">(('Business Case'!C11*$C941*'Business Case'!C12*$B941)-'Business Case'!C11*$C941*'Business Case'!C13*$D941-'Business Case'!C14*$E941)-MAX(0,(('Business Case'!C11*$C941*'Business Case'!C12*$B941)-'Business Case'!C11*$C941*'Business Case'!C13*$D941-'Business Case'!C14*$E941))*'Business Case'!$B$7-'Business Case'!$B$8*(('Business Case'!C11*$C941*'Business Case'!C12*$B941)-('Business Case'!B11*$C941*'Business Case'!B12*$B941))-'Business Case'!C15*$F941</f>
        <v>9741927.54382764</v>
      </c>
      <c r="J941" s="39" t="n">
        <f aca="false">(('Business Case'!D11*$C941*'Business Case'!D12*$B941)-'Business Case'!D11*$C941*'Business Case'!D13*$D941-'Business Case'!D14*$E941)-MAX(0,(('Business Case'!D11*$C941*'Business Case'!D12*$B941)-'Business Case'!D11*$C941*'Business Case'!D13*$D941-'Business Case'!D14*$E941))*'Business Case'!$B$7-'Business Case'!$B$8*(('Business Case'!D11*$C941*'Business Case'!D12*$B941)-('Business Case'!C11*$C941*'Business Case'!C12*$B941))-'Business Case'!D15*$F941</f>
        <v>315116770.661057</v>
      </c>
      <c r="K941" s="39" t="n">
        <f aca="false">(('Business Case'!E11*$C941*'Business Case'!E12*$B941)-'Business Case'!E11*$C941*'Business Case'!E13*$D941-'Business Case'!E14*$E941)-MAX(0,(('Business Case'!E11*$C941*'Business Case'!E12*$B941)-'Business Case'!E11*$C941*'Business Case'!E13*$D941-'Business Case'!E14*$E941))*'Business Case'!$B$7-'Business Case'!$B$8*(('Business Case'!E11*$C941*'Business Case'!E12*$B941)-('Business Case'!D11*$C941*'Business Case'!D12*$B941))-'Business Case'!E15*$F941</f>
        <v>671139877.999018</v>
      </c>
      <c r="L941" s="39" t="n">
        <f aca="false">(('Business Case'!F11*$C941*'Business Case'!F12*$B941)-'Business Case'!F11*$C941*'Business Case'!F13*$D941-'Business Case'!F14*$E941)-MAX(0,(('Business Case'!F11*$C941*'Business Case'!F12*$B941)-'Business Case'!F11*$C941*'Business Case'!F13*$D941-'Business Case'!F14*$E941))*'Business Case'!$B$7-'Business Case'!$B$8*(('Business Case'!F11*$C941*'Business Case'!F12*$B941)-('Business Case'!E11*$C941*'Business Case'!E12*$B941))-'Business Case'!F15*$F941</f>
        <v>809038493.046687</v>
      </c>
      <c r="M941" s="39" t="n">
        <f aca="false">(('Business Case'!G11*$C941*'Business Case'!G12*$B941)-'Business Case'!G11*$C941*'Business Case'!G13*$D941-'Business Case'!G14*$E941)-MAX(0,(('Business Case'!G11*$C941*'Business Case'!G12*$B941)-'Business Case'!G11*$C941*'Business Case'!G13*$D941-'Business Case'!G14*$E941))*'Business Case'!$B$7-'Business Case'!$B$8*(('Business Case'!G11*$C941*'Business Case'!G12*$B941)-('Business Case'!F11*$C941*'Business Case'!F12*$B941))-'Business Case'!G15*$F941+'Business Case'!$B$8*('Business Case'!G11*$C941*'Business Case'!G12*$B941)</f>
        <v>1007626996.76061</v>
      </c>
      <c r="N941" s="39" t="n">
        <f aca="false">IF(COUNT('Business Case'!B11:G11)=0,"",H941+NPV(G941,I941:M941))</f>
        <v>-58922341.6921647</v>
      </c>
      <c r="P941" s="40" t="n">
        <f aca="true">RAND()</f>
        <v>0.345747314414791</v>
      </c>
      <c r="Q941" s="40" t="n">
        <f aca="true">RAND()</f>
        <v>0.874064748120722</v>
      </c>
      <c r="R941" s="40" t="n">
        <f aca="true">RAND()</f>
        <v>0.473349335201474</v>
      </c>
      <c r="S941" s="40" t="n">
        <f aca="true">RAND()</f>
        <v>0.170558279583116</v>
      </c>
      <c r="T941" s="40" t="n">
        <f aca="true">RAND()</f>
        <v>0.300360303318005</v>
      </c>
      <c r="U941" s="40" t="n">
        <f aca="true">RAND()</f>
        <v>0.199675412121298</v>
      </c>
    </row>
    <row r="942" customFormat="false" ht="15" hidden="false" customHeight="false" outlineLevel="0" collapsed="false">
      <c r="A942" s="36" t="n">
        <v>862</v>
      </c>
      <c r="B942" s="37" t="n">
        <f aca="false">1+IF($G$6=$E$6,$F$6,IF(P942&lt;($F$6-$E$6)/($G$6-$E$6),$E$6+SQRT(P942*($G$6-$E$6)*($F$6-$E$6)),$G$6-SQRT((1-P942)*($G$6-$E$6)*($G$6-$F$6))))</f>
        <v>1.00678895891188</v>
      </c>
      <c r="C942" s="37" t="n">
        <f aca="false">1+IF($G$7=$E$7,$F$7,IF(Q942&lt;($F$7-$E$7)/($G$7-$E$7),$E$7+SQRT(Q942*($G$7-$E$7)*($F$7-$E$7)),$G$7-SQRT((1-Q942)*($G$7-$E$7)*($G$7-$F$7))))</f>
        <v>0.970080502533905</v>
      </c>
      <c r="D942" s="37" t="n">
        <f aca="false">1+IF($G$8=$E$8,$F$8,IF(R942&lt;($F$8-$E$8)/($G$8-$E$8),$E$8+SQRT(R942*($G$8-$E$8)*($F$8-$E$8)),$G$8-SQRT((1-R942)*($G$8-$E$8)*($G$8-$F$8))))</f>
        <v>1.0358993110042</v>
      </c>
      <c r="E942" s="37" t="n">
        <f aca="false">1+IF($G$9=$E$9,$F$9,IF(S942&lt;($F$9-$E$9)/($G$9-$E$9),$E$9+SQRT(S942*($G$9-$E$9)*($F$9-$E$9)),$G$9-SQRT((1-S942)*($G$9-$E$9)*($G$9-$F$9))))</f>
        <v>1.00581759844823</v>
      </c>
      <c r="F942" s="37" t="n">
        <f aca="false">1+IF($G$10=$E$10,$F$10,IF(T942&lt;($F$10-$E$10)/($G$10-$E$10),$E$10+SQRT(T942*($G$10-$E$10)*($F$10-$E$10)),$G$10-SQRT((1-T942)*($G$10-$E$10)*($G$10-$F$10))))</f>
        <v>1.14189757285178</v>
      </c>
      <c r="G942" s="38" t="n">
        <f aca="false">IF($G$11=$E$11,$F$11,IF(U942&lt;($F$11-$E$11)/($G$11-$E$11),$E$11+SQRT(U942*($G$11-$E$11)*($F$11-$E$11)),$G$11-SQRT((1-U942)*($G$11-$E$11)*($G$11-$F$11))))</f>
        <v>0.0961289413607301</v>
      </c>
      <c r="H942" s="39" t="n">
        <f aca="false">(('Business Case'!B11*$C942*'Business Case'!B12*$B942)-'Business Case'!B11*$C942*'Business Case'!B13*$D942-'Business Case'!B14*$E942)-MAX(0,(('Business Case'!B11*$C942*'Business Case'!B12*$B942)-'Business Case'!B11*$C942*'Business Case'!B13*$D942-'Business Case'!B14*$E942))*'Business Case'!$B$7-'Business Case'!$B$8*('Business Case'!B11*$C942*'Business Case'!B12*$B942)-'Business Case'!B15*$F942</f>
        <v>-2283795145.70357</v>
      </c>
      <c r="I942" s="39" t="n">
        <f aca="false">(('Business Case'!C11*$C942*'Business Case'!C12*$B942)-'Business Case'!C11*$C942*'Business Case'!C13*$D942-'Business Case'!C14*$E942)-MAX(0,(('Business Case'!C11*$C942*'Business Case'!C12*$B942)-'Business Case'!C11*$C942*'Business Case'!C13*$D942-'Business Case'!C14*$E942))*'Business Case'!$B$7-'Business Case'!$B$8*(('Business Case'!C11*$C942*'Business Case'!C12*$B942)-('Business Case'!B11*$C942*'Business Case'!B12*$B942))-'Business Case'!C15*$F942</f>
        <v>-22318689.3513103</v>
      </c>
      <c r="J942" s="39" t="n">
        <f aca="false">(('Business Case'!D11*$C942*'Business Case'!D12*$B942)-'Business Case'!D11*$C942*'Business Case'!D13*$D942-'Business Case'!D14*$E942)-MAX(0,(('Business Case'!D11*$C942*'Business Case'!D12*$B942)-'Business Case'!D11*$C942*'Business Case'!D13*$D942-'Business Case'!D14*$E942))*'Business Case'!$B$7-'Business Case'!$B$8*(('Business Case'!D11*$C942*'Business Case'!D12*$B942)-('Business Case'!C11*$C942*'Business Case'!C12*$B942))-'Business Case'!D15*$F942</f>
        <v>263210024.106378</v>
      </c>
      <c r="K942" s="39" t="n">
        <f aca="false">(('Business Case'!E11*$C942*'Business Case'!E12*$B942)-'Business Case'!E11*$C942*'Business Case'!E13*$D942-'Business Case'!E14*$E942)-MAX(0,(('Business Case'!E11*$C942*'Business Case'!E12*$B942)-'Business Case'!E11*$C942*'Business Case'!E13*$D942-'Business Case'!E14*$E942))*'Business Case'!$B$7-'Business Case'!$B$8*(('Business Case'!E11*$C942*'Business Case'!E12*$B942)-('Business Case'!D11*$C942*'Business Case'!D12*$B942))-'Business Case'!E15*$F942</f>
        <v>605833616.206655</v>
      </c>
      <c r="L942" s="39" t="n">
        <f aca="false">(('Business Case'!F11*$C942*'Business Case'!F12*$B942)-'Business Case'!F11*$C942*'Business Case'!F13*$D942-'Business Case'!F14*$E942)-MAX(0,(('Business Case'!F11*$C942*'Business Case'!F12*$B942)-'Business Case'!F11*$C942*'Business Case'!F13*$D942-'Business Case'!F14*$E942))*'Business Case'!$B$7-'Business Case'!$B$8*(('Business Case'!F11*$C942*'Business Case'!F12*$B942)-('Business Case'!E11*$C942*'Business Case'!E12*$B942))-'Business Case'!F15*$F942</f>
        <v>734763442.708872</v>
      </c>
      <c r="M942" s="39" t="n">
        <f aca="false">(('Business Case'!G11*$C942*'Business Case'!G12*$B942)-'Business Case'!G11*$C942*'Business Case'!G13*$D942-'Business Case'!G14*$E942)-MAX(0,(('Business Case'!G11*$C942*'Business Case'!G12*$B942)-'Business Case'!G11*$C942*'Business Case'!G13*$D942-'Business Case'!G14*$E942))*'Business Case'!$B$7-'Business Case'!$B$8*(('Business Case'!G11*$C942*'Business Case'!G12*$B942)-('Business Case'!F11*$C942*'Business Case'!F12*$B942))-'Business Case'!G15*$F942+'Business Case'!$B$8*('Business Case'!G11*$C942*'Business Case'!G12*$B942)</f>
        <v>920408180.465306</v>
      </c>
      <c r="N942" s="39" t="n">
        <f aca="false">IF(COUNT('Business Case'!B11:G11)=0,"",H942+NPV(G942,I942:M942))</f>
        <v>-534432823.474082</v>
      </c>
      <c r="P942" s="40" t="n">
        <f aca="true">RAND()</f>
        <v>0.770213906217366</v>
      </c>
      <c r="Q942" s="40" t="n">
        <f aca="true">RAND()</f>
        <v>0.41324824774551</v>
      </c>
      <c r="R942" s="40" t="n">
        <f aca="true">RAND()</f>
        <v>0.812993195201489</v>
      </c>
      <c r="S942" s="40" t="n">
        <f aca="true">RAND()</f>
        <v>0.408645015862742</v>
      </c>
      <c r="T942" s="40" t="n">
        <f aca="true">RAND()</f>
        <v>0.932482159189723</v>
      </c>
      <c r="U942" s="40" t="n">
        <f aca="true">RAND()</f>
        <v>0.125213074010895</v>
      </c>
    </row>
    <row r="943" customFormat="false" ht="15" hidden="false" customHeight="false" outlineLevel="0" collapsed="false">
      <c r="A943" s="36" t="n">
        <v>863</v>
      </c>
      <c r="B943" s="37" t="n">
        <f aca="false">1+IF($G$6=$E$6,$F$6,IF(P943&lt;($F$6-$E$6)/($G$6-$E$6),$E$6+SQRT(P943*($G$6-$E$6)*($F$6-$E$6)),$G$6-SQRT((1-P943)*($G$6-$E$6)*($G$6-$F$6))))</f>
        <v>1.01711132727808</v>
      </c>
      <c r="C943" s="37" t="n">
        <f aca="false">1+IF($G$7=$E$7,$F$7,IF(Q943&lt;($F$7-$E$7)/($G$7-$E$7),$E$7+SQRT(Q943*($G$7-$E$7)*($F$7-$E$7)),$G$7-SQRT((1-Q943)*($G$7-$E$7)*($G$7-$F$7))))</f>
        <v>0.907570582719286</v>
      </c>
      <c r="D943" s="37" t="n">
        <f aca="false">1+IF($G$8=$E$8,$F$8,IF(R943&lt;($F$8-$E$8)/($G$8-$E$8),$E$8+SQRT(R943*($G$8-$E$8)*($F$8-$E$8)),$G$8-SQRT((1-R943)*($G$8-$E$8)*($G$8-$F$8))))</f>
        <v>0.978118460410424</v>
      </c>
      <c r="E943" s="37" t="n">
        <f aca="false">1+IF($G$9=$E$9,$F$9,IF(S943&lt;($F$9-$E$9)/($G$9-$E$9),$E$9+SQRT(S943*($G$9-$E$9)*($F$9-$E$9)),$G$9-SQRT((1-S943)*($G$9-$E$9)*($G$9-$F$9))))</f>
        <v>1.01336582554497</v>
      </c>
      <c r="F943" s="37" t="n">
        <f aca="false">1+IF($G$10=$E$10,$F$10,IF(T943&lt;($F$10-$E$10)/($G$10-$E$10),$E$10+SQRT(T943*($G$10-$E$10)*($F$10-$E$10)),$G$10-SQRT((1-T943)*($G$10-$E$10)*($G$10-$F$10))))</f>
        <v>1.07522056927843</v>
      </c>
      <c r="G943" s="38" t="n">
        <f aca="false">IF($G$11=$E$11,$F$11,IF(U943&lt;($F$11-$E$11)/($G$11-$E$11),$E$11+SQRT(U943*($G$11-$E$11)*($F$11-$E$11)),$G$11-SQRT((1-U943)*($G$11-$E$11)*($G$11-$F$11))))</f>
        <v>0.113976505877838</v>
      </c>
      <c r="H943" s="39" t="n">
        <f aca="false">(('Business Case'!B11*$C943*'Business Case'!B12*$B943)-'Business Case'!B11*$C943*'Business Case'!B13*$D943-'Business Case'!B14*$E943)-MAX(0,(('Business Case'!B11*$C943*'Business Case'!B12*$B943)-'Business Case'!B11*$C943*'Business Case'!B13*$D943-'Business Case'!B14*$E943))*'Business Case'!$B$7-'Business Case'!$B$8*('Business Case'!B11*$C943*'Business Case'!B12*$B943)-'Business Case'!B15*$F943</f>
        <v>-2150441138.55686</v>
      </c>
      <c r="I943" s="39" t="n">
        <f aca="false">(('Business Case'!C11*$C943*'Business Case'!C12*$B943)-'Business Case'!C11*$C943*'Business Case'!C13*$D943-'Business Case'!C14*$E943)-MAX(0,(('Business Case'!C11*$C943*'Business Case'!C12*$B943)-'Business Case'!C11*$C943*'Business Case'!C13*$D943-'Business Case'!C14*$E943))*'Business Case'!$B$7-'Business Case'!$B$8*(('Business Case'!C11*$C943*'Business Case'!C12*$B943)-('Business Case'!B11*$C943*'Business Case'!B12*$B943))-'Business Case'!C15*$F943</f>
        <v>2172135.27351382</v>
      </c>
      <c r="J943" s="39" t="n">
        <f aca="false">(('Business Case'!D11*$C943*'Business Case'!D12*$B943)-'Business Case'!D11*$C943*'Business Case'!D13*$D943-'Business Case'!D14*$E943)-MAX(0,(('Business Case'!D11*$C943*'Business Case'!D12*$B943)-'Business Case'!D11*$C943*'Business Case'!D13*$D943-'Business Case'!D14*$E943))*'Business Case'!$B$7-'Business Case'!$B$8*(('Business Case'!D11*$C943*'Business Case'!D12*$B943)-('Business Case'!C11*$C943*'Business Case'!C12*$B943))-'Business Case'!D15*$F943</f>
        <v>303820468.455552</v>
      </c>
      <c r="K943" s="39" t="n">
        <f aca="false">(('Business Case'!E11*$C943*'Business Case'!E12*$B943)-'Business Case'!E11*$C943*'Business Case'!E13*$D943-'Business Case'!E14*$E943)-MAX(0,(('Business Case'!E11*$C943*'Business Case'!E12*$B943)-'Business Case'!E11*$C943*'Business Case'!E13*$D943-'Business Case'!E14*$E943))*'Business Case'!$B$7-'Business Case'!$B$8*(('Business Case'!E11*$C943*'Business Case'!E12*$B943)-('Business Case'!D11*$C943*'Business Case'!D12*$B943))-'Business Case'!E15*$F943</f>
        <v>659229830.101511</v>
      </c>
      <c r="L943" s="39" t="n">
        <f aca="false">(('Business Case'!F11*$C943*'Business Case'!F12*$B943)-'Business Case'!F11*$C943*'Business Case'!F13*$D943-'Business Case'!F14*$E943)-MAX(0,(('Business Case'!F11*$C943*'Business Case'!F12*$B943)-'Business Case'!F11*$C943*'Business Case'!F13*$D943-'Business Case'!F14*$E943))*'Business Case'!$B$7-'Business Case'!$B$8*(('Business Case'!F11*$C943*'Business Case'!F12*$B943)-('Business Case'!E11*$C943*'Business Case'!E12*$B943))-'Business Case'!F15*$F943</f>
        <v>791681621.554314</v>
      </c>
      <c r="M943" s="39" t="n">
        <f aca="false">(('Business Case'!G11*$C943*'Business Case'!G12*$B943)-'Business Case'!G11*$C943*'Business Case'!G13*$D943-'Business Case'!G14*$E943)-MAX(0,(('Business Case'!G11*$C943*'Business Case'!G12*$B943)-'Business Case'!G11*$C943*'Business Case'!G13*$D943-'Business Case'!G14*$E943))*'Business Case'!$B$7-'Business Case'!$B$8*(('Business Case'!G11*$C943*'Business Case'!G12*$B943)-('Business Case'!F11*$C943*'Business Case'!F12*$B943))-'Business Case'!G15*$F943+'Business Case'!$B$8*('Business Case'!G11*$C943*'Business Case'!G12*$B943)</f>
        <v>967144530.377663</v>
      </c>
      <c r="N943" s="39" t="n">
        <f aca="false">IF(COUNT('Business Case'!B11:G11)=0,"",H943+NPV(G943,I943:M943))</f>
        <v>-348900804.204868</v>
      </c>
      <c r="P943" s="40" t="n">
        <f aca="true">RAND()</f>
        <v>0.890855971047699</v>
      </c>
      <c r="Q943" s="40" t="n">
        <f aca="true">RAND()</f>
        <v>0.165306146665241</v>
      </c>
      <c r="R943" s="40" t="n">
        <f aca="true">RAND()</f>
        <v>0.121638125515784</v>
      </c>
      <c r="S943" s="40" t="n">
        <f aca="true">RAND()</f>
        <v>0.499634654433017</v>
      </c>
      <c r="T943" s="40" t="n">
        <f aca="true">RAND()</f>
        <v>0.688601873376031</v>
      </c>
      <c r="U943" s="40" t="n">
        <f aca="true">RAND()</f>
        <v>0.939529197600475</v>
      </c>
    </row>
    <row r="944" customFormat="false" ht="15" hidden="false" customHeight="false" outlineLevel="0" collapsed="false">
      <c r="A944" s="36" t="n">
        <v>864</v>
      </c>
      <c r="B944" s="37" t="n">
        <f aca="false">1+IF($G$6=$E$6,$F$6,IF(P944&lt;($F$6-$E$6)/($G$6-$E$6),$E$6+SQRT(P944*($G$6-$E$6)*($F$6-$E$6)),$G$6-SQRT((1-P944)*($G$6-$E$6)*($G$6-$F$6))))</f>
        <v>0.994529063579982</v>
      </c>
      <c r="C944" s="37" t="n">
        <f aca="false">1+IF($G$7=$E$7,$F$7,IF(Q944&lt;($F$7-$E$7)/($G$7-$E$7),$E$7+SQRT(Q944*($G$7-$E$7)*($F$7-$E$7)),$G$7-SQRT((1-Q944)*($G$7-$E$7)*($G$7-$F$7))))</f>
        <v>0.987315995610214</v>
      </c>
      <c r="D944" s="37" t="n">
        <f aca="false">1+IF($G$8=$E$8,$F$8,IF(R944&lt;($F$8-$E$8)/($G$8-$E$8),$E$8+SQRT(R944*($G$8-$E$8)*($F$8-$E$8)),$G$8-SQRT((1-R944)*($G$8-$E$8)*($G$8-$F$8))))</f>
        <v>1.03133636427291</v>
      </c>
      <c r="E944" s="37" t="n">
        <f aca="false">1+IF($G$9=$E$9,$F$9,IF(S944&lt;($F$9-$E$9)/($G$9-$E$9),$E$9+SQRT(S944*($G$9-$E$9)*($F$9-$E$9)),$G$9-SQRT((1-S944)*($G$9-$E$9)*($G$9-$F$9))))</f>
        <v>1.01568604915364</v>
      </c>
      <c r="F944" s="37" t="n">
        <f aca="false">1+IF($G$10=$E$10,$F$10,IF(T944&lt;($F$10-$E$10)/($G$10-$E$10),$E$10+SQRT(T944*($G$10-$E$10)*($F$10-$E$10)),$G$10-SQRT((1-T944)*($G$10-$E$10)*($G$10-$F$10))))</f>
        <v>1.04655741261404</v>
      </c>
      <c r="G944" s="38" t="n">
        <f aca="false">IF($G$11=$E$11,$F$11,IF(U944&lt;($F$11-$E$11)/($G$11-$E$11),$E$11+SQRT(U944*($G$11-$E$11)*($F$11-$E$11)),$G$11-SQRT((1-U944)*($G$11-$E$11)*($G$11-$F$11))))</f>
        <v>0.100694676257685</v>
      </c>
      <c r="H944" s="39" t="n">
        <f aca="false">(('Business Case'!B11*$C944*'Business Case'!B12*$B944)-'Business Case'!B11*$C944*'Business Case'!B13*$D944-'Business Case'!B14*$E944)-MAX(0,(('Business Case'!B11*$C944*'Business Case'!B12*$B944)-'Business Case'!B11*$C944*'Business Case'!B13*$D944-'Business Case'!B14*$E944))*'Business Case'!$B$7-'Business Case'!$B$8*('Business Case'!B11*$C944*'Business Case'!B12*$B944)-'Business Case'!B15*$F944</f>
        <v>-2093114825.22807</v>
      </c>
      <c r="I944" s="39" t="n">
        <f aca="false">(('Business Case'!C11*$C944*'Business Case'!C12*$B944)-'Business Case'!C11*$C944*'Business Case'!C13*$D944-'Business Case'!C14*$E944)-MAX(0,(('Business Case'!C11*$C944*'Business Case'!C12*$B944)-'Business Case'!C11*$C944*'Business Case'!C13*$D944-'Business Case'!C14*$E944))*'Business Case'!$B$7-'Business Case'!$B$8*(('Business Case'!C11*$C944*'Business Case'!C12*$B944)-('Business Case'!B11*$C944*'Business Case'!B12*$B944))-'Business Case'!C15*$F944</f>
        <v>-16995151.1065444</v>
      </c>
      <c r="J944" s="39" t="n">
        <f aca="false">(('Business Case'!D11*$C944*'Business Case'!D12*$B944)-'Business Case'!D11*$C944*'Business Case'!D13*$D944-'Business Case'!D14*$E944)-MAX(0,(('Business Case'!D11*$C944*'Business Case'!D12*$B944)-'Business Case'!D11*$C944*'Business Case'!D13*$D944-'Business Case'!D14*$E944))*'Business Case'!$B$7-'Business Case'!$B$8*(('Business Case'!D11*$C944*'Business Case'!D12*$B944)-('Business Case'!C11*$C944*'Business Case'!C12*$B944))-'Business Case'!D15*$F944</f>
        <v>265998440.459282</v>
      </c>
      <c r="K944" s="39" t="n">
        <f aca="false">(('Business Case'!E11*$C944*'Business Case'!E12*$B944)-'Business Case'!E11*$C944*'Business Case'!E13*$D944-'Business Case'!E14*$E944)-MAX(0,(('Business Case'!E11*$C944*'Business Case'!E12*$B944)-'Business Case'!E11*$C944*'Business Case'!E13*$D944-'Business Case'!E14*$E944))*'Business Case'!$B$7-'Business Case'!$B$8*(('Business Case'!E11*$C944*'Business Case'!E12*$B944)-('Business Case'!D11*$C944*'Business Case'!D12*$B944))-'Business Case'!E15*$F944</f>
        <v>601319902.65581</v>
      </c>
      <c r="L944" s="39" t="n">
        <f aca="false">(('Business Case'!F11*$C944*'Business Case'!F12*$B944)-'Business Case'!F11*$C944*'Business Case'!F13*$D944-'Business Case'!F14*$E944)-MAX(0,(('Business Case'!F11*$C944*'Business Case'!F12*$B944)-'Business Case'!F11*$C944*'Business Case'!F13*$D944-'Business Case'!F14*$E944))*'Business Case'!$B$7-'Business Case'!$B$8*(('Business Case'!F11*$C944*'Business Case'!F12*$B944)-('Business Case'!E11*$C944*'Business Case'!E12*$B944))-'Business Case'!F15*$F944</f>
        <v>729586063.325299</v>
      </c>
      <c r="M944" s="39" t="n">
        <f aca="false">(('Business Case'!G11*$C944*'Business Case'!G12*$B944)-'Business Case'!G11*$C944*'Business Case'!G13*$D944-'Business Case'!G14*$E944)-MAX(0,(('Business Case'!G11*$C944*'Business Case'!G12*$B944)-'Business Case'!G11*$C944*'Business Case'!G13*$D944-'Business Case'!G14*$E944))*'Business Case'!$B$7-'Business Case'!$B$8*(('Business Case'!G11*$C944*'Business Case'!G12*$B944)-('Business Case'!F11*$C944*'Business Case'!F12*$B944))-'Business Case'!G15*$F944+'Business Case'!$B$8*('Business Case'!G11*$C944*'Business Case'!G12*$B944)</f>
        <v>916228362.47014</v>
      </c>
      <c r="N944" s="39" t="n">
        <f aca="false">IF(COUNT('Business Case'!B11:G11)=0,"",H944+NPV(G944,I944:M944))</f>
        <v>-373900470.655347</v>
      </c>
      <c r="P944" s="40" t="n">
        <f aca="true">RAND()</f>
        <v>0.578602220636358</v>
      </c>
      <c r="Q944" s="40" t="n">
        <f aca="true">RAND()</f>
        <v>0.501246888734939</v>
      </c>
      <c r="R944" s="40" t="n">
        <f aca="true">RAND()</f>
        <v>0.772293322867429</v>
      </c>
      <c r="S944" s="40" t="n">
        <f aca="true">RAND()</f>
        <v>0.526077179511795</v>
      </c>
      <c r="T944" s="40" t="n">
        <f aca="true">RAND()</f>
        <v>0.529107447526013</v>
      </c>
      <c r="U944" s="40" t="n">
        <f aca="true">RAND()</f>
        <v>0.378840792007342</v>
      </c>
    </row>
    <row r="945" customFormat="false" ht="15" hidden="false" customHeight="false" outlineLevel="0" collapsed="false">
      <c r="A945" s="36" t="n">
        <v>865</v>
      </c>
      <c r="B945" s="37" t="n">
        <f aca="false">1+IF($G$6=$E$6,$F$6,IF(P945&lt;($F$6-$E$6)/($G$6-$E$6),$E$6+SQRT(P945*($G$6-$E$6)*($F$6-$E$6)),$G$6-SQRT((1-P945)*($G$6-$E$6)*($G$6-$F$6))))</f>
        <v>0.97947473378167</v>
      </c>
      <c r="C945" s="37" t="n">
        <f aca="false">1+IF($G$7=$E$7,$F$7,IF(Q945&lt;($F$7-$E$7)/($G$7-$E$7),$E$7+SQRT(Q945*($G$7-$E$7)*($F$7-$E$7)),$G$7-SQRT((1-Q945)*($G$7-$E$7)*($G$7-$F$7))))</f>
        <v>1.02716987943364</v>
      </c>
      <c r="D945" s="37" t="n">
        <f aca="false">1+IF($G$8=$E$8,$F$8,IF(R945&lt;($F$8-$E$8)/($G$8-$E$8),$E$8+SQRT(R945*($G$8-$E$8)*($F$8-$E$8)),$G$8-SQRT((1-R945)*($G$8-$E$8)*($G$8-$F$8))))</f>
        <v>1.00911677603061</v>
      </c>
      <c r="E945" s="37" t="n">
        <f aca="false">1+IF($G$9=$E$9,$F$9,IF(S945&lt;($F$9-$E$9)/($G$9-$E$9),$E$9+SQRT(S945*($G$9-$E$9)*($F$9-$E$9)),$G$9-SQRT((1-S945)*($G$9-$E$9)*($G$9-$F$9))))</f>
        <v>0.984043262312173</v>
      </c>
      <c r="F945" s="37" t="n">
        <f aca="false">1+IF($G$10=$E$10,$F$10,IF(T945&lt;($F$10-$E$10)/($G$10-$E$10),$E$10+SQRT(T945*($G$10-$E$10)*($F$10-$E$10)),$G$10-SQRT((1-T945)*($G$10-$E$10)*($G$10-$F$10))))</f>
        <v>1.02746128647662</v>
      </c>
      <c r="G945" s="38" t="n">
        <f aca="false">IF($G$11=$E$11,$F$11,IF(U945&lt;($F$11-$E$11)/($G$11-$E$11),$E$11+SQRT(U945*($G$11-$E$11)*($F$11-$E$11)),$G$11-SQRT((1-U945)*($G$11-$E$11)*($G$11-$F$11))))</f>
        <v>0.115056901145906</v>
      </c>
      <c r="H945" s="39" t="n">
        <f aca="false">(('Business Case'!B11*$C945*'Business Case'!B12*$B945)-'Business Case'!B11*$C945*'Business Case'!B13*$D945-'Business Case'!B14*$E945)-MAX(0,(('Business Case'!B11*$C945*'Business Case'!B12*$B945)-'Business Case'!B11*$C945*'Business Case'!B13*$D945-'Business Case'!B14*$E945))*'Business Case'!$B$7-'Business Case'!$B$8*('Business Case'!B11*$C945*'Business Case'!B12*$B945)-'Business Case'!B15*$F945</f>
        <v>-2054922572.95323</v>
      </c>
      <c r="I945" s="39" t="n">
        <f aca="false">(('Business Case'!C11*$C945*'Business Case'!C12*$B945)-'Business Case'!C11*$C945*'Business Case'!C13*$D945-'Business Case'!C14*$E945)-MAX(0,(('Business Case'!C11*$C945*'Business Case'!C12*$B945)-'Business Case'!C11*$C945*'Business Case'!C13*$D945-'Business Case'!C14*$E945))*'Business Case'!$B$7-'Business Case'!$B$8*(('Business Case'!C11*$C945*'Business Case'!C12*$B945)-('Business Case'!B11*$C945*'Business Case'!B12*$B945))-'Business Case'!C15*$F945</f>
        <v>-1397650.29314581</v>
      </c>
      <c r="J945" s="39" t="n">
        <f aca="false">(('Business Case'!D11*$C945*'Business Case'!D12*$B945)-'Business Case'!D11*$C945*'Business Case'!D13*$D945-'Business Case'!D14*$E945)-MAX(0,(('Business Case'!D11*$C945*'Business Case'!D12*$B945)-'Business Case'!D11*$C945*'Business Case'!D13*$D945-'Business Case'!D14*$E945))*'Business Case'!$B$7-'Business Case'!$B$8*(('Business Case'!D11*$C945*'Business Case'!D12*$B945)-('Business Case'!C11*$C945*'Business Case'!C12*$B945))-'Business Case'!D15*$F945</f>
        <v>292037327.149842</v>
      </c>
      <c r="K945" s="39" t="n">
        <f aca="false">(('Business Case'!E11*$C945*'Business Case'!E12*$B945)-'Business Case'!E11*$C945*'Business Case'!E13*$D945-'Business Case'!E14*$E945)-MAX(0,(('Business Case'!E11*$C945*'Business Case'!E12*$B945)-'Business Case'!E11*$C945*'Business Case'!E13*$D945-'Business Case'!E14*$E945))*'Business Case'!$B$7-'Business Case'!$B$8*(('Business Case'!E11*$C945*'Business Case'!E12*$B945)-('Business Case'!D11*$C945*'Business Case'!D12*$B945))-'Business Case'!E15*$F945</f>
        <v>636845368.916661</v>
      </c>
      <c r="L945" s="39" t="n">
        <f aca="false">(('Business Case'!F11*$C945*'Business Case'!F12*$B945)-'Business Case'!F11*$C945*'Business Case'!F13*$D945-'Business Case'!F14*$E945)-MAX(0,(('Business Case'!F11*$C945*'Business Case'!F12*$B945)-'Business Case'!F11*$C945*'Business Case'!F13*$D945-'Business Case'!F14*$E945))*'Business Case'!$B$7-'Business Case'!$B$8*(('Business Case'!F11*$C945*'Business Case'!F12*$B945)-('Business Case'!E11*$C945*'Business Case'!E12*$B945))-'Business Case'!F15*$F945</f>
        <v>769427392.856111</v>
      </c>
      <c r="M945" s="39" t="n">
        <f aca="false">(('Business Case'!G11*$C945*'Business Case'!G12*$B945)-'Business Case'!G11*$C945*'Business Case'!G13*$D945-'Business Case'!G14*$E945)-MAX(0,(('Business Case'!G11*$C945*'Business Case'!G12*$B945)-'Business Case'!G11*$C945*'Business Case'!G13*$D945-'Business Case'!G14*$E945))*'Business Case'!$B$7-'Business Case'!$B$8*(('Business Case'!G11*$C945*'Business Case'!G12*$B945)-('Business Case'!F11*$C945*'Business Case'!F12*$B945))-'Business Case'!G15*$F945+'Business Case'!$B$8*('Business Case'!G11*$C945*'Business Case'!G12*$B945)</f>
        <v>960664399.210942</v>
      </c>
      <c r="N945" s="39" t="n">
        <f aca="false">IF(COUNT('Business Case'!B11:G11)=0,"",H945+NPV(G945,I945:M945))</f>
        <v>-306937391.148814</v>
      </c>
      <c r="P945" s="40" t="n">
        <f aca="true">RAND()</f>
        <v>0.368462912333389</v>
      </c>
      <c r="Q945" s="40" t="n">
        <f aca="true">RAND()</f>
        <v>0.712624028221956</v>
      </c>
      <c r="R945" s="40" t="n">
        <f aca="true">RAND()</f>
        <v>0.516881592279315</v>
      </c>
      <c r="S945" s="40" t="n">
        <f aca="true">RAND()</f>
        <v>0.154525827847391</v>
      </c>
      <c r="T945" s="40" t="n">
        <f aca="true">RAND()</f>
        <v>0.404607846713918</v>
      </c>
      <c r="U945" s="40" t="n">
        <f aca="true">RAND()</f>
        <v>0.959276289531085</v>
      </c>
    </row>
    <row r="946" customFormat="false" ht="15" hidden="false" customHeight="false" outlineLevel="0" collapsed="false">
      <c r="A946" s="36" t="n">
        <v>866</v>
      </c>
      <c r="B946" s="37" t="n">
        <f aca="false">1+IF($G$6=$E$6,$F$6,IF(P946&lt;($F$6-$E$6)/($G$6-$E$6),$E$6+SQRT(P946*($G$6-$E$6)*($F$6-$E$6)),$G$6-SQRT((1-P946)*($G$6-$E$6)*($G$6-$F$6))))</f>
        <v>1.03568516767187</v>
      </c>
      <c r="C946" s="37" t="n">
        <f aca="false">1+IF($G$7=$E$7,$F$7,IF(Q946&lt;($F$7-$E$7)/($G$7-$E$7),$E$7+SQRT(Q946*($G$7-$E$7)*($F$7-$E$7)),$G$7-SQRT((1-Q946)*($G$7-$E$7)*($G$7-$F$7))))</f>
        <v>1.02585134216784</v>
      </c>
      <c r="D946" s="37" t="n">
        <f aca="false">1+IF($G$8=$E$8,$F$8,IF(R946&lt;($F$8-$E$8)/($G$8-$E$8),$E$8+SQRT(R946*($G$8-$E$8)*($F$8-$E$8)),$G$8-SQRT((1-R946)*($G$8-$E$8)*($G$8-$F$8))))</f>
        <v>0.958294232342265</v>
      </c>
      <c r="E946" s="37" t="n">
        <f aca="false">1+IF($G$9=$E$9,$F$9,IF(S946&lt;($F$9-$E$9)/($G$9-$E$9),$E$9+SQRT(S946*($G$9-$E$9)*($F$9-$E$9)),$G$9-SQRT((1-S946)*($G$9-$E$9)*($G$9-$F$9))))</f>
        <v>1.06093658262866</v>
      </c>
      <c r="F946" s="37" t="n">
        <f aca="false">1+IF($G$10=$E$10,$F$10,IF(T946&lt;($F$10-$E$10)/($G$10-$E$10),$E$10+SQRT(T946*($G$10-$E$10)*($F$10-$E$10)),$G$10-SQRT((1-T946)*($G$10-$E$10)*($G$10-$F$10))))</f>
        <v>0.995213349886193</v>
      </c>
      <c r="G946" s="38" t="n">
        <f aca="false">IF($G$11=$E$11,$F$11,IF(U946&lt;($F$11-$E$11)/($G$11-$E$11),$E$11+SQRT(U946*($G$11-$E$11)*($F$11-$E$11)),$G$11-SQRT((1-U946)*($G$11-$E$11)*($G$11-$F$11))))</f>
        <v>0.113838706371759</v>
      </c>
      <c r="H946" s="39" t="n">
        <f aca="false">(('Business Case'!B11*$C946*'Business Case'!B12*$B946)-'Business Case'!B11*$C946*'Business Case'!B13*$D946-'Business Case'!B14*$E946)-MAX(0,(('Business Case'!B11*$C946*'Business Case'!B12*$B946)-'Business Case'!B11*$C946*'Business Case'!B13*$D946-'Business Case'!B14*$E946))*'Business Case'!$B$7-'Business Case'!$B$8*('Business Case'!B11*$C946*'Business Case'!B12*$B946)-'Business Case'!B15*$F946</f>
        <v>-1990426699.77239</v>
      </c>
      <c r="I946" s="39" t="n">
        <f aca="false">(('Business Case'!C11*$C946*'Business Case'!C12*$B946)-'Business Case'!C11*$C946*'Business Case'!C13*$D946-'Business Case'!C14*$E946)-MAX(0,(('Business Case'!C11*$C946*'Business Case'!C12*$B946)-'Business Case'!C11*$C946*'Business Case'!C13*$D946-'Business Case'!C14*$E946))*'Business Case'!$B$7-'Business Case'!$B$8*(('Business Case'!C11*$C946*'Business Case'!C12*$B946)-('Business Case'!B11*$C946*'Business Case'!B12*$B946))-'Business Case'!C15*$F946</f>
        <v>61514165.3527999</v>
      </c>
      <c r="J946" s="39" t="n">
        <f aca="false">(('Business Case'!D11*$C946*'Business Case'!D12*$B946)-'Business Case'!D11*$C946*'Business Case'!D13*$D946-'Business Case'!D14*$E946)-MAX(0,(('Business Case'!D11*$C946*'Business Case'!D12*$B946)-'Business Case'!D11*$C946*'Business Case'!D13*$D946-'Business Case'!D14*$E946))*'Business Case'!$B$7-'Business Case'!$B$8*(('Business Case'!D11*$C946*'Business Case'!D12*$B946)-('Business Case'!C11*$C946*'Business Case'!C12*$B946))-'Business Case'!D15*$F946</f>
        <v>428492723.305538</v>
      </c>
      <c r="K946" s="39" t="n">
        <f aca="false">(('Business Case'!E11*$C946*'Business Case'!E12*$B946)-'Business Case'!E11*$C946*'Business Case'!E13*$D946-'Business Case'!E14*$E946)-MAX(0,(('Business Case'!E11*$C946*'Business Case'!E12*$B946)-'Business Case'!E11*$C946*'Business Case'!E13*$D946-'Business Case'!E14*$E946))*'Business Case'!$B$7-'Business Case'!$B$8*(('Business Case'!E11*$C946*'Business Case'!E12*$B946)-('Business Case'!D11*$C946*'Business Case'!D12*$B946))-'Business Case'!E15*$F946</f>
        <v>845231948.752585</v>
      </c>
      <c r="L946" s="39" t="n">
        <f aca="false">(('Business Case'!F11*$C946*'Business Case'!F12*$B946)-'Business Case'!F11*$C946*'Business Case'!F13*$D946-'Business Case'!F14*$E946)-MAX(0,(('Business Case'!F11*$C946*'Business Case'!F12*$B946)-'Business Case'!F11*$C946*'Business Case'!F13*$D946-'Business Case'!F14*$E946))*'Business Case'!$B$7-'Business Case'!$B$8*(('Business Case'!F11*$C946*'Business Case'!F12*$B946)-('Business Case'!E11*$C946*'Business Case'!E12*$B946))-'Business Case'!F15*$F946</f>
        <v>1004276718.44451</v>
      </c>
      <c r="M946" s="39" t="n">
        <f aca="false">(('Business Case'!G11*$C946*'Business Case'!G12*$B946)-'Business Case'!G11*$C946*'Business Case'!G13*$D946-'Business Case'!G14*$E946)-MAX(0,(('Business Case'!G11*$C946*'Business Case'!G12*$B946)-'Business Case'!G11*$C946*'Business Case'!G13*$D946-'Business Case'!G14*$E946))*'Business Case'!$B$7-'Business Case'!$B$8*(('Business Case'!G11*$C946*'Business Case'!G12*$B946)-('Business Case'!F11*$C946*'Business Case'!F12*$B946))-'Business Case'!G15*$F946+'Business Case'!$B$8*('Business Case'!G11*$C946*'Business Case'!G12*$B946)</f>
        <v>1206228928.83677</v>
      </c>
      <c r="N946" s="39" t="n">
        <f aca="false">IF(COUNT('Business Case'!B11:G11)=0,"",H946+NPV(G946,I946:M946))</f>
        <v>377903351.718426</v>
      </c>
      <c r="P946" s="40" t="n">
        <f aca="true">RAND()</f>
        <v>0.996121296245854</v>
      </c>
      <c r="Q946" s="40" t="n">
        <f aca="true">RAND()</f>
        <v>0.706421157304247</v>
      </c>
      <c r="R946" s="40" t="n">
        <f aca="true">RAND()</f>
        <v>0.0105837369457643</v>
      </c>
      <c r="S946" s="40" t="n">
        <f aca="true">RAND()</f>
        <v>0.898269961551492</v>
      </c>
      <c r="T946" s="40" t="n">
        <f aca="true">RAND()</f>
        <v>0.163539760634504</v>
      </c>
      <c r="U946" s="40" t="n">
        <f aca="true">RAND()</f>
        <v>0.936730768044324</v>
      </c>
    </row>
    <row r="947" customFormat="false" ht="15" hidden="false" customHeight="false" outlineLevel="0" collapsed="false">
      <c r="A947" s="36" t="n">
        <v>867</v>
      </c>
      <c r="B947" s="37" t="n">
        <f aca="false">1+IF($G$6=$E$6,$F$6,IF(P947&lt;($F$6-$E$6)/($G$6-$E$6),$E$6+SQRT(P947*($G$6-$E$6)*($F$6-$E$6)),$G$6-SQRT((1-P947)*($G$6-$E$6)*($G$6-$F$6))))</f>
        <v>1.01819395119171</v>
      </c>
      <c r="C947" s="37" t="n">
        <f aca="false">1+IF($G$7=$E$7,$F$7,IF(Q947&lt;($F$7-$E$7)/($G$7-$E$7),$E$7+SQRT(Q947*($G$7-$E$7)*($F$7-$E$7)),$G$7-SQRT((1-Q947)*($G$7-$E$7)*($G$7-$F$7))))</f>
        <v>1.00646566464902</v>
      </c>
      <c r="D947" s="37" t="n">
        <f aca="false">1+IF($G$8=$E$8,$F$8,IF(R947&lt;($F$8-$E$8)/($G$8-$E$8),$E$8+SQRT(R947*($G$8-$E$8)*($F$8-$E$8)),$G$8-SQRT((1-R947)*($G$8-$E$8)*($G$8-$F$8))))</f>
        <v>0.961088471658639</v>
      </c>
      <c r="E947" s="37" t="n">
        <f aca="false">1+IF($G$9=$E$9,$F$9,IF(S947&lt;($F$9-$E$9)/($G$9-$E$9),$E$9+SQRT(S947*($G$9-$E$9)*($F$9-$E$9)),$G$9-SQRT((1-S947)*($G$9-$E$9)*($G$9-$F$9))))</f>
        <v>1.00585269192255</v>
      </c>
      <c r="F947" s="37" t="n">
        <f aca="false">1+IF($G$10=$E$10,$F$10,IF(T947&lt;($F$10-$E$10)/($G$10-$E$10),$E$10+SQRT(T947*($G$10-$E$10)*($F$10-$E$10)),$G$10-SQRT((1-T947)*($G$10-$E$10)*($G$10-$F$10))))</f>
        <v>1.09138230196869</v>
      </c>
      <c r="G947" s="38" t="n">
        <f aca="false">IF($G$11=$E$11,$F$11,IF(U947&lt;($F$11-$E$11)/($G$11-$E$11),$E$11+SQRT(U947*($G$11-$E$11)*($F$11-$E$11)),$G$11-SQRT((1-U947)*($G$11-$E$11)*($G$11-$F$11))))</f>
        <v>0.095534738344194</v>
      </c>
      <c r="H947" s="39" t="n">
        <f aca="false">(('Business Case'!B11*$C947*'Business Case'!B12*$B947)-'Business Case'!B11*$C947*'Business Case'!B13*$D947-'Business Case'!B14*$E947)-MAX(0,(('Business Case'!B11*$C947*'Business Case'!B12*$B947)-'Business Case'!B11*$C947*'Business Case'!B13*$D947-'Business Case'!B14*$E947))*'Business Case'!$B$7-'Business Case'!$B$8*('Business Case'!B11*$C947*'Business Case'!B12*$B947)-'Business Case'!B15*$F947</f>
        <v>-2182764603.93737</v>
      </c>
      <c r="I947" s="39" t="n">
        <f aca="false">(('Business Case'!C11*$C947*'Business Case'!C12*$B947)-'Business Case'!C11*$C947*'Business Case'!C13*$D947-'Business Case'!C14*$E947)-MAX(0,(('Business Case'!C11*$C947*'Business Case'!C12*$B947)-'Business Case'!C11*$C947*'Business Case'!C13*$D947-'Business Case'!C14*$E947))*'Business Case'!$B$7-'Business Case'!$B$8*(('Business Case'!C11*$C947*'Business Case'!C12*$B947)-('Business Case'!B11*$C947*'Business Case'!B12*$B947))-'Business Case'!C15*$F947</f>
        <v>38889897.4136828</v>
      </c>
      <c r="J947" s="39" t="n">
        <f aca="false">(('Business Case'!D11*$C947*'Business Case'!D12*$B947)-'Business Case'!D11*$C947*'Business Case'!D13*$D947-'Business Case'!D14*$E947)-MAX(0,(('Business Case'!D11*$C947*'Business Case'!D12*$B947)-'Business Case'!D11*$C947*'Business Case'!D13*$D947-'Business Case'!D14*$E947))*'Business Case'!$B$7-'Business Case'!$B$8*(('Business Case'!D11*$C947*'Business Case'!D12*$B947)-('Business Case'!C11*$C947*'Business Case'!C12*$B947))-'Business Case'!D15*$F947</f>
        <v>383074730.550373</v>
      </c>
      <c r="K947" s="39" t="n">
        <f aca="false">(('Business Case'!E11*$C947*'Business Case'!E12*$B947)-'Business Case'!E11*$C947*'Business Case'!E13*$D947-'Business Case'!E14*$E947)-MAX(0,(('Business Case'!E11*$C947*'Business Case'!E12*$B947)-'Business Case'!E11*$C947*'Business Case'!E13*$D947-'Business Case'!E14*$E947))*'Business Case'!$B$7-'Business Case'!$B$8*(('Business Case'!E11*$C947*'Business Case'!E12*$B947)-('Business Case'!D11*$C947*'Business Case'!D12*$B947))-'Business Case'!E15*$F947</f>
        <v>781828678.785498</v>
      </c>
      <c r="L947" s="39" t="n">
        <f aca="false">(('Business Case'!F11*$C947*'Business Case'!F12*$B947)-'Business Case'!F11*$C947*'Business Case'!F13*$D947-'Business Case'!F14*$E947)-MAX(0,(('Business Case'!F11*$C947*'Business Case'!F12*$B947)-'Business Case'!F11*$C947*'Business Case'!F13*$D947-'Business Case'!F14*$E947))*'Business Case'!$B$7-'Business Case'!$B$8*(('Business Case'!F11*$C947*'Business Case'!F12*$B947)-('Business Case'!E11*$C947*'Business Case'!E12*$B947))-'Business Case'!F15*$F947</f>
        <v>931973258.320896</v>
      </c>
      <c r="M947" s="39" t="n">
        <f aca="false">(('Business Case'!G11*$C947*'Business Case'!G12*$B947)-'Business Case'!G11*$C947*'Business Case'!G13*$D947-'Business Case'!G14*$E947)-MAX(0,(('Business Case'!G11*$C947*'Business Case'!G12*$B947)-'Business Case'!G11*$C947*'Business Case'!G13*$D947-'Business Case'!G14*$E947))*'Business Case'!$B$7-'Business Case'!$B$8*(('Business Case'!G11*$C947*'Business Case'!G12*$B947)-('Business Case'!F11*$C947*'Business Case'!F12*$B947))-'Business Case'!G15*$F947+'Business Case'!$B$8*('Business Case'!G11*$C947*'Business Case'!G12*$B947)</f>
        <v>1126762918.34832</v>
      </c>
      <c r="N947" s="39" t="n">
        <f aca="false">IF(COUNT('Business Case'!B11:G11)=0,"",H947+NPV(G947,I947:M947))</f>
        <v>127519692.300293</v>
      </c>
      <c r="P947" s="40" t="n">
        <f aca="true">RAND()</f>
        <v>0.900936715702201</v>
      </c>
      <c r="Q947" s="40" t="n">
        <f aca="true">RAND()</f>
        <v>0.607578944292418</v>
      </c>
      <c r="R947" s="40" t="n">
        <f aca="true">RAND()</f>
        <v>0.0189160313422206</v>
      </c>
      <c r="S947" s="40" t="n">
        <f aca="true">RAND()</f>
        <v>0.409085625451336</v>
      </c>
      <c r="T947" s="40" t="n">
        <f aca="true">RAND()</f>
        <v>0.76404391348757</v>
      </c>
      <c r="U947" s="40" t="n">
        <f aca="true">RAND()</f>
        <v>0.102111095128969</v>
      </c>
    </row>
    <row r="948" customFormat="false" ht="15" hidden="false" customHeight="false" outlineLevel="0" collapsed="false">
      <c r="A948" s="36" t="n">
        <v>868</v>
      </c>
      <c r="B948" s="37" t="n">
        <f aca="false">1+IF($G$6=$E$6,$F$6,IF(P948&lt;($F$6-$E$6)/($G$6-$E$6),$E$6+SQRT(P948*($G$6-$E$6)*($F$6-$E$6)),$G$6-SQRT((1-P948)*($G$6-$E$6)*($G$6-$F$6))))</f>
        <v>1.02152881883162</v>
      </c>
      <c r="C948" s="37" t="n">
        <f aca="false">1+IF($G$7=$E$7,$F$7,IF(Q948&lt;($F$7-$E$7)/($G$7-$E$7),$E$7+SQRT(Q948*($G$7-$E$7)*($F$7-$E$7)),$G$7-SQRT((1-Q948)*($G$7-$E$7)*($G$7-$F$7))))</f>
        <v>1.02664786698119</v>
      </c>
      <c r="D948" s="37" t="n">
        <f aca="false">1+IF($G$8=$E$8,$F$8,IF(R948&lt;($F$8-$E$8)/($G$8-$E$8),$E$8+SQRT(R948*($G$8-$E$8)*($F$8-$E$8)),$G$8-SQRT((1-R948)*($G$8-$E$8)*($G$8-$F$8))))</f>
        <v>0.995531567240849</v>
      </c>
      <c r="E948" s="37" t="n">
        <f aca="false">1+IF($G$9=$E$9,$F$9,IF(S948&lt;($F$9-$E$9)/($G$9-$E$9),$E$9+SQRT(S948*($G$9-$E$9)*($F$9-$E$9)),$G$9-SQRT((1-S948)*($G$9-$E$9)*($G$9-$F$9))))</f>
        <v>1.05556028023291</v>
      </c>
      <c r="F948" s="37" t="n">
        <f aca="false">1+IF($G$10=$E$10,$F$10,IF(T948&lt;($F$10-$E$10)/($G$10-$E$10),$E$10+SQRT(T948*($G$10-$E$10)*($F$10-$E$10)),$G$10-SQRT((1-T948)*($G$10-$E$10)*($G$10-$F$10))))</f>
        <v>1.15700045869485</v>
      </c>
      <c r="G948" s="38" t="n">
        <f aca="false">IF($G$11=$E$11,$F$11,IF(U948&lt;($F$11-$E$11)/($G$11-$E$11),$E$11+SQRT(U948*($G$11-$E$11)*($F$11-$E$11)),$G$11-SQRT((1-U948)*($G$11-$E$11)*($G$11-$F$11))))</f>
        <v>0.109920316154643</v>
      </c>
      <c r="H948" s="39" t="n">
        <f aca="false">(('Business Case'!B11*$C948*'Business Case'!B12*$B948)-'Business Case'!B11*$C948*'Business Case'!B13*$D948-'Business Case'!B14*$E948)-MAX(0,(('Business Case'!B11*$C948*'Business Case'!B12*$B948)-'Business Case'!B11*$C948*'Business Case'!B13*$D948-'Business Case'!B14*$E948))*'Business Case'!$B$7-'Business Case'!$B$8*('Business Case'!B11*$C948*'Business Case'!B12*$B948)-'Business Case'!B15*$F948</f>
        <v>-2314000917.38971</v>
      </c>
      <c r="I948" s="39" t="n">
        <f aca="false">(('Business Case'!C11*$C948*'Business Case'!C12*$B948)-'Business Case'!C11*$C948*'Business Case'!C13*$D948-'Business Case'!C14*$E948)-MAX(0,(('Business Case'!C11*$C948*'Business Case'!C12*$B948)-'Business Case'!C11*$C948*'Business Case'!C13*$D948-'Business Case'!C14*$E948))*'Business Case'!$B$7-'Business Case'!$B$8*(('Business Case'!C11*$C948*'Business Case'!C12*$B948)-('Business Case'!B11*$C948*'Business Case'!B12*$B948))-'Business Case'!C15*$F948</f>
        <v>15620996.5631603</v>
      </c>
      <c r="J948" s="39" t="n">
        <f aca="false">(('Business Case'!D11*$C948*'Business Case'!D12*$B948)-'Business Case'!D11*$C948*'Business Case'!D13*$D948-'Business Case'!D14*$E948)-MAX(0,(('Business Case'!D11*$C948*'Business Case'!D12*$B948)-'Business Case'!D11*$C948*'Business Case'!D13*$D948-'Business Case'!D14*$E948))*'Business Case'!$B$7-'Business Case'!$B$8*(('Business Case'!D11*$C948*'Business Case'!D12*$B948)-('Business Case'!C11*$C948*'Business Case'!C12*$B948))-'Business Case'!D15*$F948</f>
        <v>351409930.695151</v>
      </c>
      <c r="K948" s="39" t="n">
        <f aca="false">(('Business Case'!E11*$C948*'Business Case'!E12*$B948)-'Business Case'!E11*$C948*'Business Case'!E13*$D948-'Business Case'!E14*$E948)-MAX(0,(('Business Case'!E11*$C948*'Business Case'!E12*$B948)-'Business Case'!E11*$C948*'Business Case'!E13*$D948-'Business Case'!E14*$E948))*'Business Case'!$B$7-'Business Case'!$B$8*(('Business Case'!E11*$C948*'Business Case'!E12*$B948)-('Business Case'!D11*$C948*'Business Case'!D12*$B948))-'Business Case'!E15*$F948</f>
        <v>745048887.761885</v>
      </c>
      <c r="L948" s="39" t="n">
        <f aca="false">(('Business Case'!F11*$C948*'Business Case'!F12*$B948)-'Business Case'!F11*$C948*'Business Case'!F13*$D948-'Business Case'!F14*$E948)-MAX(0,(('Business Case'!F11*$C948*'Business Case'!F12*$B948)-'Business Case'!F11*$C948*'Business Case'!F13*$D948-'Business Case'!F14*$E948))*'Business Case'!$B$7-'Business Case'!$B$8*(('Business Case'!F11*$C948*'Business Case'!F12*$B948)-('Business Case'!E11*$C948*'Business Case'!E12*$B948))-'Business Case'!F15*$F948</f>
        <v>893223345.706032</v>
      </c>
      <c r="M948" s="39" t="n">
        <f aca="false">(('Business Case'!G11*$C948*'Business Case'!G12*$B948)-'Business Case'!G11*$C948*'Business Case'!G13*$D948-'Business Case'!G14*$E948)-MAX(0,(('Business Case'!G11*$C948*'Business Case'!G12*$B948)-'Business Case'!G11*$C948*'Business Case'!G13*$D948-'Business Case'!G14*$E948))*'Business Case'!$B$7-'Business Case'!$B$8*(('Business Case'!G11*$C948*'Business Case'!G12*$B948)-('Business Case'!F11*$C948*'Business Case'!F12*$B948))-'Business Case'!G15*$F948+'Business Case'!$B$8*('Business Case'!G11*$C948*'Business Case'!G12*$B948)</f>
        <v>1092569818.49019</v>
      </c>
      <c r="N948" s="39" t="n">
        <f aca="false">IF(COUNT('Business Case'!B11:G11)=0,"",H948+NPV(G948,I948:M948))</f>
        <v>-232600473.810403</v>
      </c>
      <c r="P948" s="40" t="n">
        <f aca="true">RAND()</f>
        <v>0.928919888801047</v>
      </c>
      <c r="Q948" s="40" t="n">
        <f aca="true">RAND()</f>
        <v>0.710176214851594</v>
      </c>
      <c r="R948" s="40" t="n">
        <f aca="true">RAND()</f>
        <v>0.318942094678151</v>
      </c>
      <c r="S948" s="40" t="n">
        <f aca="true">RAND()</f>
        <v>0.868340753801499</v>
      </c>
      <c r="T948" s="40" t="n">
        <f aca="true">RAND()</f>
        <v>0.96302078895094</v>
      </c>
      <c r="U948" s="40" t="n">
        <f aca="true">RAND()</f>
        <v>0.830666622629403</v>
      </c>
    </row>
    <row r="949" customFormat="false" ht="15" hidden="false" customHeight="false" outlineLevel="0" collapsed="false">
      <c r="A949" s="36" t="n">
        <v>869</v>
      </c>
      <c r="B949" s="37" t="n">
        <f aca="false">1+IF($G$6=$E$6,$F$6,IF(P949&lt;($F$6-$E$6)/($G$6-$E$6),$E$6+SQRT(P949*($G$6-$E$6)*($F$6-$E$6)),$G$6-SQRT((1-P949)*($G$6-$E$6)*($G$6-$F$6))))</f>
        <v>0.971486377570571</v>
      </c>
      <c r="C949" s="37" t="n">
        <f aca="false">1+IF($G$7=$E$7,$F$7,IF(Q949&lt;($F$7-$E$7)/($G$7-$E$7),$E$7+SQRT(Q949*($G$7-$E$7)*($F$7-$E$7)),$G$7-SQRT((1-Q949)*($G$7-$E$7)*($G$7-$F$7))))</f>
        <v>1.07970171675033</v>
      </c>
      <c r="D949" s="37" t="n">
        <f aca="false">1+IF($G$8=$E$8,$F$8,IF(R949&lt;($F$8-$E$8)/($G$8-$E$8),$E$8+SQRT(R949*($G$8-$E$8)*($F$8-$E$8)),$G$8-SQRT((1-R949)*($G$8-$E$8)*($G$8-$F$8))))</f>
        <v>1.05885914057803</v>
      </c>
      <c r="E949" s="37" t="n">
        <f aca="false">1+IF($G$9=$E$9,$F$9,IF(S949&lt;($F$9-$E$9)/($G$9-$E$9),$E$9+SQRT(S949*($G$9-$E$9)*($F$9-$E$9)),$G$9-SQRT((1-S949)*($G$9-$E$9)*($G$9-$F$9))))</f>
        <v>0.966268799155341</v>
      </c>
      <c r="F949" s="37" t="n">
        <f aca="false">1+IF($G$10=$E$10,$F$10,IF(T949&lt;($F$10-$E$10)/($G$10-$E$10),$E$10+SQRT(T949*($G$10-$E$10)*($F$10-$E$10)),$G$10-SQRT((1-T949)*($G$10-$E$10)*($G$10-$F$10))))</f>
        <v>0.997724292012435</v>
      </c>
      <c r="G949" s="38" t="n">
        <f aca="false">IF($G$11=$E$11,$F$11,IF(U949&lt;($F$11-$E$11)/($G$11-$E$11),$E$11+SQRT(U949*($G$11-$E$11)*($F$11-$E$11)),$G$11-SQRT((1-U949)*($G$11-$E$11)*($G$11-$F$11))))</f>
        <v>0.110672718646523</v>
      </c>
      <c r="H949" s="39" t="n">
        <f aca="false">(('Business Case'!B11*$C949*'Business Case'!B12*$B949)-'Business Case'!B11*$C949*'Business Case'!B13*$D949-'Business Case'!B14*$E949)-MAX(0,(('Business Case'!B11*$C949*'Business Case'!B12*$B949)-'Business Case'!B11*$C949*'Business Case'!B13*$D949-'Business Case'!B14*$E949))*'Business Case'!$B$7-'Business Case'!$B$8*('Business Case'!B11*$C949*'Business Case'!B12*$B949)-'Business Case'!B15*$F949</f>
        <v>-1995448584.02487</v>
      </c>
      <c r="I949" s="39" t="n">
        <f aca="false">(('Business Case'!C11*$C949*'Business Case'!C12*$B949)-'Business Case'!C11*$C949*'Business Case'!C13*$D949-'Business Case'!C14*$E949)-MAX(0,(('Business Case'!C11*$C949*'Business Case'!C12*$B949)-'Business Case'!C11*$C949*'Business Case'!C13*$D949-'Business Case'!C14*$E949))*'Business Case'!$B$7-'Business Case'!$B$8*(('Business Case'!C11*$C949*'Business Case'!C12*$B949)-('Business Case'!B11*$C949*'Business Case'!B12*$B949))-'Business Case'!C15*$F949</f>
        <v>-17667888.2911824</v>
      </c>
      <c r="J949" s="39" t="n">
        <f aca="false">(('Business Case'!D11*$C949*'Business Case'!D12*$B949)-'Business Case'!D11*$C949*'Business Case'!D13*$D949-'Business Case'!D14*$E949)-MAX(0,(('Business Case'!D11*$C949*'Business Case'!D12*$B949)-'Business Case'!D11*$C949*'Business Case'!D13*$D949-'Business Case'!D14*$E949))*'Business Case'!$B$7-'Business Case'!$B$8*(('Business Case'!D11*$C949*'Business Case'!D12*$B949)-('Business Case'!C11*$C949*'Business Case'!C12*$B949))-'Business Case'!D15*$F949</f>
        <v>256215855.879672</v>
      </c>
      <c r="K949" s="39" t="n">
        <f aca="false">(('Business Case'!E11*$C949*'Business Case'!E12*$B949)-'Business Case'!E11*$C949*'Business Case'!E13*$D949-'Business Case'!E14*$E949)-MAX(0,(('Business Case'!E11*$C949*'Business Case'!E12*$B949)-'Business Case'!E11*$C949*'Business Case'!E13*$D949-'Business Case'!E14*$E949))*'Business Case'!$B$7-'Business Case'!$B$8*(('Business Case'!E11*$C949*'Business Case'!E12*$B949)-('Business Case'!D11*$C949*'Business Case'!D12*$B949))-'Business Case'!E15*$F949</f>
        <v>579985814.651149</v>
      </c>
      <c r="L949" s="39" t="n">
        <f aca="false">(('Business Case'!F11*$C949*'Business Case'!F12*$B949)-'Business Case'!F11*$C949*'Business Case'!F13*$D949-'Business Case'!F14*$E949)-MAX(0,(('Business Case'!F11*$C949*'Business Case'!F12*$B949)-'Business Case'!F11*$C949*'Business Case'!F13*$D949-'Business Case'!F14*$E949))*'Business Case'!$B$7-'Business Case'!$B$8*(('Business Case'!F11*$C949*'Business Case'!F12*$B949)-('Business Case'!E11*$C949*'Business Case'!E12*$B949))-'Business Case'!F15*$F949</f>
        <v>707530916.05537</v>
      </c>
      <c r="M949" s="39" t="n">
        <f aca="false">(('Business Case'!G11*$C949*'Business Case'!G12*$B949)-'Business Case'!G11*$C949*'Business Case'!G13*$D949-'Business Case'!G14*$E949)-MAX(0,(('Business Case'!G11*$C949*'Business Case'!G12*$B949)-'Business Case'!G11*$C949*'Business Case'!G13*$D949-'Business Case'!G14*$E949))*'Business Case'!$B$7-'Business Case'!$B$8*(('Business Case'!G11*$C949*'Business Case'!G12*$B949)-('Business Case'!F11*$C949*'Business Case'!F12*$B949))-'Business Case'!G15*$F949+'Business Case'!$B$8*('Business Case'!G11*$C949*'Business Case'!G12*$B949)</f>
        <v>906908776.13202</v>
      </c>
      <c r="N949" s="39" t="n">
        <f aca="false">IF(COUNT('Business Case'!B11:G11)=0,"",H949+NPV(G949,I949:M949))</f>
        <v>-378824082.947928</v>
      </c>
      <c r="P949" s="40" t="n">
        <f aca="true">RAND()</f>
        <v>0.276129903681188</v>
      </c>
      <c r="Q949" s="40" t="n">
        <f aca="true">RAND()</f>
        <v>0.905869549945707</v>
      </c>
      <c r="R949" s="40" t="n">
        <f aca="true">RAND()</f>
        <v>0.957025390663495</v>
      </c>
      <c r="S949" s="40" t="n">
        <f aca="true">RAND()</f>
        <v>0.0352898434609089</v>
      </c>
      <c r="T949" s="40" t="n">
        <f aca="true">RAND()</f>
        <v>0.18220864384705</v>
      </c>
      <c r="U949" s="40" t="n">
        <f aca="true">RAND()</f>
        <v>0.855003037588471</v>
      </c>
    </row>
    <row r="950" customFormat="false" ht="15" hidden="false" customHeight="false" outlineLevel="0" collapsed="false">
      <c r="A950" s="36" t="n">
        <v>870</v>
      </c>
      <c r="B950" s="37" t="n">
        <f aca="false">1+IF($G$6=$E$6,$F$6,IF(P950&lt;($F$6-$E$6)/($G$6-$E$6),$E$6+SQRT(P950*($G$6-$E$6)*($F$6-$E$6)),$G$6-SQRT((1-P950)*($G$6-$E$6)*($G$6-$F$6))))</f>
        <v>0.97853291371542</v>
      </c>
      <c r="C950" s="37" t="n">
        <f aca="false">1+IF($G$7=$E$7,$F$7,IF(Q950&lt;($F$7-$E$7)/($G$7-$E$7),$E$7+SQRT(Q950*($G$7-$E$7)*($F$7-$E$7)),$G$7-SQRT((1-Q950)*($G$7-$E$7)*($G$7-$F$7))))</f>
        <v>1.00145357017204</v>
      </c>
      <c r="D950" s="37" t="n">
        <f aca="false">1+IF($G$8=$E$8,$F$8,IF(R950&lt;($F$8-$E$8)/($G$8-$E$8),$E$8+SQRT(R950*($G$8-$E$8)*($F$8-$E$8)),$G$8-SQRT((1-R950)*($G$8-$E$8)*($G$8-$F$8))))</f>
        <v>1.00807286345532</v>
      </c>
      <c r="E950" s="37" t="n">
        <f aca="false">1+IF($G$9=$E$9,$F$9,IF(S950&lt;($F$9-$E$9)/($G$9-$E$9),$E$9+SQRT(S950*($G$9-$E$9)*($F$9-$E$9)),$G$9-SQRT((1-S950)*($G$9-$E$9)*($G$9-$F$9))))</f>
        <v>0.998240739746967</v>
      </c>
      <c r="F950" s="37" t="n">
        <f aca="false">1+IF($G$10=$E$10,$F$10,IF(T950&lt;($F$10-$E$10)/($G$10-$E$10),$E$10+SQRT(T950*($G$10-$E$10)*($F$10-$E$10)),$G$10-SQRT((1-T950)*($G$10-$E$10)*($G$10-$F$10))))</f>
        <v>1.01774389818473</v>
      </c>
      <c r="G950" s="38" t="n">
        <f aca="false">IF($G$11=$E$11,$F$11,IF(U950&lt;($F$11-$E$11)/($G$11-$E$11),$E$11+SQRT(U950*($G$11-$E$11)*($F$11-$E$11)),$G$11-SQRT((1-U950)*($G$11-$E$11)*($G$11-$F$11))))</f>
        <v>0.102059246496849</v>
      </c>
      <c r="H950" s="39" t="n">
        <f aca="false">(('Business Case'!B11*$C950*'Business Case'!B12*$B950)-'Business Case'!B11*$C950*'Business Case'!B13*$D950-'Business Case'!B14*$E950)-MAX(0,(('Business Case'!B11*$C950*'Business Case'!B12*$B950)-'Business Case'!B11*$C950*'Business Case'!B13*$D950-'Business Case'!B14*$E950))*'Business Case'!$B$7-'Business Case'!$B$8*('Business Case'!B11*$C950*'Business Case'!B12*$B950)-'Business Case'!B15*$F950</f>
        <v>-2035487796.36947</v>
      </c>
      <c r="I950" s="39" t="n">
        <f aca="false">(('Business Case'!C11*$C950*'Business Case'!C12*$B950)-'Business Case'!C11*$C950*'Business Case'!C13*$D950-'Business Case'!C14*$E950)-MAX(0,(('Business Case'!C11*$C950*'Business Case'!C12*$B950)-'Business Case'!C11*$C950*'Business Case'!C13*$D950-'Business Case'!C14*$E950))*'Business Case'!$B$7-'Business Case'!$B$8*(('Business Case'!C11*$C950*'Business Case'!C12*$B950)-('Business Case'!B11*$C950*'Business Case'!B12*$B950))-'Business Case'!C15*$F950</f>
        <v>-8673952.66186333</v>
      </c>
      <c r="J950" s="39" t="n">
        <f aca="false">(('Business Case'!D11*$C950*'Business Case'!D12*$B950)-'Business Case'!D11*$C950*'Business Case'!D13*$D950-'Business Case'!D14*$E950)-MAX(0,(('Business Case'!D11*$C950*'Business Case'!D12*$B950)-'Business Case'!D11*$C950*'Business Case'!D13*$D950-'Business Case'!D14*$E950))*'Business Case'!$B$7-'Business Case'!$B$8*(('Business Case'!D11*$C950*'Business Case'!D12*$B950)-('Business Case'!C11*$C950*'Business Case'!C12*$B950))-'Business Case'!D15*$F950</f>
        <v>277177199.40047</v>
      </c>
      <c r="K950" s="39" t="n">
        <f aca="false">(('Business Case'!E11*$C950*'Business Case'!E12*$B950)-'Business Case'!E11*$C950*'Business Case'!E13*$D950-'Business Case'!E14*$E950)-MAX(0,(('Business Case'!E11*$C950*'Business Case'!E12*$B950)-'Business Case'!E11*$C950*'Business Case'!E13*$D950-'Business Case'!E14*$E950))*'Business Case'!$B$7-'Business Case'!$B$8*(('Business Case'!E11*$C950*'Business Case'!E12*$B950)-('Business Case'!D11*$C950*'Business Case'!D12*$B950))-'Business Case'!E15*$F950</f>
        <v>613915546.372041</v>
      </c>
      <c r="L950" s="39" t="n">
        <f aca="false">(('Business Case'!F11*$C950*'Business Case'!F12*$B950)-'Business Case'!F11*$C950*'Business Case'!F13*$D950-'Business Case'!F14*$E950)-MAX(0,(('Business Case'!F11*$C950*'Business Case'!F12*$B950)-'Business Case'!F11*$C950*'Business Case'!F13*$D950-'Business Case'!F14*$E950))*'Business Case'!$B$7-'Business Case'!$B$8*(('Business Case'!F11*$C950*'Business Case'!F12*$B950)-('Business Case'!E11*$C950*'Business Case'!E12*$B950))-'Business Case'!F15*$F950</f>
        <v>743066518.201956</v>
      </c>
      <c r="M950" s="39" t="n">
        <f aca="false">(('Business Case'!G11*$C950*'Business Case'!G12*$B950)-'Business Case'!G11*$C950*'Business Case'!G13*$D950-'Business Case'!G14*$E950)-MAX(0,(('Business Case'!G11*$C950*'Business Case'!G12*$B950)-'Business Case'!G11*$C950*'Business Case'!G13*$D950-'Business Case'!G14*$E950))*'Business Case'!$B$7-'Business Case'!$B$8*(('Business Case'!G11*$C950*'Business Case'!G12*$B950)-('Business Case'!F11*$C950*'Business Case'!F12*$B950))-'Business Case'!G15*$F950+'Business Case'!$B$8*('Business Case'!G11*$C950*'Business Case'!G12*$B950)</f>
        <v>929336417.818874</v>
      </c>
      <c r="N950" s="39" t="n">
        <f aca="false">IF(COUNT('Business Case'!B11:G11)=0,"",H950+NPV(G950,I950:M950))</f>
        <v>-281063109.225029</v>
      </c>
      <c r="P950" s="40" t="n">
        <f aca="true">RAND()</f>
        <v>0.356885623751751</v>
      </c>
      <c r="Q950" s="40" t="n">
        <f aca="true">RAND()</f>
        <v>0.579694441626059</v>
      </c>
      <c r="R950" s="40" t="n">
        <f aca="true">RAND()</f>
        <v>0.502546829661794</v>
      </c>
      <c r="S950" s="40" t="n">
        <f aca="true">RAND()</f>
        <v>0.310289196177943</v>
      </c>
      <c r="T950" s="40" t="n">
        <f aca="true">RAND()</f>
        <v>0.335654267022062</v>
      </c>
      <c r="U950" s="40" t="n">
        <f aca="true">RAND()</f>
        <v>0.463548939565308</v>
      </c>
    </row>
    <row r="951" customFormat="false" ht="15" hidden="false" customHeight="false" outlineLevel="0" collapsed="false">
      <c r="A951" s="36" t="n">
        <v>871</v>
      </c>
      <c r="B951" s="37" t="n">
        <f aca="false">1+IF($G$6=$E$6,$F$6,IF(P951&lt;($F$6-$E$6)/($G$6-$E$6),$E$6+SQRT(P951*($G$6-$E$6)*($F$6-$E$6)),$G$6-SQRT((1-P951)*($G$6-$E$6)*($G$6-$F$6))))</f>
        <v>1.00104720276908</v>
      </c>
      <c r="C951" s="37" t="n">
        <f aca="false">1+IF($G$7=$E$7,$F$7,IF(Q951&lt;($F$7-$E$7)/($G$7-$E$7),$E$7+SQRT(Q951*($G$7-$E$7)*($F$7-$E$7)),$G$7-SQRT((1-Q951)*($G$7-$E$7)*($G$7-$F$7))))</f>
        <v>0.928477872120406</v>
      </c>
      <c r="D951" s="37" t="n">
        <f aca="false">1+IF($G$8=$E$8,$F$8,IF(R951&lt;($F$8-$E$8)/($G$8-$E$8),$E$8+SQRT(R951*($G$8-$E$8)*($F$8-$E$8)),$G$8-SQRT((1-R951)*($G$8-$E$8)*($G$8-$F$8))))</f>
        <v>0.993227182727752</v>
      </c>
      <c r="E951" s="37" t="n">
        <f aca="false">1+IF($G$9=$E$9,$F$9,IF(S951&lt;($F$9-$E$9)/($G$9-$E$9),$E$9+SQRT(S951*($G$9-$E$9)*($F$9-$E$9)),$G$9-SQRT((1-S951)*($G$9-$E$9)*($G$9-$F$9))))</f>
        <v>1.01316260693389</v>
      </c>
      <c r="F951" s="37" t="n">
        <f aca="false">1+IF($G$10=$E$10,$F$10,IF(T951&lt;($F$10-$E$10)/($G$10-$E$10),$E$10+SQRT(T951*($G$10-$E$10)*($F$10-$E$10)),$G$10-SQRT((1-T951)*($G$10-$E$10)*($G$10-$F$10))))</f>
        <v>0.986021070715158</v>
      </c>
      <c r="G951" s="38" t="n">
        <f aca="false">IF($G$11=$E$11,$F$11,IF(U951&lt;($F$11-$E$11)/($G$11-$E$11),$E$11+SQRT(U951*($G$11-$E$11)*($F$11-$E$11)),$G$11-SQRT((1-U951)*($G$11-$E$11)*($G$11-$F$11))))</f>
        <v>0.114563336643249</v>
      </c>
      <c r="H951" s="39" t="n">
        <f aca="false">(('Business Case'!B11*$C951*'Business Case'!B12*$B951)-'Business Case'!B11*$C951*'Business Case'!B13*$D951-'Business Case'!B14*$E951)-MAX(0,(('Business Case'!B11*$C951*'Business Case'!B12*$B951)-'Business Case'!B11*$C951*'Business Case'!B13*$D951-'Business Case'!B14*$E951))*'Business Case'!$B$7-'Business Case'!$B$8*('Business Case'!B11*$C951*'Business Case'!B12*$B951)-'Business Case'!B15*$F951</f>
        <v>-1972042141.43032</v>
      </c>
      <c r="I951" s="39" t="n">
        <f aca="false">(('Business Case'!C11*$C951*'Business Case'!C12*$B951)-'Business Case'!C11*$C951*'Business Case'!C13*$D951-'Business Case'!C14*$E951)-MAX(0,(('Business Case'!C11*$C951*'Business Case'!C12*$B951)-'Business Case'!C11*$C951*'Business Case'!C13*$D951-'Business Case'!C14*$E951))*'Business Case'!$B$7-'Business Case'!$B$8*(('Business Case'!C11*$C951*'Business Case'!C12*$B951)-('Business Case'!B11*$C951*'Business Case'!B12*$B951))-'Business Case'!C15*$F951</f>
        <v>-1657140.74547865</v>
      </c>
      <c r="J951" s="39" t="n">
        <f aca="false">(('Business Case'!D11*$C951*'Business Case'!D12*$B951)-'Business Case'!D11*$C951*'Business Case'!D13*$D951-'Business Case'!D14*$E951)-MAX(0,(('Business Case'!D11*$C951*'Business Case'!D12*$B951)-'Business Case'!D11*$C951*'Business Case'!D13*$D951-'Business Case'!D14*$E951))*'Business Case'!$B$7-'Business Case'!$B$8*(('Business Case'!D11*$C951*'Business Case'!D12*$B951)-('Business Case'!C11*$C951*'Business Case'!C12*$B951))-'Business Case'!D15*$F951</f>
        <v>287542245.447678</v>
      </c>
      <c r="K951" s="39" t="n">
        <f aca="false">(('Business Case'!E11*$C951*'Business Case'!E12*$B951)-'Business Case'!E11*$C951*'Business Case'!E13*$D951-'Business Case'!E14*$E951)-MAX(0,(('Business Case'!E11*$C951*'Business Case'!E12*$B951)-'Business Case'!E11*$C951*'Business Case'!E13*$D951-'Business Case'!E14*$E951))*'Business Case'!$B$7-'Business Case'!$B$8*(('Business Case'!E11*$C951*'Business Case'!E12*$B951)-('Business Case'!D11*$C951*'Business Case'!D12*$B951))-'Business Case'!E15*$F951</f>
        <v>626042685.176592</v>
      </c>
      <c r="L951" s="39" t="n">
        <f aca="false">(('Business Case'!F11*$C951*'Business Case'!F12*$B951)-'Business Case'!F11*$C951*'Business Case'!F13*$D951-'Business Case'!F14*$E951)-MAX(0,(('Business Case'!F11*$C951*'Business Case'!F12*$B951)-'Business Case'!F11*$C951*'Business Case'!F13*$D951-'Business Case'!F14*$E951))*'Business Case'!$B$7-'Business Case'!$B$8*(('Business Case'!F11*$C951*'Business Case'!F12*$B951)-('Business Case'!E11*$C951*'Business Case'!E12*$B951))-'Business Case'!F15*$F951</f>
        <v>754564278.681723</v>
      </c>
      <c r="M951" s="39" t="n">
        <f aca="false">(('Business Case'!G11*$C951*'Business Case'!G12*$B951)-'Business Case'!G11*$C951*'Business Case'!G13*$D951-'Business Case'!G14*$E951)-MAX(0,(('Business Case'!G11*$C951*'Business Case'!G12*$B951)-'Business Case'!G11*$C951*'Business Case'!G13*$D951-'Business Case'!G14*$E951))*'Business Case'!$B$7-'Business Case'!$B$8*(('Business Case'!G11*$C951*'Business Case'!G12*$B951)-('Business Case'!F11*$C951*'Business Case'!F12*$B951))-'Business Case'!G15*$F951+'Business Case'!$B$8*('Business Case'!G11*$C951*'Business Case'!G12*$B951)</f>
        <v>931234168.272494</v>
      </c>
      <c r="N951" s="39" t="n">
        <f aca="false">IF(COUNT('Business Case'!B11:G11)=0,"",H951+NPV(G951,I951:M951))</f>
        <v>-259517426.599273</v>
      </c>
      <c r="P951" s="40" t="n">
        <f aca="true">RAND()</f>
        <v>0.683891580809761</v>
      </c>
      <c r="Q951" s="40" t="n">
        <f aca="true">RAND()</f>
        <v>0.235808051779821</v>
      </c>
      <c r="R951" s="40" t="n">
        <f aca="true">RAND()</f>
        <v>0.287475281012075</v>
      </c>
      <c r="S951" s="40" t="n">
        <f aca="true">RAND()</f>
        <v>0.497284477698849</v>
      </c>
      <c r="T951" s="40" t="n">
        <f aca="true">RAND()</f>
        <v>0.103801402837313</v>
      </c>
      <c r="U951" s="40" t="n">
        <f aca="true">RAND()</f>
        <v>0.950737819242271</v>
      </c>
    </row>
    <row r="952" customFormat="false" ht="15" hidden="false" customHeight="false" outlineLevel="0" collapsed="false">
      <c r="A952" s="36" t="n">
        <v>872</v>
      </c>
      <c r="B952" s="37" t="n">
        <f aca="false">1+IF($G$6=$E$6,$F$6,IF(P952&lt;($F$6-$E$6)/($G$6-$E$6),$E$6+SQRT(P952*($G$6-$E$6)*($F$6-$E$6)),$G$6-SQRT((1-P952)*($G$6-$E$6)*($G$6-$F$6))))</f>
        <v>0.972730720773251</v>
      </c>
      <c r="C952" s="37" t="n">
        <f aca="false">1+IF($G$7=$E$7,$F$7,IF(Q952&lt;($F$7-$E$7)/($G$7-$E$7),$E$7+SQRT(Q952*($G$7-$E$7)*($F$7-$E$7)),$G$7-SQRT((1-Q952)*($G$7-$E$7)*($G$7-$F$7))))</f>
        <v>1.06403847194599</v>
      </c>
      <c r="D952" s="37" t="n">
        <f aca="false">1+IF($G$8=$E$8,$F$8,IF(R952&lt;($F$8-$E$8)/($G$8-$E$8),$E$8+SQRT(R952*($G$8-$E$8)*($F$8-$E$8)),$G$8-SQRT((1-R952)*($G$8-$E$8)*($G$8-$F$8))))</f>
        <v>0.989305339707973</v>
      </c>
      <c r="E952" s="37" t="n">
        <f aca="false">1+IF($G$9=$E$9,$F$9,IF(S952&lt;($F$9-$E$9)/($G$9-$E$9),$E$9+SQRT(S952*($G$9-$E$9)*($F$9-$E$9)),$G$9-SQRT((1-S952)*($G$9-$E$9)*($G$9-$F$9))))</f>
        <v>0.999470792529579</v>
      </c>
      <c r="F952" s="37" t="n">
        <f aca="false">1+IF($G$10=$E$10,$F$10,IF(T952&lt;($F$10-$E$10)/($G$10-$E$10),$E$10+SQRT(T952*($G$10-$E$10)*($F$10-$E$10)),$G$10-SQRT((1-T952)*($G$10-$E$10)*($G$10-$F$10))))</f>
        <v>0.994008331379177</v>
      </c>
      <c r="G952" s="38" t="n">
        <f aca="false">IF($G$11=$E$11,$F$11,IF(U952&lt;($F$11-$E$11)/($G$11-$E$11),$E$11+SQRT(U952*($G$11-$E$11)*($F$11-$E$11)),$G$11-SQRT((1-U952)*($G$11-$E$11)*($G$11-$F$11))))</f>
        <v>0.100920297710753</v>
      </c>
      <c r="H952" s="39" t="n">
        <f aca="false">(('Business Case'!B11*$C952*'Business Case'!B12*$B952)-'Business Case'!B11*$C952*'Business Case'!B13*$D952-'Business Case'!B14*$E952)-MAX(0,(('Business Case'!B11*$C952*'Business Case'!B12*$B952)-'Business Case'!B11*$C952*'Business Case'!B13*$D952-'Business Case'!B14*$E952))*'Business Case'!$B$7-'Business Case'!$B$8*('Business Case'!B11*$C952*'Business Case'!B12*$B952)-'Business Case'!B15*$F952</f>
        <v>-1988016662.75835</v>
      </c>
      <c r="I952" s="39" t="n">
        <f aca="false">(('Business Case'!C11*$C952*'Business Case'!C12*$B952)-'Business Case'!C11*$C952*'Business Case'!C13*$D952-'Business Case'!C14*$E952)-MAX(0,(('Business Case'!C11*$C952*'Business Case'!C12*$B952)-'Business Case'!C11*$C952*'Business Case'!C13*$D952-'Business Case'!C14*$E952))*'Business Case'!$B$7-'Business Case'!$B$8*(('Business Case'!C11*$C952*'Business Case'!C12*$B952)-('Business Case'!B11*$C952*'Business Case'!B12*$B952))-'Business Case'!C15*$F952</f>
        <v>13699951.6915011</v>
      </c>
      <c r="J952" s="39" t="n">
        <f aca="false">(('Business Case'!D11*$C952*'Business Case'!D12*$B952)-'Business Case'!D11*$C952*'Business Case'!D13*$D952-'Business Case'!D14*$E952)-MAX(0,(('Business Case'!D11*$C952*'Business Case'!D12*$B952)-'Business Case'!D11*$C952*'Business Case'!D13*$D952-'Business Case'!D14*$E952))*'Business Case'!$B$7-'Business Case'!$B$8*(('Business Case'!D11*$C952*'Business Case'!D12*$B952)-('Business Case'!C11*$C952*'Business Case'!C12*$B952))-'Business Case'!D15*$F952</f>
        <v>322581070.859884</v>
      </c>
      <c r="K952" s="39" t="n">
        <f aca="false">(('Business Case'!E11*$C952*'Business Case'!E12*$B952)-'Business Case'!E11*$C952*'Business Case'!E13*$D952-'Business Case'!E14*$E952)-MAX(0,(('Business Case'!E11*$C952*'Business Case'!E12*$B952)-'Business Case'!E11*$C952*'Business Case'!E13*$D952-'Business Case'!E14*$E952))*'Business Case'!$B$7-'Business Case'!$B$8*(('Business Case'!E11*$C952*'Business Case'!E12*$B952)-('Business Case'!D11*$C952*'Business Case'!D12*$B952))-'Business Case'!E15*$F952</f>
        <v>681162606.597226</v>
      </c>
      <c r="L952" s="39" t="n">
        <f aca="false">(('Business Case'!F11*$C952*'Business Case'!F12*$B952)-'Business Case'!F11*$C952*'Business Case'!F13*$D952-'Business Case'!F14*$E952)-MAX(0,(('Business Case'!F11*$C952*'Business Case'!F12*$B952)-'Business Case'!F11*$C952*'Business Case'!F13*$D952-'Business Case'!F14*$E952))*'Business Case'!$B$7-'Business Case'!$B$8*(('Business Case'!F11*$C952*'Business Case'!F12*$B952)-('Business Case'!E11*$C952*'Business Case'!E12*$B952))-'Business Case'!F15*$F952</f>
        <v>819893371.414192</v>
      </c>
      <c r="M952" s="39" t="n">
        <f aca="false">(('Business Case'!G11*$C952*'Business Case'!G12*$B952)-'Business Case'!G11*$C952*'Business Case'!G13*$D952-'Business Case'!G14*$E952)-MAX(0,(('Business Case'!G11*$C952*'Business Case'!G12*$B952)-'Business Case'!G11*$C952*'Business Case'!G13*$D952-'Business Case'!G14*$E952))*'Business Case'!$B$7-'Business Case'!$B$8*(('Business Case'!G11*$C952*'Business Case'!G12*$B952)-('Business Case'!F11*$C952*'Business Case'!F12*$B952))-'Business Case'!G15*$F952+'Business Case'!$B$8*('Business Case'!G11*$C952*'Business Case'!G12*$B952)</f>
        <v>1016630526.0988</v>
      </c>
      <c r="N952" s="39" t="n">
        <f aca="false">IF(COUNT('Business Case'!B11:G11)=0,"",H952+NPV(G952,I952:M952))</f>
        <v>-12195333.4426954</v>
      </c>
      <c r="P952" s="40" t="n">
        <f aca="true">RAND()</f>
        <v>0.289638428465271</v>
      </c>
      <c r="Q952" s="40" t="n">
        <f aca="true">RAND()</f>
        <v>0.859249822754649</v>
      </c>
      <c r="R952" s="40" t="n">
        <f aca="true">RAND()</f>
        <v>0.237678419932181</v>
      </c>
      <c r="S952" s="40" t="n">
        <f aca="true">RAND()</f>
        <v>0.326314575133951</v>
      </c>
      <c r="T952" s="40" t="n">
        <f aca="true">RAND()</f>
        <v>0.154938658462354</v>
      </c>
      <c r="U952" s="40" t="n">
        <f aca="true">RAND()</f>
        <v>0.393274934256187</v>
      </c>
    </row>
    <row r="953" customFormat="false" ht="15" hidden="false" customHeight="false" outlineLevel="0" collapsed="false">
      <c r="A953" s="36" t="n">
        <v>873</v>
      </c>
      <c r="B953" s="37" t="n">
        <f aca="false">1+IF($G$6=$E$6,$F$6,IF(P953&lt;($F$6-$E$6)/($G$6-$E$6),$E$6+SQRT(P953*($G$6-$E$6)*($F$6-$E$6)),$G$6-SQRT((1-P953)*($G$6-$E$6)*($G$6-$F$6))))</f>
        <v>0.978707859032899</v>
      </c>
      <c r="C953" s="37" t="n">
        <f aca="false">1+IF($G$7=$E$7,$F$7,IF(Q953&lt;($F$7-$E$7)/($G$7-$E$7),$E$7+SQRT(Q953*($G$7-$E$7)*($F$7-$E$7)),$G$7-SQRT((1-Q953)*($G$7-$E$7)*($G$7-$F$7))))</f>
        <v>0.932952301671209</v>
      </c>
      <c r="D953" s="37" t="n">
        <f aca="false">1+IF($G$8=$E$8,$F$8,IF(R953&lt;($F$8-$E$8)/($G$8-$E$8),$E$8+SQRT(R953*($G$8-$E$8)*($F$8-$E$8)),$G$8-SQRT((1-R953)*($G$8-$E$8)*($G$8-$F$8))))</f>
        <v>1.06503944644672</v>
      </c>
      <c r="E953" s="37" t="n">
        <f aca="false">1+IF($G$9=$E$9,$F$9,IF(S953&lt;($F$9-$E$9)/($G$9-$E$9),$E$9+SQRT(S953*($G$9-$E$9)*($F$9-$E$9)),$G$9-SQRT((1-S953)*($G$9-$E$9)*($G$9-$F$9))))</f>
        <v>1.00485038964864</v>
      </c>
      <c r="F953" s="37" t="n">
        <f aca="false">1+IF($G$10=$E$10,$F$10,IF(T953&lt;($F$10-$E$10)/($G$10-$E$10),$E$10+SQRT(T953*($G$10-$E$10)*($F$10-$E$10)),$G$10-SQRT((1-T953)*($G$10-$E$10)*($G$10-$F$10))))</f>
        <v>1.03154885421778</v>
      </c>
      <c r="G953" s="38" t="n">
        <f aca="false">IF($G$11=$E$11,$F$11,IF(U953&lt;($F$11-$E$11)/($G$11-$E$11),$E$11+SQRT(U953*($G$11-$E$11)*($F$11-$E$11)),$G$11-SQRT((1-U953)*($G$11-$E$11)*($G$11-$F$11))))</f>
        <v>0.103661996745557</v>
      </c>
      <c r="H953" s="39" t="n">
        <f aca="false">(('Business Case'!B11*$C953*'Business Case'!B12*$B953)-'Business Case'!B11*$C953*'Business Case'!B13*$D953-'Business Case'!B14*$E953)-MAX(0,(('Business Case'!B11*$C953*'Business Case'!B12*$B953)-'Business Case'!B11*$C953*'Business Case'!B13*$D953-'Business Case'!B14*$E953))*'Business Case'!$B$7-'Business Case'!$B$8*('Business Case'!B11*$C953*'Business Case'!B12*$B953)-'Business Case'!B15*$F953</f>
        <v>-2063097708.43557</v>
      </c>
      <c r="I953" s="39" t="n">
        <f aca="false">(('Business Case'!C11*$C953*'Business Case'!C12*$B953)-'Business Case'!C11*$C953*'Business Case'!C13*$D953-'Business Case'!C14*$E953)-MAX(0,(('Business Case'!C11*$C953*'Business Case'!C12*$B953)-'Business Case'!C11*$C953*'Business Case'!C13*$D953-'Business Case'!C14*$E953))*'Business Case'!$B$7-'Business Case'!$B$8*(('Business Case'!C11*$C953*'Business Case'!C12*$B953)-('Business Case'!B11*$C953*'Business Case'!B12*$B953))-'Business Case'!C15*$F953</f>
        <v>-54154053.4363272</v>
      </c>
      <c r="J953" s="39" t="n">
        <f aca="false">(('Business Case'!D11*$C953*'Business Case'!D12*$B953)-'Business Case'!D11*$C953*'Business Case'!D13*$D953-'Business Case'!D14*$E953)-MAX(0,(('Business Case'!D11*$C953*'Business Case'!D12*$B953)-'Business Case'!D11*$C953*'Business Case'!D13*$D953-'Business Case'!D14*$E953))*'Business Case'!$B$7-'Business Case'!$B$8*(('Business Case'!D11*$C953*'Business Case'!D12*$B953)-('Business Case'!C11*$C953*'Business Case'!C12*$B953))-'Business Case'!D15*$F953</f>
        <v>185070972.90412</v>
      </c>
      <c r="K953" s="39" t="n">
        <f aca="false">(('Business Case'!E11*$C953*'Business Case'!E12*$B953)-'Business Case'!E11*$C953*'Business Case'!E13*$D953-'Business Case'!E14*$E953)-MAX(0,(('Business Case'!E11*$C953*'Business Case'!E12*$B953)-'Business Case'!E11*$C953*'Business Case'!E13*$D953-'Business Case'!E14*$E953))*'Business Case'!$B$7-'Business Case'!$B$8*(('Business Case'!E11*$C953*'Business Case'!E12*$B953)-('Business Case'!D11*$C953*'Business Case'!D12*$B953))-'Business Case'!E15*$F953</f>
        <v>475873441.955457</v>
      </c>
      <c r="L953" s="39" t="n">
        <f aca="false">(('Business Case'!F11*$C953*'Business Case'!F12*$B953)-'Business Case'!F11*$C953*'Business Case'!F13*$D953-'Business Case'!F14*$E953)-MAX(0,(('Business Case'!F11*$C953*'Business Case'!F12*$B953)-'Business Case'!F11*$C953*'Business Case'!F13*$D953-'Business Case'!F14*$E953))*'Business Case'!$B$7-'Business Case'!$B$8*(('Business Case'!F11*$C953*'Business Case'!F12*$B953)-('Business Case'!E11*$C953*'Business Case'!E12*$B953))-'Business Case'!F15*$F953</f>
        <v>587171430.033579</v>
      </c>
      <c r="M953" s="39" t="n">
        <f aca="false">(('Business Case'!G11*$C953*'Business Case'!G12*$B953)-'Business Case'!G11*$C953*'Business Case'!G13*$D953-'Business Case'!G14*$E953)-MAX(0,(('Business Case'!G11*$C953*'Business Case'!G12*$B953)-'Business Case'!G11*$C953*'Business Case'!G13*$D953-'Business Case'!G14*$E953))*'Business Case'!$B$7-'Business Case'!$B$8*(('Business Case'!G11*$C953*'Business Case'!G12*$B953)-('Business Case'!F11*$C953*'Business Case'!F12*$B953))-'Business Case'!G15*$F953+'Business Case'!$B$8*('Business Case'!G11*$C953*'Business Case'!G12*$B953)</f>
        <v>760731149.505764</v>
      </c>
      <c r="N953" s="39" t="n">
        <f aca="false">IF(COUNT('Business Case'!B11:G11)=0,"",H953+NPV(G953,I953:M953))</f>
        <v>-745924523.102277</v>
      </c>
      <c r="P953" s="40" t="n">
        <f aca="true">RAND()</f>
        <v>0.359022157523618</v>
      </c>
      <c r="Q953" s="40" t="n">
        <f aca="true">RAND()</f>
        <v>0.252518778852459</v>
      </c>
      <c r="R953" s="40" t="n">
        <f aca="true">RAND()</f>
        <v>0.978479022824938</v>
      </c>
      <c r="S953" s="40" t="n">
        <f aca="true">RAND()</f>
        <v>0.396436776665665</v>
      </c>
      <c r="T953" s="40" t="n">
        <f aca="true">RAND()</f>
        <v>0.432484229693176</v>
      </c>
      <c r="U953" s="40" t="n">
        <f aca="true">RAND()</f>
        <v>0.55511608276303</v>
      </c>
    </row>
    <row r="954" customFormat="false" ht="15" hidden="false" customHeight="false" outlineLevel="0" collapsed="false">
      <c r="A954" s="36" t="n">
        <v>874</v>
      </c>
      <c r="B954" s="37" t="n">
        <f aca="false">1+IF($G$6=$E$6,$F$6,IF(P954&lt;($F$6-$E$6)/($G$6-$E$6),$E$6+SQRT(P954*($G$6-$E$6)*($F$6-$E$6)),$G$6-SQRT((1-P954)*($G$6-$E$6)*($G$6-$F$6))))</f>
        <v>0.968656013395389</v>
      </c>
      <c r="C954" s="37" t="n">
        <f aca="false">1+IF($G$7=$E$7,$F$7,IF(Q954&lt;($F$7-$E$7)/($G$7-$E$7),$E$7+SQRT(Q954*($G$7-$E$7)*($F$7-$E$7)),$G$7-SQRT((1-Q954)*($G$7-$E$7)*($G$7-$F$7))))</f>
        <v>0.894902990920536</v>
      </c>
      <c r="D954" s="37" t="n">
        <f aca="false">1+IF($G$8=$E$8,$F$8,IF(R954&lt;($F$8-$E$8)/($G$8-$E$8),$E$8+SQRT(R954*($G$8-$E$8)*($F$8-$E$8)),$G$8-SQRT((1-R954)*($G$8-$E$8)*($G$8-$F$8))))</f>
        <v>1.02909115908926</v>
      </c>
      <c r="E954" s="37" t="n">
        <f aca="false">1+IF($G$9=$E$9,$F$9,IF(S954&lt;($F$9-$E$9)/($G$9-$E$9),$E$9+SQRT(S954*($G$9-$E$9)*($F$9-$E$9)),$G$9-SQRT((1-S954)*($G$9-$E$9)*($G$9-$F$9))))</f>
        <v>1.00193452252157</v>
      </c>
      <c r="F954" s="37" t="n">
        <f aca="false">1+IF($G$10=$E$10,$F$10,IF(T954&lt;($F$10-$E$10)/($G$10-$E$10),$E$10+SQRT(T954*($G$10-$E$10)*($F$10-$E$10)),$G$10-SQRT((1-T954)*($G$10-$E$10)*($G$10-$F$10))))</f>
        <v>0.962438955638868</v>
      </c>
      <c r="G954" s="38" t="n">
        <f aca="false">IF($G$11=$E$11,$F$11,IF(U954&lt;($F$11-$E$11)/($G$11-$E$11),$E$11+SQRT(U954*($G$11-$E$11)*($F$11-$E$11)),$G$11-SQRT((1-U954)*($G$11-$E$11)*($G$11-$F$11))))</f>
        <v>0.0933147916950748</v>
      </c>
      <c r="H954" s="39" t="n">
        <f aca="false">(('Business Case'!B11*$C954*'Business Case'!B12*$B954)-'Business Case'!B11*$C954*'Business Case'!B13*$D954-'Business Case'!B14*$E954)-MAX(0,(('Business Case'!B11*$C954*'Business Case'!B12*$B954)-'Business Case'!B11*$C954*'Business Case'!B13*$D954-'Business Case'!B14*$E954))*'Business Case'!$B$7-'Business Case'!$B$8*('Business Case'!B11*$C954*'Business Case'!B12*$B954)-'Business Case'!B15*$F954</f>
        <v>-1924877911.27774</v>
      </c>
      <c r="I954" s="39" t="n">
        <f aca="false">(('Business Case'!C11*$C954*'Business Case'!C12*$B954)-'Business Case'!C11*$C954*'Business Case'!C13*$D954-'Business Case'!C14*$E954)-MAX(0,(('Business Case'!C11*$C954*'Business Case'!C12*$B954)-'Business Case'!C11*$C954*'Business Case'!C13*$D954-'Business Case'!C14*$E954))*'Business Case'!$B$7-'Business Case'!$B$8*(('Business Case'!C11*$C954*'Business Case'!C12*$B954)-('Business Case'!B11*$C954*'Business Case'!B12*$B954))-'Business Case'!C15*$F954</f>
        <v>-45087442.514774</v>
      </c>
      <c r="J954" s="39" t="n">
        <f aca="false">(('Business Case'!D11*$C954*'Business Case'!D12*$B954)-'Business Case'!D11*$C954*'Business Case'!D13*$D954-'Business Case'!D14*$E954)-MAX(0,(('Business Case'!D11*$C954*'Business Case'!D12*$B954)-'Business Case'!D11*$C954*'Business Case'!D13*$D954-'Business Case'!D14*$E954))*'Business Case'!$B$7-'Business Case'!$B$8*(('Business Case'!D11*$C954*'Business Case'!D12*$B954)-('Business Case'!C11*$C954*'Business Case'!C12*$B954))-'Business Case'!D15*$F954</f>
        <v>193481767.635892</v>
      </c>
      <c r="K954" s="39" t="n">
        <f aca="false">(('Business Case'!E11*$C954*'Business Case'!E12*$B954)-'Business Case'!E11*$C954*'Business Case'!E13*$D954-'Business Case'!E14*$E954)-MAX(0,(('Business Case'!E11*$C954*'Business Case'!E12*$B954)-'Business Case'!E11*$C954*'Business Case'!E13*$D954-'Business Case'!E14*$E954))*'Business Case'!$B$7-'Business Case'!$B$8*(('Business Case'!E11*$C954*'Business Case'!E12*$B954)-('Business Case'!D11*$C954*'Business Case'!D12*$B954))-'Business Case'!E15*$F954</f>
        <v>480172925.568502</v>
      </c>
      <c r="L954" s="39" t="n">
        <f aca="false">(('Business Case'!F11*$C954*'Business Case'!F12*$B954)-'Business Case'!F11*$C954*'Business Case'!F13*$D954-'Business Case'!F14*$E954)-MAX(0,(('Business Case'!F11*$C954*'Business Case'!F12*$B954)-'Business Case'!F11*$C954*'Business Case'!F13*$D954-'Business Case'!F14*$E954))*'Business Case'!$B$7-'Business Case'!$B$8*(('Business Case'!F11*$C954*'Business Case'!F12*$B954)-('Business Case'!E11*$C954*'Business Case'!E12*$B954))-'Business Case'!F15*$F954</f>
        <v>589654440.951381</v>
      </c>
      <c r="M954" s="39" t="n">
        <f aca="false">(('Business Case'!G11*$C954*'Business Case'!G12*$B954)-'Business Case'!G11*$C954*'Business Case'!G13*$D954-'Business Case'!G14*$E954)-MAX(0,(('Business Case'!G11*$C954*'Business Case'!G12*$B954)-'Business Case'!G11*$C954*'Business Case'!G13*$D954-'Business Case'!G14*$E954))*'Business Case'!$B$7-'Business Case'!$B$8*(('Business Case'!G11*$C954*'Business Case'!G12*$B954)-('Business Case'!F11*$C954*'Business Case'!F12*$B954))-'Business Case'!G15*$F954+'Business Case'!$B$8*('Business Case'!G11*$C954*'Business Case'!G12*$B954)</f>
        <v>754425890.280999</v>
      </c>
      <c r="N954" s="39" t="n">
        <f aca="false">IF(COUNT('Business Case'!B11:G11)=0,"",H954+NPV(G954,I954:M954))</f>
        <v>-541213969.756349</v>
      </c>
      <c r="P954" s="40" t="n">
        <f aca="true">RAND()</f>
        <v>0.246604962451277</v>
      </c>
      <c r="Q954" s="40" t="n">
        <f aca="true">RAND()</f>
        <v>0.128665395509475</v>
      </c>
      <c r="R954" s="40" t="n">
        <f aca="true">RAND()</f>
        <v>0.750797107415857</v>
      </c>
      <c r="S954" s="40" t="n">
        <f aca="true">RAND()</f>
        <v>0.358877475128492</v>
      </c>
      <c r="T954" s="40" t="n">
        <f aca="true">RAND()</f>
        <v>0.0123782093908583</v>
      </c>
      <c r="U954" s="40" t="n">
        <f aca="true">RAND()</f>
        <v>0.0366261466057894</v>
      </c>
    </row>
    <row r="955" customFormat="false" ht="15" hidden="false" customHeight="false" outlineLevel="0" collapsed="false">
      <c r="A955" s="36" t="n">
        <v>875</v>
      </c>
      <c r="B955" s="37" t="n">
        <f aca="false">1+IF($G$6=$E$6,$F$6,IF(P955&lt;($F$6-$E$6)/($G$6-$E$6),$E$6+SQRT(P955*($G$6-$E$6)*($F$6-$E$6)),$G$6-SQRT((1-P955)*($G$6-$E$6)*($G$6-$F$6))))</f>
        <v>0.932609588227423</v>
      </c>
      <c r="C955" s="37" t="n">
        <f aca="false">1+IF($G$7=$E$7,$F$7,IF(Q955&lt;($F$7-$E$7)/($G$7-$E$7),$E$7+SQRT(Q955*($G$7-$E$7)*($F$7-$E$7)),$G$7-SQRT((1-Q955)*($G$7-$E$7)*($G$7-$F$7))))</f>
        <v>0.942056477639653</v>
      </c>
      <c r="D955" s="37" t="n">
        <f aca="false">1+IF($G$8=$E$8,$F$8,IF(R955&lt;($F$8-$E$8)/($G$8-$E$8),$E$8+SQRT(R955*($G$8-$E$8)*($F$8-$E$8)),$G$8-SQRT((1-R955)*($G$8-$E$8)*($G$8-$F$8))))</f>
        <v>0.997991225354921</v>
      </c>
      <c r="E955" s="37" t="n">
        <f aca="false">1+IF($G$9=$E$9,$F$9,IF(S955&lt;($F$9-$E$9)/($G$9-$E$9),$E$9+SQRT(S955*($G$9-$E$9)*($F$9-$E$9)),$G$9-SQRT((1-S955)*($G$9-$E$9)*($G$9-$F$9))))</f>
        <v>1.01590818409951</v>
      </c>
      <c r="F955" s="37" t="n">
        <f aca="false">1+IF($G$10=$E$10,$F$10,IF(T955&lt;($F$10-$E$10)/($G$10-$E$10),$E$10+SQRT(T955*($G$10-$E$10)*($F$10-$E$10)),$G$10-SQRT((1-T955)*($G$10-$E$10)*($G$10-$F$10))))</f>
        <v>0.995718023239612</v>
      </c>
      <c r="G955" s="38" t="n">
        <f aca="false">IF($G$11=$E$11,$F$11,IF(U955&lt;($F$11-$E$11)/($G$11-$E$11),$E$11+SQRT(U955*($G$11-$E$11)*($F$11-$E$11)),$G$11-SQRT((1-U955)*($G$11-$E$11)*($G$11-$F$11))))</f>
        <v>0.0984002759496929</v>
      </c>
      <c r="H955" s="39" t="n">
        <f aca="false">(('Business Case'!B11*$C955*'Business Case'!B12*$B955)-'Business Case'!B11*$C955*'Business Case'!B13*$D955-'Business Case'!B14*$E955)-MAX(0,(('Business Case'!B11*$C955*'Business Case'!B12*$B955)-'Business Case'!B11*$C955*'Business Case'!B13*$D955-'Business Case'!B14*$E955))*'Business Case'!$B$7-'Business Case'!$B$8*('Business Case'!B11*$C955*'Business Case'!B12*$B955)-'Business Case'!B15*$F955</f>
        <v>-1991436046.47922</v>
      </c>
      <c r="I955" s="39" t="n">
        <f aca="false">(('Business Case'!C11*$C955*'Business Case'!C12*$B955)-'Business Case'!C11*$C955*'Business Case'!C13*$D955-'Business Case'!C14*$E955)-MAX(0,(('Business Case'!C11*$C955*'Business Case'!C12*$B955)-'Business Case'!C11*$C955*'Business Case'!C13*$D955-'Business Case'!C14*$E955))*'Business Case'!$B$7-'Business Case'!$B$8*(('Business Case'!C11*$C955*'Business Case'!C12*$B955)-('Business Case'!B11*$C955*'Business Case'!B12*$B955))-'Business Case'!C15*$F955</f>
        <v>-51255039.806878</v>
      </c>
      <c r="J955" s="39" t="n">
        <f aca="false">(('Business Case'!D11*$C955*'Business Case'!D12*$B955)-'Business Case'!D11*$C955*'Business Case'!D13*$D955-'Business Case'!D14*$E955)-MAX(0,(('Business Case'!D11*$C955*'Business Case'!D12*$B955)-'Business Case'!D11*$C955*'Business Case'!D13*$D955-'Business Case'!D14*$E955))*'Business Case'!$B$7-'Business Case'!$B$8*(('Business Case'!D11*$C955*'Business Case'!D12*$B955)-('Business Case'!C11*$C955*'Business Case'!C12*$B955))-'Business Case'!D15*$F955</f>
        <v>187068982.136885</v>
      </c>
      <c r="K955" s="39" t="n">
        <f aca="false">(('Business Case'!E11*$C955*'Business Case'!E12*$B955)-'Business Case'!E11*$C955*'Business Case'!E13*$D955-'Business Case'!E14*$E955)-MAX(0,(('Business Case'!E11*$C955*'Business Case'!E12*$B955)-'Business Case'!E11*$C955*'Business Case'!E13*$D955-'Business Case'!E14*$E955))*'Business Case'!$B$7-'Business Case'!$B$8*(('Business Case'!E11*$C955*'Business Case'!E12*$B955)-('Business Case'!D11*$C955*'Business Case'!D12*$B955))-'Business Case'!E15*$F955</f>
        <v>475178905.242629</v>
      </c>
      <c r="L955" s="39" t="n">
        <f aca="false">(('Business Case'!F11*$C955*'Business Case'!F12*$B955)-'Business Case'!F11*$C955*'Business Case'!F13*$D955-'Business Case'!F14*$E955)-MAX(0,(('Business Case'!F11*$C955*'Business Case'!F12*$B955)-'Business Case'!F11*$C955*'Business Case'!F13*$D955-'Business Case'!F14*$E955))*'Business Case'!$B$7-'Business Case'!$B$8*(('Business Case'!F11*$C955*'Business Case'!F12*$B955)-('Business Case'!E11*$C955*'Business Case'!E12*$B955))-'Business Case'!F15*$F955</f>
        <v>584983656.32237</v>
      </c>
      <c r="M955" s="39" t="n">
        <f aca="false">(('Business Case'!G11*$C955*'Business Case'!G12*$B955)-'Business Case'!G11*$C955*'Business Case'!G13*$D955-'Business Case'!G14*$E955)-MAX(0,(('Business Case'!G11*$C955*'Business Case'!G12*$B955)-'Business Case'!G11*$C955*'Business Case'!G13*$D955-'Business Case'!G14*$E955))*'Business Case'!$B$7-'Business Case'!$B$8*(('Business Case'!G11*$C955*'Business Case'!G12*$B955)-('Business Case'!F11*$C955*'Business Case'!F12*$B955))-'Business Case'!G15*$F955+'Business Case'!$B$8*('Business Case'!G11*$C955*'Business Case'!G12*$B955)</f>
        <v>751982413.69738</v>
      </c>
      <c r="N955" s="39" t="n">
        <f aca="false">IF(COUNT('Business Case'!B11:G11)=0,"",H955+NPV(G955,I955:M955))</f>
        <v>-652258766.820397</v>
      </c>
      <c r="P955" s="40" t="n">
        <f aca="true">RAND()</f>
        <v>0.0165626786734539</v>
      </c>
      <c r="Q955" s="40" t="n">
        <f aca="true">RAND()</f>
        <v>0.288286326276931</v>
      </c>
      <c r="R955" s="40" t="n">
        <f aca="true">RAND()</f>
        <v>0.354331955548738</v>
      </c>
      <c r="S955" s="40" t="n">
        <f aca="true">RAND()</f>
        <v>0.528571099903862</v>
      </c>
      <c r="T955" s="40" t="n">
        <f aca="true">RAND()</f>
        <v>0.167211011915013</v>
      </c>
      <c r="U955" s="40" t="n">
        <f aca="true">RAND()</f>
        <v>0.23521545343663</v>
      </c>
    </row>
    <row r="956" customFormat="false" ht="15" hidden="false" customHeight="false" outlineLevel="0" collapsed="false">
      <c r="A956" s="36" t="n">
        <v>876</v>
      </c>
      <c r="B956" s="37" t="n">
        <f aca="false">1+IF($G$6=$E$6,$F$6,IF(P956&lt;($F$6-$E$6)/($G$6-$E$6),$E$6+SQRT(P956*($G$6-$E$6)*($F$6-$E$6)),$G$6-SQRT((1-P956)*($G$6-$E$6)*($G$6-$F$6))))</f>
        <v>0.979253793292972</v>
      </c>
      <c r="C956" s="37" t="n">
        <f aca="false">1+IF($G$7=$E$7,$F$7,IF(Q956&lt;($F$7-$E$7)/($G$7-$E$7),$E$7+SQRT(Q956*($G$7-$E$7)*($F$7-$E$7)),$G$7-SQRT((1-Q956)*($G$7-$E$7)*($G$7-$F$7))))</f>
        <v>0.996839975919392</v>
      </c>
      <c r="D956" s="37" t="n">
        <f aca="false">1+IF($G$8=$E$8,$F$8,IF(R956&lt;($F$8-$E$8)/($G$8-$E$8),$E$8+SQRT(R956*($G$8-$E$8)*($F$8-$E$8)),$G$8-SQRT((1-R956)*($G$8-$E$8)*($G$8-$F$8))))</f>
        <v>0.978464269485591</v>
      </c>
      <c r="E956" s="37" t="n">
        <f aca="false">1+IF($G$9=$E$9,$F$9,IF(S956&lt;($F$9-$E$9)/($G$9-$E$9),$E$9+SQRT(S956*($G$9-$E$9)*($F$9-$E$9)),$G$9-SQRT((1-S956)*($G$9-$E$9)*($G$9-$F$9))))</f>
        <v>1.02171228155228</v>
      </c>
      <c r="F956" s="37" t="n">
        <f aca="false">1+IF($G$10=$E$10,$F$10,IF(T956&lt;($F$10-$E$10)/($G$10-$E$10),$E$10+SQRT(T956*($G$10-$E$10)*($F$10-$E$10)),$G$10-SQRT((1-T956)*($G$10-$E$10)*($G$10-$F$10))))</f>
        <v>1.04334365317793</v>
      </c>
      <c r="G956" s="38" t="n">
        <f aca="false">IF($G$11=$E$11,$F$11,IF(U956&lt;($F$11-$E$11)/($G$11-$E$11),$E$11+SQRT(U956*($G$11-$E$11)*($F$11-$E$11)),$G$11-SQRT((1-U956)*($G$11-$E$11)*($G$11-$F$11))))</f>
        <v>0.102473419527291</v>
      </c>
      <c r="H956" s="39" t="n">
        <f aca="false">(('Business Case'!B11*$C956*'Business Case'!B12*$B956)-'Business Case'!B11*$C956*'Business Case'!B13*$D956-'Business Case'!B14*$E956)-MAX(0,(('Business Case'!B11*$C956*'Business Case'!B12*$B956)-'Business Case'!B11*$C956*'Business Case'!B13*$D956-'Business Case'!B14*$E956))*'Business Case'!$B$7-'Business Case'!$B$8*('Business Case'!B11*$C956*'Business Case'!B12*$B956)-'Business Case'!B15*$F956</f>
        <v>-2086687306.35587</v>
      </c>
      <c r="I956" s="39" t="n">
        <f aca="false">(('Business Case'!C11*$C956*'Business Case'!C12*$B956)-'Business Case'!C11*$C956*'Business Case'!C13*$D956-'Business Case'!C14*$E956)-MAX(0,(('Business Case'!C11*$C956*'Business Case'!C12*$B956)-'Business Case'!C11*$C956*'Business Case'!C13*$D956-'Business Case'!C14*$E956))*'Business Case'!$B$7-'Business Case'!$B$8*(('Business Case'!C11*$C956*'Business Case'!C12*$B956)-('Business Case'!B11*$C956*'Business Case'!B12*$B956))-'Business Case'!C15*$F956</f>
        <v>6234.35660777986</v>
      </c>
      <c r="J956" s="39" t="n">
        <f aca="false">(('Business Case'!D11*$C956*'Business Case'!D12*$B956)-'Business Case'!D11*$C956*'Business Case'!D13*$D956-'Business Case'!D14*$E956)-MAX(0,(('Business Case'!D11*$C956*'Business Case'!D12*$B956)-'Business Case'!D11*$C956*'Business Case'!D13*$D956-'Business Case'!D14*$E956))*'Business Case'!$B$7-'Business Case'!$B$8*(('Business Case'!D11*$C956*'Business Case'!D12*$B956)-('Business Case'!C11*$C956*'Business Case'!C12*$B956))-'Business Case'!D15*$F956</f>
        <v>300238420.017015</v>
      </c>
      <c r="K956" s="39" t="n">
        <f aca="false">(('Business Case'!E11*$C956*'Business Case'!E12*$B956)-'Business Case'!E11*$C956*'Business Case'!E13*$D956-'Business Case'!E14*$E956)-MAX(0,(('Business Case'!E11*$C956*'Business Case'!E12*$B956)-'Business Case'!E11*$C956*'Business Case'!E13*$D956-'Business Case'!E14*$E956))*'Business Case'!$B$7-'Business Case'!$B$8*(('Business Case'!E11*$C956*'Business Case'!E12*$B956)-('Business Case'!D11*$C956*'Business Case'!D12*$B956))-'Business Case'!E15*$F956</f>
        <v>652637788.33632</v>
      </c>
      <c r="L956" s="39" t="n">
        <f aca="false">(('Business Case'!F11*$C956*'Business Case'!F12*$B956)-'Business Case'!F11*$C956*'Business Case'!F13*$D956-'Business Case'!F14*$E956)-MAX(0,(('Business Case'!F11*$C956*'Business Case'!F12*$B956)-'Business Case'!F11*$C956*'Business Case'!F13*$D956-'Business Case'!F14*$E956))*'Business Case'!$B$7-'Business Case'!$B$8*(('Business Case'!F11*$C956*'Business Case'!F12*$B956)-('Business Case'!E11*$C956*'Business Case'!E12*$B956))-'Business Case'!F15*$F956</f>
        <v>786451249.922636</v>
      </c>
      <c r="M956" s="39" t="n">
        <f aca="false">(('Business Case'!G11*$C956*'Business Case'!G12*$B956)-'Business Case'!G11*$C956*'Business Case'!G13*$D956-'Business Case'!G14*$E956)-MAX(0,(('Business Case'!G11*$C956*'Business Case'!G12*$B956)-'Business Case'!G11*$C956*'Business Case'!G13*$D956-'Business Case'!G14*$E956))*'Business Case'!$B$7-'Business Case'!$B$8*(('Business Case'!G11*$C956*'Business Case'!G12*$B956)-('Business Case'!F11*$C956*'Business Case'!F12*$B956))-'Business Case'!G15*$F956+'Business Case'!$B$8*('Business Case'!G11*$C956*'Business Case'!G12*$B956)</f>
        <v>971999614.936631</v>
      </c>
      <c r="N956" s="39" t="n">
        <f aca="false">IF(COUNT('Business Case'!B11:G11)=0,"",H956+NPV(G956,I956:M956))</f>
        <v>-223471374.498739</v>
      </c>
      <c r="P956" s="40" t="n">
        <f aca="true">RAND()</f>
        <v>0.365730418708987</v>
      </c>
      <c r="Q956" s="40" t="n">
        <f aca="true">RAND()</f>
        <v>0.553513944570671</v>
      </c>
      <c r="R956" s="40" t="n">
        <f aca="true">RAND()</f>
        <v>0.124648405745898</v>
      </c>
      <c r="S956" s="40" t="n">
        <f aca="true">RAND()</f>
        <v>0.591402209350085</v>
      </c>
      <c r="T956" s="40" t="n">
        <f aca="true">RAND()</f>
        <v>0.509175780007292</v>
      </c>
      <c r="U956" s="40" t="n">
        <f aca="true">RAND()</f>
        <v>0.488031628222778</v>
      </c>
    </row>
    <row r="957" customFormat="false" ht="15" hidden="false" customHeight="false" outlineLevel="0" collapsed="false">
      <c r="A957" s="36" t="n">
        <v>877</v>
      </c>
      <c r="B957" s="37" t="n">
        <f aca="false">1+IF($G$6=$E$6,$F$6,IF(P957&lt;($F$6-$E$6)/($G$6-$E$6),$E$6+SQRT(P957*($G$6-$E$6)*($F$6-$E$6)),$G$6-SQRT((1-P957)*($G$6-$E$6)*($G$6-$F$6))))</f>
        <v>0.975848311568143</v>
      </c>
      <c r="C957" s="37" t="n">
        <f aca="false">1+IF($G$7=$E$7,$F$7,IF(Q957&lt;($F$7-$E$7)/($G$7-$E$7),$E$7+SQRT(Q957*($G$7-$E$7)*($F$7-$E$7)),$G$7-SQRT((1-Q957)*($G$7-$E$7)*($G$7-$F$7))))</f>
        <v>0.943151307751174</v>
      </c>
      <c r="D957" s="37" t="n">
        <f aca="false">1+IF($G$8=$E$8,$F$8,IF(R957&lt;($F$8-$E$8)/($G$8-$E$8),$E$8+SQRT(R957*($G$8-$E$8)*($F$8-$E$8)),$G$8-SQRT((1-R957)*($G$8-$E$8)*($G$8-$F$8))))</f>
        <v>1.00577740407831</v>
      </c>
      <c r="E957" s="37" t="n">
        <f aca="false">1+IF($G$9=$E$9,$F$9,IF(S957&lt;($F$9-$E$9)/($G$9-$E$9),$E$9+SQRT(S957*($G$9-$E$9)*($F$9-$E$9)),$G$9-SQRT((1-S957)*($G$9-$E$9)*($G$9-$F$9))))</f>
        <v>0.99705502830052</v>
      </c>
      <c r="F957" s="37" t="n">
        <f aca="false">1+IF($G$10=$E$10,$F$10,IF(T957&lt;($F$10-$E$10)/($G$10-$E$10),$E$10+SQRT(T957*($G$10-$E$10)*($F$10-$E$10)),$G$10-SQRT((1-T957)*($G$10-$E$10)*($G$10-$F$10))))</f>
        <v>1.08834322660595</v>
      </c>
      <c r="G957" s="38" t="n">
        <f aca="false">IF($G$11=$E$11,$F$11,IF(U957&lt;($F$11-$E$11)/($G$11-$E$11),$E$11+SQRT(U957*($G$11-$E$11)*($F$11-$E$11)),$G$11-SQRT((1-U957)*($G$11-$E$11)*($G$11-$F$11))))</f>
        <v>0.0974534737825363</v>
      </c>
      <c r="H957" s="39" t="n">
        <f aca="false">(('Business Case'!B11*$C957*'Business Case'!B12*$B957)-'Business Case'!B11*$C957*'Business Case'!B13*$D957-'Business Case'!B14*$E957)-MAX(0,(('Business Case'!B11*$C957*'Business Case'!B12*$B957)-'Business Case'!B11*$C957*'Business Case'!B13*$D957-'Business Case'!B14*$E957))*'Business Case'!$B$7-'Business Case'!$B$8*('Business Case'!B11*$C957*'Business Case'!B12*$B957)-'Business Case'!B15*$F957</f>
        <v>-2176686453.2119</v>
      </c>
      <c r="I957" s="39" t="n">
        <f aca="false">(('Business Case'!C11*$C957*'Business Case'!C12*$B957)-'Business Case'!C11*$C957*'Business Case'!C13*$D957-'Business Case'!C14*$E957)-MAX(0,(('Business Case'!C11*$C957*'Business Case'!C12*$B957)-'Business Case'!C11*$C957*'Business Case'!C13*$D957-'Business Case'!C14*$E957))*'Business Case'!$B$7-'Business Case'!$B$8*(('Business Case'!C11*$C957*'Business Case'!C12*$B957)-('Business Case'!B11*$C957*'Business Case'!B12*$B957))-'Business Case'!C15*$F957</f>
        <v>-30083680.6788057</v>
      </c>
      <c r="J957" s="39" t="n">
        <f aca="false">(('Business Case'!D11*$C957*'Business Case'!D12*$B957)-'Business Case'!D11*$C957*'Business Case'!D13*$D957-'Business Case'!D14*$E957)-MAX(0,(('Business Case'!D11*$C957*'Business Case'!D12*$B957)-'Business Case'!D11*$C957*'Business Case'!D13*$D957-'Business Case'!D14*$E957))*'Business Case'!$B$7-'Business Case'!$B$8*(('Business Case'!D11*$C957*'Business Case'!D12*$B957)-('Business Case'!C11*$C957*'Business Case'!C12*$B957))-'Business Case'!D15*$F957</f>
        <v>238160302.49308</v>
      </c>
      <c r="K957" s="39" t="n">
        <f aca="false">(('Business Case'!E11*$C957*'Business Case'!E12*$B957)-'Business Case'!E11*$C957*'Business Case'!E13*$D957-'Business Case'!E14*$E957)-MAX(0,(('Business Case'!E11*$C957*'Business Case'!E12*$B957)-'Business Case'!E11*$C957*'Business Case'!E13*$D957-'Business Case'!E14*$E957))*'Business Case'!$B$7-'Business Case'!$B$8*(('Business Case'!E11*$C957*'Business Case'!E12*$B957)-('Business Case'!D11*$C957*'Business Case'!D12*$B957))-'Business Case'!E15*$F957</f>
        <v>560821446.995264</v>
      </c>
      <c r="L957" s="39" t="n">
        <f aca="false">(('Business Case'!F11*$C957*'Business Case'!F12*$B957)-'Business Case'!F11*$C957*'Business Case'!F13*$D957-'Business Case'!F14*$E957)-MAX(0,(('Business Case'!F11*$C957*'Business Case'!F12*$B957)-'Business Case'!F11*$C957*'Business Case'!F13*$D957-'Business Case'!F14*$E957))*'Business Case'!$B$7-'Business Case'!$B$8*(('Business Case'!F11*$C957*'Business Case'!F12*$B957)-('Business Case'!E11*$C957*'Business Case'!E12*$B957))-'Business Case'!F15*$F957</f>
        <v>682044185.496401</v>
      </c>
      <c r="M957" s="39" t="n">
        <f aca="false">(('Business Case'!G11*$C957*'Business Case'!G12*$B957)-'Business Case'!G11*$C957*'Business Case'!G13*$D957-'Business Case'!G14*$E957)-MAX(0,(('Business Case'!G11*$C957*'Business Case'!G12*$B957)-'Business Case'!G11*$C957*'Business Case'!G13*$D957-'Business Case'!G14*$E957))*'Business Case'!$B$7-'Business Case'!$B$8*(('Business Case'!G11*$C957*'Business Case'!G12*$B957)-('Business Case'!F11*$C957*'Business Case'!F12*$B957))-'Business Case'!G15*$F957+'Business Case'!$B$8*('Business Case'!G11*$C957*'Business Case'!G12*$B957)</f>
        <v>856988611.43753</v>
      </c>
      <c r="N957" s="39" t="n">
        <f aca="false">IF(COUNT('Business Case'!B11:G11)=0,"",H957+NPV(G957,I957:M957))</f>
        <v>-573555037.202439</v>
      </c>
      <c r="P957" s="40" t="n">
        <f aca="true">RAND()</f>
        <v>0.324899365105456</v>
      </c>
      <c r="Q957" s="40" t="n">
        <f aca="true">RAND()</f>
        <v>0.292747098726734</v>
      </c>
      <c r="R957" s="40" t="n">
        <f aca="true">RAND()</f>
        <v>0.470289062946732</v>
      </c>
      <c r="S957" s="40" t="n">
        <f aca="true">RAND()</f>
        <v>0.295223425115036</v>
      </c>
      <c r="T957" s="40" t="n">
        <f aca="true">RAND()</f>
        <v>0.750655299104603</v>
      </c>
      <c r="U957" s="40" t="n">
        <f aca="true">RAND()</f>
        <v>0.185180904756522</v>
      </c>
    </row>
    <row r="958" customFormat="false" ht="15" hidden="false" customHeight="false" outlineLevel="0" collapsed="false">
      <c r="A958" s="36" t="n">
        <v>878</v>
      </c>
      <c r="B958" s="37" t="n">
        <f aca="false">1+IF($G$6=$E$6,$F$6,IF(P958&lt;($F$6-$E$6)/($G$6-$E$6),$E$6+SQRT(P958*($G$6-$E$6)*($F$6-$E$6)),$G$6-SQRT((1-P958)*($G$6-$E$6)*($G$6-$F$6))))</f>
        <v>0.96778098440255</v>
      </c>
      <c r="C958" s="37" t="n">
        <f aca="false">1+IF($G$7=$E$7,$F$7,IF(Q958&lt;($F$7-$E$7)/($G$7-$E$7),$E$7+SQRT(Q958*($G$7-$E$7)*($F$7-$E$7)),$G$7-SQRT((1-Q958)*($G$7-$E$7)*($G$7-$F$7))))</f>
        <v>0.8457278010429</v>
      </c>
      <c r="D958" s="37" t="n">
        <f aca="false">1+IF($G$8=$E$8,$F$8,IF(R958&lt;($F$8-$E$8)/($G$8-$E$8),$E$8+SQRT(R958*($G$8-$E$8)*($F$8-$E$8)),$G$8-SQRT((1-R958)*($G$8-$E$8)*($G$8-$F$8))))</f>
        <v>0.984259407860631</v>
      </c>
      <c r="E958" s="37" t="n">
        <f aca="false">1+IF($G$9=$E$9,$F$9,IF(S958&lt;($F$9-$E$9)/($G$9-$E$9),$E$9+SQRT(S958*($G$9-$E$9)*($F$9-$E$9)),$G$9-SQRT((1-S958)*($G$9-$E$9)*($G$9-$F$9))))</f>
        <v>1.05359628438007</v>
      </c>
      <c r="F958" s="37" t="n">
        <f aca="false">1+IF($G$10=$E$10,$F$10,IF(T958&lt;($F$10-$E$10)/($G$10-$E$10),$E$10+SQRT(T958*($G$10-$E$10)*($F$10-$E$10)),$G$10-SQRT((1-T958)*($G$10-$E$10)*($G$10-$F$10))))</f>
        <v>1.0969573472149</v>
      </c>
      <c r="G958" s="38" t="n">
        <f aca="false">IF($G$11=$E$11,$F$11,IF(U958&lt;($F$11-$E$11)/($G$11-$E$11),$E$11+SQRT(U958*($G$11-$E$11)*($F$11-$E$11)),$G$11-SQRT((1-U958)*($G$11-$E$11)*($G$11-$F$11))))</f>
        <v>0.0986150648136679</v>
      </c>
      <c r="H958" s="39" t="n">
        <f aca="false">(('Business Case'!B11*$C958*'Business Case'!B12*$B958)-'Business Case'!B11*$C958*'Business Case'!B13*$D958-'Business Case'!B14*$E958)-MAX(0,(('Business Case'!B11*$C958*'Business Case'!B12*$B958)-'Business Case'!B11*$C958*'Business Case'!B13*$D958-'Business Case'!B14*$E958))*'Business Case'!$B$7-'Business Case'!$B$8*('Business Case'!B11*$C958*'Business Case'!B12*$B958)-'Business Case'!B15*$F958</f>
        <v>-2193914694.4298</v>
      </c>
      <c r="I958" s="39" t="n">
        <f aca="false">(('Business Case'!C11*$C958*'Business Case'!C12*$B958)-'Business Case'!C11*$C958*'Business Case'!C13*$D958-'Business Case'!C14*$E958)-MAX(0,(('Business Case'!C11*$C958*'Business Case'!C12*$B958)-'Business Case'!C11*$C958*'Business Case'!C13*$D958-'Business Case'!C14*$E958))*'Business Case'!$B$7-'Business Case'!$B$8*(('Business Case'!C11*$C958*'Business Case'!C12*$B958)-('Business Case'!B11*$C958*'Business Case'!B12*$B958))-'Business Case'!C15*$F958</f>
        <v>-57683794.0942472</v>
      </c>
      <c r="J958" s="39" t="n">
        <f aca="false">(('Business Case'!D11*$C958*'Business Case'!D12*$B958)-'Business Case'!D11*$C958*'Business Case'!D13*$D958-'Business Case'!D14*$E958)-MAX(0,(('Business Case'!D11*$C958*'Business Case'!D12*$B958)-'Business Case'!D11*$C958*'Business Case'!D13*$D958-'Business Case'!D14*$E958))*'Business Case'!$B$7-'Business Case'!$B$8*(('Business Case'!D11*$C958*'Business Case'!D12*$B958)-('Business Case'!C11*$C958*'Business Case'!C12*$B958))-'Business Case'!D15*$F958</f>
        <v>186579504.245583</v>
      </c>
      <c r="K958" s="39" t="n">
        <f aca="false">(('Business Case'!E11*$C958*'Business Case'!E12*$B958)-'Business Case'!E11*$C958*'Business Case'!E13*$D958-'Business Case'!E14*$E958)-MAX(0,(('Business Case'!E11*$C958*'Business Case'!E12*$B958)-'Business Case'!E11*$C958*'Business Case'!E13*$D958-'Business Case'!E14*$E958))*'Business Case'!$B$7-'Business Case'!$B$8*(('Business Case'!E11*$C958*'Business Case'!E12*$B958)-('Business Case'!D11*$C958*'Business Case'!D12*$B958))-'Business Case'!E15*$F958</f>
        <v>485690669.946158</v>
      </c>
      <c r="L958" s="39" t="n">
        <f aca="false">(('Business Case'!F11*$C958*'Business Case'!F12*$B958)-'Business Case'!F11*$C958*'Business Case'!F13*$D958-'Business Case'!F14*$E958)-MAX(0,(('Business Case'!F11*$C958*'Business Case'!F12*$B958)-'Business Case'!F11*$C958*'Business Case'!F13*$D958-'Business Case'!F14*$E958))*'Business Case'!$B$7-'Business Case'!$B$8*(('Business Case'!F11*$C958*'Business Case'!F12*$B958)-('Business Case'!E11*$C958*'Business Case'!E12*$B958))-'Business Case'!F15*$F958</f>
        <v>595398413.44193</v>
      </c>
      <c r="M958" s="39" t="n">
        <f aca="false">(('Business Case'!G11*$C958*'Business Case'!G12*$B958)-'Business Case'!G11*$C958*'Business Case'!G13*$D958-'Business Case'!G14*$E958)-MAX(0,(('Business Case'!G11*$C958*'Business Case'!G12*$B958)-'Business Case'!G11*$C958*'Business Case'!G13*$D958-'Business Case'!G14*$E958))*'Business Case'!$B$7-'Business Case'!$B$8*(('Business Case'!G11*$C958*'Business Case'!G12*$B958)-('Business Case'!F11*$C958*'Business Case'!F12*$B958))-'Business Case'!G15*$F958+'Business Case'!$B$8*('Business Case'!G11*$C958*'Business Case'!G12*$B958)</f>
        <v>750974955.712318</v>
      </c>
      <c r="N958" s="39" t="n">
        <f aca="false">IF(COUNT('Business Case'!B11:G11)=0,"",H958+NPV(G958,I958:M958))</f>
        <v>-847582806.469411</v>
      </c>
      <c r="P958" s="40" t="n">
        <f aca="true">RAND()</f>
        <v>0.237814840674663</v>
      </c>
      <c r="Q958" s="40" t="n">
        <f aca="true">RAND()</f>
        <v>0.029871882688844</v>
      </c>
      <c r="R958" s="40" t="n">
        <f aca="true">RAND()</f>
        <v>0.180570311840166</v>
      </c>
      <c r="S958" s="40" t="n">
        <f aca="true">RAND()</f>
        <v>0.856446345110972</v>
      </c>
      <c r="T958" s="40" t="n">
        <f aca="true">RAND()</f>
        <v>0.787644234140176</v>
      </c>
      <c r="U958" s="40" t="n">
        <f aca="true">RAND()</f>
        <v>0.247397805812327</v>
      </c>
    </row>
    <row r="959" customFormat="false" ht="15" hidden="false" customHeight="false" outlineLevel="0" collapsed="false">
      <c r="A959" s="36" t="n">
        <v>879</v>
      </c>
      <c r="B959" s="37" t="n">
        <f aca="false">1+IF($G$6=$E$6,$F$6,IF(P959&lt;($F$6-$E$6)/($G$6-$E$6),$E$6+SQRT(P959*($G$6-$E$6)*($F$6-$E$6)),$G$6-SQRT((1-P959)*($G$6-$E$6)*($G$6-$F$6))))</f>
        <v>0.984752451438177</v>
      </c>
      <c r="C959" s="37" t="n">
        <f aca="false">1+IF($G$7=$E$7,$F$7,IF(Q959&lt;($F$7-$E$7)/($G$7-$E$7),$E$7+SQRT(Q959*($G$7-$E$7)*($F$7-$E$7)),$G$7-SQRT((1-Q959)*($G$7-$E$7)*($G$7-$F$7))))</f>
        <v>0.864202156021698</v>
      </c>
      <c r="D959" s="37" t="n">
        <f aca="false">1+IF($G$8=$E$8,$F$8,IF(R959&lt;($F$8-$E$8)/($G$8-$E$8),$E$8+SQRT(R959*($G$8-$E$8)*($F$8-$E$8)),$G$8-SQRT((1-R959)*($G$8-$E$8)*($G$8-$F$8))))</f>
        <v>0.988066154499114</v>
      </c>
      <c r="E959" s="37" t="n">
        <f aca="false">1+IF($G$9=$E$9,$F$9,IF(S959&lt;($F$9-$E$9)/($G$9-$E$9),$E$9+SQRT(S959*($G$9-$E$9)*($F$9-$E$9)),$G$9-SQRT((1-S959)*($G$9-$E$9)*($G$9-$F$9))))</f>
        <v>0.962926671737617</v>
      </c>
      <c r="F959" s="37" t="n">
        <f aca="false">1+IF($G$10=$E$10,$F$10,IF(T959&lt;($F$10-$E$10)/($G$10-$E$10),$E$10+SQRT(T959*($G$10-$E$10)*($F$10-$E$10)),$G$10-SQRT((1-T959)*($G$10-$E$10)*($G$10-$F$10))))</f>
        <v>1.00502744391868</v>
      </c>
      <c r="G959" s="38" t="n">
        <f aca="false">IF($G$11=$E$11,$F$11,IF(U959&lt;($F$11-$E$11)/($G$11-$E$11),$E$11+SQRT(U959*($G$11-$E$11)*($F$11-$E$11)),$G$11-SQRT((1-U959)*($G$11-$E$11)*($G$11-$F$11))))</f>
        <v>0.109897397592117</v>
      </c>
      <c r="H959" s="39" t="n">
        <f aca="false">(('Business Case'!B11*$C959*'Business Case'!B12*$B959)-'Business Case'!B11*$C959*'Business Case'!B13*$D959-'Business Case'!B14*$E959)-MAX(0,(('Business Case'!B11*$C959*'Business Case'!B12*$B959)-'Business Case'!B11*$C959*'Business Case'!B13*$D959-'Business Case'!B14*$E959))*'Business Case'!$B$7-'Business Case'!$B$8*('Business Case'!B11*$C959*'Business Case'!B12*$B959)-'Business Case'!B15*$F959</f>
        <v>-2010054887.83735</v>
      </c>
      <c r="I959" s="39" t="n">
        <f aca="false">(('Business Case'!C11*$C959*'Business Case'!C12*$B959)-'Business Case'!C11*$C959*'Business Case'!C13*$D959-'Business Case'!C14*$E959)-MAX(0,(('Business Case'!C11*$C959*'Business Case'!C12*$B959)-'Business Case'!C11*$C959*'Business Case'!C13*$D959-'Business Case'!C14*$E959))*'Business Case'!$B$7-'Business Case'!$B$8*(('Business Case'!C11*$C959*'Business Case'!C12*$B959)-('Business Case'!B11*$C959*'Business Case'!B12*$B959))-'Business Case'!C15*$F959</f>
        <v>-21619963.4546673</v>
      </c>
      <c r="J959" s="39" t="n">
        <f aca="false">(('Business Case'!D11*$C959*'Business Case'!D12*$B959)-'Business Case'!D11*$C959*'Business Case'!D13*$D959-'Business Case'!D14*$E959)-MAX(0,(('Business Case'!D11*$C959*'Business Case'!D12*$B959)-'Business Case'!D11*$C959*'Business Case'!D13*$D959-'Business Case'!D14*$E959))*'Business Case'!$B$7-'Business Case'!$B$8*(('Business Case'!D11*$C959*'Business Case'!D12*$B959)-('Business Case'!C11*$C959*'Business Case'!C12*$B959))-'Business Case'!D15*$F959</f>
        <v>238308136.14034</v>
      </c>
      <c r="K959" s="39" t="n">
        <f aca="false">(('Business Case'!E11*$C959*'Business Case'!E12*$B959)-'Business Case'!E11*$C959*'Business Case'!E13*$D959-'Business Case'!E14*$E959)-MAX(0,(('Business Case'!E11*$C959*'Business Case'!E12*$B959)-'Business Case'!E11*$C959*'Business Case'!E13*$D959-'Business Case'!E14*$E959))*'Business Case'!$B$7-'Business Case'!$B$8*(('Business Case'!E11*$C959*'Business Case'!E12*$B959)-('Business Case'!D11*$C959*'Business Case'!D12*$B959))-'Business Case'!E15*$F959</f>
        <v>548487607.931282</v>
      </c>
      <c r="L959" s="39" t="n">
        <f aca="false">(('Business Case'!F11*$C959*'Business Case'!F12*$B959)-'Business Case'!F11*$C959*'Business Case'!F13*$D959-'Business Case'!F14*$E959)-MAX(0,(('Business Case'!F11*$C959*'Business Case'!F12*$B959)-'Business Case'!F11*$C959*'Business Case'!F13*$D959-'Business Case'!F14*$E959))*'Business Case'!$B$7-'Business Case'!$B$8*(('Business Case'!F11*$C959*'Business Case'!F12*$B959)-('Business Case'!E11*$C959*'Business Case'!E12*$B959))-'Business Case'!F15*$F959</f>
        <v>664541738.420764</v>
      </c>
      <c r="M959" s="39" t="n">
        <f aca="false">(('Business Case'!G11*$C959*'Business Case'!G12*$B959)-'Business Case'!G11*$C959*'Business Case'!G13*$D959-'Business Case'!G14*$E959)-MAX(0,(('Business Case'!G11*$C959*'Business Case'!G12*$B959)-'Business Case'!G11*$C959*'Business Case'!G13*$D959-'Business Case'!G14*$E959))*'Business Case'!$B$7-'Business Case'!$B$8*(('Business Case'!G11*$C959*'Business Case'!G12*$B959)-('Business Case'!F11*$C959*'Business Case'!F12*$B959))-'Business Case'!G15*$F959+'Business Case'!$B$8*('Business Case'!G11*$C959*'Business Case'!G12*$B959)</f>
        <v>826304606.855398</v>
      </c>
      <c r="N959" s="39" t="n">
        <f aca="false">IF(COUNT('Business Case'!B11:G11)=0,"",H959+NPV(G959,I959:M959))</f>
        <v>-506407112.856522</v>
      </c>
      <c r="P959" s="40" t="n">
        <f aca="true">RAND()</f>
        <v>0.436758329922231</v>
      </c>
      <c r="Q959" s="40" t="n">
        <f aca="true">RAND()</f>
        <v>0.0588845262547776</v>
      </c>
      <c r="R959" s="40" t="n">
        <f aca="true">RAND()</f>
        <v>0.222928018207758</v>
      </c>
      <c r="S959" s="40" t="n">
        <f aca="true">RAND()</f>
        <v>0.0222798456282794</v>
      </c>
      <c r="T959" s="40" t="n">
        <f aca="true">RAND()</f>
        <v>0.239714047502293</v>
      </c>
      <c r="U959" s="40" t="n">
        <f aca="true">RAND()</f>
        <v>0.829895707647044</v>
      </c>
    </row>
    <row r="960" customFormat="false" ht="15" hidden="false" customHeight="false" outlineLevel="0" collapsed="false">
      <c r="A960" s="36" t="n">
        <v>880</v>
      </c>
      <c r="B960" s="37" t="n">
        <f aca="false">1+IF($G$6=$E$6,$F$6,IF(P960&lt;($F$6-$E$6)/($G$6-$E$6),$E$6+SQRT(P960*($G$6-$E$6)*($F$6-$E$6)),$G$6-SQRT((1-P960)*($G$6-$E$6)*($G$6-$F$6))))</f>
        <v>1.02293943901601</v>
      </c>
      <c r="C960" s="37" t="n">
        <f aca="false">1+IF($G$7=$E$7,$F$7,IF(Q960&lt;($F$7-$E$7)/($G$7-$E$7),$E$7+SQRT(Q960*($G$7-$E$7)*($F$7-$E$7)),$G$7-SQRT((1-Q960)*($G$7-$E$7)*($G$7-$F$7))))</f>
        <v>0.947680770417064</v>
      </c>
      <c r="D960" s="37" t="n">
        <f aca="false">1+IF($G$8=$E$8,$F$8,IF(R960&lt;($F$8-$E$8)/($G$8-$E$8),$E$8+SQRT(R960*($G$8-$E$8)*($F$8-$E$8)),$G$8-SQRT((1-R960)*($G$8-$E$8)*($G$8-$F$8))))</f>
        <v>0.992374949459658</v>
      </c>
      <c r="E960" s="37" t="n">
        <f aca="false">1+IF($G$9=$E$9,$F$9,IF(S960&lt;($F$9-$E$9)/($G$9-$E$9),$E$9+SQRT(S960*($G$9-$E$9)*($F$9-$E$9)),$G$9-SQRT((1-S960)*($G$9-$E$9)*($G$9-$F$9))))</f>
        <v>1.04055733897658</v>
      </c>
      <c r="F960" s="37" t="n">
        <f aca="false">1+IF($G$10=$E$10,$F$10,IF(T960&lt;($F$10-$E$10)/($G$10-$E$10),$E$10+SQRT(T960*($G$10-$E$10)*($F$10-$E$10)),$G$10-SQRT((1-T960)*($G$10-$E$10)*($G$10-$F$10))))</f>
        <v>1.0097546735782</v>
      </c>
      <c r="G960" s="38" t="n">
        <f aca="false">IF($G$11=$E$11,$F$11,IF(U960&lt;($F$11-$E$11)/($G$11-$E$11),$E$11+SQRT(U960*($G$11-$E$11)*($F$11-$E$11)),$G$11-SQRT((1-U960)*($G$11-$E$11)*($G$11-$F$11))))</f>
        <v>0.111285870946069</v>
      </c>
      <c r="H960" s="39" t="n">
        <f aca="false">(('Business Case'!B11*$C960*'Business Case'!B12*$B960)-'Business Case'!B11*$C960*'Business Case'!B13*$D960-'Business Case'!B14*$E960)-MAX(0,(('Business Case'!B11*$C960*'Business Case'!B12*$B960)-'Business Case'!B11*$C960*'Business Case'!B13*$D960-'Business Case'!B14*$E960))*'Business Case'!$B$7-'Business Case'!$B$8*('Business Case'!B11*$C960*'Business Case'!B12*$B960)-'Business Case'!B15*$F960</f>
        <v>-2019509347.1564</v>
      </c>
      <c r="I960" s="39" t="n">
        <f aca="false">(('Business Case'!C11*$C960*'Business Case'!C12*$B960)-'Business Case'!C11*$C960*'Business Case'!C13*$D960-'Business Case'!C14*$E960)-MAX(0,(('Business Case'!C11*$C960*'Business Case'!C12*$B960)-'Business Case'!C11*$C960*'Business Case'!C13*$D960-'Business Case'!C14*$E960))*'Business Case'!$B$7-'Business Case'!$B$8*(('Business Case'!C11*$C960*'Business Case'!C12*$B960)-('Business Case'!B11*$C960*'Business Case'!B12*$B960))-'Business Case'!C15*$F960</f>
        <v>13389804.006174</v>
      </c>
      <c r="J960" s="39" t="n">
        <f aca="false">(('Business Case'!D11*$C960*'Business Case'!D12*$B960)-'Business Case'!D11*$C960*'Business Case'!D13*$D960-'Business Case'!D14*$E960)-MAX(0,(('Business Case'!D11*$C960*'Business Case'!D12*$B960)-'Business Case'!D11*$C960*'Business Case'!D13*$D960-'Business Case'!D14*$E960))*'Business Case'!$B$7-'Business Case'!$B$8*(('Business Case'!D11*$C960*'Business Case'!D12*$B960)-('Business Case'!C11*$C960*'Business Case'!C12*$B960))-'Business Case'!D15*$F960</f>
        <v>325977063.621081</v>
      </c>
      <c r="K960" s="39" t="n">
        <f aca="false">(('Business Case'!E11*$C960*'Business Case'!E12*$B960)-'Business Case'!E11*$C960*'Business Case'!E13*$D960-'Business Case'!E14*$E960)-MAX(0,(('Business Case'!E11*$C960*'Business Case'!E12*$B960)-'Business Case'!E11*$C960*'Business Case'!E13*$D960-'Business Case'!E14*$E960))*'Business Case'!$B$7-'Business Case'!$B$8*(('Business Case'!E11*$C960*'Business Case'!E12*$B960)-('Business Case'!D11*$C960*'Business Case'!D12*$B960))-'Business Case'!E15*$F960</f>
        <v>689052056.914897</v>
      </c>
      <c r="L960" s="39" t="n">
        <f aca="false">(('Business Case'!F11*$C960*'Business Case'!F12*$B960)-'Business Case'!F11*$C960*'Business Case'!F13*$D960-'Business Case'!F14*$E960)-MAX(0,(('Business Case'!F11*$C960*'Business Case'!F12*$B960)-'Business Case'!F11*$C960*'Business Case'!F13*$D960-'Business Case'!F14*$E960))*'Business Case'!$B$7-'Business Case'!$B$8*(('Business Case'!F11*$C960*'Business Case'!F12*$B960)-('Business Case'!E11*$C960*'Business Case'!E12*$B960))-'Business Case'!F15*$F960</f>
        <v>826750966.552162</v>
      </c>
      <c r="M960" s="39" t="n">
        <f aca="false">(('Business Case'!G11*$C960*'Business Case'!G12*$B960)-'Business Case'!G11*$C960*'Business Case'!G13*$D960-'Business Case'!G14*$E960)-MAX(0,(('Business Case'!G11*$C960*'Business Case'!G12*$B960)-'Business Case'!G11*$C960*'Business Case'!G13*$D960-'Business Case'!G14*$E960))*'Business Case'!$B$7-'Business Case'!$B$8*(('Business Case'!G11*$C960*'Business Case'!G12*$B960)-('Business Case'!F11*$C960*'Business Case'!F12*$B960))-'Business Case'!G15*$F960+'Business Case'!$B$8*('Business Case'!G11*$C960*'Business Case'!G12*$B960)</f>
        <v>1011018326.92978</v>
      </c>
      <c r="N960" s="39" t="n">
        <f aca="false">IF(COUNT('Business Case'!B11:G11)=0,"",H960+NPV(G960,I960:M960))</f>
        <v>-102802907.820494</v>
      </c>
      <c r="P960" s="40" t="n">
        <f aca="true">RAND()</f>
        <v>0.939361928939885</v>
      </c>
      <c r="Q960" s="40" t="n">
        <f aca="true">RAND()</f>
        <v>0.311565856442537</v>
      </c>
      <c r="R960" s="40" t="n">
        <f aca="true">RAND()</f>
        <v>0.276251744878243</v>
      </c>
      <c r="S960" s="40" t="n">
        <f aca="true">RAND()</f>
        <v>0.764438003363665</v>
      </c>
      <c r="T960" s="40" t="n">
        <f aca="true">RAND()</f>
        <v>0.276134315493259</v>
      </c>
      <c r="U960" s="40" t="n">
        <f aca="true">RAND()</f>
        <v>0.873439924719062</v>
      </c>
    </row>
    <row r="961" customFormat="false" ht="15" hidden="false" customHeight="false" outlineLevel="0" collapsed="false">
      <c r="A961" s="36" t="n">
        <v>881</v>
      </c>
      <c r="B961" s="37" t="n">
        <f aca="false">1+IF($G$6=$E$6,$F$6,IF(P961&lt;($F$6-$E$6)/($G$6-$E$6),$E$6+SQRT(P961*($G$6-$E$6)*($F$6-$E$6)),$G$6-SQRT((1-P961)*($G$6-$E$6)*($G$6-$F$6))))</f>
        <v>1.00171867386882</v>
      </c>
      <c r="C961" s="37" t="n">
        <f aca="false">1+IF($G$7=$E$7,$F$7,IF(Q961&lt;($F$7-$E$7)/($G$7-$E$7),$E$7+SQRT(Q961*($G$7-$E$7)*($F$7-$E$7)),$G$7-SQRT((1-Q961)*($G$7-$E$7)*($G$7-$F$7))))</f>
        <v>0.871700645579304</v>
      </c>
      <c r="D961" s="37" t="n">
        <f aca="false">1+IF($G$8=$E$8,$F$8,IF(R961&lt;($F$8-$E$8)/($G$8-$E$8),$E$8+SQRT(R961*($G$8-$E$8)*($F$8-$E$8)),$G$8-SQRT((1-R961)*($G$8-$E$8)*($G$8-$F$8))))</f>
        <v>0.99220226364999</v>
      </c>
      <c r="E961" s="37" t="n">
        <f aca="false">1+IF($G$9=$E$9,$F$9,IF(S961&lt;($F$9-$E$9)/($G$9-$E$9),$E$9+SQRT(S961*($G$9-$E$9)*($F$9-$E$9)),$G$9-SQRT((1-S961)*($G$9-$E$9)*($G$9-$F$9))))</f>
        <v>0.991973676891161</v>
      </c>
      <c r="F961" s="37" t="n">
        <f aca="false">1+IF($G$10=$E$10,$F$10,IF(T961&lt;($F$10-$E$10)/($G$10-$E$10),$E$10+SQRT(T961*($G$10-$E$10)*($F$10-$E$10)),$G$10-SQRT((1-T961)*($G$10-$E$10)*($G$10-$F$10))))</f>
        <v>1.01235969929128</v>
      </c>
      <c r="G961" s="38" t="n">
        <f aca="false">IF($G$11=$E$11,$F$11,IF(U961&lt;($F$11-$E$11)/($G$11-$E$11),$E$11+SQRT(U961*($G$11-$E$11)*($F$11-$E$11)),$G$11-SQRT((1-U961)*($G$11-$E$11)*($G$11-$F$11))))</f>
        <v>0.0965408991133188</v>
      </c>
      <c r="H961" s="39" t="n">
        <f aca="false">(('Business Case'!B11*$C961*'Business Case'!B12*$B961)-'Business Case'!B11*$C961*'Business Case'!B13*$D961-'Business Case'!B14*$E961)-MAX(0,(('Business Case'!B11*$C961*'Business Case'!B12*$B961)-'Business Case'!B11*$C961*'Business Case'!B13*$D961-'Business Case'!B14*$E961))*'Business Case'!$B$7-'Business Case'!$B$8*('Business Case'!B11*$C961*'Business Case'!B12*$B961)-'Business Case'!B15*$F961</f>
        <v>-2024719398.58256</v>
      </c>
      <c r="I961" s="39" t="n">
        <f aca="false">(('Business Case'!C11*$C961*'Business Case'!C12*$B961)-'Business Case'!C11*$C961*'Business Case'!C13*$D961-'Business Case'!C14*$E961)-MAX(0,(('Business Case'!C11*$C961*'Business Case'!C12*$B961)-'Business Case'!C11*$C961*'Business Case'!C13*$D961-'Business Case'!C14*$E961))*'Business Case'!$B$7-'Business Case'!$B$8*(('Business Case'!C11*$C961*'Business Case'!C12*$B961)-('Business Case'!B11*$C961*'Business Case'!B12*$B961))-'Business Case'!C15*$F961</f>
        <v>-15109878.6443154</v>
      </c>
      <c r="J961" s="39" t="n">
        <f aca="false">(('Business Case'!D11*$C961*'Business Case'!D12*$B961)-'Business Case'!D11*$C961*'Business Case'!D13*$D961-'Business Case'!D14*$E961)-MAX(0,(('Business Case'!D11*$C961*'Business Case'!D12*$B961)-'Business Case'!D11*$C961*'Business Case'!D13*$D961-'Business Case'!D14*$E961))*'Business Case'!$B$7-'Business Case'!$B$8*(('Business Case'!D11*$C961*'Business Case'!D12*$B961)-('Business Case'!C11*$C961*'Business Case'!C12*$B961))-'Business Case'!D15*$F961</f>
        <v>257341496.048484</v>
      </c>
      <c r="K961" s="39" t="n">
        <f aca="false">(('Business Case'!E11*$C961*'Business Case'!E12*$B961)-'Business Case'!E11*$C961*'Business Case'!E13*$D961-'Business Case'!E14*$E961)-MAX(0,(('Business Case'!E11*$C961*'Business Case'!E12*$B961)-'Business Case'!E11*$C961*'Business Case'!E13*$D961-'Business Case'!E14*$E961))*'Business Case'!$B$7-'Business Case'!$B$8*(('Business Case'!E11*$C961*'Business Case'!E12*$B961)-('Business Case'!D11*$C961*'Business Case'!D12*$B961))-'Business Case'!E15*$F961</f>
        <v>580410855.705847</v>
      </c>
      <c r="L961" s="39" t="n">
        <f aca="false">(('Business Case'!F11*$C961*'Business Case'!F12*$B961)-'Business Case'!F11*$C961*'Business Case'!F13*$D961-'Business Case'!F14*$E961)-MAX(0,(('Business Case'!F11*$C961*'Business Case'!F12*$B961)-'Business Case'!F11*$C961*'Business Case'!F13*$D961-'Business Case'!F14*$E961))*'Business Case'!$B$7-'Business Case'!$B$8*(('Business Case'!F11*$C961*'Business Case'!F12*$B961)-('Business Case'!E11*$C961*'Business Case'!E12*$B961))-'Business Case'!F15*$F961</f>
        <v>701405731.639489</v>
      </c>
      <c r="M961" s="39" t="n">
        <f aca="false">(('Business Case'!G11*$C961*'Business Case'!G12*$B961)-'Business Case'!G11*$C961*'Business Case'!G13*$D961-'Business Case'!G14*$E961)-MAX(0,(('Business Case'!G11*$C961*'Business Case'!G12*$B961)-'Business Case'!G11*$C961*'Business Case'!G13*$D961-'Business Case'!G14*$E961))*'Business Case'!$B$7-'Business Case'!$B$8*(('Business Case'!G11*$C961*'Business Case'!G12*$B961)-('Business Case'!F11*$C961*'Business Case'!F12*$B961))-'Business Case'!G15*$F961+'Business Case'!$B$8*('Business Case'!G11*$C961*'Business Case'!G12*$B961)</f>
        <v>867383362.33772</v>
      </c>
      <c r="N961" s="39" t="n">
        <f aca="false">IF(COUNT('Business Case'!B11:G11)=0,"",H961+NPV(G961,I961:M961))</f>
        <v>-351996323.975914</v>
      </c>
      <c r="P961" s="40" t="n">
        <f aca="true">RAND()</f>
        <v>0.694695847841231</v>
      </c>
      <c r="Q961" s="40" t="n">
        <f aca="true">RAND()</f>
        <v>0.0734426082355558</v>
      </c>
      <c r="R961" s="40" t="n">
        <f aca="true">RAND()</f>
        <v>0.2740047780282</v>
      </c>
      <c r="S961" s="40" t="n">
        <f aca="true">RAND()</f>
        <v>0.234905273568481</v>
      </c>
      <c r="T961" s="40" t="n">
        <f aca="true">RAND()</f>
        <v>0.295822350998839</v>
      </c>
      <c r="U961" s="40" t="n">
        <f aca="true">RAND()</f>
        <v>0.142611204035382</v>
      </c>
    </row>
    <row r="962" customFormat="false" ht="15" hidden="false" customHeight="false" outlineLevel="0" collapsed="false">
      <c r="A962" s="36" t="n">
        <v>882</v>
      </c>
      <c r="B962" s="37" t="n">
        <f aca="false">1+IF($G$6=$E$6,$F$6,IF(P962&lt;($F$6-$E$6)/($G$6-$E$6),$E$6+SQRT(P962*($G$6-$E$6)*($F$6-$E$6)),$G$6-SQRT((1-P962)*($G$6-$E$6)*($G$6-$F$6))))</f>
        <v>1.00338286754048</v>
      </c>
      <c r="C962" s="37" t="n">
        <f aca="false">1+IF($G$7=$E$7,$F$7,IF(Q962&lt;($F$7-$E$7)/($G$7-$E$7),$E$7+SQRT(Q962*($G$7-$E$7)*($F$7-$E$7)),$G$7-SQRT((1-Q962)*($G$7-$E$7)*($G$7-$F$7))))</f>
        <v>1.0175611387755</v>
      </c>
      <c r="D962" s="37" t="n">
        <f aca="false">1+IF($G$8=$E$8,$F$8,IF(R962&lt;($F$8-$E$8)/($G$8-$E$8),$E$8+SQRT(R962*($G$8-$E$8)*($F$8-$E$8)),$G$8-SQRT((1-R962)*($G$8-$E$8)*($G$8-$F$8))))</f>
        <v>0.996703142032003</v>
      </c>
      <c r="E962" s="37" t="n">
        <f aca="false">1+IF($G$9=$E$9,$F$9,IF(S962&lt;($F$9-$E$9)/($G$9-$E$9),$E$9+SQRT(S962*($G$9-$E$9)*($F$9-$E$9)),$G$9-SQRT((1-S962)*($G$9-$E$9)*($G$9-$F$9))))</f>
        <v>0.991413136907983</v>
      </c>
      <c r="F962" s="37" t="n">
        <f aca="false">1+IF($G$10=$E$10,$F$10,IF(T962&lt;($F$10-$E$10)/($G$10-$E$10),$E$10+SQRT(T962*($G$10-$E$10)*($F$10-$E$10)),$G$10-SQRT((1-T962)*($G$10-$E$10)*($G$10-$F$10))))</f>
        <v>1.01317241116521</v>
      </c>
      <c r="G962" s="38" t="n">
        <f aca="false">IF($G$11=$E$11,$F$11,IF(U962&lt;($F$11-$E$11)/($G$11-$E$11),$E$11+SQRT(U962*($G$11-$E$11)*($F$11-$E$11)),$G$11-SQRT((1-U962)*($G$11-$E$11)*($G$11-$F$11))))</f>
        <v>0.102547891110117</v>
      </c>
      <c r="H962" s="39" t="n">
        <f aca="false">(('Business Case'!B11*$C962*'Business Case'!B12*$B962)-'Business Case'!B11*$C962*'Business Case'!B13*$D962-'Business Case'!B14*$E962)-MAX(0,(('Business Case'!B11*$C962*'Business Case'!B12*$B962)-'Business Case'!B11*$C962*'Business Case'!B13*$D962-'Business Case'!B14*$E962))*'Business Case'!$B$7-'Business Case'!$B$8*('Business Case'!B11*$C962*'Business Case'!B12*$B962)-'Business Case'!B15*$F962</f>
        <v>-2026344822.33042</v>
      </c>
      <c r="I962" s="39" t="n">
        <f aca="false">(('Business Case'!C11*$C962*'Business Case'!C12*$B962)-'Business Case'!C11*$C962*'Business Case'!C13*$D962-'Business Case'!C14*$E962)-MAX(0,(('Business Case'!C11*$C962*'Business Case'!C12*$B962)-'Business Case'!C11*$C962*'Business Case'!C13*$D962-'Business Case'!C14*$E962))*'Business Case'!$B$7-'Business Case'!$B$8*(('Business Case'!C11*$C962*'Business Case'!C12*$B962)-('Business Case'!B11*$C962*'Business Case'!B12*$B962))-'Business Case'!C15*$F962</f>
        <v>21857769.4116844</v>
      </c>
      <c r="J962" s="39" t="n">
        <f aca="false">(('Business Case'!D11*$C962*'Business Case'!D12*$B962)-'Business Case'!D11*$C962*'Business Case'!D13*$D962-'Business Case'!D14*$E962)-MAX(0,(('Business Case'!D11*$C962*'Business Case'!D12*$B962)-'Business Case'!D11*$C962*'Business Case'!D13*$D962-'Business Case'!D14*$E962))*'Business Case'!$B$7-'Business Case'!$B$8*(('Business Case'!D11*$C962*'Business Case'!D12*$B962)-('Business Case'!C11*$C962*'Business Case'!C12*$B962))-'Business Case'!D15*$F962</f>
        <v>338940544.954834</v>
      </c>
      <c r="K962" s="39" t="n">
        <f aca="false">(('Business Case'!E11*$C962*'Business Case'!E12*$B962)-'Business Case'!E11*$C962*'Business Case'!E13*$D962-'Business Case'!E14*$E962)-MAX(0,(('Business Case'!E11*$C962*'Business Case'!E12*$B962)-'Business Case'!E11*$C962*'Business Case'!E13*$D962-'Business Case'!E14*$E962))*'Business Case'!$B$7-'Business Case'!$B$8*(('Business Case'!E11*$C962*'Business Case'!E12*$B962)-('Business Case'!D11*$C962*'Business Case'!D12*$B962))-'Business Case'!E15*$F962</f>
        <v>706681941.056244</v>
      </c>
      <c r="L962" s="39" t="n">
        <f aca="false">(('Business Case'!F11*$C962*'Business Case'!F12*$B962)-'Business Case'!F11*$C962*'Business Case'!F13*$D962-'Business Case'!F14*$E962)-MAX(0,(('Business Case'!F11*$C962*'Business Case'!F12*$B962)-'Business Case'!F11*$C962*'Business Case'!F13*$D962-'Business Case'!F14*$E962))*'Business Case'!$B$7-'Business Case'!$B$8*(('Business Case'!F11*$C962*'Business Case'!F12*$B962)-('Business Case'!E11*$C962*'Business Case'!E12*$B962))-'Business Case'!F15*$F962</f>
        <v>847662077.535046</v>
      </c>
      <c r="M962" s="39" t="n">
        <f aca="false">(('Business Case'!G11*$C962*'Business Case'!G12*$B962)-'Business Case'!G11*$C962*'Business Case'!G13*$D962-'Business Case'!G14*$E962)-MAX(0,(('Business Case'!G11*$C962*'Business Case'!G12*$B962)-'Business Case'!G11*$C962*'Business Case'!G13*$D962-'Business Case'!G14*$E962))*'Business Case'!$B$7-'Business Case'!$B$8*(('Business Case'!G11*$C962*'Business Case'!G12*$B962)-('Business Case'!F11*$C962*'Business Case'!F12*$B962))-'Business Case'!G15*$F962+'Business Case'!$B$8*('Business Case'!G11*$C962*'Business Case'!G12*$B962)</f>
        <v>1041734406.33935</v>
      </c>
      <c r="N962" s="39" t="n">
        <f aca="false">IF(COUNT('Business Case'!B11:G11)=0,"",H962+NPV(G962,I962:M962))</f>
        <v>12598245.8502505</v>
      </c>
      <c r="P962" s="40" t="n">
        <f aca="true">RAND()</f>
        <v>0.720663668842144</v>
      </c>
      <c r="Q962" s="40" t="n">
        <f aca="true">RAND()</f>
        <v>0.665903772143936</v>
      </c>
      <c r="R962" s="40" t="n">
        <f aca="true">RAND()</f>
        <v>0.335566688563301</v>
      </c>
      <c r="S962" s="40" t="n">
        <f aca="true">RAND()</f>
        <v>0.228673054474577</v>
      </c>
      <c r="T962" s="40" t="n">
        <f aca="true">RAND()</f>
        <v>0.301909041003574</v>
      </c>
      <c r="U962" s="40" t="n">
        <f aca="true">RAND()</f>
        <v>0.492373158826136</v>
      </c>
    </row>
    <row r="963" customFormat="false" ht="15" hidden="false" customHeight="false" outlineLevel="0" collapsed="false">
      <c r="A963" s="36" t="n">
        <v>883</v>
      </c>
      <c r="B963" s="37" t="n">
        <f aca="false">1+IF($G$6=$E$6,$F$6,IF(P963&lt;($F$6-$E$6)/($G$6-$E$6),$E$6+SQRT(P963*($G$6-$E$6)*($F$6-$E$6)),$G$6-SQRT((1-P963)*($G$6-$E$6)*($G$6-$F$6))))</f>
        <v>0.984763599227581</v>
      </c>
      <c r="C963" s="37" t="n">
        <f aca="false">1+IF($G$7=$E$7,$F$7,IF(Q963&lt;($F$7-$E$7)/($G$7-$E$7),$E$7+SQRT(Q963*($G$7-$E$7)*($F$7-$E$7)),$G$7-SQRT((1-Q963)*($G$7-$E$7)*($G$7-$F$7))))</f>
        <v>1.04987364246529</v>
      </c>
      <c r="D963" s="37" t="n">
        <f aca="false">1+IF($G$8=$E$8,$F$8,IF(R963&lt;($F$8-$E$8)/($G$8-$E$8),$E$8+SQRT(R963*($G$8-$E$8)*($F$8-$E$8)),$G$8-SQRT((1-R963)*($G$8-$E$8)*($G$8-$F$8))))</f>
        <v>1.03030561278181</v>
      </c>
      <c r="E963" s="37" t="n">
        <f aca="false">1+IF($G$9=$E$9,$F$9,IF(S963&lt;($F$9-$E$9)/($G$9-$E$9),$E$9+SQRT(S963*($G$9-$E$9)*($F$9-$E$9)),$G$9-SQRT((1-S963)*($G$9-$E$9)*($G$9-$F$9))))</f>
        <v>1.04279227226041</v>
      </c>
      <c r="F963" s="37" t="n">
        <f aca="false">1+IF($G$10=$E$10,$F$10,IF(T963&lt;($F$10-$E$10)/($G$10-$E$10),$E$10+SQRT(T963*($G$10-$E$10)*($F$10-$E$10)),$G$10-SQRT((1-T963)*($G$10-$E$10)*($G$10-$F$10))))</f>
        <v>1.02607163023488</v>
      </c>
      <c r="G963" s="38" t="n">
        <f aca="false">IF($G$11=$E$11,$F$11,IF(U963&lt;($F$11-$E$11)/($G$11-$E$11),$E$11+SQRT(U963*($G$11-$E$11)*($F$11-$E$11)),$G$11-SQRT((1-U963)*($G$11-$E$11)*($G$11-$F$11))))</f>
        <v>0.0973477220508131</v>
      </c>
      <c r="H963" s="39" t="n">
        <f aca="false">(('Business Case'!B11*$C963*'Business Case'!B12*$B963)-'Business Case'!B11*$C963*'Business Case'!B13*$D963-'Business Case'!B14*$E963)-MAX(0,(('Business Case'!B11*$C963*'Business Case'!B12*$B963)-'Business Case'!B11*$C963*'Business Case'!B13*$D963-'Business Case'!B14*$E963))*'Business Case'!$B$7-'Business Case'!$B$8*('Business Case'!B11*$C963*'Business Case'!B12*$B963)-'Business Case'!B15*$F963</f>
        <v>-2052143260.46976</v>
      </c>
      <c r="I963" s="39" t="n">
        <f aca="false">(('Business Case'!C11*$C963*'Business Case'!C12*$B963)-'Business Case'!C11*$C963*'Business Case'!C13*$D963-'Business Case'!C14*$E963)-MAX(0,(('Business Case'!C11*$C963*'Business Case'!C12*$B963)-'Business Case'!C11*$C963*'Business Case'!C13*$D963-'Business Case'!C14*$E963))*'Business Case'!$B$7-'Business Case'!$B$8*(('Business Case'!C11*$C963*'Business Case'!C12*$B963)-('Business Case'!B11*$C963*'Business Case'!B12*$B963))-'Business Case'!C15*$F963</f>
        <v>-11407546.0249598</v>
      </c>
      <c r="J963" s="39" t="n">
        <f aca="false">(('Business Case'!D11*$C963*'Business Case'!D12*$B963)-'Business Case'!D11*$C963*'Business Case'!D13*$D963-'Business Case'!D14*$E963)-MAX(0,(('Business Case'!D11*$C963*'Business Case'!D12*$B963)-'Business Case'!D11*$C963*'Business Case'!D13*$D963-'Business Case'!D14*$E963))*'Business Case'!$B$7-'Business Case'!$B$8*(('Business Case'!D11*$C963*'Business Case'!D12*$B963)-('Business Case'!C11*$C963*'Business Case'!C12*$B963))-'Business Case'!D15*$F963</f>
        <v>281673333.751688</v>
      </c>
      <c r="K963" s="39" t="n">
        <f aca="false">(('Business Case'!E11*$C963*'Business Case'!E12*$B963)-'Business Case'!E11*$C963*'Business Case'!E13*$D963-'Business Case'!E14*$E963)-MAX(0,(('Business Case'!E11*$C963*'Business Case'!E12*$B963)-'Business Case'!E11*$C963*'Business Case'!E13*$D963-'Business Case'!E14*$E963))*'Business Case'!$B$7-'Business Case'!$B$8*(('Business Case'!E11*$C963*'Business Case'!E12*$B963)-('Business Case'!D11*$C963*'Business Case'!D12*$B963))-'Business Case'!E15*$F963</f>
        <v>626057795.040079</v>
      </c>
      <c r="L963" s="39" t="n">
        <f aca="false">(('Business Case'!F11*$C963*'Business Case'!F12*$B963)-'Business Case'!F11*$C963*'Business Case'!F13*$D963-'Business Case'!F14*$E963)-MAX(0,(('Business Case'!F11*$C963*'Business Case'!F12*$B963)-'Business Case'!F11*$C963*'Business Case'!F13*$D963-'Business Case'!F14*$E963))*'Business Case'!$B$7-'Business Case'!$B$8*(('Business Case'!F11*$C963*'Business Case'!F12*$B963)-('Business Case'!E11*$C963*'Business Case'!E12*$B963))-'Business Case'!F15*$F963</f>
        <v>759482222.740754</v>
      </c>
      <c r="M963" s="39" t="n">
        <f aca="false">(('Business Case'!G11*$C963*'Business Case'!G12*$B963)-'Business Case'!G11*$C963*'Business Case'!G13*$D963-'Business Case'!G14*$E963)-MAX(0,(('Business Case'!G11*$C963*'Business Case'!G12*$B963)-'Business Case'!G11*$C963*'Business Case'!G13*$D963-'Business Case'!G14*$E963))*'Business Case'!$B$7-'Business Case'!$B$8*(('Business Case'!G11*$C963*'Business Case'!G12*$B963)-('Business Case'!F11*$C963*'Business Case'!F12*$B963))-'Business Case'!G15*$F963+'Business Case'!$B$8*('Business Case'!G11*$C963*'Business Case'!G12*$B963)</f>
        <v>956001628.83728</v>
      </c>
      <c r="N963" s="39" t="n">
        <f aca="false">IF(COUNT('Business Case'!B11:G11)=0,"",H963+NPV(G963,I963:M963))</f>
        <v>-230258824.836998</v>
      </c>
      <c r="P963" s="40" t="n">
        <f aca="true">RAND()</f>
        <v>0.436908727594862</v>
      </c>
      <c r="Q963" s="40" t="n">
        <f aca="true">RAND()</f>
        <v>0.809042143368222</v>
      </c>
      <c r="R963" s="40" t="n">
        <f aca="true">RAND()</f>
        <v>0.762544988366235</v>
      </c>
      <c r="S963" s="40" t="n">
        <f aca="true">RAND()</f>
        <v>0.781818392458187</v>
      </c>
      <c r="T963" s="40" t="n">
        <f aca="true">RAND()</f>
        <v>0.394978443816958</v>
      </c>
      <c r="U963" s="40" t="n">
        <f aca="true">RAND()</f>
        <v>0.179963397786682</v>
      </c>
    </row>
    <row r="964" customFormat="false" ht="15" hidden="false" customHeight="false" outlineLevel="0" collapsed="false">
      <c r="A964" s="36" t="n">
        <v>884</v>
      </c>
      <c r="B964" s="37" t="n">
        <f aca="false">1+IF($G$6=$E$6,$F$6,IF(P964&lt;($F$6-$E$6)/($G$6-$E$6),$E$6+SQRT(P964*($G$6-$E$6)*($F$6-$E$6)),$G$6-SQRT((1-P964)*($G$6-$E$6)*($G$6-$F$6))))</f>
        <v>0.980548896995558</v>
      </c>
      <c r="C964" s="37" t="n">
        <f aca="false">1+IF($G$7=$E$7,$F$7,IF(Q964&lt;($F$7-$E$7)/($G$7-$E$7),$E$7+SQRT(Q964*($G$7-$E$7)*($F$7-$E$7)),$G$7-SQRT((1-Q964)*($G$7-$E$7)*($G$7-$F$7))))</f>
        <v>1.0372034092</v>
      </c>
      <c r="D964" s="37" t="n">
        <f aca="false">1+IF($G$8=$E$8,$F$8,IF(R964&lt;($F$8-$E$8)/($G$8-$E$8),$E$8+SQRT(R964*($G$8-$E$8)*($F$8-$E$8)),$G$8-SQRT((1-R964)*($G$8-$E$8)*($G$8-$F$8))))</f>
        <v>1.01718509840544</v>
      </c>
      <c r="E964" s="37" t="n">
        <f aca="false">1+IF($G$9=$E$9,$F$9,IF(S964&lt;($F$9-$E$9)/($G$9-$E$9),$E$9+SQRT(S964*($G$9-$E$9)*($F$9-$E$9)),$G$9-SQRT((1-S964)*($G$9-$E$9)*($G$9-$F$9))))</f>
        <v>1.00281925171566</v>
      </c>
      <c r="F964" s="37" t="n">
        <f aca="false">1+IF($G$10=$E$10,$F$10,IF(T964&lt;($F$10-$E$10)/($G$10-$E$10),$E$10+SQRT(T964*($G$10-$E$10)*($F$10-$E$10)),$G$10-SQRT((1-T964)*($G$10-$E$10)*($G$10-$F$10))))</f>
        <v>1.03173755524917</v>
      </c>
      <c r="G964" s="38" t="n">
        <f aca="false">IF($G$11=$E$11,$F$11,IF(U964&lt;($F$11-$E$11)/($G$11-$E$11),$E$11+SQRT(U964*($G$11-$E$11)*($F$11-$E$11)),$G$11-SQRT((1-U964)*($G$11-$E$11)*($G$11-$F$11))))</f>
        <v>0.103706199320506</v>
      </c>
      <c r="H964" s="39" t="n">
        <f aca="false">(('Business Case'!B11*$C964*'Business Case'!B12*$B964)-'Business Case'!B11*$C964*'Business Case'!B13*$D964-'Business Case'!B14*$E964)-MAX(0,(('Business Case'!B11*$C964*'Business Case'!B12*$B964)-'Business Case'!B11*$C964*'Business Case'!B13*$D964-'Business Case'!B14*$E964))*'Business Case'!$B$7-'Business Case'!$B$8*('Business Case'!B11*$C964*'Business Case'!B12*$B964)-'Business Case'!B15*$F964</f>
        <v>-2063475110.49835</v>
      </c>
      <c r="I964" s="39" t="n">
        <f aca="false">(('Business Case'!C11*$C964*'Business Case'!C12*$B964)-'Business Case'!C11*$C964*'Business Case'!C13*$D964-'Business Case'!C14*$E964)-MAX(0,(('Business Case'!C11*$C964*'Business Case'!C12*$B964)-'Business Case'!C11*$C964*'Business Case'!C13*$D964-'Business Case'!C14*$E964))*'Business Case'!$B$7-'Business Case'!$B$8*(('Business Case'!C11*$C964*'Business Case'!C12*$B964)-('Business Case'!B11*$C964*'Business Case'!B12*$B964))-'Business Case'!C15*$F964</f>
        <v>-5567579.05211836</v>
      </c>
      <c r="J964" s="39" t="n">
        <f aca="false">(('Business Case'!D11*$C964*'Business Case'!D12*$B964)-'Business Case'!D11*$C964*'Business Case'!D13*$D964-'Business Case'!D14*$E964)-MAX(0,(('Business Case'!D11*$C964*'Business Case'!D12*$B964)-'Business Case'!D11*$C964*'Business Case'!D13*$D964-'Business Case'!D14*$E964))*'Business Case'!$B$7-'Business Case'!$B$8*(('Business Case'!D11*$C964*'Business Case'!D12*$B964)-('Business Case'!C11*$C964*'Business Case'!C12*$B964))-'Business Case'!D15*$F964</f>
        <v>287362260.689488</v>
      </c>
      <c r="K964" s="39" t="n">
        <f aca="false">(('Business Case'!E11*$C964*'Business Case'!E12*$B964)-'Business Case'!E11*$C964*'Business Case'!E13*$D964-'Business Case'!E14*$E964)-MAX(0,(('Business Case'!E11*$C964*'Business Case'!E12*$B964)-'Business Case'!E11*$C964*'Business Case'!E13*$D964-'Business Case'!E14*$E964))*'Business Case'!$B$7-'Business Case'!$B$8*(('Business Case'!E11*$C964*'Business Case'!E12*$B964)-('Business Case'!D11*$C964*'Business Case'!D12*$B964))-'Business Case'!E15*$F964</f>
        <v>631878978.193554</v>
      </c>
      <c r="L964" s="39" t="n">
        <f aca="false">(('Business Case'!F11*$C964*'Business Case'!F12*$B964)-'Business Case'!F11*$C964*'Business Case'!F13*$D964-'Business Case'!F14*$E964)-MAX(0,(('Business Case'!F11*$C964*'Business Case'!F12*$B964)-'Business Case'!F11*$C964*'Business Case'!F13*$D964-'Business Case'!F14*$E964))*'Business Case'!$B$7-'Business Case'!$B$8*(('Business Case'!F11*$C964*'Business Case'!F12*$B964)-('Business Case'!E11*$C964*'Business Case'!E12*$B964))-'Business Case'!F15*$F964</f>
        <v>764670768.557317</v>
      </c>
      <c r="M964" s="39" t="n">
        <f aca="false">(('Business Case'!G11*$C964*'Business Case'!G12*$B964)-'Business Case'!G11*$C964*'Business Case'!G13*$D964-'Business Case'!G14*$E964)-MAX(0,(('Business Case'!G11*$C964*'Business Case'!G12*$B964)-'Business Case'!G11*$C964*'Business Case'!G13*$D964-'Business Case'!G14*$E964))*'Business Case'!$B$7-'Business Case'!$B$8*(('Business Case'!G11*$C964*'Business Case'!G12*$B964)-('Business Case'!F11*$C964*'Business Case'!F12*$B964))-'Business Case'!G15*$F964+'Business Case'!$B$8*('Business Case'!G11*$C964*'Business Case'!G12*$B964)</f>
        <v>957987576.031731</v>
      </c>
      <c r="N964" s="39" t="n">
        <f aca="false">IF(COUNT('Business Case'!B11:G11)=0,"",H964+NPV(G964,I964:M964))</f>
        <v>-262433657.620075</v>
      </c>
      <c r="P964" s="40" t="n">
        <f aca="true">RAND()</f>
        <v>0.38189259660195</v>
      </c>
      <c r="Q964" s="40" t="n">
        <f aca="true">RAND()</f>
        <v>0.757655792455168</v>
      </c>
      <c r="R964" s="40" t="n">
        <f aca="true">RAND()</f>
        <v>0.6206046286217</v>
      </c>
      <c r="S964" s="40" t="n">
        <f aca="true">RAND()</f>
        <v>0.370393477526407</v>
      </c>
      <c r="T964" s="40" t="n">
        <f aca="true">RAND()</f>
        <v>0.433754993729502</v>
      </c>
      <c r="U964" s="40" t="n">
        <f aca="true">RAND()</f>
        <v>0.557520099028211</v>
      </c>
    </row>
    <row r="965" customFormat="false" ht="15" hidden="false" customHeight="false" outlineLevel="0" collapsed="false">
      <c r="A965" s="36" t="n">
        <v>885</v>
      </c>
      <c r="B965" s="37" t="n">
        <f aca="false">1+IF($G$6=$E$6,$F$6,IF(P965&lt;($F$6-$E$6)/($G$6-$E$6),$E$6+SQRT(P965*($G$6-$E$6)*($F$6-$E$6)),$G$6-SQRT((1-P965)*($G$6-$E$6)*($G$6-$F$6))))</f>
        <v>0.98139604313323</v>
      </c>
      <c r="C965" s="37" t="n">
        <f aca="false">1+IF($G$7=$E$7,$F$7,IF(Q965&lt;($F$7-$E$7)/($G$7-$E$7),$E$7+SQRT(Q965*($G$7-$E$7)*($F$7-$E$7)),$G$7-SQRT((1-Q965)*($G$7-$E$7)*($G$7-$F$7))))</f>
        <v>1.02052204379695</v>
      </c>
      <c r="D965" s="37" t="n">
        <f aca="false">1+IF($G$8=$E$8,$F$8,IF(R965&lt;($F$8-$E$8)/($G$8-$E$8),$E$8+SQRT(R965*($G$8-$E$8)*($F$8-$E$8)),$G$8-SQRT((1-R965)*($G$8-$E$8)*($G$8-$F$8))))</f>
        <v>1.00853225847629</v>
      </c>
      <c r="E965" s="37" t="n">
        <f aca="false">1+IF($G$9=$E$9,$F$9,IF(S965&lt;($F$9-$E$9)/($G$9-$E$9),$E$9+SQRT(S965*($G$9-$E$9)*($F$9-$E$9)),$G$9-SQRT((1-S965)*($G$9-$E$9)*($G$9-$F$9))))</f>
        <v>1.08577422613646</v>
      </c>
      <c r="F965" s="37" t="n">
        <f aca="false">1+IF($G$10=$E$10,$F$10,IF(T965&lt;($F$10-$E$10)/($G$10-$E$10),$E$10+SQRT(T965*($G$10-$E$10)*($F$10-$E$10)),$G$10-SQRT((1-T965)*($G$10-$E$10)*($G$10-$F$10))))</f>
        <v>1.03932225925028</v>
      </c>
      <c r="G965" s="38" t="n">
        <f aca="false">IF($G$11=$E$11,$F$11,IF(U965&lt;($F$11-$E$11)/($G$11-$E$11),$E$11+SQRT(U965*($G$11-$E$11)*($F$11-$E$11)),$G$11-SQRT((1-U965)*($G$11-$E$11)*($G$11-$F$11))))</f>
        <v>0.0939514242118814</v>
      </c>
      <c r="H965" s="39" t="n">
        <f aca="false">(('Business Case'!B11*$C965*'Business Case'!B12*$B965)-'Business Case'!B11*$C965*'Business Case'!B13*$D965-'Business Case'!B14*$E965)-MAX(0,(('Business Case'!B11*$C965*'Business Case'!B12*$B965)-'Business Case'!B11*$C965*'Business Case'!B13*$D965-'Business Case'!B14*$E965))*'Business Case'!$B$7-'Business Case'!$B$8*('Business Case'!B11*$C965*'Business Case'!B12*$B965)-'Business Case'!B15*$F965</f>
        <v>-2078644518.50056</v>
      </c>
      <c r="I965" s="39" t="n">
        <f aca="false">(('Business Case'!C11*$C965*'Business Case'!C12*$B965)-'Business Case'!C11*$C965*'Business Case'!C13*$D965-'Business Case'!C14*$E965)-MAX(0,(('Business Case'!C11*$C965*'Business Case'!C12*$B965)-'Business Case'!C11*$C965*'Business Case'!C13*$D965-'Business Case'!C14*$E965))*'Business Case'!$B$7-'Business Case'!$B$8*(('Business Case'!C11*$C965*'Business Case'!C12*$B965)-('Business Case'!B11*$C965*'Business Case'!B12*$B965))-'Business Case'!C15*$F965</f>
        <v>-16801740.9449099</v>
      </c>
      <c r="J965" s="39" t="n">
        <f aca="false">(('Business Case'!D11*$C965*'Business Case'!D12*$B965)-'Business Case'!D11*$C965*'Business Case'!D13*$D965-'Business Case'!D14*$E965)-MAX(0,(('Business Case'!D11*$C965*'Business Case'!D12*$B965)-'Business Case'!D11*$C965*'Business Case'!D13*$D965-'Business Case'!D14*$E965))*'Business Case'!$B$7-'Business Case'!$B$8*(('Business Case'!D11*$C965*'Business Case'!D12*$B965)-('Business Case'!C11*$C965*'Business Case'!C12*$B965))-'Business Case'!D15*$F965</f>
        <v>276645480.561552</v>
      </c>
      <c r="K965" s="39" t="n">
        <f aca="false">(('Business Case'!E11*$C965*'Business Case'!E12*$B965)-'Business Case'!E11*$C965*'Business Case'!E13*$D965-'Business Case'!E14*$E965)-MAX(0,(('Business Case'!E11*$C965*'Business Case'!E12*$B965)-'Business Case'!E11*$C965*'Business Case'!E13*$D965-'Business Case'!E14*$E965))*'Business Case'!$B$7-'Business Case'!$B$8*(('Business Case'!E11*$C965*'Business Case'!E12*$B965)-('Business Case'!D11*$C965*'Business Case'!D12*$B965))-'Business Case'!E15*$F965</f>
        <v>622058815.030529</v>
      </c>
      <c r="L965" s="39" t="n">
        <f aca="false">(('Business Case'!F11*$C965*'Business Case'!F12*$B965)-'Business Case'!F11*$C965*'Business Case'!F13*$D965-'Business Case'!F14*$E965)-MAX(0,(('Business Case'!F11*$C965*'Business Case'!F12*$B965)-'Business Case'!F11*$C965*'Business Case'!F13*$D965-'Business Case'!F14*$E965))*'Business Case'!$B$7-'Business Case'!$B$8*(('Business Case'!F11*$C965*'Business Case'!F12*$B965)-('Business Case'!E11*$C965*'Business Case'!E12*$B965))-'Business Case'!F15*$F965</f>
        <v>754487649.912509</v>
      </c>
      <c r="M965" s="39" t="n">
        <f aca="false">(('Business Case'!G11*$C965*'Business Case'!G12*$B965)-'Business Case'!G11*$C965*'Business Case'!G13*$D965-'Business Case'!G14*$E965)-MAX(0,(('Business Case'!G11*$C965*'Business Case'!G12*$B965)-'Business Case'!G11*$C965*'Business Case'!G13*$D965-'Business Case'!G14*$E965))*'Business Case'!$B$7-'Business Case'!$B$8*(('Business Case'!G11*$C965*'Business Case'!G12*$B965)-('Business Case'!F11*$C965*'Business Case'!F12*$B965))-'Business Case'!G15*$F965+'Business Case'!$B$8*('Business Case'!G11*$C965*'Business Case'!G12*$B965)</f>
        <v>944859669.001553</v>
      </c>
      <c r="N965" s="39" t="n">
        <f aca="false">IF(COUNT('Business Case'!B11:G11)=0,"",H965+NPV(G965,I965:M965))</f>
        <v>-257777878.478061</v>
      </c>
      <c r="P965" s="40" t="n">
        <f aca="true">RAND()</f>
        <v>0.392653553376821</v>
      </c>
      <c r="Q965" s="40" t="n">
        <f aca="true">RAND()</f>
        <v>0.680675406809163</v>
      </c>
      <c r="R965" s="40" t="n">
        <f aca="true">RAND()</f>
        <v>0.508880953990349</v>
      </c>
      <c r="S965" s="40" t="n">
        <f aca="true">RAND()</f>
        <v>0.986508490532232</v>
      </c>
      <c r="T965" s="40" t="n">
        <f aca="true">RAND()</f>
        <v>0.483653272551315</v>
      </c>
      <c r="U965" s="40" t="n">
        <f aca="true">RAND()</f>
        <v>0.0520458443408081</v>
      </c>
    </row>
    <row r="966" customFormat="false" ht="15" hidden="false" customHeight="false" outlineLevel="0" collapsed="false">
      <c r="A966" s="36" t="n">
        <v>886</v>
      </c>
      <c r="B966" s="37" t="n">
        <f aca="false">1+IF($G$6=$E$6,$F$6,IF(P966&lt;($F$6-$E$6)/($G$6-$E$6),$E$6+SQRT(P966*($G$6-$E$6)*($F$6-$E$6)),$G$6-SQRT((1-P966)*($G$6-$E$6)*($G$6-$F$6))))</f>
        <v>1.00208004793036</v>
      </c>
      <c r="C966" s="37" t="n">
        <f aca="false">1+IF($G$7=$E$7,$F$7,IF(Q966&lt;($F$7-$E$7)/($G$7-$E$7),$E$7+SQRT(Q966*($G$7-$E$7)*($F$7-$E$7)),$G$7-SQRT((1-Q966)*($G$7-$E$7)*($G$7-$F$7))))</f>
        <v>0.835223523180623</v>
      </c>
      <c r="D966" s="37" t="n">
        <f aca="false">1+IF($G$8=$E$8,$F$8,IF(R966&lt;($F$8-$E$8)/($G$8-$E$8),$E$8+SQRT(R966*($G$8-$E$8)*($F$8-$E$8)),$G$8-SQRT((1-R966)*($G$8-$E$8)*($G$8-$F$8))))</f>
        <v>1.03691078658905</v>
      </c>
      <c r="E966" s="37" t="n">
        <f aca="false">1+IF($G$9=$E$9,$F$9,IF(S966&lt;($F$9-$E$9)/($G$9-$E$9),$E$9+SQRT(S966*($G$9-$E$9)*($F$9-$E$9)),$G$9-SQRT((1-S966)*($G$9-$E$9)*($G$9-$F$9))))</f>
        <v>1.00031358818841</v>
      </c>
      <c r="F966" s="37" t="n">
        <f aca="false">1+IF($G$10=$E$10,$F$10,IF(T966&lt;($F$10-$E$10)/($G$10-$E$10),$E$10+SQRT(T966*($G$10-$E$10)*($F$10-$E$10)),$G$10-SQRT((1-T966)*($G$10-$E$10)*($G$10-$F$10))))</f>
        <v>1.00370115179582</v>
      </c>
      <c r="G966" s="38" t="n">
        <f aca="false">IF($G$11=$E$11,$F$11,IF(U966&lt;($F$11-$E$11)/($G$11-$E$11),$E$11+SQRT(U966*($G$11-$E$11)*($F$11-$E$11)),$G$11-SQRT((1-U966)*($G$11-$E$11)*($G$11-$F$11))))</f>
        <v>0.110185510761052</v>
      </c>
      <c r="H966" s="39" t="n">
        <f aca="false">(('Business Case'!B11*$C966*'Business Case'!B12*$B966)-'Business Case'!B11*$C966*'Business Case'!B13*$D966-'Business Case'!B14*$E966)-MAX(0,(('Business Case'!B11*$C966*'Business Case'!B12*$B966)-'Business Case'!B11*$C966*'Business Case'!B13*$D966-'Business Case'!B14*$E966))*'Business Case'!$B$7-'Business Case'!$B$8*('Business Case'!B11*$C966*'Business Case'!B12*$B966)-'Business Case'!B15*$F966</f>
        <v>-2007402303.59163</v>
      </c>
      <c r="I966" s="39" t="n">
        <f aca="false">(('Business Case'!C11*$C966*'Business Case'!C12*$B966)-'Business Case'!C11*$C966*'Business Case'!C13*$D966-'Business Case'!C14*$E966)-MAX(0,(('Business Case'!C11*$C966*'Business Case'!C12*$B966)-'Business Case'!C11*$C966*'Business Case'!C13*$D966-'Business Case'!C14*$E966))*'Business Case'!$B$7-'Business Case'!$B$8*(('Business Case'!C11*$C966*'Business Case'!C12*$B966)-('Business Case'!B11*$C966*'Business Case'!B12*$B966))-'Business Case'!C15*$F966</f>
        <v>-43821060.705192</v>
      </c>
      <c r="J966" s="39" t="n">
        <f aca="false">(('Business Case'!D11*$C966*'Business Case'!D12*$B966)-'Business Case'!D11*$C966*'Business Case'!D13*$D966-'Business Case'!D14*$E966)-MAX(0,(('Business Case'!D11*$C966*'Business Case'!D12*$B966)-'Business Case'!D11*$C966*'Business Case'!D13*$D966-'Business Case'!D14*$E966))*'Business Case'!$B$7-'Business Case'!$B$8*(('Business Case'!D11*$C966*'Business Case'!D12*$B966)-('Business Case'!C11*$C966*'Business Case'!C12*$B966))-'Business Case'!D15*$F966</f>
        <v>198360635.340441</v>
      </c>
      <c r="K966" s="39" t="n">
        <f aca="false">(('Business Case'!E11*$C966*'Business Case'!E12*$B966)-'Business Case'!E11*$C966*'Business Case'!E13*$D966-'Business Case'!E14*$E966)-MAX(0,(('Business Case'!E11*$C966*'Business Case'!E12*$B966)-'Business Case'!E11*$C966*'Business Case'!E13*$D966-'Business Case'!E14*$E966))*'Business Case'!$B$7-'Business Case'!$B$8*(('Business Case'!E11*$C966*'Business Case'!E12*$B966)-('Business Case'!D11*$C966*'Business Case'!D12*$B966))-'Business Case'!E15*$F966</f>
        <v>490727388.975864</v>
      </c>
      <c r="L966" s="39" t="n">
        <f aca="false">(('Business Case'!F11*$C966*'Business Case'!F12*$B966)-'Business Case'!F11*$C966*'Business Case'!F13*$D966-'Business Case'!F14*$E966)-MAX(0,(('Business Case'!F11*$C966*'Business Case'!F12*$B966)-'Business Case'!F11*$C966*'Business Case'!F13*$D966-'Business Case'!F14*$E966))*'Business Case'!$B$7-'Business Case'!$B$8*(('Business Case'!F11*$C966*'Business Case'!F12*$B966)-('Business Case'!E11*$C966*'Business Case'!E12*$B966))-'Business Case'!F15*$F966</f>
        <v>600379987.211641</v>
      </c>
      <c r="M966" s="39" t="n">
        <f aca="false">(('Business Case'!G11*$C966*'Business Case'!G12*$B966)-'Business Case'!G11*$C966*'Business Case'!G13*$D966-'Business Case'!G14*$E966)-MAX(0,(('Business Case'!G11*$C966*'Business Case'!G12*$B966)-'Business Case'!G11*$C966*'Business Case'!G13*$D966-'Business Case'!G14*$E966))*'Business Case'!$B$7-'Business Case'!$B$8*(('Business Case'!G11*$C966*'Business Case'!G12*$B966)-('Business Case'!F11*$C966*'Business Case'!F12*$B966))-'Business Case'!G15*$F966+'Business Case'!$B$8*('Business Case'!G11*$C966*'Business Case'!G12*$B966)</f>
        <v>759469501.424759</v>
      </c>
      <c r="N966" s="39" t="n">
        <f aca="false">IF(COUNT('Business Case'!B11:G11)=0,"",H966+NPV(G966,I966:M966))</f>
        <v>-681741840.338793</v>
      </c>
      <c r="P966" s="40" t="n">
        <f aca="true">RAND()</f>
        <v>0.700432757299203</v>
      </c>
      <c r="Q966" s="40" t="n">
        <f aca="true">RAND()</f>
        <v>0.0177242369322271</v>
      </c>
      <c r="R966" s="40" t="n">
        <f aca="true">RAND()</f>
        <v>0.821473046887055</v>
      </c>
      <c r="S966" s="40" t="n">
        <f aca="true">RAND()</f>
        <v>0.33750795334207</v>
      </c>
      <c r="T966" s="40" t="n">
        <f aca="true">RAND()</f>
        <v>0.229335243874208</v>
      </c>
      <c r="U966" s="40" t="n">
        <f aca="true">RAND()</f>
        <v>0.839459668297611</v>
      </c>
    </row>
    <row r="967" customFormat="false" ht="15" hidden="false" customHeight="false" outlineLevel="0" collapsed="false">
      <c r="A967" s="36" t="n">
        <v>887</v>
      </c>
      <c r="B967" s="37" t="n">
        <f aca="false">1+IF($G$6=$E$6,$F$6,IF(P967&lt;($F$6-$E$6)/($G$6-$E$6),$E$6+SQRT(P967*($G$6-$E$6)*($F$6-$E$6)),$G$6-SQRT((1-P967)*($G$6-$E$6)*($G$6-$F$6))))</f>
        <v>1.00349769521371</v>
      </c>
      <c r="C967" s="37" t="n">
        <f aca="false">1+IF($G$7=$E$7,$F$7,IF(Q967&lt;($F$7-$E$7)/($G$7-$E$7),$E$7+SQRT(Q967*($G$7-$E$7)*($F$7-$E$7)),$G$7-SQRT((1-Q967)*($G$7-$E$7)*($G$7-$F$7))))</f>
        <v>0.958626987431246</v>
      </c>
      <c r="D967" s="37" t="n">
        <f aca="false">1+IF($G$8=$E$8,$F$8,IF(R967&lt;($F$8-$E$8)/($G$8-$E$8),$E$8+SQRT(R967*($G$8-$E$8)*($F$8-$E$8)),$G$8-SQRT((1-R967)*($G$8-$E$8)*($G$8-$F$8))))</f>
        <v>0.997908077470179</v>
      </c>
      <c r="E967" s="37" t="n">
        <f aca="false">1+IF($G$9=$E$9,$F$9,IF(S967&lt;($F$9-$E$9)/($G$9-$E$9),$E$9+SQRT(S967*($G$9-$E$9)*($F$9-$E$9)),$G$9-SQRT((1-S967)*($G$9-$E$9)*($G$9-$F$9))))</f>
        <v>1.02428924334493</v>
      </c>
      <c r="F967" s="37" t="n">
        <f aca="false">1+IF($G$10=$E$10,$F$10,IF(T967&lt;($F$10-$E$10)/($G$10-$E$10),$E$10+SQRT(T967*($G$10-$E$10)*($F$10-$E$10)),$G$10-SQRT((1-T967)*($G$10-$E$10)*($G$10-$F$10))))</f>
        <v>1.01435559886777</v>
      </c>
      <c r="G967" s="38" t="n">
        <f aca="false">IF($G$11=$E$11,$F$11,IF(U967&lt;($F$11-$E$11)/($G$11-$E$11),$E$11+SQRT(U967*($G$11-$E$11)*($F$11-$E$11)),$G$11-SQRT((1-U967)*($G$11-$E$11)*($G$11-$F$11))))</f>
        <v>0.0944902386643878</v>
      </c>
      <c r="H967" s="39" t="n">
        <f aca="false">(('Business Case'!B11*$C967*'Business Case'!B12*$B967)-'Business Case'!B11*$C967*'Business Case'!B13*$D967-'Business Case'!B14*$E967)-MAX(0,(('Business Case'!B11*$C967*'Business Case'!B12*$B967)-'Business Case'!B11*$C967*'Business Case'!B13*$D967-'Business Case'!B14*$E967))*'Business Case'!$B$7-'Business Case'!$B$8*('Business Case'!B11*$C967*'Business Case'!B12*$B967)-'Business Case'!B15*$F967</f>
        <v>-2028711197.73555</v>
      </c>
      <c r="I967" s="39" t="n">
        <f aca="false">(('Business Case'!C11*$C967*'Business Case'!C12*$B967)-'Business Case'!C11*$C967*'Business Case'!C13*$D967-'Business Case'!C14*$E967)-MAX(0,(('Business Case'!C11*$C967*'Business Case'!C12*$B967)-'Business Case'!C11*$C967*'Business Case'!C13*$D967-'Business Case'!C14*$E967))*'Business Case'!$B$7-'Business Case'!$B$8*(('Business Case'!C11*$C967*'Business Case'!C12*$B967)-('Business Case'!B11*$C967*'Business Case'!B12*$B967))-'Business Case'!C15*$F967</f>
        <v>1258591.27902977</v>
      </c>
      <c r="J967" s="39" t="n">
        <f aca="false">(('Business Case'!D11*$C967*'Business Case'!D12*$B967)-'Business Case'!D11*$C967*'Business Case'!D13*$D967-'Business Case'!D14*$E967)-MAX(0,(('Business Case'!D11*$C967*'Business Case'!D12*$B967)-'Business Case'!D11*$C967*'Business Case'!D13*$D967-'Business Case'!D14*$E967))*'Business Case'!$B$7-'Business Case'!$B$8*(('Business Case'!D11*$C967*'Business Case'!D12*$B967)-('Business Case'!C11*$C967*'Business Case'!C12*$B967))-'Business Case'!D15*$F967</f>
        <v>299475714.620652</v>
      </c>
      <c r="K967" s="39" t="n">
        <f aca="false">(('Business Case'!E11*$C967*'Business Case'!E12*$B967)-'Business Case'!E11*$C967*'Business Case'!E13*$D967-'Business Case'!E14*$E967)-MAX(0,(('Business Case'!E11*$C967*'Business Case'!E12*$B967)-'Business Case'!E11*$C967*'Business Case'!E13*$D967-'Business Case'!E14*$E967))*'Business Case'!$B$7-'Business Case'!$B$8*(('Business Case'!E11*$C967*'Business Case'!E12*$B967)-('Business Case'!D11*$C967*'Business Case'!D12*$B967))-'Business Case'!E15*$F967</f>
        <v>648410617.905664</v>
      </c>
      <c r="L967" s="39" t="n">
        <f aca="false">(('Business Case'!F11*$C967*'Business Case'!F12*$B967)-'Business Case'!F11*$C967*'Business Case'!F13*$D967-'Business Case'!F14*$E967)-MAX(0,(('Business Case'!F11*$C967*'Business Case'!F12*$B967)-'Business Case'!F11*$C967*'Business Case'!F13*$D967-'Business Case'!F14*$E967))*'Business Case'!$B$7-'Business Case'!$B$8*(('Business Case'!F11*$C967*'Business Case'!F12*$B967)-('Business Case'!E11*$C967*'Business Case'!E12*$B967))-'Business Case'!F15*$F967</f>
        <v>781062353.534316</v>
      </c>
      <c r="M967" s="39" t="n">
        <f aca="false">(('Business Case'!G11*$C967*'Business Case'!G12*$B967)-'Business Case'!G11*$C967*'Business Case'!G13*$D967-'Business Case'!G14*$E967)-MAX(0,(('Business Case'!G11*$C967*'Business Case'!G12*$B967)-'Business Case'!G11*$C967*'Business Case'!G13*$D967-'Business Case'!G14*$E967))*'Business Case'!$B$7-'Business Case'!$B$8*(('Business Case'!G11*$C967*'Business Case'!G12*$B967)-('Business Case'!F11*$C967*'Business Case'!F12*$B967))-'Business Case'!G15*$F967+'Business Case'!$B$8*('Business Case'!G11*$C967*'Business Case'!G12*$B967)</f>
        <v>963915506.698927</v>
      </c>
      <c r="N967" s="39" t="n">
        <f aca="false">IF(COUNT('Business Case'!B11:G11)=0,"",H967+NPV(G967,I967:M967))</f>
        <v>-124974909.471672</v>
      </c>
      <c r="P967" s="40" t="n">
        <f aca="true">RAND()</f>
        <v>0.722412863601861</v>
      </c>
      <c r="Q967" s="40" t="n">
        <f aca="true">RAND()</f>
        <v>0.359464587735896</v>
      </c>
      <c r="R967" s="40" t="n">
        <f aca="true">RAND()</f>
        <v>0.353105213367482</v>
      </c>
      <c r="S967" s="40" t="n">
        <f aca="true">RAND()</f>
        <v>0.617858755114433</v>
      </c>
      <c r="T967" s="40" t="n">
        <f aca="true">RAND()</f>
        <v>0.310723126565141</v>
      </c>
      <c r="U967" s="40" t="n">
        <f aca="true">RAND()</f>
        <v>0.0672074775438775</v>
      </c>
    </row>
    <row r="968" customFormat="false" ht="15" hidden="false" customHeight="false" outlineLevel="0" collapsed="false">
      <c r="A968" s="36" t="n">
        <v>888</v>
      </c>
      <c r="B968" s="37" t="n">
        <f aca="false">1+IF($G$6=$E$6,$F$6,IF(P968&lt;($F$6-$E$6)/($G$6-$E$6),$E$6+SQRT(P968*($G$6-$E$6)*($F$6-$E$6)),$G$6-SQRT((1-P968)*($G$6-$E$6)*($G$6-$F$6))))</f>
        <v>0.999892218557644</v>
      </c>
      <c r="C968" s="37" t="n">
        <f aca="false">1+IF($G$7=$E$7,$F$7,IF(Q968&lt;($F$7-$E$7)/($G$7-$E$7),$E$7+SQRT(Q968*($G$7-$E$7)*($F$7-$E$7)),$G$7-SQRT((1-Q968)*($G$7-$E$7)*($G$7-$F$7))))</f>
        <v>0.96718632699426</v>
      </c>
      <c r="D968" s="37" t="n">
        <f aca="false">1+IF($G$8=$E$8,$F$8,IF(R968&lt;($F$8-$E$8)/($G$8-$E$8),$E$8+SQRT(R968*($G$8-$E$8)*($F$8-$E$8)),$G$8-SQRT((1-R968)*($G$8-$E$8)*($G$8-$F$8))))</f>
        <v>0.953150760755715</v>
      </c>
      <c r="E968" s="37" t="n">
        <f aca="false">1+IF($G$9=$E$9,$F$9,IF(S968&lt;($F$9-$E$9)/($G$9-$E$9),$E$9+SQRT(S968*($G$9-$E$9)*($F$9-$E$9)),$G$9-SQRT((1-S968)*($G$9-$E$9)*($G$9-$F$9))))</f>
        <v>0.991424512171528</v>
      </c>
      <c r="F968" s="37" t="n">
        <f aca="false">1+IF($G$10=$E$10,$F$10,IF(T968&lt;($F$10-$E$10)/($G$10-$E$10),$E$10+SQRT(T968*($G$10-$E$10)*($F$10-$E$10)),$G$10-SQRT((1-T968)*($G$10-$E$10)*($G$10-$F$10))))</f>
        <v>0.968287624441678</v>
      </c>
      <c r="G968" s="38" t="n">
        <f aca="false">IF($G$11=$E$11,$F$11,IF(U968&lt;($F$11-$E$11)/($G$11-$E$11),$E$11+SQRT(U968*($G$11-$E$11)*($F$11-$E$11)),$G$11-SQRT((1-U968)*($G$11-$E$11)*($G$11-$F$11))))</f>
        <v>0.114294869495491</v>
      </c>
      <c r="H968" s="39" t="n">
        <f aca="false">(('Business Case'!B11*$C968*'Business Case'!B12*$B968)-'Business Case'!B11*$C968*'Business Case'!B13*$D968-'Business Case'!B14*$E968)-MAX(0,(('Business Case'!B11*$C968*'Business Case'!B12*$B968)-'Business Case'!B11*$C968*'Business Case'!B13*$D968-'Business Case'!B14*$E968))*'Business Case'!$B$7-'Business Case'!$B$8*('Business Case'!B11*$C968*'Business Case'!B12*$B968)-'Business Case'!B15*$F968</f>
        <v>-1936575248.88336</v>
      </c>
      <c r="I968" s="39" t="n">
        <f aca="false">(('Business Case'!C11*$C968*'Business Case'!C12*$B968)-'Business Case'!C11*$C968*'Business Case'!C13*$D968-'Business Case'!C14*$E968)-MAX(0,(('Business Case'!C11*$C968*'Business Case'!C12*$B968)-'Business Case'!C11*$C968*'Business Case'!C13*$D968-'Business Case'!C14*$E968))*'Business Case'!$B$7-'Business Case'!$B$8*(('Business Case'!C11*$C968*'Business Case'!C12*$B968)-('Business Case'!B11*$C968*'Business Case'!B12*$B968))-'Business Case'!C15*$F968</f>
        <v>32241057.7258856</v>
      </c>
      <c r="J968" s="39" t="n">
        <f aca="false">(('Business Case'!D11*$C968*'Business Case'!D12*$B968)-'Business Case'!D11*$C968*'Business Case'!D13*$D968-'Business Case'!D14*$E968)-MAX(0,(('Business Case'!D11*$C968*'Business Case'!D12*$B968)-'Business Case'!D11*$C968*'Business Case'!D13*$D968-'Business Case'!D14*$E968))*'Business Case'!$B$7-'Business Case'!$B$8*(('Business Case'!D11*$C968*'Business Case'!D12*$B968)-('Business Case'!C11*$C968*'Business Case'!C12*$B968))-'Business Case'!D15*$F968</f>
        <v>352424978.670929</v>
      </c>
      <c r="K968" s="39" t="n">
        <f aca="false">(('Business Case'!E11*$C968*'Business Case'!E12*$B968)-'Business Case'!E11*$C968*'Business Case'!E13*$D968-'Business Case'!E14*$E968)-MAX(0,(('Business Case'!E11*$C968*'Business Case'!E12*$B968)-'Business Case'!E11*$C968*'Business Case'!E13*$D968-'Business Case'!E14*$E968))*'Business Case'!$B$7-'Business Case'!$B$8*(('Business Case'!E11*$C968*'Business Case'!E12*$B968)-('Business Case'!D11*$C968*'Business Case'!D12*$B968))-'Business Case'!E15*$F968</f>
        <v>721023280.838056</v>
      </c>
      <c r="L968" s="39" t="n">
        <f aca="false">(('Business Case'!F11*$C968*'Business Case'!F12*$B968)-'Business Case'!F11*$C968*'Business Case'!F13*$D968-'Business Case'!F14*$E968)-MAX(0,(('Business Case'!F11*$C968*'Business Case'!F12*$B968)-'Business Case'!F11*$C968*'Business Case'!F13*$D968-'Business Case'!F14*$E968))*'Business Case'!$B$7-'Business Case'!$B$8*(('Business Case'!F11*$C968*'Business Case'!F12*$B968)-('Business Case'!E11*$C968*'Business Case'!E12*$B968))-'Business Case'!F15*$F968</f>
        <v>861173611.249202</v>
      </c>
      <c r="M968" s="39" t="n">
        <f aca="false">(('Business Case'!G11*$C968*'Business Case'!G12*$B968)-'Business Case'!G11*$C968*'Business Case'!G13*$D968-'Business Case'!G14*$E968)-MAX(0,(('Business Case'!G11*$C968*'Business Case'!G12*$B968)-'Business Case'!G11*$C968*'Business Case'!G13*$D968-'Business Case'!G14*$E968))*'Business Case'!$B$7-'Business Case'!$B$8*(('Business Case'!G11*$C968*'Business Case'!G12*$B968)-('Business Case'!F11*$C968*'Business Case'!F12*$B968))-'Business Case'!G15*$F968+'Business Case'!$B$8*('Business Case'!G11*$C968*'Business Case'!G12*$B968)</f>
        <v>1044996573.4446</v>
      </c>
      <c r="N968" s="39" t="n">
        <f aca="false">IF(COUNT('Business Case'!B11:G11)=0,"",H968+NPV(G968,I968:M968))</f>
        <v>64208623.6833987</v>
      </c>
      <c r="P968" s="40" t="n">
        <f aca="true">RAND()</f>
        <v>0.664871519381496</v>
      </c>
      <c r="Q968" s="40" t="n">
        <f aca="true">RAND()</f>
        <v>0.399303827626165</v>
      </c>
      <c r="R968" s="40" t="n">
        <f aca="true">RAND()</f>
        <v>0.00152727589842401</v>
      </c>
      <c r="S968" s="40" t="n">
        <f aca="true">RAND()</f>
        <v>0.228798694486547</v>
      </c>
      <c r="T968" s="40" t="n">
        <f aca="true">RAND()</f>
        <v>0.0267549766175894</v>
      </c>
      <c r="U968" s="40" t="n">
        <f aca="true">RAND()</f>
        <v>0.945752476544203</v>
      </c>
    </row>
    <row r="969" customFormat="false" ht="15" hidden="false" customHeight="false" outlineLevel="0" collapsed="false">
      <c r="A969" s="36" t="n">
        <v>889</v>
      </c>
      <c r="B969" s="37" t="n">
        <f aca="false">1+IF($G$6=$E$6,$F$6,IF(P969&lt;($F$6-$E$6)/($G$6-$E$6),$E$6+SQRT(P969*($G$6-$E$6)*($F$6-$E$6)),$G$6-SQRT((1-P969)*($G$6-$E$6)*($G$6-$F$6))))</f>
        <v>0.984892931318094</v>
      </c>
      <c r="C969" s="37" t="n">
        <f aca="false">1+IF($G$7=$E$7,$F$7,IF(Q969&lt;($F$7-$E$7)/($G$7-$E$7),$E$7+SQRT(Q969*($G$7-$E$7)*($F$7-$E$7)),$G$7-SQRT((1-Q969)*($G$7-$E$7)*($G$7-$F$7))))</f>
        <v>1.10545736379978</v>
      </c>
      <c r="D969" s="37" t="n">
        <f aca="false">1+IF($G$8=$E$8,$F$8,IF(R969&lt;($F$8-$E$8)/($G$8-$E$8),$E$8+SQRT(R969*($G$8-$E$8)*($F$8-$E$8)),$G$8-SQRT((1-R969)*($G$8-$E$8)*($G$8-$F$8))))</f>
        <v>1.04001781435598</v>
      </c>
      <c r="E969" s="37" t="n">
        <f aca="false">1+IF($G$9=$E$9,$F$9,IF(S969&lt;($F$9-$E$9)/($G$9-$E$9),$E$9+SQRT(S969*($G$9-$E$9)*($F$9-$E$9)),$G$9-SQRT((1-S969)*($G$9-$E$9)*($G$9-$F$9))))</f>
        <v>1.05881514179429</v>
      </c>
      <c r="F969" s="37" t="n">
        <f aca="false">1+IF($G$10=$E$10,$F$10,IF(T969&lt;($F$10-$E$10)/($G$10-$E$10),$E$10+SQRT(T969*($G$10-$E$10)*($F$10-$E$10)),$G$10-SQRT((1-T969)*($G$10-$E$10)*($G$10-$F$10))))</f>
        <v>1.09548602577496</v>
      </c>
      <c r="G969" s="38" t="n">
        <f aca="false">IF($G$11=$E$11,$F$11,IF(U969&lt;($F$11-$E$11)/($G$11-$E$11),$E$11+SQRT(U969*($G$11-$E$11)*($F$11-$E$11)),$G$11-SQRT((1-U969)*($G$11-$E$11)*($G$11-$F$11))))</f>
        <v>0.0981539920344025</v>
      </c>
      <c r="H969" s="39" t="n">
        <f aca="false">(('Business Case'!B11*$C969*'Business Case'!B12*$B969)-'Business Case'!B11*$C969*'Business Case'!B13*$D969-'Business Case'!B14*$E969)-MAX(0,(('Business Case'!B11*$C969*'Business Case'!B12*$B969)-'Business Case'!B11*$C969*'Business Case'!B13*$D969-'Business Case'!B14*$E969))*'Business Case'!$B$7-'Business Case'!$B$8*('Business Case'!B11*$C969*'Business Case'!B12*$B969)-'Business Case'!B15*$F969</f>
        <v>-2190972051.54991</v>
      </c>
      <c r="I969" s="39" t="n">
        <f aca="false">(('Business Case'!C11*$C969*'Business Case'!C12*$B969)-'Business Case'!C11*$C969*'Business Case'!C13*$D969-'Business Case'!C14*$E969)-MAX(0,(('Business Case'!C11*$C969*'Business Case'!C12*$B969)-'Business Case'!C11*$C969*'Business Case'!C13*$D969-'Business Case'!C14*$E969))*'Business Case'!$B$7-'Business Case'!$B$8*(('Business Case'!C11*$C969*'Business Case'!C12*$B969)-('Business Case'!B11*$C969*'Business Case'!B12*$B969))-'Business Case'!C15*$F969</f>
        <v>-13334839.303872</v>
      </c>
      <c r="J969" s="39" t="n">
        <f aca="false">(('Business Case'!D11*$C969*'Business Case'!D12*$B969)-'Business Case'!D11*$C969*'Business Case'!D13*$D969-'Business Case'!D14*$E969)-MAX(0,(('Business Case'!D11*$C969*'Business Case'!D12*$B969)-'Business Case'!D11*$C969*'Business Case'!D13*$D969-'Business Case'!D14*$E969))*'Business Case'!$B$7-'Business Case'!$B$8*(('Business Case'!D11*$C969*'Business Case'!D12*$B969)-('Business Case'!C11*$C969*'Business Case'!C12*$B969))-'Business Case'!D15*$F969</f>
        <v>289883607.450899</v>
      </c>
      <c r="K969" s="39" t="n">
        <f aca="false">(('Business Case'!E11*$C969*'Business Case'!E12*$B969)-'Business Case'!E11*$C969*'Business Case'!E13*$D969-'Business Case'!E14*$E969)-MAX(0,(('Business Case'!E11*$C969*'Business Case'!E12*$B969)-'Business Case'!E11*$C969*'Business Case'!E13*$D969-'Business Case'!E14*$E969))*'Business Case'!$B$7-'Business Case'!$B$8*(('Business Case'!E11*$C969*'Business Case'!E12*$B969)-('Business Case'!D11*$C969*'Business Case'!D12*$B969))-'Business Case'!E15*$F969</f>
        <v>647876355.494418</v>
      </c>
      <c r="L969" s="39" t="n">
        <f aca="false">(('Business Case'!F11*$C969*'Business Case'!F12*$B969)-'Business Case'!F11*$C969*'Business Case'!F13*$D969-'Business Case'!F14*$E969)-MAX(0,(('Business Case'!F11*$C969*'Business Case'!F12*$B969)-'Business Case'!F11*$C969*'Business Case'!F13*$D969-'Business Case'!F14*$E969))*'Business Case'!$B$7-'Business Case'!$B$8*(('Business Case'!F11*$C969*'Business Case'!F12*$B969)-('Business Case'!E11*$C969*'Business Case'!E12*$B969))-'Business Case'!F15*$F969</f>
        <v>786576617.958008</v>
      </c>
      <c r="M969" s="39" t="n">
        <f aca="false">(('Business Case'!G11*$C969*'Business Case'!G12*$B969)-'Business Case'!G11*$C969*'Business Case'!G13*$D969-'Business Case'!G14*$E969)-MAX(0,(('Business Case'!G11*$C969*'Business Case'!G12*$B969)-'Business Case'!G11*$C969*'Business Case'!G13*$D969-'Business Case'!G14*$E969))*'Business Case'!$B$7-'Business Case'!$B$8*(('Business Case'!G11*$C969*'Business Case'!G12*$B969)-('Business Case'!F11*$C969*'Business Case'!F12*$B969))-'Business Case'!G15*$F969+'Business Case'!$B$8*('Business Case'!G11*$C969*'Business Case'!G12*$B969)</f>
        <v>993527575.790674</v>
      </c>
      <c r="N969" s="39" t="n">
        <f aca="false">IF(COUNT('Business Case'!B11:G11)=0,"",H969+NPV(G969,I969:M969))</f>
        <v>-310548702.493838</v>
      </c>
      <c r="P969" s="40" t="n">
        <f aca="true">RAND()</f>
        <v>0.438655472401548</v>
      </c>
      <c r="Q969" s="40" t="n">
        <f aca="true">RAND()</f>
        <v>0.962208639244467</v>
      </c>
      <c r="R969" s="40" t="n">
        <f aca="true">RAND()</f>
        <v>0.846290849146811</v>
      </c>
      <c r="S969" s="40" t="n">
        <f aca="true">RAND()</f>
        <v>0.886920496971693</v>
      </c>
      <c r="T969" s="40" t="n">
        <f aca="true">RAND()</f>
        <v>0.781536583833738</v>
      </c>
      <c r="U969" s="40" t="n">
        <f aca="true">RAND()</f>
        <v>0.221625286990331</v>
      </c>
    </row>
    <row r="970" customFormat="false" ht="15" hidden="false" customHeight="false" outlineLevel="0" collapsed="false">
      <c r="A970" s="36" t="n">
        <v>890</v>
      </c>
      <c r="B970" s="37" t="n">
        <f aca="false">1+IF($G$6=$E$6,$F$6,IF(P970&lt;($F$6-$E$6)/($G$6-$E$6),$E$6+SQRT(P970*($G$6-$E$6)*($F$6-$E$6)),$G$6-SQRT((1-P970)*($G$6-$E$6)*($G$6-$F$6))))</f>
        <v>1.00764152958232</v>
      </c>
      <c r="C970" s="37" t="n">
        <f aca="false">1+IF($G$7=$E$7,$F$7,IF(Q970&lt;($F$7-$E$7)/($G$7-$E$7),$E$7+SQRT(Q970*($G$7-$E$7)*($F$7-$E$7)),$G$7-SQRT((1-Q970)*($G$7-$E$7)*($G$7-$F$7))))</f>
        <v>1.05421460220742</v>
      </c>
      <c r="D970" s="37" t="n">
        <f aca="false">1+IF($G$8=$E$8,$F$8,IF(R970&lt;($F$8-$E$8)/($G$8-$E$8),$E$8+SQRT(R970*($G$8-$E$8)*($F$8-$E$8)),$G$8-SQRT((1-R970)*($G$8-$E$8)*($G$8-$F$8))))</f>
        <v>1.00482489857252</v>
      </c>
      <c r="E970" s="37" t="n">
        <f aca="false">1+IF($G$9=$E$9,$F$9,IF(S970&lt;($F$9-$E$9)/($G$9-$E$9),$E$9+SQRT(S970*($G$9-$E$9)*($F$9-$E$9)),$G$9-SQRT((1-S970)*($G$9-$E$9)*($G$9-$F$9))))</f>
        <v>0.988678390052265</v>
      </c>
      <c r="F970" s="37" t="n">
        <f aca="false">1+IF($G$10=$E$10,$F$10,IF(T970&lt;($F$10-$E$10)/($G$10-$E$10),$E$10+SQRT(T970*($G$10-$E$10)*($F$10-$E$10)),$G$10-SQRT((1-T970)*($G$10-$E$10)*($G$10-$F$10))))</f>
        <v>1.07970922454447</v>
      </c>
      <c r="G970" s="38" t="n">
        <f aca="false">IF($G$11=$E$11,$F$11,IF(U970&lt;($F$11-$E$11)/($G$11-$E$11),$E$11+SQRT(U970*($G$11-$E$11)*($F$11-$E$11)),$G$11-SQRT((1-U970)*($G$11-$E$11)*($G$11-$F$11))))</f>
        <v>0.112859605212953</v>
      </c>
      <c r="H970" s="39" t="n">
        <f aca="false">(('Business Case'!B11*$C970*'Business Case'!B12*$B970)-'Business Case'!B11*$C970*'Business Case'!B13*$D970-'Business Case'!B14*$E970)-MAX(0,(('Business Case'!B11*$C970*'Business Case'!B12*$B970)-'Business Case'!B11*$C970*'Business Case'!B13*$D970-'Business Case'!B14*$E970))*'Business Case'!$B$7-'Business Case'!$B$8*('Business Case'!B11*$C970*'Business Case'!B12*$B970)-'Business Case'!B15*$F970</f>
        <v>-2159418449.08894</v>
      </c>
      <c r="I970" s="39" t="n">
        <f aca="false">(('Business Case'!C11*$C970*'Business Case'!C12*$B970)-'Business Case'!C11*$C970*'Business Case'!C13*$D970-'Business Case'!C14*$E970)-MAX(0,(('Business Case'!C11*$C970*'Business Case'!C12*$B970)-'Business Case'!C11*$C970*'Business Case'!C13*$D970-'Business Case'!C14*$E970))*'Business Case'!$B$7-'Business Case'!$B$8*(('Business Case'!C11*$C970*'Business Case'!C12*$B970)-('Business Case'!B11*$C970*'Business Case'!B12*$B970))-'Business Case'!C15*$F970</f>
        <v>24169455.7154061</v>
      </c>
      <c r="J970" s="39" t="n">
        <f aca="false">(('Business Case'!D11*$C970*'Business Case'!D12*$B970)-'Business Case'!D11*$C970*'Business Case'!D13*$D970-'Business Case'!D14*$E970)-MAX(0,(('Business Case'!D11*$C970*'Business Case'!D12*$B970)-'Business Case'!D11*$C970*'Business Case'!D13*$D970-'Business Case'!D14*$E970))*'Business Case'!$B$7-'Business Case'!$B$8*(('Business Case'!D11*$C970*'Business Case'!D12*$B970)-('Business Case'!C11*$C970*'Business Case'!C12*$B970))-'Business Case'!D15*$F970</f>
        <v>351967999.226775</v>
      </c>
      <c r="K970" s="39" t="n">
        <f aca="false">(('Business Case'!E11*$C970*'Business Case'!E12*$B970)-'Business Case'!E11*$C970*'Business Case'!E13*$D970-'Business Case'!E14*$E970)-MAX(0,(('Business Case'!E11*$C970*'Business Case'!E12*$B970)-'Business Case'!E11*$C970*'Business Case'!E13*$D970-'Business Case'!E14*$E970))*'Business Case'!$B$7-'Business Case'!$B$8*(('Business Case'!E11*$C970*'Business Case'!E12*$B970)-('Business Case'!D11*$C970*'Business Case'!D12*$B970))-'Business Case'!E15*$F970</f>
        <v>733752003.965367</v>
      </c>
      <c r="L970" s="39" t="n">
        <f aca="false">(('Business Case'!F11*$C970*'Business Case'!F12*$B970)-'Business Case'!F11*$C970*'Business Case'!F13*$D970-'Business Case'!F14*$E970)-MAX(0,(('Business Case'!F11*$C970*'Business Case'!F12*$B970)-'Business Case'!F11*$C970*'Business Case'!F13*$D970-'Business Case'!F14*$E970))*'Business Case'!$B$7-'Business Case'!$B$8*(('Business Case'!F11*$C970*'Business Case'!F12*$B970)-('Business Case'!E11*$C970*'Business Case'!E12*$B970))-'Business Case'!F15*$F970</f>
        <v>879730250.653213</v>
      </c>
      <c r="M970" s="39" t="n">
        <f aca="false">(('Business Case'!G11*$C970*'Business Case'!G12*$B970)-'Business Case'!G11*$C970*'Business Case'!G13*$D970-'Business Case'!G14*$E970)-MAX(0,(('Business Case'!G11*$C970*'Business Case'!G12*$B970)-'Business Case'!G11*$C970*'Business Case'!G13*$D970-'Business Case'!G14*$E970))*'Business Case'!$B$7-'Business Case'!$B$8*(('Business Case'!G11*$C970*'Business Case'!G12*$B970)-('Business Case'!F11*$C970*'Business Case'!F12*$B970))-'Business Case'!G15*$F970+'Business Case'!$B$8*('Business Case'!G11*$C970*'Business Case'!G12*$B970)</f>
        <v>1081646610.99885</v>
      </c>
      <c r="N970" s="39" t="n">
        <f aca="false">IF(COUNT('Business Case'!B11:G11)=0,"",H970+NPV(G970,I970:M970))</f>
        <v>-113841520.284537</v>
      </c>
      <c r="P970" s="40" t="n">
        <f aca="true">RAND()</f>
        <v>0.781860290047574</v>
      </c>
      <c r="Q970" s="40" t="n">
        <f aca="true">RAND()</f>
        <v>0.825241096566044</v>
      </c>
      <c r="R970" s="40" t="n">
        <f aca="true">RAND()</f>
        <v>0.456606165900809</v>
      </c>
      <c r="S970" s="40" t="n">
        <f aca="true">RAND()</f>
        <v>0.199469047604682</v>
      </c>
      <c r="T970" s="40" t="n">
        <f aca="true">RAND()</f>
        <v>0.710602586806152</v>
      </c>
      <c r="U970" s="40" t="n">
        <f aca="true">RAND()</f>
        <v>0.915024603808514</v>
      </c>
    </row>
    <row r="971" customFormat="false" ht="15" hidden="false" customHeight="false" outlineLevel="0" collapsed="false">
      <c r="A971" s="36" t="n">
        <v>891</v>
      </c>
      <c r="B971" s="37" t="n">
        <f aca="false">1+IF($G$6=$E$6,$F$6,IF(P971&lt;($F$6-$E$6)/($G$6-$E$6),$E$6+SQRT(P971*($G$6-$E$6)*($F$6-$E$6)),$G$6-SQRT((1-P971)*($G$6-$E$6)*($G$6-$F$6))))</f>
        <v>0.935599036653207</v>
      </c>
      <c r="C971" s="37" t="n">
        <f aca="false">1+IF($G$7=$E$7,$F$7,IF(Q971&lt;($F$7-$E$7)/($G$7-$E$7),$E$7+SQRT(Q971*($G$7-$E$7)*($F$7-$E$7)),$G$7-SQRT((1-Q971)*($G$7-$E$7)*($G$7-$F$7))))</f>
        <v>1.05550237114641</v>
      </c>
      <c r="D971" s="37" t="n">
        <f aca="false">1+IF($G$8=$E$8,$F$8,IF(R971&lt;($F$8-$E$8)/($G$8-$E$8),$E$8+SQRT(R971*($G$8-$E$8)*($F$8-$E$8)),$G$8-SQRT((1-R971)*($G$8-$E$8)*($G$8-$F$8))))</f>
        <v>1.06297856543551</v>
      </c>
      <c r="E971" s="37" t="n">
        <f aca="false">1+IF($G$9=$E$9,$F$9,IF(S971&lt;($F$9-$E$9)/($G$9-$E$9),$E$9+SQRT(S971*($G$9-$E$9)*($F$9-$E$9)),$G$9-SQRT((1-S971)*($G$9-$E$9)*($G$9-$F$9))))</f>
        <v>1.02704401244918</v>
      </c>
      <c r="F971" s="37" t="n">
        <f aca="false">1+IF($G$10=$E$10,$F$10,IF(T971&lt;($F$10-$E$10)/($G$10-$E$10),$E$10+SQRT(T971*($G$10-$E$10)*($F$10-$E$10)),$G$10-SQRT((1-T971)*($G$10-$E$10)*($G$10-$F$10))))</f>
        <v>0.989833521954821</v>
      </c>
      <c r="G971" s="38" t="n">
        <f aca="false">IF($G$11=$E$11,$F$11,IF(U971&lt;($F$11-$E$11)/($G$11-$E$11),$E$11+SQRT(U971*($G$11-$E$11)*($F$11-$E$11)),$G$11-SQRT((1-U971)*($G$11-$E$11)*($G$11-$F$11))))</f>
        <v>0.100449698023882</v>
      </c>
      <c r="H971" s="39" t="n">
        <f aca="false">(('Business Case'!B11*$C971*'Business Case'!B12*$B971)-'Business Case'!B11*$C971*'Business Case'!B13*$D971-'Business Case'!B14*$E971)-MAX(0,(('Business Case'!B11*$C971*'Business Case'!B12*$B971)-'Business Case'!B11*$C971*'Business Case'!B13*$D971-'Business Case'!B14*$E971))*'Business Case'!$B$7-'Business Case'!$B$8*('Business Case'!B11*$C971*'Business Case'!B12*$B971)-'Business Case'!B15*$F971</f>
        <v>-1979667043.90964</v>
      </c>
      <c r="I971" s="39" t="n">
        <f aca="false">(('Business Case'!C11*$C971*'Business Case'!C12*$B971)-'Business Case'!C11*$C971*'Business Case'!C13*$D971-'Business Case'!C14*$E971)-MAX(0,(('Business Case'!C11*$C971*'Business Case'!C12*$B971)-'Business Case'!C11*$C971*'Business Case'!C13*$D971-'Business Case'!C14*$E971))*'Business Case'!$B$7-'Business Case'!$B$8*(('Business Case'!C11*$C971*'Business Case'!C12*$B971)-('Business Case'!B11*$C971*'Business Case'!B12*$B971))-'Business Case'!C15*$F971</f>
        <v>-61728851.0426834</v>
      </c>
      <c r="J971" s="39" t="n">
        <f aca="false">(('Business Case'!D11*$C971*'Business Case'!D12*$B971)-'Business Case'!D11*$C971*'Business Case'!D13*$D971-'Business Case'!D14*$E971)-MAX(0,(('Business Case'!D11*$C971*'Business Case'!D12*$B971)-'Business Case'!D11*$C971*'Business Case'!D13*$D971-'Business Case'!D14*$E971))*'Business Case'!$B$7-'Business Case'!$B$8*(('Business Case'!D11*$C971*'Business Case'!D12*$B971)-('Business Case'!C11*$C971*'Business Case'!C12*$B971))-'Business Case'!D15*$F971</f>
        <v>172764708.444876</v>
      </c>
      <c r="K971" s="39" t="n">
        <f aca="false">(('Business Case'!E11*$C971*'Business Case'!E12*$B971)-'Business Case'!E11*$C971*'Business Case'!E13*$D971-'Business Case'!E14*$E971)-MAX(0,(('Business Case'!E11*$C971*'Business Case'!E12*$B971)-'Business Case'!E11*$C971*'Business Case'!E13*$D971-'Business Case'!E14*$E971))*'Business Case'!$B$7-'Business Case'!$B$8*(('Business Case'!E11*$C971*'Business Case'!E12*$B971)-('Business Case'!D11*$C971*'Business Case'!D12*$B971))-'Business Case'!E15*$F971</f>
        <v>456749944.030176</v>
      </c>
      <c r="L971" s="39" t="n">
        <f aca="false">(('Business Case'!F11*$C971*'Business Case'!F12*$B971)-'Business Case'!F11*$C971*'Business Case'!F13*$D971-'Business Case'!F14*$E971)-MAX(0,(('Business Case'!F11*$C971*'Business Case'!F12*$B971)-'Business Case'!F11*$C971*'Business Case'!F13*$D971-'Business Case'!F14*$E971))*'Business Case'!$B$7-'Business Case'!$B$8*(('Business Case'!F11*$C971*'Business Case'!F12*$B971)-('Business Case'!E11*$C971*'Business Case'!E12*$B971))-'Business Case'!F15*$F971</f>
        <v>569043397.035687</v>
      </c>
      <c r="M971" s="39" t="n">
        <f aca="false">(('Business Case'!G11*$C971*'Business Case'!G12*$B971)-'Business Case'!G11*$C971*'Business Case'!G13*$D971-'Business Case'!G14*$E971)-MAX(0,(('Business Case'!G11*$C971*'Business Case'!G12*$B971)-'Business Case'!G11*$C971*'Business Case'!G13*$D971-'Business Case'!G14*$E971))*'Business Case'!$B$7-'Business Case'!$B$8*(('Business Case'!G11*$C971*'Business Case'!G12*$B971)-('Business Case'!F11*$C971*'Business Case'!F12*$B971))-'Business Case'!G15*$F971+'Business Case'!$B$8*('Business Case'!G11*$C971*'Business Case'!G12*$B971)</f>
        <v>756752529.505471</v>
      </c>
      <c r="N971" s="39" t="n">
        <f aca="false">IF(COUNT('Business Case'!B11:G11)=0,"",H971+NPV(G971,I971:M971))</f>
        <v>-693400849.360646</v>
      </c>
      <c r="P971" s="40" t="n">
        <f aca="true">RAND()</f>
        <v>0.0253468692195926</v>
      </c>
      <c r="Q971" s="40" t="n">
        <f aca="true">RAND()</f>
        <v>0.829908536019986</v>
      </c>
      <c r="R971" s="40" t="n">
        <f aca="true">RAND()</f>
        <v>0.972141419746791</v>
      </c>
      <c r="S971" s="40" t="n">
        <f aca="true">RAND()</f>
        <v>0.645161592032348</v>
      </c>
      <c r="T971" s="40" t="n">
        <f aca="true">RAND()</f>
        <v>0.126936757706016</v>
      </c>
      <c r="U971" s="40" t="n">
        <f aca="true">RAND()</f>
        <v>0.362976154404318</v>
      </c>
    </row>
    <row r="972" customFormat="false" ht="15" hidden="false" customHeight="false" outlineLevel="0" collapsed="false">
      <c r="A972" s="36" t="n">
        <v>892</v>
      </c>
      <c r="B972" s="37" t="n">
        <f aca="false">1+IF($G$6=$E$6,$F$6,IF(P972&lt;($F$6-$E$6)/($G$6-$E$6),$E$6+SQRT(P972*($G$6-$E$6)*($F$6-$E$6)),$G$6-SQRT((1-P972)*($G$6-$E$6)*($G$6-$F$6))))</f>
        <v>0.991011699763347</v>
      </c>
      <c r="C972" s="37" t="n">
        <f aca="false">1+IF($G$7=$E$7,$F$7,IF(Q972&lt;($F$7-$E$7)/($G$7-$E$7),$E$7+SQRT(Q972*($G$7-$E$7)*($F$7-$E$7)),$G$7-SQRT((1-Q972)*($G$7-$E$7)*($G$7-$F$7))))</f>
        <v>1.07449461582149</v>
      </c>
      <c r="D972" s="37" t="n">
        <f aca="false">1+IF($G$8=$E$8,$F$8,IF(R972&lt;($F$8-$E$8)/($G$8-$E$8),$E$8+SQRT(R972*($G$8-$E$8)*($F$8-$E$8)),$G$8-SQRT((1-R972)*($G$8-$E$8)*($G$8-$F$8))))</f>
        <v>1.04569307283855</v>
      </c>
      <c r="E972" s="37" t="n">
        <f aca="false">1+IF($G$9=$E$9,$F$9,IF(S972&lt;($F$9-$E$9)/($G$9-$E$9),$E$9+SQRT(S972*($G$9-$E$9)*($F$9-$E$9)),$G$9-SQRT((1-S972)*($G$9-$E$9)*($G$9-$F$9))))</f>
        <v>1.00862906085645</v>
      </c>
      <c r="F972" s="37" t="n">
        <f aca="false">1+IF($G$10=$E$10,$F$10,IF(T972&lt;($F$10-$E$10)/($G$10-$E$10),$E$10+SQRT(T972*($G$10-$E$10)*($F$10-$E$10)),$G$10-SQRT((1-T972)*($G$10-$E$10)*($G$10-$F$10))))</f>
        <v>1.07129620475933</v>
      </c>
      <c r="G972" s="38" t="n">
        <f aca="false">IF($G$11=$E$11,$F$11,IF(U972&lt;($F$11-$E$11)/($G$11-$E$11),$E$11+SQRT(U972*($G$11-$E$11)*($F$11-$E$11)),$G$11-SQRT((1-U972)*($G$11-$E$11)*($G$11-$F$11))))</f>
        <v>0.094390652627932</v>
      </c>
      <c r="H972" s="39" t="n">
        <f aca="false">(('Business Case'!B11*$C972*'Business Case'!B12*$B972)-'Business Case'!B11*$C972*'Business Case'!B13*$D972-'Business Case'!B14*$E972)-MAX(0,(('Business Case'!B11*$C972*'Business Case'!B12*$B972)-'Business Case'!B11*$C972*'Business Case'!B13*$D972-'Business Case'!B14*$E972))*'Business Case'!$B$7-'Business Case'!$B$8*('Business Case'!B11*$C972*'Business Case'!B12*$B972)-'Business Case'!B15*$F972</f>
        <v>-2142592409.51865</v>
      </c>
      <c r="I972" s="39" t="n">
        <f aca="false">(('Business Case'!C11*$C972*'Business Case'!C12*$B972)-'Business Case'!C11*$C972*'Business Case'!C13*$D972-'Business Case'!C14*$E972)-MAX(0,(('Business Case'!C11*$C972*'Business Case'!C12*$B972)-'Business Case'!C11*$C972*'Business Case'!C13*$D972-'Business Case'!C14*$E972))*'Business Case'!$B$7-'Business Case'!$B$8*(('Business Case'!C11*$C972*'Business Case'!C12*$B972)-('Business Case'!B11*$C972*'Business Case'!B12*$B972))-'Business Case'!C15*$F972</f>
        <v>-8768854.46889639</v>
      </c>
      <c r="J972" s="39" t="n">
        <f aca="false">(('Business Case'!D11*$C972*'Business Case'!D12*$B972)-'Business Case'!D11*$C972*'Business Case'!D13*$D972-'Business Case'!D14*$E972)-MAX(0,(('Business Case'!D11*$C972*'Business Case'!D12*$B972)-'Business Case'!D11*$C972*'Business Case'!D13*$D972-'Business Case'!D14*$E972))*'Business Case'!$B$7-'Business Case'!$B$8*(('Business Case'!D11*$C972*'Business Case'!D12*$B972)-('Business Case'!C11*$C972*'Business Case'!C12*$B972))-'Business Case'!D15*$F972</f>
        <v>288220100.366044</v>
      </c>
      <c r="K972" s="39" t="n">
        <f aca="false">(('Business Case'!E11*$C972*'Business Case'!E12*$B972)-'Business Case'!E11*$C972*'Business Case'!E13*$D972-'Business Case'!E14*$E972)-MAX(0,(('Business Case'!E11*$C972*'Business Case'!E12*$B972)-'Business Case'!E11*$C972*'Business Case'!E13*$D972-'Business Case'!E14*$E972))*'Business Case'!$B$7-'Business Case'!$B$8*(('Business Case'!E11*$C972*'Business Case'!E12*$B972)-('Business Case'!D11*$C972*'Business Case'!D12*$B972))-'Business Case'!E15*$F972</f>
        <v>638773865.438951</v>
      </c>
      <c r="L972" s="39" t="n">
        <f aca="false">(('Business Case'!F11*$C972*'Business Case'!F12*$B972)-'Business Case'!F11*$C972*'Business Case'!F13*$D972-'Business Case'!F14*$E972)-MAX(0,(('Business Case'!F11*$C972*'Business Case'!F12*$B972)-'Business Case'!F11*$C972*'Business Case'!F13*$D972-'Business Case'!F14*$E972))*'Business Case'!$B$7-'Business Case'!$B$8*(('Business Case'!F11*$C972*'Business Case'!F12*$B972)-('Business Case'!E11*$C972*'Business Case'!E12*$B972))-'Business Case'!F15*$F972</f>
        <v>774570941.300009</v>
      </c>
      <c r="M972" s="39" t="n">
        <f aca="false">(('Business Case'!G11*$C972*'Business Case'!G12*$B972)-'Business Case'!G11*$C972*'Business Case'!G13*$D972-'Business Case'!G14*$E972)-MAX(0,(('Business Case'!G11*$C972*'Business Case'!G12*$B972)-'Business Case'!G11*$C972*'Business Case'!G13*$D972-'Business Case'!G14*$E972))*'Business Case'!$B$7-'Business Case'!$B$8*(('Business Case'!G11*$C972*'Business Case'!G12*$B972)-('Business Case'!F11*$C972*'Business Case'!F12*$B972))-'Business Case'!G15*$F972+'Business Case'!$B$8*('Business Case'!G11*$C972*'Business Case'!G12*$B972)</f>
        <v>976975108.005105</v>
      </c>
      <c r="N972" s="39" t="n">
        <f aca="false">IF(COUNT('Business Case'!B11:G11)=0,"",H972+NPV(G972,I972:M972))</f>
        <v>-260316926.325104</v>
      </c>
      <c r="P972" s="40" t="n">
        <f aca="true">RAND()</f>
        <v>0.525277239924976</v>
      </c>
      <c r="Q972" s="40" t="n">
        <f aca="true">RAND()</f>
        <v>0.89140832304869</v>
      </c>
      <c r="R972" s="40" t="n">
        <f aca="true">RAND()</f>
        <v>0.886830264301852</v>
      </c>
      <c r="S972" s="40" t="n">
        <f aca="true">RAND()</f>
        <v>0.443423432001741</v>
      </c>
      <c r="T972" s="40" t="n">
        <f aca="true">RAND()</f>
        <v>0.668706661812936</v>
      </c>
      <c r="U972" s="40" t="n">
        <f aca="true">RAND()</f>
        <v>0.0642594349972211</v>
      </c>
    </row>
    <row r="973" customFormat="false" ht="15" hidden="false" customHeight="false" outlineLevel="0" collapsed="false">
      <c r="A973" s="36" t="n">
        <v>893</v>
      </c>
      <c r="B973" s="37" t="n">
        <f aca="false">1+IF($G$6=$E$6,$F$6,IF(P973&lt;($F$6-$E$6)/($G$6-$E$6),$E$6+SQRT(P973*($G$6-$E$6)*($F$6-$E$6)),$G$6-SQRT((1-P973)*($G$6-$E$6)*($G$6-$F$6))))</f>
        <v>0.991205148916708</v>
      </c>
      <c r="C973" s="37" t="n">
        <f aca="false">1+IF($G$7=$E$7,$F$7,IF(Q973&lt;($F$7-$E$7)/($G$7-$E$7),$E$7+SQRT(Q973*($G$7-$E$7)*($F$7-$E$7)),$G$7-SQRT((1-Q973)*($G$7-$E$7)*($G$7-$F$7))))</f>
        <v>1.07469751039968</v>
      </c>
      <c r="D973" s="37" t="n">
        <f aca="false">1+IF($G$8=$E$8,$F$8,IF(R973&lt;($F$8-$E$8)/($G$8-$E$8),$E$8+SQRT(R973*($G$8-$E$8)*($F$8-$E$8)),$G$8-SQRT((1-R973)*($G$8-$E$8)*($G$8-$F$8))))</f>
        <v>1.0082929705021</v>
      </c>
      <c r="E973" s="37" t="n">
        <f aca="false">1+IF($G$9=$E$9,$F$9,IF(S973&lt;($F$9-$E$9)/($G$9-$E$9),$E$9+SQRT(S973*($G$9-$E$9)*($F$9-$E$9)),$G$9-SQRT((1-S973)*($G$9-$E$9)*($G$9-$F$9))))</f>
        <v>1.03551127299239</v>
      </c>
      <c r="F973" s="37" t="n">
        <f aca="false">1+IF($G$10=$E$10,$F$10,IF(T973&lt;($F$10-$E$10)/($G$10-$E$10),$E$10+SQRT(T973*($G$10-$E$10)*($F$10-$E$10)),$G$10-SQRT((1-T973)*($G$10-$E$10)*($G$10-$F$10))))</f>
        <v>1.08636951965561</v>
      </c>
      <c r="G973" s="38" t="n">
        <f aca="false">IF($G$11=$E$11,$F$11,IF(U973&lt;($F$11-$E$11)/($G$11-$E$11),$E$11+SQRT(U973*($G$11-$E$11)*($F$11-$E$11)),$G$11-SQRT((1-U973)*($G$11-$E$11)*($G$11-$F$11))))</f>
        <v>0.0987151161856162</v>
      </c>
      <c r="H973" s="39" t="n">
        <f aca="false">(('Business Case'!B11*$C973*'Business Case'!B12*$B973)-'Business Case'!B11*$C973*'Business Case'!B13*$D973-'Business Case'!B14*$E973)-MAX(0,(('Business Case'!B11*$C973*'Business Case'!B12*$B973)-'Business Case'!B11*$C973*'Business Case'!B13*$D973-'Business Case'!B14*$E973))*'Business Case'!$B$7-'Business Case'!$B$8*('Business Case'!B11*$C973*'Business Case'!B12*$B973)-'Business Case'!B15*$F973</f>
        <v>-2172739039.31122</v>
      </c>
      <c r="I973" s="39" t="n">
        <f aca="false">(('Business Case'!C11*$C973*'Business Case'!C12*$B973)-'Business Case'!C11*$C973*'Business Case'!C13*$D973-'Business Case'!C14*$E973)-MAX(0,(('Business Case'!C11*$C973*'Business Case'!C12*$B973)-'Business Case'!C11*$C973*'Business Case'!C13*$D973-'Business Case'!C14*$E973))*'Business Case'!$B$7-'Business Case'!$B$8*(('Business Case'!C11*$C973*'Business Case'!C12*$B973)-('Business Case'!B11*$C973*'Business Case'!B12*$B973))-'Business Case'!C15*$F973</f>
        <v>6682335.2727226</v>
      </c>
      <c r="J973" s="39" t="n">
        <f aca="false">(('Business Case'!D11*$C973*'Business Case'!D12*$B973)-'Business Case'!D11*$C973*'Business Case'!D13*$D973-'Business Case'!D14*$E973)-MAX(0,(('Business Case'!D11*$C973*'Business Case'!D12*$B973)-'Business Case'!D11*$C973*'Business Case'!D13*$D973-'Business Case'!D14*$E973))*'Business Case'!$B$7-'Business Case'!$B$8*(('Business Case'!D11*$C973*'Business Case'!D12*$B973)-('Business Case'!C11*$C973*'Business Case'!C12*$B973))-'Business Case'!D15*$F973</f>
        <v>324473662.921069</v>
      </c>
      <c r="K973" s="39" t="n">
        <f aca="false">(('Business Case'!E11*$C973*'Business Case'!E12*$B973)-'Business Case'!E11*$C973*'Business Case'!E13*$D973-'Business Case'!E14*$E973)-MAX(0,(('Business Case'!E11*$C973*'Business Case'!E12*$B973)-'Business Case'!E11*$C973*'Business Case'!E13*$D973-'Business Case'!E14*$E973))*'Business Case'!$B$7-'Business Case'!$B$8*(('Business Case'!E11*$C973*'Business Case'!E12*$B973)-('Business Case'!D11*$C973*'Business Case'!D12*$B973))-'Business Case'!E15*$F973</f>
        <v>696583466.552195</v>
      </c>
      <c r="L973" s="39" t="n">
        <f aca="false">(('Business Case'!F11*$C973*'Business Case'!F12*$B973)-'Business Case'!F11*$C973*'Business Case'!F13*$D973-'Business Case'!F14*$E973)-MAX(0,(('Business Case'!F11*$C973*'Business Case'!F12*$B973)-'Business Case'!F11*$C973*'Business Case'!F13*$D973-'Business Case'!F14*$E973))*'Business Case'!$B$7-'Business Case'!$B$8*(('Business Case'!F11*$C973*'Business Case'!F12*$B973)-('Business Case'!E11*$C973*'Business Case'!E12*$B973))-'Business Case'!F15*$F973</f>
        <v>839328800.69534</v>
      </c>
      <c r="M973" s="39" t="n">
        <f aca="false">(('Business Case'!G11*$C973*'Business Case'!G12*$B973)-'Business Case'!G11*$C973*'Business Case'!G13*$D973-'Business Case'!G14*$E973)-MAX(0,(('Business Case'!G11*$C973*'Business Case'!G12*$B973)-'Business Case'!G11*$C973*'Business Case'!G13*$D973-'Business Case'!G14*$E973))*'Business Case'!$B$7-'Business Case'!$B$8*(('Business Case'!G11*$C973*'Business Case'!G12*$B973)-('Business Case'!F11*$C973*'Business Case'!F12*$B973))-'Business Case'!G15*$F973+'Business Case'!$B$8*('Business Case'!G11*$C973*'Business Case'!G12*$B973)</f>
        <v>1041810704.46067</v>
      </c>
      <c r="N973" s="39" t="n">
        <f aca="false">IF(COUNT('Business Case'!B11:G11)=0,"",H973+NPV(G973,I973:M973))</f>
        <v>-146044753.0121</v>
      </c>
      <c r="P973" s="40" t="n">
        <f aca="true">RAND()</f>
        <v>0.528143045026097</v>
      </c>
      <c r="Q973" s="40" t="n">
        <f aca="true">RAND()</f>
        <v>0.891991143999889</v>
      </c>
      <c r="R973" s="40" t="n">
        <f aca="true">RAND()</f>
        <v>0.505586723133396</v>
      </c>
      <c r="S973" s="40" t="n">
        <f aca="true">RAND()</f>
        <v>0.722746939262493</v>
      </c>
      <c r="T973" s="40" t="n">
        <f aca="true">RAND()</f>
        <v>0.741762278734062</v>
      </c>
      <c r="U973" s="40" t="n">
        <f aca="true">RAND()</f>
        <v>0.253177500429296</v>
      </c>
    </row>
    <row r="974" customFormat="false" ht="15" hidden="false" customHeight="false" outlineLevel="0" collapsed="false">
      <c r="A974" s="36" t="n">
        <v>894</v>
      </c>
      <c r="B974" s="37" t="n">
        <f aca="false">1+IF($G$6=$E$6,$F$6,IF(P974&lt;($F$6-$E$6)/($G$6-$E$6),$E$6+SQRT(P974*($G$6-$E$6)*($F$6-$E$6)),$G$6-SQRT((1-P974)*($G$6-$E$6)*($G$6-$F$6))))</f>
        <v>1.01984925291667</v>
      </c>
      <c r="C974" s="37" t="n">
        <f aca="false">1+IF($G$7=$E$7,$F$7,IF(Q974&lt;($F$7-$E$7)/($G$7-$E$7),$E$7+SQRT(Q974*($G$7-$E$7)*($F$7-$E$7)),$G$7-SQRT((1-Q974)*($G$7-$E$7)*($G$7-$F$7))))</f>
        <v>0.939482477017057</v>
      </c>
      <c r="D974" s="37" t="n">
        <f aca="false">1+IF($G$8=$E$8,$F$8,IF(R974&lt;($F$8-$E$8)/($G$8-$E$8),$E$8+SQRT(R974*($G$8-$E$8)*($F$8-$E$8)),$G$8-SQRT((1-R974)*($G$8-$E$8)*($G$8-$F$8))))</f>
        <v>1.05946697635602</v>
      </c>
      <c r="E974" s="37" t="n">
        <f aca="false">1+IF($G$9=$E$9,$F$9,IF(S974&lt;($F$9-$E$9)/($G$9-$E$9),$E$9+SQRT(S974*($G$9-$E$9)*($F$9-$E$9)),$G$9-SQRT((1-S974)*($G$9-$E$9)*($G$9-$F$9))))</f>
        <v>1.04112561789472</v>
      </c>
      <c r="F974" s="37" t="n">
        <f aca="false">1+IF($G$10=$E$10,$F$10,IF(T974&lt;($F$10-$E$10)/($G$10-$E$10),$E$10+SQRT(T974*($G$10-$E$10)*($F$10-$E$10)),$G$10-SQRT((1-T974)*($G$10-$E$10)*($G$10-$F$10))))</f>
        <v>1.02096169378728</v>
      </c>
      <c r="G974" s="38" t="n">
        <f aca="false">IF($G$11=$E$11,$F$11,IF(U974&lt;($F$11-$E$11)/($G$11-$E$11),$E$11+SQRT(U974*($G$11-$E$11)*($F$11-$E$11)),$G$11-SQRT((1-U974)*($G$11-$E$11)*($G$11-$F$11))))</f>
        <v>0.107821597160114</v>
      </c>
      <c r="H974" s="39" t="n">
        <f aca="false">(('Business Case'!B11*$C974*'Business Case'!B12*$B974)-'Business Case'!B11*$C974*'Business Case'!B13*$D974-'Business Case'!B14*$E974)-MAX(0,(('Business Case'!B11*$C974*'Business Case'!B12*$B974)-'Business Case'!B11*$C974*'Business Case'!B13*$D974-'Business Case'!B14*$E974))*'Business Case'!$B$7-'Business Case'!$B$8*('Business Case'!B11*$C974*'Business Case'!B12*$B974)-'Business Case'!B15*$F974</f>
        <v>-2041923387.57455</v>
      </c>
      <c r="I974" s="39" t="n">
        <f aca="false">(('Business Case'!C11*$C974*'Business Case'!C12*$B974)-'Business Case'!C11*$C974*'Business Case'!C13*$D974-'Business Case'!C14*$E974)-MAX(0,(('Business Case'!C11*$C974*'Business Case'!C12*$B974)-'Business Case'!C11*$C974*'Business Case'!C13*$D974-'Business Case'!C14*$E974))*'Business Case'!$B$7-'Business Case'!$B$8*(('Business Case'!C11*$C974*'Business Case'!C12*$B974)-('Business Case'!B11*$C974*'Business Case'!B12*$B974))-'Business Case'!C15*$F974</f>
        <v>-24575760.182672</v>
      </c>
      <c r="J974" s="39" t="n">
        <f aca="false">(('Business Case'!D11*$C974*'Business Case'!D12*$B974)-'Business Case'!D11*$C974*'Business Case'!D13*$D974-'Business Case'!D14*$E974)-MAX(0,(('Business Case'!D11*$C974*'Business Case'!D12*$B974)-'Business Case'!D11*$C974*'Business Case'!D13*$D974-'Business Case'!D14*$E974))*'Business Case'!$B$7-'Business Case'!$B$8*(('Business Case'!D11*$C974*'Business Case'!D12*$B974)-('Business Case'!C11*$C974*'Business Case'!C12*$B974))-'Business Case'!D15*$F974</f>
        <v>250662197.117978</v>
      </c>
      <c r="K974" s="39" t="n">
        <f aca="false">(('Business Case'!E11*$C974*'Business Case'!E12*$B974)-'Business Case'!E11*$C974*'Business Case'!E13*$D974-'Business Case'!E14*$E974)-MAX(0,(('Business Case'!E11*$C974*'Business Case'!E12*$B974)-'Business Case'!E11*$C974*'Business Case'!E13*$D974-'Business Case'!E14*$E974))*'Business Case'!$B$7-'Business Case'!$B$8*(('Business Case'!E11*$C974*'Business Case'!E12*$B974)-('Business Case'!D11*$C974*'Business Case'!D12*$B974))-'Business Case'!E15*$F974</f>
        <v>576948239.107992</v>
      </c>
      <c r="L974" s="39" t="n">
        <f aca="false">(('Business Case'!F11*$C974*'Business Case'!F12*$B974)-'Business Case'!F11*$C974*'Business Case'!F13*$D974-'Business Case'!F14*$E974)-MAX(0,(('Business Case'!F11*$C974*'Business Case'!F12*$B974)-'Business Case'!F11*$C974*'Business Case'!F13*$D974-'Business Case'!F14*$E974))*'Business Case'!$B$7-'Business Case'!$B$8*(('Business Case'!F11*$C974*'Business Case'!F12*$B974)-('Business Case'!E11*$C974*'Business Case'!E12*$B974))-'Business Case'!F15*$F974</f>
        <v>701807215.034852</v>
      </c>
      <c r="M974" s="39" t="n">
        <f aca="false">(('Business Case'!G11*$C974*'Business Case'!G12*$B974)-'Business Case'!G11*$C974*'Business Case'!G13*$D974-'Business Case'!G14*$E974)-MAX(0,(('Business Case'!G11*$C974*'Business Case'!G12*$B974)-'Business Case'!G11*$C974*'Business Case'!G13*$D974-'Business Case'!G14*$E974))*'Business Case'!$B$7-'Business Case'!$B$8*(('Business Case'!G11*$C974*'Business Case'!G12*$B974)-('Business Case'!F11*$C974*'Business Case'!F12*$B974))-'Business Case'!G15*$F974+'Business Case'!$B$8*('Business Case'!G11*$C974*'Business Case'!G12*$B974)</f>
        <v>883928660.914725</v>
      </c>
      <c r="N974" s="39" t="n">
        <f aca="false">IF(COUNT('Business Case'!B11:G11)=0,"",H974+NPV(G974,I974:M974))</f>
        <v>-439814591.693698</v>
      </c>
      <c r="P974" s="40" t="n">
        <f aca="true">RAND()</f>
        <v>0.915405706663223</v>
      </c>
      <c r="Q974" s="40" t="n">
        <f aca="true">RAND()</f>
        <v>0.277933734211624</v>
      </c>
      <c r="R974" s="40" t="n">
        <f aca="true">RAND()</f>
        <v>0.959461051926529</v>
      </c>
      <c r="S974" s="40" t="n">
        <f aca="true">RAND()</f>
        <v>0.768920475448111</v>
      </c>
      <c r="T974" s="40" t="n">
        <f aca="true">RAND()</f>
        <v>0.358905698169572</v>
      </c>
      <c r="U974" s="40" t="n">
        <f aca="true">RAND()</f>
        <v>0.75281084044909</v>
      </c>
    </row>
    <row r="975" customFormat="false" ht="15" hidden="false" customHeight="false" outlineLevel="0" collapsed="false">
      <c r="A975" s="36" t="n">
        <v>895</v>
      </c>
      <c r="B975" s="37" t="n">
        <f aca="false">1+IF($G$6=$E$6,$F$6,IF(P975&lt;($F$6-$E$6)/($G$6-$E$6),$E$6+SQRT(P975*($G$6-$E$6)*($F$6-$E$6)),$G$6-SQRT((1-P975)*($G$6-$E$6)*($G$6-$F$6))))</f>
        <v>0.98145268708655</v>
      </c>
      <c r="C975" s="37" t="n">
        <f aca="false">1+IF($G$7=$E$7,$F$7,IF(Q975&lt;($F$7-$E$7)/($G$7-$E$7),$E$7+SQRT(Q975*($G$7-$E$7)*($F$7-$E$7)),$G$7-SQRT((1-Q975)*($G$7-$E$7)*($G$7-$F$7))))</f>
        <v>0.989279358120546</v>
      </c>
      <c r="D975" s="37" t="n">
        <f aca="false">1+IF($G$8=$E$8,$F$8,IF(R975&lt;($F$8-$E$8)/($G$8-$E$8),$E$8+SQRT(R975*($G$8-$E$8)*($F$8-$E$8)),$G$8-SQRT((1-R975)*($G$8-$E$8)*($G$8-$F$8))))</f>
        <v>0.967330183891846</v>
      </c>
      <c r="E975" s="37" t="n">
        <f aca="false">1+IF($G$9=$E$9,$F$9,IF(S975&lt;($F$9-$E$9)/($G$9-$E$9),$E$9+SQRT(S975*($G$9-$E$9)*($F$9-$E$9)),$G$9-SQRT((1-S975)*($G$9-$E$9)*($G$9-$F$9))))</f>
        <v>1.003144574728</v>
      </c>
      <c r="F975" s="37" t="n">
        <f aca="false">1+IF($G$10=$E$10,$F$10,IF(T975&lt;($F$10-$E$10)/($G$10-$E$10),$E$10+SQRT(T975*($G$10-$E$10)*($F$10-$E$10)),$G$10-SQRT((1-T975)*($G$10-$E$10)*($G$10-$F$10))))</f>
        <v>1.09107014547046</v>
      </c>
      <c r="G975" s="38" t="n">
        <f aca="false">IF($G$11=$E$11,$F$11,IF(U975&lt;($F$11-$E$11)/($G$11-$E$11),$E$11+SQRT(U975*($G$11-$E$11)*($F$11-$E$11)),$G$11-SQRT((1-U975)*($G$11-$E$11)*($G$11-$F$11))))</f>
        <v>0.107904617481124</v>
      </c>
      <c r="H975" s="39" t="n">
        <f aca="false">(('Business Case'!B11*$C975*'Business Case'!B12*$B975)-'Business Case'!B11*$C975*'Business Case'!B13*$D975-'Business Case'!B14*$E975)-MAX(0,(('Business Case'!B11*$C975*'Business Case'!B12*$B975)-'Business Case'!B11*$C975*'Business Case'!B13*$D975-'Business Case'!B14*$E975))*'Business Case'!$B$7-'Business Case'!$B$8*('Business Case'!B11*$C975*'Business Case'!B12*$B975)-'Business Case'!B15*$F975</f>
        <v>-2182140290.94092</v>
      </c>
      <c r="I975" s="39" t="n">
        <f aca="false">(('Business Case'!C11*$C975*'Business Case'!C12*$B975)-'Business Case'!C11*$C975*'Business Case'!C13*$D975-'Business Case'!C14*$E975)-MAX(0,(('Business Case'!C11*$C975*'Business Case'!C12*$B975)-'Business Case'!C11*$C975*'Business Case'!C13*$D975-'Business Case'!C14*$E975))*'Business Case'!$B$7-'Business Case'!$B$8*(('Business Case'!C11*$C975*'Business Case'!C12*$B975)-('Business Case'!B11*$C975*'Business Case'!B12*$B975))-'Business Case'!C15*$F975</f>
        <v>3288218.83116704</v>
      </c>
      <c r="J975" s="39" t="n">
        <f aca="false">(('Business Case'!D11*$C975*'Business Case'!D12*$B975)-'Business Case'!D11*$C975*'Business Case'!D13*$D975-'Business Case'!D14*$E975)-MAX(0,(('Business Case'!D11*$C975*'Business Case'!D12*$B975)-'Business Case'!D11*$C975*'Business Case'!D13*$D975-'Business Case'!D14*$E975))*'Business Case'!$B$7-'Business Case'!$B$8*(('Business Case'!D11*$C975*'Business Case'!D12*$B975)-('Business Case'!C11*$C975*'Business Case'!C12*$B975))-'Business Case'!D15*$F975</f>
        <v>308663667.778159</v>
      </c>
      <c r="K975" s="39" t="n">
        <f aca="false">(('Business Case'!E11*$C975*'Business Case'!E12*$B975)-'Business Case'!E11*$C975*'Business Case'!E13*$D975-'Business Case'!E14*$E975)-MAX(0,(('Business Case'!E11*$C975*'Business Case'!E12*$B975)-'Business Case'!E11*$C975*'Business Case'!E13*$D975-'Business Case'!E14*$E975))*'Business Case'!$B$7-'Business Case'!$B$8*(('Business Case'!E11*$C975*'Business Case'!E12*$B975)-('Business Case'!D11*$C975*'Business Case'!D12*$B975))-'Business Case'!E15*$F975</f>
        <v>668592623.998674</v>
      </c>
      <c r="L975" s="39" t="n">
        <f aca="false">(('Business Case'!F11*$C975*'Business Case'!F12*$B975)-'Business Case'!F11*$C975*'Business Case'!F13*$D975-'Business Case'!F14*$E975)-MAX(0,(('Business Case'!F11*$C975*'Business Case'!F12*$B975)-'Business Case'!F11*$C975*'Business Case'!F13*$D975-'Business Case'!F14*$E975))*'Business Case'!$B$7-'Business Case'!$B$8*(('Business Case'!F11*$C975*'Business Case'!F12*$B975)-('Business Case'!E11*$C975*'Business Case'!E12*$B975))-'Business Case'!F15*$F975</f>
        <v>803939811.675977</v>
      </c>
      <c r="M975" s="39" t="n">
        <f aca="false">(('Business Case'!G11*$C975*'Business Case'!G12*$B975)-'Business Case'!G11*$C975*'Business Case'!G13*$D975-'Business Case'!G14*$E975)-MAX(0,(('Business Case'!G11*$C975*'Business Case'!G12*$B975)-'Business Case'!G11*$C975*'Business Case'!G13*$D975-'Business Case'!G14*$E975))*'Business Case'!$B$7-'Business Case'!$B$8*(('Business Case'!G11*$C975*'Business Case'!G12*$B975)-('Business Case'!F11*$C975*'Business Case'!F12*$B975))-'Business Case'!G15*$F975+'Business Case'!$B$8*('Business Case'!G11*$C975*'Business Case'!G12*$B975)</f>
        <v>988494354.164988</v>
      </c>
      <c r="N975" s="39" t="n">
        <f aca="false">IF(COUNT('Business Case'!B11:G11)=0,"",H975+NPV(G975,I975:M975))</f>
        <v>-310267712.264933</v>
      </c>
      <c r="P975" s="40" t="n">
        <f aca="true">RAND()</f>
        <v>0.39337841147473</v>
      </c>
      <c r="Q975" s="40" t="n">
        <f aca="true">RAND()</f>
        <v>0.511809648721796</v>
      </c>
      <c r="R975" s="40" t="n">
        <f aca="true">RAND()</f>
        <v>0.0462054267269519</v>
      </c>
      <c r="S975" s="40" t="n">
        <f aca="true">RAND()</f>
        <v>0.374601773025282</v>
      </c>
      <c r="T975" s="40" t="n">
        <f aca="true">RAND()</f>
        <v>0.762685735843475</v>
      </c>
      <c r="U975" s="40" t="n">
        <f aca="true">RAND()</f>
        <v>0.756169536203463</v>
      </c>
    </row>
    <row r="976" customFormat="false" ht="15" hidden="false" customHeight="false" outlineLevel="0" collapsed="false">
      <c r="A976" s="36" t="n">
        <v>896</v>
      </c>
      <c r="B976" s="37" t="n">
        <f aca="false">1+IF($G$6=$E$6,$F$6,IF(P976&lt;($F$6-$E$6)/($G$6-$E$6),$E$6+SQRT(P976*($G$6-$E$6)*($F$6-$E$6)),$G$6-SQRT((1-P976)*($G$6-$E$6)*($G$6-$F$6))))</f>
        <v>0.970408388278431</v>
      </c>
      <c r="C976" s="37" t="n">
        <f aca="false">1+IF($G$7=$E$7,$F$7,IF(Q976&lt;($F$7-$E$7)/($G$7-$E$7),$E$7+SQRT(Q976*($G$7-$E$7)*($F$7-$E$7)),$G$7-SQRT((1-Q976)*($G$7-$E$7)*($G$7-$F$7))))</f>
        <v>1.06602023736398</v>
      </c>
      <c r="D976" s="37" t="n">
        <f aca="false">1+IF($G$8=$E$8,$F$8,IF(R976&lt;($F$8-$E$8)/($G$8-$E$8),$E$8+SQRT(R976*($G$8-$E$8)*($F$8-$E$8)),$G$8-SQRT((1-R976)*($G$8-$E$8)*($G$8-$F$8))))</f>
        <v>1.0490091237617</v>
      </c>
      <c r="E976" s="37" t="n">
        <f aca="false">1+IF($G$9=$E$9,$F$9,IF(S976&lt;($F$9-$E$9)/($G$9-$E$9),$E$9+SQRT(S976*($G$9-$E$9)*($F$9-$E$9)),$G$9-SQRT((1-S976)*($G$9-$E$9)*($G$9-$F$9))))</f>
        <v>0.997251279113777</v>
      </c>
      <c r="F976" s="37" t="n">
        <f aca="false">1+IF($G$10=$E$10,$F$10,IF(T976&lt;($F$10-$E$10)/($G$10-$E$10),$E$10+SQRT(T976*($G$10-$E$10)*($F$10-$E$10)),$G$10-SQRT((1-T976)*($G$10-$E$10)*($G$10-$F$10))))</f>
        <v>0.994453054185297</v>
      </c>
      <c r="G976" s="38" t="n">
        <f aca="false">IF($G$11=$E$11,$F$11,IF(U976&lt;($F$11-$E$11)/($G$11-$E$11),$E$11+SQRT(U976*($G$11-$E$11)*($F$11-$E$11)),$G$11-SQRT((1-U976)*($G$11-$E$11)*($G$11-$F$11))))</f>
        <v>0.110786591419742</v>
      </c>
      <c r="H976" s="39" t="n">
        <f aca="false">(('Business Case'!B11*$C976*'Business Case'!B12*$B976)-'Business Case'!B11*$C976*'Business Case'!B13*$D976-'Business Case'!B14*$E976)-MAX(0,(('Business Case'!B11*$C976*'Business Case'!B12*$B976)-'Business Case'!B11*$C976*'Business Case'!B13*$D976-'Business Case'!B14*$E976))*'Business Case'!$B$7-'Business Case'!$B$8*('Business Case'!B11*$C976*'Business Case'!B12*$B976)-'Business Case'!B15*$F976</f>
        <v>-1988906108.37059</v>
      </c>
      <c r="I976" s="39" t="n">
        <f aca="false">(('Business Case'!C11*$C976*'Business Case'!C12*$B976)-'Business Case'!C11*$C976*'Business Case'!C13*$D976-'Business Case'!C14*$E976)-MAX(0,(('Business Case'!C11*$C976*'Business Case'!C12*$B976)-'Business Case'!C11*$C976*'Business Case'!C13*$D976-'Business Case'!C14*$E976))*'Business Case'!$B$7-'Business Case'!$B$8*(('Business Case'!C11*$C976*'Business Case'!C12*$B976)-('Business Case'!B11*$C976*'Business Case'!B12*$B976))-'Business Case'!C15*$F976</f>
        <v>-20034324.9562323</v>
      </c>
      <c r="J976" s="39" t="n">
        <f aca="false">(('Business Case'!D11*$C976*'Business Case'!D12*$B976)-'Business Case'!D11*$C976*'Business Case'!D13*$D976-'Business Case'!D14*$E976)-MAX(0,(('Business Case'!D11*$C976*'Business Case'!D12*$B976)-'Business Case'!D11*$C976*'Business Case'!D13*$D976-'Business Case'!D14*$E976))*'Business Case'!$B$7-'Business Case'!$B$8*(('Business Case'!D11*$C976*'Business Case'!D12*$B976)-('Business Case'!C11*$C976*'Business Case'!C12*$B976))-'Business Case'!D15*$F976</f>
        <v>254812970.380632</v>
      </c>
      <c r="K976" s="39" t="n">
        <f aca="false">(('Business Case'!E11*$C976*'Business Case'!E12*$B976)-'Business Case'!E11*$C976*'Business Case'!E13*$D976-'Business Case'!E14*$E976)-MAX(0,(('Business Case'!E11*$C976*'Business Case'!E12*$B976)-'Business Case'!E11*$C976*'Business Case'!E13*$D976-'Business Case'!E14*$E976))*'Business Case'!$B$7-'Business Case'!$B$8*(('Business Case'!E11*$C976*'Business Case'!E12*$B976)-('Business Case'!D11*$C976*'Business Case'!D12*$B976))-'Business Case'!E15*$F976</f>
        <v>579382918.426761</v>
      </c>
      <c r="L976" s="39" t="n">
        <f aca="false">(('Business Case'!F11*$C976*'Business Case'!F12*$B976)-'Business Case'!F11*$C976*'Business Case'!F13*$D976-'Business Case'!F14*$E976)-MAX(0,(('Business Case'!F11*$C976*'Business Case'!F12*$B976)-'Business Case'!F11*$C976*'Business Case'!F13*$D976-'Business Case'!F14*$E976))*'Business Case'!$B$7-'Business Case'!$B$8*(('Business Case'!F11*$C976*'Business Case'!F12*$B976)-('Business Case'!E11*$C976*'Business Case'!E12*$B976))-'Business Case'!F15*$F976</f>
        <v>706750138.862106</v>
      </c>
      <c r="M976" s="39" t="n">
        <f aca="false">(('Business Case'!G11*$C976*'Business Case'!G12*$B976)-'Business Case'!G11*$C976*'Business Case'!G13*$D976-'Business Case'!G14*$E976)-MAX(0,(('Business Case'!G11*$C976*'Business Case'!G12*$B976)-'Business Case'!G11*$C976*'Business Case'!G13*$D976-'Business Case'!G14*$E976))*'Business Case'!$B$7-'Business Case'!$B$8*(('Business Case'!G11*$C976*'Business Case'!G12*$B976)-('Business Case'!F11*$C976*'Business Case'!F12*$B976))-'Business Case'!G15*$F976+'Business Case'!$B$8*('Business Case'!G11*$C976*'Business Case'!G12*$B976)</f>
        <v>903383143.138927</v>
      </c>
      <c r="N976" s="39" t="n">
        <f aca="false">IF(COUNT('Business Case'!B11:G11)=0,"",H976+NPV(G976,I976:M976))</f>
        <v>-379223415.173988</v>
      </c>
      <c r="P976" s="40" t="n">
        <f aca="true">RAND()</f>
        <v>0.26468808425303</v>
      </c>
      <c r="Q976" s="40" t="n">
        <f aca="true">RAND()</f>
        <v>0.865664751763755</v>
      </c>
      <c r="R976" s="40" t="n">
        <f aca="true">RAND()</f>
        <v>0.907650537498324</v>
      </c>
      <c r="S976" s="40" t="n">
        <f aca="true">RAND()</f>
        <v>0.297691117051741</v>
      </c>
      <c r="T976" s="40" t="n">
        <f aca="true">RAND()</f>
        <v>0.158085922112077</v>
      </c>
      <c r="U976" s="40" t="n">
        <f aca="true">RAND()</f>
        <v>0.858521837222033</v>
      </c>
    </row>
    <row r="977" customFormat="false" ht="15" hidden="false" customHeight="false" outlineLevel="0" collapsed="false">
      <c r="A977" s="36" t="n">
        <v>897</v>
      </c>
      <c r="B977" s="37" t="n">
        <f aca="false">1+IF($G$6=$E$6,$F$6,IF(P977&lt;($F$6-$E$6)/($G$6-$E$6),$E$6+SQRT(P977*($G$6-$E$6)*($F$6-$E$6)),$G$6-SQRT((1-P977)*($G$6-$E$6)*($G$6-$F$6))))</f>
        <v>0.93649239354749</v>
      </c>
      <c r="C977" s="37" t="n">
        <f aca="false">1+IF($G$7=$E$7,$F$7,IF(Q977&lt;($F$7-$E$7)/($G$7-$E$7),$E$7+SQRT(Q977*($G$7-$E$7)*($F$7-$E$7)),$G$7-SQRT((1-Q977)*($G$7-$E$7)*($G$7-$F$7))))</f>
        <v>1.12633602706964</v>
      </c>
      <c r="D977" s="37" t="n">
        <f aca="false">1+IF($G$8=$E$8,$F$8,IF(R977&lt;($F$8-$E$8)/($G$8-$E$8),$E$8+SQRT(R977*($G$8-$E$8)*($F$8-$E$8)),$G$8-SQRT((1-R977)*($G$8-$E$8)*($G$8-$F$8))))</f>
        <v>1.03408515771519</v>
      </c>
      <c r="E977" s="37" t="n">
        <f aca="false">1+IF($G$9=$E$9,$F$9,IF(S977&lt;($F$9-$E$9)/($G$9-$E$9),$E$9+SQRT(S977*($G$9-$E$9)*($F$9-$E$9)),$G$9-SQRT((1-S977)*($G$9-$E$9)*($G$9-$F$9))))</f>
        <v>1.02049217378057</v>
      </c>
      <c r="F977" s="37" t="n">
        <f aca="false">1+IF($G$10=$E$10,$F$10,IF(T977&lt;($F$10-$E$10)/($G$10-$E$10),$E$10+SQRT(T977*($G$10-$E$10)*($F$10-$E$10)),$G$10-SQRT((1-T977)*($G$10-$E$10)*($G$10-$F$10))))</f>
        <v>1.05812261721581</v>
      </c>
      <c r="G977" s="38" t="n">
        <f aca="false">IF($G$11=$E$11,$F$11,IF(U977&lt;($F$11-$E$11)/($G$11-$E$11),$E$11+SQRT(U977*($G$11-$E$11)*($F$11-$E$11)),$G$11-SQRT((1-U977)*($G$11-$E$11)*($G$11-$F$11))))</f>
        <v>0.106237126620448</v>
      </c>
      <c r="H977" s="39" t="n">
        <f aca="false">(('Business Case'!B11*$C977*'Business Case'!B12*$B977)-'Business Case'!B11*$C977*'Business Case'!B13*$D977-'Business Case'!B14*$E977)-MAX(0,(('Business Case'!B11*$C977*'Business Case'!B12*$B977)-'Business Case'!B11*$C977*'Business Case'!B13*$D977-'Business Case'!B14*$E977))*'Business Case'!$B$7-'Business Case'!$B$8*('Business Case'!B11*$C977*'Business Case'!B12*$B977)-'Business Case'!B15*$F977</f>
        <v>-2116245234.43162</v>
      </c>
      <c r="I977" s="39" t="n">
        <f aca="false">(('Business Case'!C11*$C977*'Business Case'!C12*$B977)-'Business Case'!C11*$C977*'Business Case'!C13*$D977-'Business Case'!C14*$E977)-MAX(0,(('Business Case'!C11*$C977*'Business Case'!C12*$B977)-'Business Case'!C11*$C977*'Business Case'!C13*$D977-'Business Case'!C14*$E977))*'Business Case'!$B$7-'Business Case'!$B$8*(('Business Case'!C11*$C977*'Business Case'!C12*$B977)-('Business Case'!B11*$C977*'Business Case'!B12*$B977))-'Business Case'!C15*$F977</f>
        <v>-37893239.8503415</v>
      </c>
      <c r="J977" s="39" t="n">
        <f aca="false">(('Business Case'!D11*$C977*'Business Case'!D12*$B977)-'Business Case'!D11*$C977*'Business Case'!D13*$D977-'Business Case'!D14*$E977)-MAX(0,(('Business Case'!D11*$C977*'Business Case'!D12*$B977)-'Business Case'!D11*$C977*'Business Case'!D13*$D977-'Business Case'!D14*$E977))*'Business Case'!$B$7-'Business Case'!$B$8*(('Business Case'!D11*$C977*'Business Case'!D12*$B977)-('Business Case'!C11*$C977*'Business Case'!C12*$B977))-'Business Case'!D15*$F977</f>
        <v>229820866.653306</v>
      </c>
      <c r="K977" s="39" t="n">
        <f aca="false">(('Business Case'!E11*$C977*'Business Case'!E12*$B977)-'Business Case'!E11*$C977*'Business Case'!E13*$D977-'Business Case'!E14*$E977)-MAX(0,(('Business Case'!E11*$C977*'Business Case'!E12*$B977)-'Business Case'!E11*$C977*'Business Case'!E13*$D977-'Business Case'!E14*$E977))*'Business Case'!$B$7-'Business Case'!$B$8*(('Business Case'!E11*$C977*'Business Case'!E12*$B977)-('Business Case'!D11*$C977*'Business Case'!D12*$B977))-'Business Case'!E15*$F977</f>
        <v>550441104.017745</v>
      </c>
      <c r="L977" s="39" t="n">
        <f aca="false">(('Business Case'!F11*$C977*'Business Case'!F12*$B977)-'Business Case'!F11*$C977*'Business Case'!F13*$D977-'Business Case'!F14*$E977)-MAX(0,(('Business Case'!F11*$C977*'Business Case'!F12*$B977)-'Business Case'!F11*$C977*'Business Case'!F13*$D977-'Business Case'!F14*$E977))*'Business Case'!$B$7-'Business Case'!$B$8*(('Business Case'!F11*$C977*'Business Case'!F12*$B977)-('Business Case'!E11*$C977*'Business Case'!E12*$B977))-'Business Case'!F15*$F977</f>
        <v>676133204.532834</v>
      </c>
      <c r="M977" s="39" t="n">
        <f aca="false">(('Business Case'!G11*$C977*'Business Case'!G12*$B977)-'Business Case'!G11*$C977*'Business Case'!G13*$D977-'Business Case'!G14*$E977)-MAX(0,(('Business Case'!G11*$C977*'Business Case'!G12*$B977)-'Business Case'!G11*$C977*'Business Case'!G13*$D977-'Business Case'!G14*$E977))*'Business Case'!$B$7-'Business Case'!$B$8*(('Business Case'!G11*$C977*'Business Case'!G12*$B977)-('Business Case'!F11*$C977*'Business Case'!F12*$B977))-'Business Case'!G15*$F977+'Business Case'!$B$8*('Business Case'!G11*$C977*'Business Case'!G12*$B977)</f>
        <v>876630562.10914</v>
      </c>
      <c r="N977" s="39" t="n">
        <f aca="false">IF(COUNT('Business Case'!B11:G11)=0,"",H977+NPV(G977,I977:M977))</f>
        <v>-575474868.902083</v>
      </c>
      <c r="P977" s="40" t="n">
        <f aca="true">RAND()</f>
        <v>0.0283332338463848</v>
      </c>
      <c r="Q977" s="40" t="n">
        <f aca="true">RAND()</f>
        <v>0.989333645431453</v>
      </c>
      <c r="R977" s="40" t="n">
        <f aca="true">RAND()</f>
        <v>0.797291082496265</v>
      </c>
      <c r="S977" s="40" t="n">
        <f aca="true">RAND()</f>
        <v>0.578567037990713</v>
      </c>
      <c r="T977" s="40" t="n">
        <f aca="true">RAND()</f>
        <v>0.597416165086179</v>
      </c>
      <c r="U977" s="40" t="n">
        <f aca="true">RAND()</f>
        <v>0.684305527230692</v>
      </c>
    </row>
    <row r="978" customFormat="false" ht="15" hidden="false" customHeight="false" outlineLevel="0" collapsed="false">
      <c r="A978" s="36" t="n">
        <v>898</v>
      </c>
      <c r="B978" s="37" t="n">
        <f aca="false">1+IF($G$6=$E$6,$F$6,IF(P978&lt;($F$6-$E$6)/($G$6-$E$6),$E$6+SQRT(P978*($G$6-$E$6)*($F$6-$E$6)),$G$6-SQRT((1-P978)*($G$6-$E$6)*($G$6-$F$6))))</f>
        <v>0.938797363504484</v>
      </c>
      <c r="C978" s="37" t="n">
        <f aca="false">1+IF($G$7=$E$7,$F$7,IF(Q978&lt;($F$7-$E$7)/($G$7-$E$7),$E$7+SQRT(Q978*($G$7-$E$7)*($F$7-$E$7)),$G$7-SQRT((1-Q978)*($G$7-$E$7)*($G$7-$F$7))))</f>
        <v>1.03454258295467</v>
      </c>
      <c r="D978" s="37" t="n">
        <f aca="false">1+IF($G$8=$E$8,$F$8,IF(R978&lt;($F$8-$E$8)/($G$8-$E$8),$E$8+SQRT(R978*($G$8-$E$8)*($F$8-$E$8)),$G$8-SQRT((1-R978)*($G$8-$E$8)*($G$8-$F$8))))</f>
        <v>0.953964034424114</v>
      </c>
      <c r="E978" s="37" t="n">
        <f aca="false">1+IF($G$9=$E$9,$F$9,IF(S978&lt;($F$9-$E$9)/($G$9-$E$9),$E$9+SQRT(S978*($G$9-$E$9)*($F$9-$E$9)),$G$9-SQRT((1-S978)*($G$9-$E$9)*($G$9-$F$9))))</f>
        <v>1.05325105150525</v>
      </c>
      <c r="F978" s="37" t="n">
        <f aca="false">1+IF($G$10=$E$10,$F$10,IF(T978&lt;($F$10-$E$10)/($G$10-$E$10),$E$10+SQRT(T978*($G$10-$E$10)*($F$10-$E$10)),$G$10-SQRT((1-T978)*($G$10-$E$10)*($G$10-$F$10))))</f>
        <v>1.06846148476092</v>
      </c>
      <c r="G978" s="38" t="n">
        <f aca="false">IF($G$11=$E$11,$F$11,IF(U978&lt;($F$11-$E$11)/($G$11-$E$11),$E$11+SQRT(U978*($G$11-$E$11)*($F$11-$E$11)),$G$11-SQRT((1-U978)*($G$11-$E$11)*($G$11-$F$11))))</f>
        <v>0.0922867425177813</v>
      </c>
      <c r="H978" s="39" t="n">
        <f aca="false">(('Business Case'!B11*$C978*'Business Case'!B12*$B978)-'Business Case'!B11*$C978*'Business Case'!B13*$D978-'Business Case'!B14*$E978)-MAX(0,(('Business Case'!B11*$C978*'Business Case'!B12*$B978)-'Business Case'!B11*$C978*'Business Case'!B13*$D978-'Business Case'!B14*$E978))*'Business Case'!$B$7-'Business Case'!$B$8*('Business Case'!B11*$C978*'Business Case'!B12*$B978)-'Business Case'!B15*$F978</f>
        <v>-2136922969.52183</v>
      </c>
      <c r="I978" s="39" t="n">
        <f aca="false">(('Business Case'!C11*$C978*'Business Case'!C12*$B978)-'Business Case'!C11*$C978*'Business Case'!C13*$D978-'Business Case'!C14*$E978)-MAX(0,(('Business Case'!C11*$C978*'Business Case'!C12*$B978)-'Business Case'!C11*$C978*'Business Case'!C13*$D978-'Business Case'!C14*$E978))*'Business Case'!$B$7-'Business Case'!$B$8*(('Business Case'!C11*$C978*'Business Case'!C12*$B978)-('Business Case'!B11*$C978*'Business Case'!B12*$B978))-'Business Case'!C15*$F978</f>
        <v>-16685148.9724088</v>
      </c>
      <c r="J978" s="39" t="n">
        <f aca="false">(('Business Case'!D11*$C978*'Business Case'!D12*$B978)-'Business Case'!D11*$C978*'Business Case'!D13*$D978-'Business Case'!D14*$E978)-MAX(0,(('Business Case'!D11*$C978*'Business Case'!D12*$B978)-'Business Case'!D11*$C978*'Business Case'!D13*$D978-'Business Case'!D14*$E978))*'Business Case'!$B$7-'Business Case'!$B$8*(('Business Case'!D11*$C978*'Business Case'!D12*$B978)-('Business Case'!C11*$C978*'Business Case'!C12*$B978))-'Business Case'!D15*$F978</f>
        <v>273596498.083601</v>
      </c>
      <c r="K978" s="39" t="n">
        <f aca="false">(('Business Case'!E11*$C978*'Business Case'!E12*$B978)-'Business Case'!E11*$C978*'Business Case'!E13*$D978-'Business Case'!E14*$E978)-MAX(0,(('Business Case'!E11*$C978*'Business Case'!E12*$B978)-'Business Case'!E11*$C978*'Business Case'!E13*$D978-'Business Case'!E14*$E978))*'Business Case'!$B$7-'Business Case'!$B$8*(('Business Case'!E11*$C978*'Business Case'!E12*$B978)-('Business Case'!D11*$C978*'Business Case'!D12*$B978))-'Business Case'!E15*$F978</f>
        <v>617301219.377655</v>
      </c>
      <c r="L978" s="39" t="n">
        <f aca="false">(('Business Case'!F11*$C978*'Business Case'!F12*$B978)-'Business Case'!F11*$C978*'Business Case'!F13*$D978-'Business Case'!F14*$E978)-MAX(0,(('Business Case'!F11*$C978*'Business Case'!F12*$B978)-'Business Case'!F11*$C978*'Business Case'!F13*$D978-'Business Case'!F14*$E978))*'Business Case'!$B$7-'Business Case'!$B$8*(('Business Case'!F11*$C978*'Business Case'!F12*$B978)-('Business Case'!E11*$C978*'Business Case'!E12*$B978))-'Business Case'!F15*$F978</f>
        <v>747627333.748512</v>
      </c>
      <c r="M978" s="39" t="n">
        <f aca="false">(('Business Case'!G11*$C978*'Business Case'!G12*$B978)-'Business Case'!G11*$C978*'Business Case'!G13*$D978-'Business Case'!G14*$E978)-MAX(0,(('Business Case'!G11*$C978*'Business Case'!G12*$B978)-'Business Case'!G11*$C978*'Business Case'!G13*$D978-'Business Case'!G14*$E978))*'Business Case'!$B$7-'Business Case'!$B$8*(('Business Case'!G11*$C978*'Business Case'!G12*$B978)-('Business Case'!F11*$C978*'Business Case'!F12*$B978))-'Business Case'!G15*$F978+'Business Case'!$B$8*('Business Case'!G11*$C978*'Business Case'!G12*$B978)</f>
        <v>932237943.18554</v>
      </c>
      <c r="N978" s="39" t="n">
        <f aca="false">IF(COUNT('Business Case'!B11:G11)=0,"",H978+NPV(G978,I978:M978))</f>
        <v>-324406983.822171</v>
      </c>
      <c r="P978" s="40" t="n">
        <f aca="true">RAND()</f>
        <v>0.0368063411166367</v>
      </c>
      <c r="Q978" s="40" t="n">
        <f aca="true">RAND()</f>
        <v>0.746087330461351</v>
      </c>
      <c r="R978" s="40" t="n">
        <f aca="true">RAND()</f>
        <v>0.00241747214085517</v>
      </c>
      <c r="S978" s="40" t="n">
        <f aca="true">RAND()</f>
        <v>0.854302387642318</v>
      </c>
      <c r="T978" s="40" t="n">
        <f aca="true">RAND()</f>
        <v>0.653952380173953</v>
      </c>
      <c r="U978" s="40" t="n">
        <f aca="true">RAND()</f>
        <v>0.0174306378087622</v>
      </c>
    </row>
    <row r="979" customFormat="false" ht="15" hidden="false" customHeight="false" outlineLevel="0" collapsed="false">
      <c r="A979" s="36" t="n">
        <v>899</v>
      </c>
      <c r="B979" s="37" t="n">
        <f aca="false">1+IF($G$6=$E$6,$F$6,IF(P979&lt;($F$6-$E$6)/($G$6-$E$6),$E$6+SQRT(P979*($G$6-$E$6)*($F$6-$E$6)),$G$6-SQRT((1-P979)*($G$6-$E$6)*($G$6-$F$6))))</f>
        <v>0.932697984388824</v>
      </c>
      <c r="C979" s="37" t="n">
        <f aca="false">1+IF($G$7=$E$7,$F$7,IF(Q979&lt;($F$7-$E$7)/($G$7-$E$7),$E$7+SQRT(Q979*($G$7-$E$7)*($F$7-$E$7)),$G$7-SQRT((1-Q979)*($G$7-$E$7)*($G$7-$F$7))))</f>
        <v>1.02228992806456</v>
      </c>
      <c r="D979" s="37" t="n">
        <f aca="false">1+IF($G$8=$E$8,$F$8,IF(R979&lt;($F$8-$E$8)/($G$8-$E$8),$E$8+SQRT(R979*($G$8-$E$8)*($F$8-$E$8)),$G$8-SQRT((1-R979)*($G$8-$E$8)*($G$8-$F$8))))</f>
        <v>0.970864611131085</v>
      </c>
      <c r="E979" s="37" t="n">
        <f aca="false">1+IF($G$9=$E$9,$F$9,IF(S979&lt;($F$9-$E$9)/($G$9-$E$9),$E$9+SQRT(S979*($G$9-$E$9)*($F$9-$E$9)),$G$9-SQRT((1-S979)*($G$9-$E$9)*($G$9-$F$9))))</f>
        <v>1.0065761988204</v>
      </c>
      <c r="F979" s="37" t="n">
        <f aca="false">1+IF($G$10=$E$10,$F$10,IF(T979&lt;($F$10-$E$10)/($G$10-$E$10),$E$10+SQRT(T979*($G$10-$E$10)*($F$10-$E$10)),$G$10-SQRT((1-T979)*($G$10-$E$10)*($G$10-$F$10))))</f>
        <v>0.971961297736765</v>
      </c>
      <c r="G979" s="38" t="n">
        <f aca="false">IF($G$11=$E$11,$F$11,IF(U979&lt;($F$11-$E$11)/($G$11-$E$11),$E$11+SQRT(U979*($G$11-$E$11)*($F$11-$E$11)),$G$11-SQRT((1-U979)*($G$11-$E$11)*($G$11-$F$11))))</f>
        <v>0.108552641641252</v>
      </c>
      <c r="H979" s="39" t="n">
        <f aca="false">(('Business Case'!B11*$C979*'Business Case'!B12*$B979)-'Business Case'!B11*$C979*'Business Case'!B13*$D979-'Business Case'!B14*$E979)-MAX(0,(('Business Case'!B11*$C979*'Business Case'!B12*$B979)-'Business Case'!B11*$C979*'Business Case'!B13*$D979-'Business Case'!B14*$E979))*'Business Case'!$B$7-'Business Case'!$B$8*('Business Case'!B11*$C979*'Business Case'!B12*$B979)-'Business Case'!B15*$F979</f>
        <v>-1943922595.47353</v>
      </c>
      <c r="I979" s="39" t="n">
        <f aca="false">(('Business Case'!C11*$C979*'Business Case'!C12*$B979)-'Business Case'!C11*$C979*'Business Case'!C13*$D979-'Business Case'!C14*$E979)-MAX(0,(('Business Case'!C11*$C979*'Business Case'!C12*$B979)-'Business Case'!C11*$C979*'Business Case'!C13*$D979-'Business Case'!C14*$E979))*'Business Case'!$B$7-'Business Case'!$B$8*(('Business Case'!C11*$C979*'Business Case'!C12*$B979)-('Business Case'!B11*$C979*'Business Case'!B12*$B979))-'Business Case'!C15*$F979</f>
        <v>-16868165.4097665</v>
      </c>
      <c r="J979" s="39" t="n">
        <f aca="false">(('Business Case'!D11*$C979*'Business Case'!D12*$B979)-'Business Case'!D11*$C979*'Business Case'!D13*$D979-'Business Case'!D14*$E979)-MAX(0,(('Business Case'!D11*$C979*'Business Case'!D12*$B979)-'Business Case'!D11*$C979*'Business Case'!D13*$D979-'Business Case'!D14*$E979))*'Business Case'!$B$7-'Business Case'!$B$8*(('Business Case'!D11*$C979*'Business Case'!D12*$B979)-('Business Case'!C11*$C979*'Business Case'!C12*$B979))-'Business Case'!D15*$F979</f>
        <v>256023739.66462</v>
      </c>
      <c r="K979" s="39" t="n">
        <f aca="false">(('Business Case'!E11*$C979*'Business Case'!E12*$B979)-'Business Case'!E11*$C979*'Business Case'!E13*$D979-'Business Case'!E14*$E979)-MAX(0,(('Business Case'!E11*$C979*'Business Case'!E12*$B979)-'Business Case'!E11*$C979*'Business Case'!E13*$D979-'Business Case'!E14*$E979))*'Business Case'!$B$7-'Business Case'!$B$8*(('Business Case'!E11*$C979*'Business Case'!E12*$B979)-('Business Case'!D11*$C979*'Business Case'!D12*$B979))-'Business Case'!E15*$F979</f>
        <v>577513709.625846</v>
      </c>
      <c r="L979" s="39" t="n">
        <f aca="false">(('Business Case'!F11*$C979*'Business Case'!F12*$B979)-'Business Case'!F11*$C979*'Business Case'!F13*$D979-'Business Case'!F14*$E979)-MAX(0,(('Business Case'!F11*$C979*'Business Case'!F12*$B979)-'Business Case'!F11*$C979*'Business Case'!F13*$D979-'Business Case'!F14*$E979))*'Business Case'!$B$7-'Business Case'!$B$8*(('Business Case'!F11*$C979*'Business Case'!F12*$B979)-('Business Case'!E11*$C979*'Business Case'!E12*$B979))-'Business Case'!F15*$F979</f>
        <v>701430214.809452</v>
      </c>
      <c r="M979" s="39" t="n">
        <f aca="false">(('Business Case'!G11*$C979*'Business Case'!G12*$B979)-'Business Case'!G11*$C979*'Business Case'!G13*$D979-'Business Case'!G14*$E979)-MAX(0,(('Business Case'!G11*$C979*'Business Case'!G12*$B979)-'Business Case'!G11*$C979*'Business Case'!G13*$D979-'Business Case'!G14*$E979))*'Business Case'!$B$7-'Business Case'!$B$8*(('Business Case'!G11*$C979*'Business Case'!G12*$B979)-('Business Case'!F11*$C979*'Business Case'!F12*$B979))-'Business Case'!G15*$F979+'Business Case'!$B$8*('Business Case'!G11*$C979*'Business Case'!G12*$B979)</f>
        <v>882669167.349575</v>
      </c>
      <c r="N979" s="39" t="n">
        <f aca="false">IF(COUNT('Business Case'!B11:G11)=0,"",H979+NPV(G979,I979:M979))</f>
        <v>-335150875.704937</v>
      </c>
      <c r="P979" s="40" t="n">
        <f aca="true">RAND()</f>
        <v>0.0167957091186254</v>
      </c>
      <c r="Q979" s="40" t="n">
        <f aca="true">RAND()</f>
        <v>0.689335952880855</v>
      </c>
      <c r="R979" s="40" t="n">
        <f aca="true">RAND()</f>
        <v>0.0669741534848269</v>
      </c>
      <c r="S979" s="40" t="n">
        <f aca="true">RAND()</f>
        <v>0.418132891543687</v>
      </c>
      <c r="T979" s="40" t="n">
        <f aca="true">RAND()</f>
        <v>0.0385838878626279</v>
      </c>
      <c r="U979" s="40" t="n">
        <f aca="true">RAND()</f>
        <v>0.781596644344021</v>
      </c>
    </row>
    <row r="980" customFormat="false" ht="15" hidden="false" customHeight="false" outlineLevel="0" collapsed="false">
      <c r="A980" s="36" t="n">
        <v>900</v>
      </c>
      <c r="B980" s="37" t="n">
        <f aca="false">1+IF($G$6=$E$6,$F$6,IF(P980&lt;($F$6-$E$6)/($G$6-$E$6),$E$6+SQRT(P980*($G$6-$E$6)*($F$6-$E$6)),$G$6-SQRT((1-P980)*($G$6-$E$6)*($G$6-$F$6))))</f>
        <v>0.989444480232901</v>
      </c>
      <c r="C980" s="37" t="n">
        <f aca="false">1+IF($G$7=$E$7,$F$7,IF(Q980&lt;($F$7-$E$7)/($G$7-$E$7),$E$7+SQRT(Q980*($G$7-$E$7)*($F$7-$E$7)),$G$7-SQRT((1-Q980)*($G$7-$E$7)*($G$7-$F$7))))</f>
        <v>1.00424937024072</v>
      </c>
      <c r="D980" s="37" t="n">
        <f aca="false">1+IF($G$8=$E$8,$F$8,IF(R980&lt;($F$8-$E$8)/($G$8-$E$8),$E$8+SQRT(R980*($G$8-$E$8)*($F$8-$E$8)),$G$8-SQRT((1-R980)*($G$8-$E$8)*($G$8-$F$8))))</f>
        <v>1.00831353228693</v>
      </c>
      <c r="E980" s="37" t="n">
        <f aca="false">1+IF($G$9=$E$9,$F$9,IF(S980&lt;($F$9-$E$9)/($G$9-$E$9),$E$9+SQRT(S980*($G$9-$E$9)*($F$9-$E$9)),$G$9-SQRT((1-S980)*($G$9-$E$9)*($G$9-$F$9))))</f>
        <v>1.0072075390845</v>
      </c>
      <c r="F980" s="37" t="n">
        <f aca="false">1+IF($G$10=$E$10,$F$10,IF(T980&lt;($F$10-$E$10)/($G$10-$E$10),$E$10+SQRT(T980*($G$10-$E$10)*($F$10-$E$10)),$G$10-SQRT((1-T980)*($G$10-$E$10)*($G$10-$F$10))))</f>
        <v>1.10159495314871</v>
      </c>
      <c r="G980" s="38" t="n">
        <f aca="false">IF($G$11=$E$11,$F$11,IF(U980&lt;($F$11-$E$11)/($G$11-$E$11),$E$11+SQRT(U980*($G$11-$E$11)*($F$11-$E$11)),$G$11-SQRT((1-U980)*($G$11-$E$11)*($G$11-$F$11))))</f>
        <v>0.0966693486018175</v>
      </c>
      <c r="H980" s="39" t="n">
        <f aca="false">(('Business Case'!B11*$C980*'Business Case'!B12*$B980)-'Business Case'!B11*$C980*'Business Case'!B13*$D980-'Business Case'!B14*$E980)-MAX(0,(('Business Case'!B11*$C980*'Business Case'!B12*$B980)-'Business Case'!B11*$C980*'Business Case'!B13*$D980-'Business Case'!B14*$E980))*'Business Case'!$B$7-'Business Case'!$B$8*('Business Case'!B11*$C980*'Business Case'!B12*$B980)-'Business Case'!B15*$F980</f>
        <v>-2203189906.29742</v>
      </c>
      <c r="I980" s="39" t="n">
        <f aca="false">(('Business Case'!C11*$C980*'Business Case'!C12*$B980)-'Business Case'!C11*$C980*'Business Case'!C13*$D980-'Business Case'!C14*$E980)-MAX(0,(('Business Case'!C11*$C980*'Business Case'!C12*$B980)-'Business Case'!C11*$C980*'Business Case'!C13*$D980-'Business Case'!C14*$E980))*'Business Case'!$B$7-'Business Case'!$B$8*(('Business Case'!C11*$C980*'Business Case'!C12*$B980)-('Business Case'!B11*$C980*'Business Case'!B12*$B980))-'Business Case'!C15*$F980</f>
        <v>-9394386.55072801</v>
      </c>
      <c r="J980" s="39" t="n">
        <f aca="false">(('Business Case'!D11*$C980*'Business Case'!D12*$B980)-'Business Case'!D11*$C980*'Business Case'!D13*$D980-'Business Case'!D14*$E980)-MAX(0,(('Business Case'!D11*$C980*'Business Case'!D12*$B980)-'Business Case'!D11*$C980*'Business Case'!D13*$D980-'Business Case'!D14*$E980))*'Business Case'!$B$7-'Business Case'!$B$8*(('Business Case'!D11*$C980*'Business Case'!D12*$B980)-('Business Case'!C11*$C980*'Business Case'!C12*$B980))-'Business Case'!D15*$F980</f>
        <v>286106398.232272</v>
      </c>
      <c r="K980" s="39" t="n">
        <f aca="false">(('Business Case'!E11*$C980*'Business Case'!E12*$B980)-'Business Case'!E11*$C980*'Business Case'!E13*$D980-'Business Case'!E14*$E980)-MAX(0,(('Business Case'!E11*$C980*'Business Case'!E12*$B980)-'Business Case'!E11*$C980*'Business Case'!E13*$D980-'Business Case'!E14*$E980))*'Business Case'!$B$7-'Business Case'!$B$8*(('Business Case'!E11*$C980*'Business Case'!E12*$B980)-('Business Case'!D11*$C980*'Business Case'!D12*$B980))-'Business Case'!E15*$F980</f>
        <v>636686930.672707</v>
      </c>
      <c r="L980" s="39" t="n">
        <f aca="false">(('Business Case'!F11*$C980*'Business Case'!F12*$B980)-'Business Case'!F11*$C980*'Business Case'!F13*$D980-'Business Case'!F14*$E980)-MAX(0,(('Business Case'!F11*$C980*'Business Case'!F12*$B980)-'Business Case'!F11*$C980*'Business Case'!F13*$D980-'Business Case'!F14*$E980))*'Business Case'!$B$7-'Business Case'!$B$8*(('Business Case'!F11*$C980*'Business Case'!F12*$B980)-('Business Case'!E11*$C980*'Business Case'!E12*$B980))-'Business Case'!F15*$F980</f>
        <v>769527701.5744</v>
      </c>
      <c r="M980" s="39" t="n">
        <f aca="false">(('Business Case'!G11*$C980*'Business Case'!G12*$B980)-'Business Case'!G11*$C980*'Business Case'!G13*$D980-'Business Case'!G14*$E980)-MAX(0,(('Business Case'!G11*$C980*'Business Case'!G12*$B980)-'Business Case'!G11*$C980*'Business Case'!G13*$D980-'Business Case'!G14*$E980))*'Business Case'!$B$7-'Business Case'!$B$8*(('Business Case'!G11*$C980*'Business Case'!G12*$B980)-('Business Case'!F11*$C980*'Business Case'!F12*$B980))-'Business Case'!G15*$F980+'Business Case'!$B$8*('Business Case'!G11*$C980*'Business Case'!G12*$B980)</f>
        <v>958400502.764882</v>
      </c>
      <c r="N980" s="39" t="n">
        <f aca="false">IF(COUNT('Business Case'!B11:G11)=0,"",H980+NPV(G980,I980:M980))</f>
        <v>-354947272.708798</v>
      </c>
      <c r="P980" s="40" t="n">
        <f aca="true">RAND()</f>
        <v>0.502347482793514</v>
      </c>
      <c r="Q980" s="40" t="n">
        <f aca="true">RAND()</f>
        <v>0.595366741424254</v>
      </c>
      <c r="R980" s="40" t="n">
        <f aca="true">RAND()</f>
        <v>0.505870225656061</v>
      </c>
      <c r="S980" s="40" t="n">
        <f aca="true">RAND()</f>
        <v>0.42597061314972</v>
      </c>
      <c r="T980" s="40" t="n">
        <f aca="true">RAND()</f>
        <v>0.806328935083904</v>
      </c>
      <c r="U980" s="40" t="n">
        <f aca="true">RAND()</f>
        <v>0.148267369241885</v>
      </c>
    </row>
    <row r="981" customFormat="false" ht="15" hidden="false" customHeight="false" outlineLevel="0" collapsed="false">
      <c r="A981" s="36" t="n">
        <v>901</v>
      </c>
      <c r="B981" s="37" t="n">
        <f aca="false">1+IF($G$6=$E$6,$F$6,IF(P981&lt;($F$6-$E$6)/($G$6-$E$6),$E$6+SQRT(P981*($G$6-$E$6)*($F$6-$E$6)),$G$6-SQRT((1-P981)*($G$6-$E$6)*($G$6-$F$6))))</f>
        <v>0.975746870048192</v>
      </c>
      <c r="C981" s="37" t="n">
        <f aca="false">1+IF($G$7=$E$7,$F$7,IF(Q981&lt;($F$7-$E$7)/($G$7-$E$7),$E$7+SQRT(Q981*($G$7-$E$7)*($F$7-$E$7)),$G$7-SQRT((1-Q981)*($G$7-$E$7)*($G$7-$F$7))))</f>
        <v>1.02347573871564</v>
      </c>
      <c r="D981" s="37" t="n">
        <f aca="false">1+IF($G$8=$E$8,$F$8,IF(R981&lt;($F$8-$E$8)/($G$8-$E$8),$E$8+SQRT(R981*($G$8-$E$8)*($F$8-$E$8)),$G$8-SQRT((1-R981)*($G$8-$E$8)*($G$8-$F$8))))</f>
        <v>0.958072224161755</v>
      </c>
      <c r="E981" s="37" t="n">
        <f aca="false">1+IF($G$9=$E$9,$F$9,IF(S981&lt;($F$9-$E$9)/($G$9-$E$9),$E$9+SQRT(S981*($G$9-$E$9)*($F$9-$E$9)),$G$9-SQRT((1-S981)*($G$9-$E$9)*($G$9-$F$9))))</f>
        <v>1.02274256642875</v>
      </c>
      <c r="F981" s="37" t="n">
        <f aca="false">1+IF($G$10=$E$10,$F$10,IF(T981&lt;($F$10-$E$10)/($G$10-$E$10),$E$10+SQRT(T981*($G$10-$E$10)*($F$10-$E$10)),$G$10-SQRT((1-T981)*($G$10-$E$10)*($G$10-$F$10))))</f>
        <v>1.10648602854633</v>
      </c>
      <c r="G981" s="38" t="n">
        <f aca="false">IF($G$11=$E$11,$F$11,IF(U981&lt;($F$11-$E$11)/($G$11-$E$11),$E$11+SQRT(U981*($G$11-$E$11)*($F$11-$E$11)),$G$11-SQRT((1-U981)*($G$11-$E$11)*($G$11-$F$11))))</f>
        <v>0.107189659094179</v>
      </c>
      <c r="H981" s="39" t="n">
        <f aca="false">(('Business Case'!B11*$C981*'Business Case'!B12*$B981)-'Business Case'!B11*$C981*'Business Case'!B13*$D981-'Business Case'!B14*$E981)-MAX(0,(('Business Case'!B11*$C981*'Business Case'!B12*$B981)-'Business Case'!B11*$C981*'Business Case'!B13*$D981-'Business Case'!B14*$E981))*'Business Case'!$B$7-'Business Case'!$B$8*('Business Case'!B11*$C981*'Business Case'!B12*$B981)-'Business Case'!B15*$F981</f>
        <v>-2212972057.09265</v>
      </c>
      <c r="I981" s="39" t="n">
        <f aca="false">(('Business Case'!C11*$C981*'Business Case'!C12*$B981)-'Business Case'!C11*$C981*'Business Case'!C13*$D981-'Business Case'!C14*$E981)-MAX(0,(('Business Case'!C11*$C981*'Business Case'!C12*$B981)-'Business Case'!C11*$C981*'Business Case'!C13*$D981-'Business Case'!C14*$E981))*'Business Case'!$B$7-'Business Case'!$B$8*(('Business Case'!C11*$C981*'Business Case'!C12*$B981)-('Business Case'!B11*$C981*'Business Case'!B12*$B981))-'Business Case'!C15*$F981</f>
        <v>8145975.72833301</v>
      </c>
      <c r="J981" s="39" t="n">
        <f aca="false">(('Business Case'!D11*$C981*'Business Case'!D12*$B981)-'Business Case'!D11*$C981*'Business Case'!D13*$D981-'Business Case'!D14*$E981)-MAX(0,(('Business Case'!D11*$C981*'Business Case'!D12*$B981)-'Business Case'!D11*$C981*'Business Case'!D13*$D981-'Business Case'!D14*$E981))*'Business Case'!$B$7-'Business Case'!$B$8*(('Business Case'!D11*$C981*'Business Case'!D12*$B981)-('Business Case'!C11*$C981*'Business Case'!C12*$B981))-'Business Case'!D15*$F981</f>
        <v>324144731.666035</v>
      </c>
      <c r="K981" s="39" t="n">
        <f aca="false">(('Business Case'!E11*$C981*'Business Case'!E12*$B981)-'Business Case'!E11*$C981*'Business Case'!E13*$D981-'Business Case'!E14*$E981)-MAX(0,(('Business Case'!E11*$C981*'Business Case'!E12*$B981)-'Business Case'!E11*$C981*'Business Case'!E13*$D981-'Business Case'!E14*$E981))*'Business Case'!$B$7-'Business Case'!$B$8*(('Business Case'!E11*$C981*'Business Case'!E12*$B981)-('Business Case'!D11*$C981*'Business Case'!D12*$B981))-'Business Case'!E15*$F981</f>
        <v>695467789.031053</v>
      </c>
      <c r="L981" s="39" t="n">
        <f aca="false">(('Business Case'!F11*$C981*'Business Case'!F12*$B981)-'Business Case'!F11*$C981*'Business Case'!F13*$D981-'Business Case'!F14*$E981)-MAX(0,(('Business Case'!F11*$C981*'Business Case'!F12*$B981)-'Business Case'!F11*$C981*'Business Case'!F13*$D981-'Business Case'!F14*$E981))*'Business Case'!$B$7-'Business Case'!$B$8*(('Business Case'!F11*$C981*'Business Case'!F12*$B981)-('Business Case'!E11*$C981*'Business Case'!E12*$B981))-'Business Case'!F15*$F981</f>
        <v>835314163.949331</v>
      </c>
      <c r="M981" s="39" t="n">
        <f aca="false">(('Business Case'!G11*$C981*'Business Case'!G12*$B981)-'Business Case'!G11*$C981*'Business Case'!G13*$D981-'Business Case'!G14*$E981)-MAX(0,(('Business Case'!G11*$C981*'Business Case'!G12*$B981)-'Business Case'!G11*$C981*'Business Case'!G13*$D981-'Business Case'!G14*$E981))*'Business Case'!$B$7-'Business Case'!$B$8*(('Business Case'!G11*$C981*'Business Case'!G12*$B981)-('Business Case'!F11*$C981*'Business Case'!F12*$B981))-'Business Case'!G15*$F981+'Business Case'!$B$8*('Business Case'!G11*$C981*'Business Case'!G12*$B981)</f>
        <v>1025138173.44741</v>
      </c>
      <c r="N981" s="39" t="n">
        <f aca="false">IF(COUNT('Business Case'!B11:G11)=0,"",H981+NPV(G981,I981:M981))</f>
        <v>-256806928.724235</v>
      </c>
      <c r="P981" s="40" t="n">
        <f aca="true">RAND()</f>
        <v>0.323720158351045</v>
      </c>
      <c r="Q981" s="40" t="n">
        <f aca="true">RAND()</f>
        <v>0.695078310599014</v>
      </c>
      <c r="R981" s="40" t="n">
        <f aca="true">RAND()</f>
        <v>0.0100247389104023</v>
      </c>
      <c r="S981" s="40" t="n">
        <f aca="true">RAND()</f>
        <v>0.602085930532291</v>
      </c>
      <c r="T981" s="40" t="n">
        <f aca="true">RAND()</f>
        <v>0.825102742859234</v>
      </c>
      <c r="U981" s="40" t="n">
        <f aca="true">RAND()</f>
        <v>0.726491943127754</v>
      </c>
    </row>
    <row r="982" customFormat="false" ht="15" hidden="false" customHeight="false" outlineLevel="0" collapsed="false">
      <c r="A982" s="36" t="n">
        <v>902</v>
      </c>
      <c r="B982" s="37" t="n">
        <f aca="false">1+IF($G$6=$E$6,$F$6,IF(P982&lt;($F$6-$E$6)/($G$6-$E$6),$E$6+SQRT(P982*($G$6-$E$6)*($F$6-$E$6)),$G$6-SQRT((1-P982)*($G$6-$E$6)*($G$6-$F$6))))</f>
        <v>0.999455942427425</v>
      </c>
      <c r="C982" s="37" t="n">
        <f aca="false">1+IF($G$7=$E$7,$F$7,IF(Q982&lt;($F$7-$E$7)/($G$7-$E$7),$E$7+SQRT(Q982*($G$7-$E$7)*($F$7-$E$7)),$G$7-SQRT((1-Q982)*($G$7-$E$7)*($G$7-$F$7))))</f>
        <v>1.01782624322679</v>
      </c>
      <c r="D982" s="37" t="n">
        <f aca="false">1+IF($G$8=$E$8,$F$8,IF(R982&lt;($F$8-$E$8)/($G$8-$E$8),$E$8+SQRT(R982*($G$8-$E$8)*($F$8-$E$8)),$G$8-SQRT((1-R982)*($G$8-$E$8)*($G$8-$F$8))))</f>
        <v>1.0372014738464</v>
      </c>
      <c r="E982" s="37" t="n">
        <f aca="false">1+IF($G$9=$E$9,$F$9,IF(S982&lt;($F$9-$E$9)/($G$9-$E$9),$E$9+SQRT(S982*($G$9-$E$9)*($F$9-$E$9)),$G$9-SQRT((1-S982)*($G$9-$E$9)*($G$9-$F$9))))</f>
        <v>1.06743847011487</v>
      </c>
      <c r="F982" s="37" t="n">
        <f aca="false">1+IF($G$10=$E$10,$F$10,IF(T982&lt;($F$10-$E$10)/($G$10-$E$10),$E$10+SQRT(T982*($G$10-$E$10)*($F$10-$E$10)),$G$10-SQRT((1-T982)*($G$10-$E$10)*($G$10-$F$10))))</f>
        <v>0.995995527273702</v>
      </c>
      <c r="G982" s="38" t="n">
        <f aca="false">IF($G$11=$E$11,$F$11,IF(U982&lt;($F$11-$E$11)/($G$11-$E$11),$E$11+SQRT(U982*($G$11-$E$11)*($F$11-$E$11)),$G$11-SQRT((1-U982)*($G$11-$E$11)*($G$11-$F$11))))</f>
        <v>0.111064433352633</v>
      </c>
      <c r="H982" s="39" t="n">
        <f aca="false">(('Business Case'!B11*$C982*'Business Case'!B12*$B982)-'Business Case'!B11*$C982*'Business Case'!B13*$D982-'Business Case'!B14*$E982)-MAX(0,(('Business Case'!B11*$C982*'Business Case'!B12*$B982)-'Business Case'!B11*$C982*'Business Case'!B13*$D982-'Business Case'!B14*$E982))*'Business Case'!$B$7-'Business Case'!$B$8*('Business Case'!B11*$C982*'Business Case'!B12*$B982)-'Business Case'!B15*$F982</f>
        <v>-1991991054.5474</v>
      </c>
      <c r="I982" s="39" t="n">
        <f aca="false">(('Business Case'!C11*$C982*'Business Case'!C12*$B982)-'Business Case'!C11*$C982*'Business Case'!C13*$D982-'Business Case'!C14*$E982)-MAX(0,(('Business Case'!C11*$C982*'Business Case'!C12*$B982)-'Business Case'!C11*$C982*'Business Case'!C13*$D982-'Business Case'!C14*$E982))*'Business Case'!$B$7-'Business Case'!$B$8*(('Business Case'!C11*$C982*'Business Case'!C12*$B982)-('Business Case'!B11*$C982*'Business Case'!B12*$B982))-'Business Case'!C15*$F982</f>
        <v>-11334573.3973642</v>
      </c>
      <c r="J982" s="39" t="n">
        <f aca="false">(('Business Case'!D11*$C982*'Business Case'!D12*$B982)-'Business Case'!D11*$C982*'Business Case'!D13*$D982-'Business Case'!D14*$E982)-MAX(0,(('Business Case'!D11*$C982*'Business Case'!D12*$B982)-'Business Case'!D11*$C982*'Business Case'!D13*$D982-'Business Case'!D14*$E982))*'Business Case'!$B$7-'Business Case'!$B$8*(('Business Case'!D11*$C982*'Business Case'!D12*$B982)-('Business Case'!C11*$C982*'Business Case'!C12*$B982))-'Business Case'!D15*$F982</f>
        <v>281455562.116915</v>
      </c>
      <c r="K982" s="39" t="n">
        <f aca="false">(('Business Case'!E11*$C982*'Business Case'!E12*$B982)-'Business Case'!E11*$C982*'Business Case'!E13*$D982-'Business Case'!E14*$E982)-MAX(0,(('Business Case'!E11*$C982*'Business Case'!E12*$B982)-'Business Case'!E11*$C982*'Business Case'!E13*$D982-'Business Case'!E14*$E982))*'Business Case'!$B$7-'Business Case'!$B$8*(('Business Case'!E11*$C982*'Business Case'!E12*$B982)-('Business Case'!D11*$C982*'Business Case'!D12*$B982))-'Business Case'!E15*$F982</f>
        <v>624045473.99488</v>
      </c>
      <c r="L982" s="39" t="n">
        <f aca="false">(('Business Case'!F11*$C982*'Business Case'!F12*$B982)-'Business Case'!F11*$C982*'Business Case'!F13*$D982-'Business Case'!F14*$E982)-MAX(0,(('Business Case'!F11*$C982*'Business Case'!F12*$B982)-'Business Case'!F11*$C982*'Business Case'!F13*$D982-'Business Case'!F14*$E982))*'Business Case'!$B$7-'Business Case'!$B$8*(('Business Case'!F11*$C982*'Business Case'!F12*$B982)-('Business Case'!E11*$C982*'Business Case'!E12*$B982))-'Business Case'!F15*$F982</f>
        <v>756799122.988931</v>
      </c>
      <c r="M982" s="39" t="n">
        <f aca="false">(('Business Case'!G11*$C982*'Business Case'!G12*$B982)-'Business Case'!G11*$C982*'Business Case'!G13*$D982-'Business Case'!G14*$E982)-MAX(0,(('Business Case'!G11*$C982*'Business Case'!G12*$B982)-'Business Case'!G11*$C982*'Business Case'!G13*$D982-'Business Case'!G14*$E982))*'Business Case'!$B$7-'Business Case'!$B$8*(('Business Case'!G11*$C982*'Business Case'!G12*$B982)-('Business Case'!F11*$C982*'Business Case'!F12*$B982))-'Business Case'!G15*$F982+'Business Case'!$B$8*('Business Case'!G11*$C982*'Business Case'!G12*$B982)</f>
        <v>950162277.346706</v>
      </c>
      <c r="N982" s="39" t="n">
        <f aca="false">IF(COUNT('Business Case'!B11:G11)=0,"",H982+NPV(G982,I982:M982))</f>
        <v>-261409407.702233</v>
      </c>
      <c r="P982" s="40" t="n">
        <f aca="true">RAND()</f>
        <v>0.657629873648991</v>
      </c>
      <c r="Q982" s="40" t="n">
        <f aca="true">RAND()</f>
        <v>0.667239962294381</v>
      </c>
      <c r="R982" s="40" t="n">
        <f aca="true">RAND()</f>
        <v>0.823873669142299</v>
      </c>
      <c r="S982" s="40" t="n">
        <f aca="true">RAND()</f>
        <v>0.929316451435995</v>
      </c>
      <c r="T982" s="40" t="n">
        <f aca="true">RAND()</f>
        <v>0.169247082334866</v>
      </c>
      <c r="U982" s="40" t="n">
        <f aca="true">RAND()</f>
        <v>0.866926081150759</v>
      </c>
    </row>
    <row r="983" customFormat="false" ht="15" hidden="false" customHeight="false" outlineLevel="0" collapsed="false">
      <c r="A983" s="36" t="n">
        <v>903</v>
      </c>
      <c r="B983" s="37" t="n">
        <f aca="false">1+IF($G$6=$E$6,$F$6,IF(P983&lt;($F$6-$E$6)/($G$6-$E$6),$E$6+SQRT(P983*($G$6-$E$6)*($F$6-$E$6)),$G$6-SQRT((1-P983)*($G$6-$E$6)*($G$6-$F$6))))</f>
        <v>0.983696818843619</v>
      </c>
      <c r="C983" s="37" t="n">
        <f aca="false">1+IF($G$7=$E$7,$F$7,IF(Q983&lt;($F$7-$E$7)/($G$7-$E$7),$E$7+SQRT(Q983*($G$7-$E$7)*($F$7-$E$7)),$G$7-SQRT((1-Q983)*($G$7-$E$7)*($G$7-$F$7))))</f>
        <v>0.97021784924354</v>
      </c>
      <c r="D983" s="37" t="n">
        <f aca="false">1+IF($G$8=$E$8,$F$8,IF(R983&lt;($F$8-$E$8)/($G$8-$E$8),$E$8+SQRT(R983*($G$8-$E$8)*($F$8-$E$8)),$G$8-SQRT((1-R983)*($G$8-$E$8)*($G$8-$F$8))))</f>
        <v>0.994068985396785</v>
      </c>
      <c r="E983" s="37" t="n">
        <f aca="false">1+IF($G$9=$E$9,$F$9,IF(S983&lt;($F$9-$E$9)/($G$9-$E$9),$E$9+SQRT(S983*($G$9-$E$9)*($F$9-$E$9)),$G$9-SQRT((1-S983)*($G$9-$E$9)*($G$9-$F$9))))</f>
        <v>1.00225702069735</v>
      </c>
      <c r="F983" s="37" t="n">
        <f aca="false">1+IF($G$10=$E$10,$F$10,IF(T983&lt;($F$10-$E$10)/($G$10-$E$10),$E$10+SQRT(T983*($G$10-$E$10)*($F$10-$E$10)),$G$10-SQRT((1-T983)*($G$10-$E$10)*($G$10-$F$10))))</f>
        <v>1.06251684085168</v>
      </c>
      <c r="G983" s="38" t="n">
        <f aca="false">IF($G$11=$E$11,$F$11,IF(U983&lt;($F$11-$E$11)/($G$11-$E$11),$E$11+SQRT(U983*($G$11-$E$11)*($F$11-$E$11)),$G$11-SQRT((1-U983)*($G$11-$E$11)*($G$11-$F$11))))</f>
        <v>0.0980100856762383</v>
      </c>
      <c r="H983" s="39" t="n">
        <f aca="false">(('Business Case'!B11*$C983*'Business Case'!B12*$B983)-'Business Case'!B11*$C983*'Business Case'!B13*$D983-'Business Case'!B14*$E983)-MAX(0,(('Business Case'!B11*$C983*'Business Case'!B12*$B983)-'Business Case'!B11*$C983*'Business Case'!B13*$D983-'Business Case'!B14*$E983))*'Business Case'!$B$7-'Business Case'!$B$8*('Business Case'!B11*$C983*'Business Case'!B12*$B983)-'Business Case'!B15*$F983</f>
        <v>-2125033681.70336</v>
      </c>
      <c r="I983" s="39" t="n">
        <f aca="false">(('Business Case'!C11*$C983*'Business Case'!C12*$B983)-'Business Case'!C11*$C983*'Business Case'!C13*$D983-'Business Case'!C14*$E983)-MAX(0,(('Business Case'!C11*$C983*'Business Case'!C12*$B983)-'Business Case'!C11*$C983*'Business Case'!C13*$D983-'Business Case'!C14*$E983))*'Business Case'!$B$7-'Business Case'!$B$8*(('Business Case'!C11*$C983*'Business Case'!C12*$B983)-('Business Case'!B11*$C983*'Business Case'!B12*$B983))-'Business Case'!C15*$F983</f>
        <v>-10254390.1664661</v>
      </c>
      <c r="J983" s="39" t="n">
        <f aca="false">(('Business Case'!D11*$C983*'Business Case'!D12*$B983)-'Business Case'!D11*$C983*'Business Case'!D13*$D983-'Business Case'!D14*$E983)-MAX(0,(('Business Case'!D11*$C983*'Business Case'!D12*$B983)-'Business Case'!D11*$C983*'Business Case'!D13*$D983-'Business Case'!D14*$E983))*'Business Case'!$B$7-'Business Case'!$B$8*(('Business Case'!D11*$C983*'Business Case'!D12*$B983)-('Business Case'!C11*$C983*'Business Case'!C12*$B983))-'Business Case'!D15*$F983</f>
        <v>277739959.079577</v>
      </c>
      <c r="K983" s="39" t="n">
        <f aca="false">(('Business Case'!E11*$C983*'Business Case'!E12*$B983)-'Business Case'!E11*$C983*'Business Case'!E13*$D983-'Business Case'!E14*$E983)-MAX(0,(('Business Case'!E11*$C983*'Business Case'!E12*$B983)-'Business Case'!E11*$C983*'Business Case'!E13*$D983-'Business Case'!E14*$E983))*'Business Case'!$B$7-'Business Case'!$B$8*(('Business Case'!E11*$C983*'Business Case'!E12*$B983)-('Business Case'!D11*$C983*'Business Case'!D12*$B983))-'Business Case'!E15*$F983</f>
        <v>618860150.368205</v>
      </c>
      <c r="L983" s="39" t="n">
        <f aca="false">(('Business Case'!F11*$C983*'Business Case'!F12*$B983)-'Business Case'!F11*$C983*'Business Case'!F13*$D983-'Business Case'!F14*$E983)-MAX(0,(('Business Case'!F11*$C983*'Business Case'!F12*$B983)-'Business Case'!F11*$C983*'Business Case'!F13*$D983-'Business Case'!F14*$E983))*'Business Case'!$B$7-'Business Case'!$B$8*(('Business Case'!F11*$C983*'Business Case'!F12*$B983)-('Business Case'!E11*$C983*'Business Case'!E12*$B983))-'Business Case'!F15*$F983</f>
        <v>747842338.106339</v>
      </c>
      <c r="M983" s="39" t="n">
        <f aca="false">(('Business Case'!G11*$C983*'Business Case'!G12*$B983)-'Business Case'!G11*$C983*'Business Case'!G13*$D983-'Business Case'!G14*$E983)-MAX(0,(('Business Case'!G11*$C983*'Business Case'!G12*$B983)-'Business Case'!G11*$C983*'Business Case'!G13*$D983-'Business Case'!G14*$E983))*'Business Case'!$B$7-'Business Case'!$B$8*(('Business Case'!G11*$C983*'Business Case'!G12*$B983)-('Business Case'!F11*$C983*'Business Case'!F12*$B983))-'Business Case'!G15*$F983+'Business Case'!$B$8*('Business Case'!G11*$C983*'Business Case'!G12*$B983)</f>
        <v>929254730.381661</v>
      </c>
      <c r="N983" s="39" t="n">
        <f aca="false">IF(COUNT('Business Case'!B11:G11)=0,"",H983+NPV(G983,I983:M983))</f>
        <v>-339770863.50159</v>
      </c>
      <c r="P983" s="40" t="n">
        <f aca="true">RAND()</f>
        <v>0.422633826124665</v>
      </c>
      <c r="Q983" s="40" t="n">
        <f aca="true">RAND()</f>
        <v>0.41391594572995</v>
      </c>
      <c r="R983" s="40" t="n">
        <f aca="true">RAND()</f>
        <v>0.298780842138777</v>
      </c>
      <c r="S983" s="40" t="n">
        <f aca="true">RAND()</f>
        <v>0.36308733313605</v>
      </c>
      <c r="T983" s="40" t="n">
        <f aca="true">RAND()</f>
        <v>0.621967619011961</v>
      </c>
      <c r="U983" s="40" t="n">
        <f aca="true">RAND()</f>
        <v>0.213871575135592</v>
      </c>
    </row>
    <row r="984" customFormat="false" ht="15" hidden="false" customHeight="false" outlineLevel="0" collapsed="false">
      <c r="A984" s="36" t="n">
        <v>904</v>
      </c>
      <c r="B984" s="37" t="n">
        <f aca="false">1+IF($G$6=$E$6,$F$6,IF(P984&lt;($F$6-$E$6)/($G$6-$E$6),$E$6+SQRT(P984*($G$6-$E$6)*($F$6-$E$6)),$G$6-SQRT((1-P984)*($G$6-$E$6)*($G$6-$F$6))))</f>
        <v>0.983203611337178</v>
      </c>
      <c r="C984" s="37" t="n">
        <f aca="false">1+IF($G$7=$E$7,$F$7,IF(Q984&lt;($F$7-$E$7)/($G$7-$E$7),$E$7+SQRT(Q984*($G$7-$E$7)*($F$7-$E$7)),$G$7-SQRT((1-Q984)*($G$7-$E$7)*($G$7-$F$7))))</f>
        <v>0.994845237311287</v>
      </c>
      <c r="D984" s="37" t="n">
        <f aca="false">1+IF($G$8=$E$8,$F$8,IF(R984&lt;($F$8-$E$8)/($G$8-$E$8),$E$8+SQRT(R984*($G$8-$E$8)*($F$8-$E$8)),$G$8-SQRT((1-R984)*($G$8-$E$8)*($G$8-$F$8))))</f>
        <v>0.997800679283261</v>
      </c>
      <c r="E984" s="37" t="n">
        <f aca="false">1+IF($G$9=$E$9,$F$9,IF(S984&lt;($F$9-$E$9)/($G$9-$E$9),$E$9+SQRT(S984*($G$9-$E$9)*($F$9-$E$9)),$G$9-SQRT((1-S984)*($G$9-$E$9)*($G$9-$F$9))))</f>
        <v>0.976465531269854</v>
      </c>
      <c r="F984" s="37" t="n">
        <f aca="false">1+IF($G$10=$E$10,$F$10,IF(T984&lt;($F$10-$E$10)/($G$10-$E$10),$E$10+SQRT(T984*($G$10-$E$10)*($F$10-$E$10)),$G$10-SQRT((1-T984)*($G$10-$E$10)*($G$10-$F$10))))</f>
        <v>0.956441668890293</v>
      </c>
      <c r="G984" s="38" t="n">
        <f aca="false">IF($G$11=$E$11,$F$11,IF(U984&lt;($F$11-$E$11)/($G$11-$E$11),$E$11+SQRT(U984*($G$11-$E$11)*($F$11-$E$11)),$G$11-SQRT((1-U984)*($G$11-$E$11)*($G$11-$F$11))))</f>
        <v>0.100589300075572</v>
      </c>
      <c r="H984" s="39" t="n">
        <f aca="false">(('Business Case'!B11*$C984*'Business Case'!B12*$B984)-'Business Case'!B11*$C984*'Business Case'!B13*$D984-'Business Case'!B14*$E984)-MAX(0,(('Business Case'!B11*$C984*'Business Case'!B12*$B984)-'Business Case'!B11*$C984*'Business Case'!B13*$D984-'Business Case'!B14*$E984))*'Business Case'!$B$7-'Business Case'!$B$8*('Business Case'!B11*$C984*'Business Case'!B12*$B984)-'Business Case'!B15*$F984</f>
        <v>-1912883337.78059</v>
      </c>
      <c r="I984" s="39" t="n">
        <f aca="false">(('Business Case'!C11*$C984*'Business Case'!C12*$B984)-'Business Case'!C11*$C984*'Business Case'!C13*$D984-'Business Case'!C14*$E984)-MAX(0,(('Business Case'!C11*$C984*'Business Case'!C12*$B984)-'Business Case'!C11*$C984*'Business Case'!C13*$D984-'Business Case'!C14*$E984))*'Business Case'!$B$7-'Business Case'!$B$8*(('Business Case'!C11*$C984*'Business Case'!C12*$B984)-('Business Case'!B11*$C984*'Business Case'!B12*$B984))-'Business Case'!C15*$F984</f>
        <v>7798135.58146276</v>
      </c>
      <c r="J984" s="39" t="n">
        <f aca="false">(('Business Case'!D11*$C984*'Business Case'!D12*$B984)-'Business Case'!D11*$C984*'Business Case'!D13*$D984-'Business Case'!D14*$E984)-MAX(0,(('Business Case'!D11*$C984*'Business Case'!D12*$B984)-'Business Case'!D11*$C984*'Business Case'!D13*$D984-'Business Case'!D14*$E984))*'Business Case'!$B$7-'Business Case'!$B$8*(('Business Case'!D11*$C984*'Business Case'!D12*$B984)-('Business Case'!C11*$C984*'Business Case'!C12*$B984))-'Business Case'!D15*$F984</f>
        <v>300800377.292115</v>
      </c>
      <c r="K984" s="39" t="n">
        <f aca="false">(('Business Case'!E11*$C984*'Business Case'!E12*$B984)-'Business Case'!E11*$C984*'Business Case'!E13*$D984-'Business Case'!E14*$E984)-MAX(0,(('Business Case'!E11*$C984*'Business Case'!E12*$B984)-'Business Case'!E11*$C984*'Business Case'!E13*$D984-'Business Case'!E14*$E984))*'Business Case'!$B$7-'Business Case'!$B$8*(('Business Case'!E11*$C984*'Business Case'!E12*$B984)-('Business Case'!D11*$C984*'Business Case'!D12*$B984))-'Business Case'!E15*$F984</f>
        <v>641624702.447283</v>
      </c>
      <c r="L984" s="39" t="n">
        <f aca="false">(('Business Case'!F11*$C984*'Business Case'!F12*$B984)-'Business Case'!F11*$C984*'Business Case'!F13*$D984-'Business Case'!F14*$E984)-MAX(0,(('Business Case'!F11*$C984*'Business Case'!F12*$B984)-'Business Case'!F11*$C984*'Business Case'!F13*$D984-'Business Case'!F14*$E984))*'Business Case'!$B$7-'Business Case'!$B$8*(('Business Case'!F11*$C984*'Business Case'!F12*$B984)-('Business Case'!E11*$C984*'Business Case'!E12*$B984))-'Business Case'!F15*$F984</f>
        <v>773096476.813225</v>
      </c>
      <c r="M984" s="39" t="n">
        <f aca="false">(('Business Case'!G11*$C984*'Business Case'!G12*$B984)-'Business Case'!G11*$C984*'Business Case'!G13*$D984-'Business Case'!G14*$E984)-MAX(0,(('Business Case'!G11*$C984*'Business Case'!G12*$B984)-'Business Case'!G11*$C984*'Business Case'!G13*$D984-'Business Case'!G14*$E984))*'Business Case'!$B$7-'Business Case'!$B$8*(('Business Case'!G11*$C984*'Business Case'!G12*$B984)-('Business Case'!F11*$C984*'Business Case'!F12*$B984))-'Business Case'!G15*$F984+'Business Case'!$B$8*('Business Case'!G11*$C984*'Business Case'!G12*$B984)</f>
        <v>959020459.356378</v>
      </c>
      <c r="N984" s="39" t="n">
        <f aca="false">IF(COUNT('Business Case'!B11:G11)=0,"",H984+NPV(G984,I984:M984))</f>
        <v>-55391481.4325001</v>
      </c>
      <c r="P984" s="40" t="n">
        <f aca="true">RAND()</f>
        <v>0.416114217298029</v>
      </c>
      <c r="Q984" s="40" t="n">
        <f aca="true">RAND()</f>
        <v>0.542352378612736</v>
      </c>
      <c r="R984" s="40" t="n">
        <f aca="true">RAND()</f>
        <v>0.351523836914035</v>
      </c>
      <c r="S984" s="40" t="n">
        <f aca="true">RAND()</f>
        <v>0.0933899127194181</v>
      </c>
      <c r="T984" s="40" t="n">
        <f aca="true">RAND()</f>
        <v>0.00331960784737352</v>
      </c>
      <c r="U984" s="40" t="n">
        <f aca="true">RAND()</f>
        <v>0.37204121407304</v>
      </c>
    </row>
    <row r="985" customFormat="false" ht="15" hidden="false" customHeight="false" outlineLevel="0" collapsed="false">
      <c r="A985" s="36" t="n">
        <v>905</v>
      </c>
      <c r="B985" s="37" t="n">
        <f aca="false">1+IF($G$6=$E$6,$F$6,IF(P985&lt;($F$6-$E$6)/($G$6-$E$6),$E$6+SQRT(P985*($G$6-$E$6)*($F$6-$E$6)),$G$6-SQRT((1-P985)*($G$6-$E$6)*($G$6-$F$6))))</f>
        <v>1.03204994883156</v>
      </c>
      <c r="C985" s="37" t="n">
        <f aca="false">1+IF($G$7=$E$7,$F$7,IF(Q985&lt;($F$7-$E$7)/($G$7-$E$7),$E$7+SQRT(Q985*($G$7-$E$7)*($F$7-$E$7)),$G$7-SQRT((1-Q985)*($G$7-$E$7)*($G$7-$F$7))))</f>
        <v>1.06026997381947</v>
      </c>
      <c r="D985" s="37" t="n">
        <f aca="false">1+IF($G$8=$E$8,$F$8,IF(R985&lt;($F$8-$E$8)/($G$8-$E$8),$E$8+SQRT(R985*($G$8-$E$8)*($F$8-$E$8)),$G$8-SQRT((1-R985)*($G$8-$E$8)*($G$8-$F$8))))</f>
        <v>0.988589095041014</v>
      </c>
      <c r="E985" s="37" t="n">
        <f aca="false">1+IF($G$9=$E$9,$F$9,IF(S985&lt;($F$9-$E$9)/($G$9-$E$9),$E$9+SQRT(S985*($G$9-$E$9)*($F$9-$E$9)),$G$9-SQRT((1-S985)*($G$9-$E$9)*($G$9-$F$9))))</f>
        <v>0.985997203668239</v>
      </c>
      <c r="F985" s="37" t="n">
        <f aca="false">1+IF($G$10=$E$10,$F$10,IF(T985&lt;($F$10-$E$10)/($G$10-$E$10),$E$10+SQRT(T985*($G$10-$E$10)*($F$10-$E$10)),$G$10-SQRT((1-T985)*($G$10-$E$10)*($G$10-$F$10))))</f>
        <v>0.993344122915455</v>
      </c>
      <c r="G985" s="38" t="n">
        <f aca="false">IF($G$11=$E$11,$F$11,IF(U985&lt;($F$11-$E$11)/($G$11-$E$11),$E$11+SQRT(U985*($G$11-$E$11)*($F$11-$E$11)),$G$11-SQRT((1-U985)*($G$11-$E$11)*($G$11-$F$11))))</f>
        <v>0.0950243271743316</v>
      </c>
      <c r="H985" s="39" t="n">
        <f aca="false">(('Business Case'!B11*$C985*'Business Case'!B12*$B985)-'Business Case'!B11*$C985*'Business Case'!B13*$D985-'Business Case'!B14*$E985)-MAX(0,(('Business Case'!B11*$C985*'Business Case'!B12*$B985)-'Business Case'!B11*$C985*'Business Case'!B13*$D985-'Business Case'!B14*$E985))*'Business Case'!$B$7-'Business Case'!$B$8*('Business Case'!B11*$C985*'Business Case'!B12*$B985)-'Business Case'!B15*$F985</f>
        <v>-1986688245.83091</v>
      </c>
      <c r="I985" s="39" t="n">
        <f aca="false">(('Business Case'!C11*$C985*'Business Case'!C12*$B985)-'Business Case'!C11*$C985*'Business Case'!C13*$D985-'Business Case'!C14*$E985)-MAX(0,(('Business Case'!C11*$C985*'Business Case'!C12*$B985)-'Business Case'!C11*$C985*'Business Case'!C13*$D985-'Business Case'!C14*$E985))*'Business Case'!$B$7-'Business Case'!$B$8*(('Business Case'!C11*$C985*'Business Case'!C12*$B985)-('Business Case'!B11*$C985*'Business Case'!B12*$B985))-'Business Case'!C15*$F985</f>
        <v>63421738.3515081</v>
      </c>
      <c r="J985" s="39" t="n">
        <f aca="false">(('Business Case'!D11*$C985*'Business Case'!D12*$B985)-'Business Case'!D11*$C985*'Business Case'!D13*$D985-'Business Case'!D14*$E985)-MAX(0,(('Business Case'!D11*$C985*'Business Case'!D12*$B985)-'Business Case'!D11*$C985*'Business Case'!D13*$D985-'Business Case'!D14*$E985))*'Business Case'!$B$7-'Business Case'!$B$8*(('Business Case'!D11*$C985*'Business Case'!D12*$B985)-('Business Case'!C11*$C985*'Business Case'!C12*$B985))-'Business Case'!D15*$F985</f>
        <v>423112692.860486</v>
      </c>
      <c r="K985" s="39" t="n">
        <f aca="false">(('Business Case'!E11*$C985*'Business Case'!E12*$B985)-'Business Case'!E11*$C985*'Business Case'!E13*$D985-'Business Case'!E14*$E985)-MAX(0,(('Business Case'!E11*$C985*'Business Case'!E12*$B985)-'Business Case'!E11*$C985*'Business Case'!E13*$D985-'Business Case'!E14*$E985))*'Business Case'!$B$7-'Business Case'!$B$8*(('Business Case'!E11*$C985*'Business Case'!E12*$B985)-('Business Case'!D11*$C985*'Business Case'!D12*$B985))-'Business Case'!E15*$F985</f>
        <v>832470853.515236</v>
      </c>
      <c r="L985" s="39" t="n">
        <f aca="false">(('Business Case'!F11*$C985*'Business Case'!F12*$B985)-'Business Case'!F11*$C985*'Business Case'!F13*$D985-'Business Case'!F14*$E985)-MAX(0,(('Business Case'!F11*$C985*'Business Case'!F12*$B985)-'Business Case'!F11*$C985*'Business Case'!F13*$D985-'Business Case'!F14*$E985))*'Business Case'!$B$7-'Business Case'!$B$8*(('Business Case'!F11*$C985*'Business Case'!F12*$B985)-('Business Case'!E11*$C985*'Business Case'!E12*$B985))-'Business Case'!F15*$F985</f>
        <v>990185172.687763</v>
      </c>
      <c r="M985" s="39" t="n">
        <f aca="false">(('Business Case'!G11*$C985*'Business Case'!G12*$B985)-'Business Case'!G11*$C985*'Business Case'!G13*$D985-'Business Case'!G14*$E985)-MAX(0,(('Business Case'!G11*$C985*'Business Case'!G12*$B985)-'Business Case'!G11*$C985*'Business Case'!G13*$D985-'Business Case'!G14*$E985))*'Business Case'!$B$7-'Business Case'!$B$8*(('Business Case'!G11*$C985*'Business Case'!G12*$B985)-('Business Case'!F11*$C985*'Business Case'!F12*$B985))-'Business Case'!G15*$F985+'Business Case'!$B$8*('Business Case'!G11*$C985*'Business Case'!G12*$B985)</f>
        <v>1198180511.53686</v>
      </c>
      <c r="N985" s="39" t="n">
        <f aca="false">IF(COUNT('Business Case'!B11:G11)=0,"",H985+NPV(G985,I985:M985))</f>
        <v>507826200.49912</v>
      </c>
      <c r="P985" s="40" t="n">
        <f aca="true">RAND()</f>
        <v>0.986832643003983</v>
      </c>
      <c r="Q985" s="40" t="n">
        <f aca="true">RAND()</f>
        <v>0.846638521936017</v>
      </c>
      <c r="R985" s="40" t="n">
        <f aca="true">RAND()</f>
        <v>0.229095116320673</v>
      </c>
      <c r="S985" s="40" t="n">
        <f aca="true">RAND()</f>
        <v>0.172773156257692</v>
      </c>
      <c r="T985" s="40" t="n">
        <f aca="true">RAND()</f>
        <v>0.150297039304809</v>
      </c>
      <c r="U985" s="40" t="n">
        <f aca="true">RAND()</f>
        <v>0.0841462118490899</v>
      </c>
    </row>
    <row r="986" customFormat="false" ht="15" hidden="false" customHeight="false" outlineLevel="0" collapsed="false">
      <c r="A986" s="36" t="n">
        <v>906</v>
      </c>
      <c r="B986" s="37" t="n">
        <f aca="false">1+IF($G$6=$E$6,$F$6,IF(P986&lt;($F$6-$E$6)/($G$6-$E$6),$E$6+SQRT(P986*($G$6-$E$6)*($F$6-$E$6)),$G$6-SQRT((1-P986)*($G$6-$E$6)*($G$6-$F$6))))</f>
        <v>1.00161066467629</v>
      </c>
      <c r="C986" s="37" t="n">
        <f aca="false">1+IF($G$7=$E$7,$F$7,IF(Q986&lt;($F$7-$E$7)/($G$7-$E$7),$E$7+SQRT(Q986*($G$7-$E$7)*($F$7-$E$7)),$G$7-SQRT((1-Q986)*($G$7-$E$7)*($G$7-$F$7))))</f>
        <v>0.948867793599875</v>
      </c>
      <c r="D986" s="37" t="n">
        <f aca="false">1+IF($G$8=$E$8,$F$8,IF(R986&lt;($F$8-$E$8)/($G$8-$E$8),$E$8+SQRT(R986*($G$8-$E$8)*($F$8-$E$8)),$G$8-SQRT((1-R986)*($G$8-$E$8)*($G$8-$F$8))))</f>
        <v>0.973875267602758</v>
      </c>
      <c r="E986" s="37" t="n">
        <f aca="false">1+IF($G$9=$E$9,$F$9,IF(S986&lt;($F$9-$E$9)/($G$9-$E$9),$E$9+SQRT(S986*($G$9-$E$9)*($F$9-$E$9)),$G$9-SQRT((1-S986)*($G$9-$E$9)*($G$9-$F$9))))</f>
        <v>1.00678304756353</v>
      </c>
      <c r="F986" s="37" t="n">
        <f aca="false">1+IF($G$10=$E$10,$F$10,IF(T986&lt;($F$10-$E$10)/($G$10-$E$10),$E$10+SQRT(T986*($G$10-$E$10)*($F$10-$E$10)),$G$10-SQRT((1-T986)*($G$10-$E$10)*($G$10-$F$10))))</f>
        <v>0.974546169682327</v>
      </c>
      <c r="G986" s="38" t="n">
        <f aca="false">IF($G$11=$E$11,$F$11,IF(U986&lt;($F$11-$E$11)/($G$11-$E$11),$E$11+SQRT(U986*($G$11-$E$11)*($F$11-$E$11)),$G$11-SQRT((1-U986)*($G$11-$E$11)*($G$11-$F$11))))</f>
        <v>0.112410699250959</v>
      </c>
      <c r="H986" s="39" t="n">
        <f aca="false">(('Business Case'!B11*$C986*'Business Case'!B12*$B986)-'Business Case'!B11*$C986*'Business Case'!B13*$D986-'Business Case'!B14*$E986)-MAX(0,(('Business Case'!B11*$C986*'Business Case'!B12*$B986)-'Business Case'!B11*$C986*'Business Case'!B13*$D986-'Business Case'!B14*$E986))*'Business Case'!$B$7-'Business Case'!$B$8*('Business Case'!B11*$C986*'Business Case'!B12*$B986)-'Business Case'!B15*$F986</f>
        <v>-1949092339.36465</v>
      </c>
      <c r="I986" s="39" t="n">
        <f aca="false">(('Business Case'!C11*$C986*'Business Case'!C12*$B986)-'Business Case'!C11*$C986*'Business Case'!C13*$D986-'Business Case'!C14*$E986)-MAX(0,(('Business Case'!C11*$C986*'Business Case'!C12*$B986)-'Business Case'!C11*$C986*'Business Case'!C13*$D986-'Business Case'!C14*$E986))*'Business Case'!$B$7-'Business Case'!$B$8*(('Business Case'!C11*$C986*'Business Case'!C12*$B986)-('Business Case'!B11*$C986*'Business Case'!B12*$B986))-'Business Case'!C15*$F986</f>
        <v>15500676.9536424</v>
      </c>
      <c r="J986" s="39" t="n">
        <f aca="false">(('Business Case'!D11*$C986*'Business Case'!D12*$B986)-'Business Case'!D11*$C986*'Business Case'!D13*$D986-'Business Case'!D14*$E986)-MAX(0,(('Business Case'!D11*$C986*'Business Case'!D12*$B986)-'Business Case'!D11*$C986*'Business Case'!D13*$D986-'Business Case'!D14*$E986))*'Business Case'!$B$7-'Business Case'!$B$8*(('Business Case'!D11*$C986*'Business Case'!D12*$B986)-('Business Case'!C11*$C986*'Business Case'!C12*$B986))-'Business Case'!D15*$F986</f>
        <v>320889054.137571</v>
      </c>
      <c r="K986" s="39" t="n">
        <f aca="false">(('Business Case'!E11*$C986*'Business Case'!E12*$B986)-'Business Case'!E11*$C986*'Business Case'!E13*$D986-'Business Case'!E14*$E986)-MAX(0,(('Business Case'!E11*$C986*'Business Case'!E12*$B986)-'Business Case'!E11*$C986*'Business Case'!E13*$D986-'Business Case'!E14*$E986))*'Business Case'!$B$7-'Business Case'!$B$8*(('Business Case'!E11*$C986*'Business Case'!E12*$B986)-('Business Case'!D11*$C986*'Business Case'!D12*$B986))-'Business Case'!E15*$F986</f>
        <v>675004739.805616</v>
      </c>
      <c r="L986" s="39" t="n">
        <f aca="false">(('Business Case'!F11*$C986*'Business Case'!F12*$B986)-'Business Case'!F11*$C986*'Business Case'!F13*$D986-'Business Case'!F14*$E986)-MAX(0,(('Business Case'!F11*$C986*'Business Case'!F12*$B986)-'Business Case'!F11*$C986*'Business Case'!F13*$D986-'Business Case'!F14*$E986))*'Business Case'!$B$7-'Business Case'!$B$8*(('Business Case'!F11*$C986*'Business Case'!F12*$B986)-('Business Case'!E11*$C986*'Business Case'!E12*$B986))-'Business Case'!F15*$F986</f>
        <v>809646554.799272</v>
      </c>
      <c r="M986" s="39" t="n">
        <f aca="false">(('Business Case'!G11*$C986*'Business Case'!G12*$B986)-'Business Case'!G11*$C986*'Business Case'!G13*$D986-'Business Case'!G14*$E986)-MAX(0,(('Business Case'!G11*$C986*'Business Case'!G12*$B986)-'Business Case'!G11*$C986*'Business Case'!G13*$D986-'Business Case'!G14*$E986))*'Business Case'!$B$7-'Business Case'!$B$8*(('Business Case'!G11*$C986*'Business Case'!G12*$B986)-('Business Case'!F11*$C986*'Business Case'!F12*$B986))-'Business Case'!G15*$F986+'Business Case'!$B$8*('Business Case'!G11*$C986*'Business Case'!G12*$B986)</f>
        <v>990297845.760512</v>
      </c>
      <c r="N986" s="39" t="n">
        <f aca="false">IF(COUNT('Business Case'!B11:G11)=0,"",H986+NPV(G986,I986:M986))</f>
        <v>-75404753.5252521</v>
      </c>
      <c r="P986" s="40" t="n">
        <f aca="true">RAND()</f>
        <v>0.692970611125823</v>
      </c>
      <c r="Q986" s="40" t="n">
        <f aca="true">RAND()</f>
        <v>0.316594571018501</v>
      </c>
      <c r="R986" s="40" t="n">
        <f aca="true">RAND()</f>
        <v>0.0876966774005069</v>
      </c>
      <c r="S986" s="40" t="n">
        <f aca="true">RAND()</f>
        <v>0.420706651897089</v>
      </c>
      <c r="T986" s="40" t="n">
        <f aca="true">RAND()</f>
        <v>0.0482011556858873</v>
      </c>
      <c r="U986" s="40" t="n">
        <f aca="true">RAND()</f>
        <v>0.904004190234348</v>
      </c>
    </row>
    <row r="987" customFormat="false" ht="15" hidden="false" customHeight="false" outlineLevel="0" collapsed="false">
      <c r="A987" s="36" t="n">
        <v>907</v>
      </c>
      <c r="B987" s="37" t="n">
        <f aca="false">1+IF($G$6=$E$6,$F$6,IF(P987&lt;($F$6-$E$6)/($G$6-$E$6),$E$6+SQRT(P987*($G$6-$E$6)*($F$6-$E$6)),$G$6-SQRT((1-P987)*($G$6-$E$6)*($G$6-$F$6))))</f>
        <v>1.00903155154924</v>
      </c>
      <c r="C987" s="37" t="n">
        <f aca="false">1+IF($G$7=$E$7,$F$7,IF(Q987&lt;($F$7-$E$7)/($G$7-$E$7),$E$7+SQRT(Q987*($G$7-$E$7)*($F$7-$E$7)),$G$7-SQRT((1-Q987)*($G$7-$E$7)*($G$7-$F$7))))</f>
        <v>0.937881595215293</v>
      </c>
      <c r="D987" s="37" t="n">
        <f aca="false">1+IF($G$8=$E$8,$F$8,IF(R987&lt;($F$8-$E$8)/($G$8-$E$8),$E$8+SQRT(R987*($G$8-$E$8)*($F$8-$E$8)),$G$8-SQRT((1-R987)*($G$8-$E$8)*($G$8-$F$8))))</f>
        <v>1.03009251198992</v>
      </c>
      <c r="E987" s="37" t="n">
        <f aca="false">1+IF($G$9=$E$9,$F$9,IF(S987&lt;($F$9-$E$9)/($G$9-$E$9),$E$9+SQRT(S987*($G$9-$E$9)*($F$9-$E$9)),$G$9-SQRT((1-S987)*($G$9-$E$9)*($G$9-$F$9))))</f>
        <v>0.983990640730018</v>
      </c>
      <c r="F987" s="37" t="n">
        <f aca="false">1+IF($G$10=$E$10,$F$10,IF(T987&lt;($F$10-$E$10)/($G$10-$E$10),$E$10+SQRT(T987*($G$10-$E$10)*($F$10-$E$10)),$G$10-SQRT((1-T987)*($G$10-$E$10)*($G$10-$F$10))))</f>
        <v>0.97026601274307</v>
      </c>
      <c r="G987" s="38" t="n">
        <f aca="false">IF($G$11=$E$11,$F$11,IF(U987&lt;($F$11-$E$11)/($G$11-$E$11),$E$11+SQRT(U987*($G$11-$E$11)*($F$11-$E$11)),$G$11-SQRT((1-U987)*($G$11-$E$11)*($G$11-$F$11))))</f>
        <v>0.0958667217429953</v>
      </c>
      <c r="H987" s="39" t="n">
        <f aca="false">(('Business Case'!B11*$C987*'Business Case'!B12*$B987)-'Business Case'!B11*$C987*'Business Case'!B13*$D987-'Business Case'!B14*$E987)-MAX(0,(('Business Case'!B11*$C987*'Business Case'!B12*$B987)-'Business Case'!B11*$C987*'Business Case'!B13*$D987-'Business Case'!B14*$E987))*'Business Case'!$B$7-'Business Case'!$B$8*('Business Case'!B11*$C987*'Business Case'!B12*$B987)-'Business Case'!B15*$F987</f>
        <v>-1940532025.48614</v>
      </c>
      <c r="I987" s="39" t="n">
        <f aca="false">(('Business Case'!C11*$C987*'Business Case'!C12*$B987)-'Business Case'!C11*$C987*'Business Case'!C13*$D987-'Business Case'!C14*$E987)-MAX(0,(('Business Case'!C11*$C987*'Business Case'!C12*$B987)-'Business Case'!C11*$C987*'Business Case'!C13*$D987-'Business Case'!C14*$E987))*'Business Case'!$B$7-'Business Case'!$B$8*(('Business Case'!C11*$C987*'Business Case'!C12*$B987)-('Business Case'!B11*$C987*'Business Case'!B12*$B987))-'Business Case'!C15*$F987</f>
        <v>-5446813.23952813</v>
      </c>
      <c r="J987" s="39" t="n">
        <f aca="false">(('Business Case'!D11*$C987*'Business Case'!D12*$B987)-'Business Case'!D11*$C987*'Business Case'!D13*$D987-'Business Case'!D14*$E987)-MAX(0,(('Business Case'!D11*$C987*'Business Case'!D12*$B987)-'Business Case'!D11*$C987*'Business Case'!D13*$D987-'Business Case'!D14*$E987))*'Business Case'!$B$7-'Business Case'!$B$8*(('Business Case'!D11*$C987*'Business Case'!D12*$B987)-('Business Case'!C11*$C987*'Business Case'!C12*$B987))-'Business Case'!D15*$F987</f>
        <v>275115337.869526</v>
      </c>
      <c r="K987" s="39" t="n">
        <f aca="false">(('Business Case'!E11*$C987*'Business Case'!E12*$B987)-'Business Case'!E11*$C987*'Business Case'!E13*$D987-'Business Case'!E14*$E987)-MAX(0,(('Business Case'!E11*$C987*'Business Case'!E12*$B987)-'Business Case'!E11*$C987*'Business Case'!E13*$D987-'Business Case'!E14*$E987))*'Business Case'!$B$7-'Business Case'!$B$8*(('Business Case'!E11*$C987*'Business Case'!E12*$B987)-('Business Case'!D11*$C987*'Business Case'!D12*$B987))-'Business Case'!E15*$F987</f>
        <v>604190789.615735</v>
      </c>
      <c r="L987" s="39" t="n">
        <f aca="false">(('Business Case'!F11*$C987*'Business Case'!F12*$B987)-'Business Case'!F11*$C987*'Business Case'!F13*$D987-'Business Case'!F14*$E987)-MAX(0,(('Business Case'!F11*$C987*'Business Case'!F12*$B987)-'Business Case'!F11*$C987*'Business Case'!F13*$D987-'Business Case'!F14*$E987))*'Business Case'!$B$7-'Business Case'!$B$8*(('Business Case'!F11*$C987*'Business Case'!F12*$B987)-('Business Case'!E11*$C987*'Business Case'!E12*$B987))-'Business Case'!F15*$F987</f>
        <v>730417435.960397</v>
      </c>
      <c r="M987" s="39" t="n">
        <f aca="false">(('Business Case'!G11*$C987*'Business Case'!G12*$B987)-'Business Case'!G11*$C987*'Business Case'!G13*$D987-'Business Case'!G14*$E987)-MAX(0,(('Business Case'!G11*$C987*'Business Case'!G12*$B987)-'Business Case'!G11*$C987*'Business Case'!G13*$D987-'Business Case'!G14*$E987))*'Business Case'!$B$7-'Business Case'!$B$8*(('Business Case'!G11*$C987*'Business Case'!G12*$B987)-('Business Case'!F11*$C987*'Business Case'!F12*$B987))-'Business Case'!G15*$F987+'Business Case'!$B$8*('Business Case'!G11*$C987*'Business Case'!G12*$B987)</f>
        <v>910300047.156109</v>
      </c>
      <c r="N987" s="39" t="n">
        <f aca="false">IF(COUNT('Business Case'!B11:G11)=0,"",H987+NPV(G987,I987:M987))</f>
        <v>-174903811.27094</v>
      </c>
      <c r="P987" s="40" t="n">
        <f aca="true">RAND()</f>
        <v>0.80019900011513</v>
      </c>
      <c r="Q987" s="40" t="n">
        <f aca="true">RAND()</f>
        <v>0.27159048998734</v>
      </c>
      <c r="R987" s="40" t="n">
        <f aca="true">RAND()</f>
        <v>0.760504100050402</v>
      </c>
      <c r="S987" s="40" t="n">
        <f aca="true">RAND()</f>
        <v>0.154048487631624</v>
      </c>
      <c r="T987" s="40" t="n">
        <f aca="true">RAND()</f>
        <v>0.032856901800183</v>
      </c>
      <c r="U987" s="40" t="n">
        <f aca="true">RAND()</f>
        <v>0.114728080032445</v>
      </c>
    </row>
    <row r="988" customFormat="false" ht="15" hidden="false" customHeight="false" outlineLevel="0" collapsed="false">
      <c r="A988" s="36" t="n">
        <v>908</v>
      </c>
      <c r="B988" s="37" t="n">
        <f aca="false">1+IF($G$6=$E$6,$F$6,IF(P988&lt;($F$6-$E$6)/($G$6-$E$6),$E$6+SQRT(P988*($G$6-$E$6)*($F$6-$E$6)),$G$6-SQRT((1-P988)*($G$6-$E$6)*($G$6-$F$6))))</f>
        <v>0.986854155922255</v>
      </c>
      <c r="C988" s="37" t="n">
        <f aca="false">1+IF($G$7=$E$7,$F$7,IF(Q988&lt;($F$7-$E$7)/($G$7-$E$7),$E$7+SQRT(Q988*($G$7-$E$7)*($F$7-$E$7)),$G$7-SQRT((1-Q988)*($G$7-$E$7)*($G$7-$F$7))))</f>
        <v>1.1050881170629</v>
      </c>
      <c r="D988" s="37" t="n">
        <f aca="false">1+IF($G$8=$E$8,$F$8,IF(R988&lt;($F$8-$E$8)/($G$8-$E$8),$E$8+SQRT(R988*($G$8-$E$8)*($F$8-$E$8)),$G$8-SQRT((1-R988)*($G$8-$E$8)*($G$8-$F$8))))</f>
        <v>0.980990871948375</v>
      </c>
      <c r="E988" s="37" t="n">
        <f aca="false">1+IF($G$9=$E$9,$F$9,IF(S988&lt;($F$9-$E$9)/($G$9-$E$9),$E$9+SQRT(S988*($G$9-$E$9)*($F$9-$E$9)),$G$9-SQRT((1-S988)*($G$9-$E$9)*($G$9-$F$9))))</f>
        <v>1.01801095106447</v>
      </c>
      <c r="F988" s="37" t="n">
        <f aca="false">1+IF($G$10=$E$10,$F$10,IF(T988&lt;($F$10-$E$10)/($G$10-$E$10),$E$10+SQRT(T988*($G$10-$E$10)*($F$10-$E$10)),$G$10-SQRT((1-T988)*($G$10-$E$10)*($G$10-$F$10))))</f>
        <v>1.05710160916809</v>
      </c>
      <c r="G988" s="38" t="n">
        <f aca="false">IF($G$11=$E$11,$F$11,IF(U988&lt;($F$11-$E$11)/($G$11-$E$11),$E$11+SQRT(U988*($G$11-$E$11)*($F$11-$E$11)),$G$11-SQRT((1-U988)*($G$11-$E$11)*($G$11-$F$11))))</f>
        <v>0.0965849042327259</v>
      </c>
      <c r="H988" s="39" t="n">
        <f aca="false">(('Business Case'!B11*$C988*'Business Case'!B12*$B988)-'Business Case'!B11*$C988*'Business Case'!B13*$D988-'Business Case'!B14*$E988)-MAX(0,(('Business Case'!B11*$C988*'Business Case'!B12*$B988)-'Business Case'!B11*$C988*'Business Case'!B13*$D988-'Business Case'!B14*$E988))*'Business Case'!$B$7-'Business Case'!$B$8*('Business Case'!B11*$C988*'Business Case'!B12*$B988)-'Business Case'!B15*$F988</f>
        <v>-2114203218.33617</v>
      </c>
      <c r="I988" s="39" t="n">
        <f aca="false">(('Business Case'!C11*$C988*'Business Case'!C12*$B988)-'Business Case'!C11*$C988*'Business Case'!C13*$D988-'Business Case'!C14*$E988)-MAX(0,(('Business Case'!C11*$C988*'Business Case'!C12*$B988)-'Business Case'!C11*$C988*'Business Case'!C13*$D988-'Business Case'!C14*$E988))*'Business Case'!$B$7-'Business Case'!$B$8*(('Business Case'!C11*$C988*'Business Case'!C12*$B988)-('Business Case'!B11*$C988*'Business Case'!B12*$B988))-'Business Case'!C15*$F988</f>
        <v>31278898.7755781</v>
      </c>
      <c r="J988" s="39" t="n">
        <f aca="false">(('Business Case'!D11*$C988*'Business Case'!D12*$B988)-'Business Case'!D11*$C988*'Business Case'!D13*$D988-'Business Case'!D14*$E988)-MAX(0,(('Business Case'!D11*$C988*'Business Case'!D12*$B988)-'Business Case'!D11*$C988*'Business Case'!D13*$D988-'Business Case'!D14*$E988))*'Business Case'!$B$7-'Business Case'!$B$8*(('Business Case'!D11*$C988*'Business Case'!D12*$B988)-('Business Case'!C11*$C988*'Business Case'!C12*$B988))-'Business Case'!D15*$F988</f>
        <v>369563787.632333</v>
      </c>
      <c r="K988" s="39" t="n">
        <f aca="false">(('Business Case'!E11*$C988*'Business Case'!E12*$B988)-'Business Case'!E11*$C988*'Business Case'!E13*$D988-'Business Case'!E14*$E988)-MAX(0,(('Business Case'!E11*$C988*'Business Case'!E12*$B988)-'Business Case'!E11*$C988*'Business Case'!E13*$D988-'Business Case'!E14*$E988))*'Business Case'!$B$7-'Business Case'!$B$8*(('Business Case'!E11*$C988*'Business Case'!E12*$B988)-('Business Case'!D11*$C988*'Business Case'!D12*$B988))-'Business Case'!E15*$F988</f>
        <v>760703756.947493</v>
      </c>
      <c r="L988" s="39" t="n">
        <f aca="false">(('Business Case'!F11*$C988*'Business Case'!F12*$B988)-'Business Case'!F11*$C988*'Business Case'!F13*$D988-'Business Case'!F14*$E988)-MAX(0,(('Business Case'!F11*$C988*'Business Case'!F12*$B988)-'Business Case'!F11*$C988*'Business Case'!F13*$D988-'Business Case'!F14*$E988))*'Business Case'!$B$7-'Business Case'!$B$8*(('Business Case'!F11*$C988*'Business Case'!F12*$B988)-('Business Case'!E11*$C988*'Business Case'!E12*$B988))-'Business Case'!F15*$F988</f>
        <v>911155167.848412</v>
      </c>
      <c r="M988" s="39" t="n">
        <f aca="false">(('Business Case'!G11*$C988*'Business Case'!G12*$B988)-'Business Case'!G11*$C988*'Business Case'!G13*$D988-'Business Case'!G14*$E988)-MAX(0,(('Business Case'!G11*$C988*'Business Case'!G12*$B988)-'Business Case'!G11*$C988*'Business Case'!G13*$D988-'Business Case'!G14*$E988))*'Business Case'!$B$7-'Business Case'!$B$8*(('Business Case'!G11*$C988*'Business Case'!G12*$B988)-('Business Case'!F11*$C988*'Business Case'!F12*$B988))-'Business Case'!G15*$F988+'Business Case'!$B$8*('Business Case'!G11*$C988*'Business Case'!G12*$B988)</f>
        <v>1118448964.89942</v>
      </c>
      <c r="N988" s="39" t="n">
        <f aca="false">IF(COUNT('Business Case'!B11:G11)=0,"",H988+NPV(G988,I988:M988))</f>
        <v>134005359.232538</v>
      </c>
      <c r="P988" s="40" t="n">
        <f aca="true">RAND()</f>
        <v>0.465570642091374</v>
      </c>
      <c r="Q988" s="40" t="n">
        <f aca="true">RAND()</f>
        <v>0.961579481353223</v>
      </c>
      <c r="R988" s="40" t="n">
        <f aca="true">RAND()</f>
        <v>0.147759099095473</v>
      </c>
      <c r="S988" s="40" t="n">
        <f aca="true">RAND()</f>
        <v>0.551853056976453</v>
      </c>
      <c r="T988" s="40" t="n">
        <f aca="true">RAND()</f>
        <v>0.59160099795299</v>
      </c>
      <c r="U988" s="40" t="n">
        <f aca="true">RAND()</f>
        <v>0.14453654584724</v>
      </c>
    </row>
    <row r="989" customFormat="false" ht="15" hidden="false" customHeight="false" outlineLevel="0" collapsed="false">
      <c r="A989" s="36" t="n">
        <v>909</v>
      </c>
      <c r="B989" s="37" t="n">
        <f aca="false">1+IF($G$6=$E$6,$F$6,IF(P989&lt;($F$6-$E$6)/($G$6-$E$6),$E$6+SQRT(P989*($G$6-$E$6)*($F$6-$E$6)),$G$6-SQRT((1-P989)*($G$6-$E$6)*($G$6-$F$6))))</f>
        <v>0.952908636920204</v>
      </c>
      <c r="C989" s="37" t="n">
        <f aca="false">1+IF($G$7=$E$7,$F$7,IF(Q989&lt;($F$7-$E$7)/($G$7-$E$7),$E$7+SQRT(Q989*($G$7-$E$7)*($F$7-$E$7)),$G$7-SQRT((1-Q989)*($G$7-$E$7)*($G$7-$F$7))))</f>
        <v>0.868276940931493</v>
      </c>
      <c r="D989" s="37" t="n">
        <f aca="false">1+IF($G$8=$E$8,$F$8,IF(R989&lt;($F$8-$E$8)/($G$8-$E$8),$E$8+SQRT(R989*($G$8-$E$8)*($F$8-$E$8)),$G$8-SQRT((1-R989)*($G$8-$E$8)*($G$8-$F$8))))</f>
        <v>0.971759793440698</v>
      </c>
      <c r="E989" s="37" t="n">
        <f aca="false">1+IF($G$9=$E$9,$F$9,IF(S989&lt;($F$9-$E$9)/($G$9-$E$9),$E$9+SQRT(S989*($G$9-$E$9)*($F$9-$E$9)),$G$9-SQRT((1-S989)*($G$9-$E$9)*($G$9-$F$9))))</f>
        <v>0.992685571389305</v>
      </c>
      <c r="F989" s="37" t="n">
        <f aca="false">1+IF($G$10=$E$10,$F$10,IF(T989&lt;($F$10-$E$10)/($G$10-$E$10),$E$10+SQRT(T989*($G$10-$E$10)*($F$10-$E$10)),$G$10-SQRT((1-T989)*($G$10-$E$10)*($G$10-$F$10))))</f>
        <v>1.10511410312001</v>
      </c>
      <c r="G989" s="38" t="n">
        <f aca="false">IF($G$11=$E$11,$F$11,IF(U989&lt;($F$11-$E$11)/($G$11-$E$11),$E$11+SQRT(U989*($G$11-$E$11)*($F$11-$E$11)),$G$11-SQRT((1-U989)*($G$11-$E$11)*($G$11-$F$11))))</f>
        <v>0.108187668078067</v>
      </c>
      <c r="H989" s="39" t="n">
        <f aca="false">(('Business Case'!B11*$C989*'Business Case'!B12*$B989)-'Business Case'!B11*$C989*'Business Case'!B13*$D989-'Business Case'!B14*$E989)-MAX(0,(('Business Case'!B11*$C989*'Business Case'!B12*$B989)-'Business Case'!B11*$C989*'Business Case'!B13*$D989-'Business Case'!B14*$E989))*'Business Case'!$B$7-'Business Case'!$B$8*('Business Case'!B11*$C989*'Business Case'!B12*$B989)-'Business Case'!B15*$F989</f>
        <v>-2210228206.24002</v>
      </c>
      <c r="I989" s="39" t="n">
        <f aca="false">(('Business Case'!C11*$C989*'Business Case'!C12*$B989)-'Business Case'!C11*$C989*'Business Case'!C13*$D989-'Business Case'!C14*$E989)-MAX(0,(('Business Case'!C11*$C989*'Business Case'!C12*$B989)-'Business Case'!C11*$C989*'Business Case'!C13*$D989-'Business Case'!C14*$E989))*'Business Case'!$B$7-'Business Case'!$B$8*(('Business Case'!C11*$C989*'Business Case'!C12*$B989)-('Business Case'!B11*$C989*'Business Case'!B12*$B989))-'Business Case'!C15*$F989</f>
        <v>-48808180.3877552</v>
      </c>
      <c r="J989" s="39" t="n">
        <f aca="false">(('Business Case'!D11*$C989*'Business Case'!D12*$B989)-'Business Case'!D11*$C989*'Business Case'!D13*$D989-'Business Case'!D14*$E989)-MAX(0,(('Business Case'!D11*$C989*'Business Case'!D12*$B989)-'Business Case'!D11*$C989*'Business Case'!D13*$D989-'Business Case'!D14*$E989))*'Business Case'!$B$7-'Business Case'!$B$8*(('Business Case'!D11*$C989*'Business Case'!D12*$B989)-('Business Case'!C11*$C989*'Business Case'!C12*$B989))-'Business Case'!D15*$F989</f>
        <v>196946762.617768</v>
      </c>
      <c r="K989" s="39" t="n">
        <f aca="false">(('Business Case'!E11*$C989*'Business Case'!E12*$B989)-'Business Case'!E11*$C989*'Business Case'!E13*$D989-'Business Case'!E14*$E989)-MAX(0,(('Business Case'!E11*$C989*'Business Case'!E12*$B989)-'Business Case'!E11*$C989*'Business Case'!E13*$D989-'Business Case'!E14*$E989))*'Business Case'!$B$7-'Business Case'!$B$8*(('Business Case'!E11*$C989*'Business Case'!E12*$B989)-('Business Case'!D11*$C989*'Business Case'!D12*$B989))-'Business Case'!E15*$F989</f>
        <v>497957410.779291</v>
      </c>
      <c r="L989" s="39" t="n">
        <f aca="false">(('Business Case'!F11*$C989*'Business Case'!F12*$B989)-'Business Case'!F11*$C989*'Business Case'!F13*$D989-'Business Case'!F14*$E989)-MAX(0,(('Business Case'!F11*$C989*'Business Case'!F12*$B989)-'Business Case'!F11*$C989*'Business Case'!F13*$D989-'Business Case'!F14*$E989))*'Business Case'!$B$7-'Business Case'!$B$8*(('Business Case'!F11*$C989*'Business Case'!F12*$B989)-('Business Case'!E11*$C989*'Business Case'!E12*$B989))-'Business Case'!F15*$F989</f>
        <v>608470275.000944</v>
      </c>
      <c r="M989" s="39" t="n">
        <f aca="false">(('Business Case'!G11*$C989*'Business Case'!G12*$B989)-'Business Case'!G11*$C989*'Business Case'!G13*$D989-'Business Case'!G14*$E989)-MAX(0,(('Business Case'!G11*$C989*'Business Case'!G12*$B989)-'Business Case'!G11*$C989*'Business Case'!G13*$D989-'Business Case'!G14*$E989))*'Business Case'!$B$7-'Business Case'!$B$8*(('Business Case'!G11*$C989*'Business Case'!G12*$B989)-('Business Case'!F11*$C989*'Business Case'!F12*$B989))-'Business Case'!G15*$F989+'Business Case'!$B$8*('Business Case'!G11*$C989*'Business Case'!G12*$B989)</f>
        <v>765740299.376576</v>
      </c>
      <c r="N989" s="39" t="n">
        <f aca="false">IF(COUNT('Business Case'!B11:G11)=0,"",H989+NPV(G989,I989:M989))</f>
        <v>-866406039.456089</v>
      </c>
      <c r="P989" s="40" t="n">
        <f aca="true">RAND()</f>
        <v>0.112810248327692</v>
      </c>
      <c r="Q989" s="40" t="n">
        <f aca="true">RAND()</f>
        <v>0.0665962951851797</v>
      </c>
      <c r="R989" s="40" t="n">
        <f aca="true">RAND()</f>
        <v>0.0728444016279742</v>
      </c>
      <c r="S989" s="40" t="n">
        <f aca="true">RAND()</f>
        <v>0.242941067310861</v>
      </c>
      <c r="T989" s="40" t="n">
        <f aca="true">RAND()</f>
        <v>0.819933331465593</v>
      </c>
      <c r="U989" s="40" t="n">
        <f aca="true">RAND()</f>
        <v>0.767448024276799</v>
      </c>
    </row>
    <row r="990" customFormat="false" ht="15" hidden="false" customHeight="false" outlineLevel="0" collapsed="false">
      <c r="A990" s="36" t="n">
        <v>910</v>
      </c>
      <c r="B990" s="37" t="n">
        <f aca="false">1+IF($G$6=$E$6,$F$6,IF(P990&lt;($F$6-$E$6)/($G$6-$E$6),$E$6+SQRT(P990*($G$6-$E$6)*($F$6-$E$6)),$G$6-SQRT((1-P990)*($G$6-$E$6)*($G$6-$F$6))))</f>
        <v>0.931596450393722</v>
      </c>
      <c r="C990" s="37" t="n">
        <f aca="false">1+IF($G$7=$E$7,$F$7,IF(Q990&lt;($F$7-$E$7)/($G$7-$E$7),$E$7+SQRT(Q990*($G$7-$E$7)*($F$7-$E$7)),$G$7-SQRT((1-Q990)*($G$7-$E$7)*($G$7-$F$7))))</f>
        <v>1.03651104610907</v>
      </c>
      <c r="D990" s="37" t="n">
        <f aca="false">1+IF($G$8=$E$8,$F$8,IF(R990&lt;($F$8-$E$8)/($G$8-$E$8),$E$8+SQRT(R990*($G$8-$E$8)*($F$8-$E$8)),$G$8-SQRT((1-R990)*($G$8-$E$8)*($G$8-$F$8))))</f>
        <v>0.980302806126719</v>
      </c>
      <c r="E990" s="37" t="n">
        <f aca="false">1+IF($G$9=$E$9,$F$9,IF(S990&lt;($F$9-$E$9)/($G$9-$E$9),$E$9+SQRT(S990*($G$9-$E$9)*($F$9-$E$9)),$G$9-SQRT((1-S990)*($G$9-$E$9)*($G$9-$F$9))))</f>
        <v>0.982916338784835</v>
      </c>
      <c r="F990" s="37" t="n">
        <f aca="false">1+IF($G$10=$E$10,$F$10,IF(T990&lt;($F$10-$E$10)/($G$10-$E$10),$E$10+SQRT(T990*($G$10-$E$10)*($F$10-$E$10)),$G$10-SQRT((1-T990)*($G$10-$E$10)*($G$10-$F$10))))</f>
        <v>1.06731605370732</v>
      </c>
      <c r="G990" s="38" t="n">
        <f aca="false">IF($G$11=$E$11,$F$11,IF(U990&lt;($F$11-$E$11)/($G$11-$E$11),$E$11+SQRT(U990*($G$11-$E$11)*($F$11-$E$11)),$G$11-SQRT((1-U990)*($G$11-$E$11)*($G$11-$F$11))))</f>
        <v>0.103442423366958</v>
      </c>
      <c r="H990" s="39" t="n">
        <f aca="false">(('Business Case'!B11*$C990*'Business Case'!B12*$B990)-'Business Case'!B11*$C990*'Business Case'!B13*$D990-'Business Case'!B14*$E990)-MAX(0,(('Business Case'!B11*$C990*'Business Case'!B12*$B990)-'Business Case'!B11*$C990*'Business Case'!B13*$D990-'Business Case'!B14*$E990))*'Business Case'!$B$7-'Business Case'!$B$8*('Business Case'!B11*$C990*'Business Case'!B12*$B990)-'Business Case'!B15*$F990</f>
        <v>-2134632107.41463</v>
      </c>
      <c r="I990" s="39" t="n">
        <f aca="false">(('Business Case'!C11*$C990*'Business Case'!C12*$B990)-'Business Case'!C11*$C990*'Business Case'!C13*$D990-'Business Case'!C14*$E990)-MAX(0,(('Business Case'!C11*$C990*'Business Case'!C12*$B990)-'Business Case'!C11*$C990*'Business Case'!C13*$D990-'Business Case'!C14*$E990))*'Business Case'!$B$7-'Business Case'!$B$8*(('Business Case'!C11*$C990*'Business Case'!C12*$B990)-('Business Case'!B11*$C990*'Business Case'!B12*$B990))-'Business Case'!C15*$F990</f>
        <v>-25814600.729598</v>
      </c>
      <c r="J990" s="39" t="n">
        <f aca="false">(('Business Case'!D11*$C990*'Business Case'!D12*$B990)-'Business Case'!D11*$C990*'Business Case'!D13*$D990-'Business Case'!D14*$E990)-MAX(0,(('Business Case'!D11*$C990*'Business Case'!D12*$B990)-'Business Case'!D11*$C990*'Business Case'!D13*$D990-'Business Case'!D14*$E990))*'Business Case'!$B$7-'Business Case'!$B$8*(('Business Case'!D11*$C990*'Business Case'!D12*$B990)-('Business Case'!C11*$C990*'Business Case'!C12*$B990))-'Business Case'!D15*$F990</f>
        <v>244930330.275076</v>
      </c>
      <c r="K990" s="39" t="n">
        <f aca="false">(('Business Case'!E11*$C990*'Business Case'!E12*$B990)-'Business Case'!E11*$C990*'Business Case'!E13*$D990-'Business Case'!E14*$E990)-MAX(0,(('Business Case'!E11*$C990*'Business Case'!E12*$B990)-'Business Case'!E11*$C990*'Business Case'!E13*$D990-'Business Case'!E14*$E990))*'Business Case'!$B$7-'Business Case'!$B$8*(('Business Case'!E11*$C990*'Business Case'!E12*$B990)-('Business Case'!D11*$C990*'Business Case'!D12*$B990))-'Business Case'!E15*$F990</f>
        <v>569041063.965117</v>
      </c>
      <c r="L990" s="39" t="n">
        <f aca="false">(('Business Case'!F11*$C990*'Business Case'!F12*$B990)-'Business Case'!F11*$C990*'Business Case'!F13*$D990-'Business Case'!F14*$E990)-MAX(0,(('Business Case'!F11*$C990*'Business Case'!F12*$B990)-'Business Case'!F11*$C990*'Business Case'!F13*$D990-'Business Case'!F14*$E990))*'Business Case'!$B$7-'Business Case'!$B$8*(('Business Case'!F11*$C990*'Business Case'!F12*$B990)-('Business Case'!E11*$C990*'Business Case'!E12*$B990))-'Business Case'!F15*$F990</f>
        <v>692660856.292233</v>
      </c>
      <c r="M990" s="39" t="n">
        <f aca="false">(('Business Case'!G11*$C990*'Business Case'!G12*$B990)-'Business Case'!G11*$C990*'Business Case'!G13*$D990-'Business Case'!G14*$E990)-MAX(0,(('Business Case'!G11*$C990*'Business Case'!G12*$B990)-'Business Case'!G11*$C990*'Business Case'!G13*$D990-'Business Case'!G14*$E990))*'Business Case'!$B$7-'Business Case'!$B$8*(('Business Case'!G11*$C990*'Business Case'!G12*$B990)-('Business Case'!F11*$C990*'Business Case'!F12*$B990))-'Business Case'!G15*$F990+'Business Case'!$B$8*('Business Case'!G11*$C990*'Business Case'!G12*$B990)</f>
        <v>876204007.249468</v>
      </c>
      <c r="N990" s="39" t="n">
        <f aca="false">IF(COUNT('Business Case'!B11:G11)=0,"",H990+NPV(G990,I990:M990))</f>
        <v>-530485206.044353</v>
      </c>
      <c r="P990" s="40" t="n">
        <f aca="true">RAND()</f>
        <v>0.0140080897639637</v>
      </c>
      <c r="Q990" s="40" t="n">
        <f aca="true">RAND()</f>
        <v>0.754671568471271</v>
      </c>
      <c r="R990" s="40" t="n">
        <f aca="true">RAND()</f>
        <v>0.141270778331311</v>
      </c>
      <c r="S990" s="40" t="n">
        <f aca="true">RAND()</f>
        <v>0.144464714533074</v>
      </c>
      <c r="T990" s="40" t="n">
        <f aca="true">RAND()</f>
        <v>0.647899407924008</v>
      </c>
      <c r="U990" s="40" t="n">
        <f aca="true">RAND()</f>
        <v>0.543077760068244</v>
      </c>
    </row>
    <row r="991" customFormat="false" ht="15" hidden="false" customHeight="false" outlineLevel="0" collapsed="false">
      <c r="A991" s="36" t="n">
        <v>911</v>
      </c>
      <c r="B991" s="37" t="n">
        <f aca="false">1+IF($G$6=$E$6,$F$6,IF(P991&lt;($F$6-$E$6)/($G$6-$E$6),$E$6+SQRT(P991*($G$6-$E$6)*($F$6-$E$6)),$G$6-SQRT((1-P991)*($G$6-$E$6)*($G$6-$F$6))))</f>
        <v>1.020970628195</v>
      </c>
      <c r="C991" s="37" t="n">
        <f aca="false">1+IF($G$7=$E$7,$F$7,IF(Q991&lt;($F$7-$E$7)/($G$7-$E$7),$E$7+SQRT(Q991*($G$7-$E$7)*($F$7-$E$7)),$G$7-SQRT((1-Q991)*($G$7-$E$7)*($G$7-$F$7))))</f>
        <v>0.903454563390881</v>
      </c>
      <c r="D991" s="37" t="n">
        <f aca="false">1+IF($G$8=$E$8,$F$8,IF(R991&lt;($F$8-$E$8)/($G$8-$E$8),$E$8+SQRT(R991*($G$8-$E$8)*($F$8-$E$8)),$G$8-SQRT((1-R991)*($G$8-$E$8)*($G$8-$F$8))))</f>
        <v>0.982778760052996</v>
      </c>
      <c r="E991" s="37" t="n">
        <f aca="false">1+IF($G$9=$E$9,$F$9,IF(S991&lt;($F$9-$E$9)/($G$9-$E$9),$E$9+SQRT(S991*($G$9-$E$9)*($F$9-$E$9)),$G$9-SQRT((1-S991)*($G$9-$E$9)*($G$9-$F$9))))</f>
        <v>1.03403039917862</v>
      </c>
      <c r="F991" s="37" t="n">
        <f aca="false">1+IF($G$10=$E$10,$F$10,IF(T991&lt;($F$10-$E$10)/($G$10-$E$10),$E$10+SQRT(T991*($G$10-$E$10)*($F$10-$E$10)),$G$10-SQRT((1-T991)*($G$10-$E$10)*($G$10-$F$10))))</f>
        <v>1.00018041113122</v>
      </c>
      <c r="G991" s="38" t="n">
        <f aca="false">IF($G$11=$E$11,$F$11,IF(U991&lt;($F$11-$E$11)/($G$11-$E$11),$E$11+SQRT(U991*($G$11-$E$11)*($F$11-$E$11)),$G$11-SQRT((1-U991)*($G$11-$E$11)*($G$11-$F$11))))</f>
        <v>0.095542020864019</v>
      </c>
      <c r="H991" s="39" t="n">
        <f aca="false">(('Business Case'!B11*$C991*'Business Case'!B12*$B991)-'Business Case'!B11*$C991*'Business Case'!B13*$D991-'Business Case'!B14*$E991)-MAX(0,(('Business Case'!B11*$C991*'Business Case'!B12*$B991)-'Business Case'!B11*$C991*'Business Case'!B13*$D991-'Business Case'!B14*$E991))*'Business Case'!$B$7-'Business Case'!$B$8*('Business Case'!B11*$C991*'Business Case'!B12*$B991)-'Business Case'!B15*$F991</f>
        <v>-2000360822.26243</v>
      </c>
      <c r="I991" s="39" t="n">
        <f aca="false">(('Business Case'!C11*$C991*'Business Case'!C12*$B991)-'Business Case'!C11*$C991*'Business Case'!C13*$D991-'Business Case'!C14*$E991)-MAX(0,(('Business Case'!C11*$C991*'Business Case'!C12*$B991)-'Business Case'!C11*$C991*'Business Case'!C13*$D991-'Business Case'!C14*$E991))*'Business Case'!$B$7-'Business Case'!$B$8*(('Business Case'!C11*$C991*'Business Case'!C12*$B991)-('Business Case'!B11*$C991*'Business Case'!B12*$B991))-'Business Case'!C15*$F991</f>
        <v>6106375.07079449</v>
      </c>
      <c r="J991" s="39" t="n">
        <f aca="false">(('Business Case'!D11*$C991*'Business Case'!D12*$B991)-'Business Case'!D11*$C991*'Business Case'!D13*$D991-'Business Case'!D14*$E991)-MAX(0,(('Business Case'!D11*$C991*'Business Case'!D12*$B991)-'Business Case'!D11*$C991*'Business Case'!D13*$D991-'Business Case'!D14*$E991))*'Business Case'!$B$7-'Business Case'!$B$8*(('Business Case'!D11*$C991*'Business Case'!D12*$B991)-('Business Case'!C11*$C991*'Business Case'!C12*$B991))-'Business Case'!D15*$F991</f>
        <v>307087159.729012</v>
      </c>
      <c r="K991" s="39" t="n">
        <f aca="false">(('Business Case'!E11*$C991*'Business Case'!E12*$B991)-'Business Case'!E11*$C991*'Business Case'!E13*$D991-'Business Case'!E14*$E991)-MAX(0,(('Business Case'!E11*$C991*'Business Case'!E12*$B991)-'Business Case'!E11*$C991*'Business Case'!E13*$D991-'Business Case'!E14*$E991))*'Business Case'!$B$7-'Business Case'!$B$8*(('Business Case'!E11*$C991*'Business Case'!E12*$B991)-('Business Case'!D11*$C991*'Business Case'!D12*$B991))-'Business Case'!E15*$F991</f>
        <v>658076964.943791</v>
      </c>
      <c r="L991" s="39" t="n">
        <f aca="false">(('Business Case'!F11*$C991*'Business Case'!F12*$B991)-'Business Case'!F11*$C991*'Business Case'!F13*$D991-'Business Case'!F14*$E991)-MAX(0,(('Business Case'!F11*$C991*'Business Case'!F12*$B991)-'Business Case'!F11*$C991*'Business Case'!F13*$D991-'Business Case'!F14*$E991))*'Business Case'!$B$7-'Business Case'!$B$8*(('Business Case'!F11*$C991*'Business Case'!F12*$B991)-('Business Case'!E11*$C991*'Business Case'!E12*$B991))-'Business Case'!F15*$F991</f>
        <v>790282056.970598</v>
      </c>
      <c r="M991" s="39" t="n">
        <f aca="false">(('Business Case'!G11*$C991*'Business Case'!G12*$B991)-'Business Case'!G11*$C991*'Business Case'!G13*$D991-'Business Case'!G14*$E991)-MAX(0,(('Business Case'!G11*$C991*'Business Case'!G12*$B991)-'Business Case'!G11*$C991*'Business Case'!G13*$D991-'Business Case'!G14*$E991))*'Business Case'!$B$7-'Business Case'!$B$8*(('Business Case'!G11*$C991*'Business Case'!G12*$B991)-('Business Case'!F11*$C991*'Business Case'!F12*$B991))-'Business Case'!G15*$F991+'Business Case'!$B$8*('Business Case'!G11*$C991*'Business Case'!G12*$B991)</f>
        <v>965611957.911305</v>
      </c>
      <c r="N991" s="39" t="n">
        <f aca="false">IF(COUNT('Business Case'!B11:G11)=0,"",H991+NPV(G991,I991:M991))</f>
        <v>-77962611.4014292</v>
      </c>
      <c r="P991" s="40" t="n">
        <f aca="true">RAND()</f>
        <v>0.924558960147274</v>
      </c>
      <c r="Q991" s="40" t="n">
        <f aca="true">RAND()</f>
        <v>0.152897809805682</v>
      </c>
      <c r="R991" s="40" t="n">
        <f aca="true">RAND()</f>
        <v>0.165299555478752</v>
      </c>
      <c r="S991" s="40" t="n">
        <f aca="true">RAND()</f>
        <v>0.709867451164538</v>
      </c>
      <c r="T991" s="40" t="n">
        <f aca="true">RAND()</f>
        <v>0.201442638086196</v>
      </c>
      <c r="U991" s="40" t="n">
        <f aca="true">RAND()</f>
        <v>0.102379984190738</v>
      </c>
    </row>
    <row r="992" customFormat="false" ht="15" hidden="false" customHeight="false" outlineLevel="0" collapsed="false">
      <c r="A992" s="36" t="n">
        <v>912</v>
      </c>
      <c r="B992" s="37" t="n">
        <f aca="false">1+IF($G$6=$E$6,$F$6,IF(P992&lt;($F$6-$E$6)/($G$6-$E$6),$E$6+SQRT(P992*($G$6-$E$6)*($F$6-$E$6)),$G$6-SQRT((1-P992)*($G$6-$E$6)*($G$6-$F$6))))</f>
        <v>0.985103765131207</v>
      </c>
      <c r="C992" s="37" t="n">
        <f aca="false">1+IF($G$7=$E$7,$F$7,IF(Q992&lt;($F$7-$E$7)/($G$7-$E$7),$E$7+SQRT(Q992*($G$7-$E$7)*($F$7-$E$7)),$G$7-SQRT((1-Q992)*($G$7-$E$7)*($G$7-$F$7))))</f>
        <v>1.02381623657645</v>
      </c>
      <c r="D992" s="37" t="n">
        <f aca="false">1+IF($G$8=$E$8,$F$8,IF(R992&lt;($F$8-$E$8)/($G$8-$E$8),$E$8+SQRT(R992*($G$8-$E$8)*($F$8-$E$8)),$G$8-SQRT((1-R992)*($G$8-$E$8)*($G$8-$F$8))))</f>
        <v>1.02542306266263</v>
      </c>
      <c r="E992" s="37" t="n">
        <f aca="false">1+IF($G$9=$E$9,$F$9,IF(S992&lt;($F$9-$E$9)/($G$9-$E$9),$E$9+SQRT(S992*($G$9-$E$9)*($F$9-$E$9)),$G$9-SQRT((1-S992)*($G$9-$E$9)*($G$9-$F$9))))</f>
        <v>1.02367468356099</v>
      </c>
      <c r="F992" s="37" t="n">
        <f aca="false">1+IF($G$10=$E$10,$F$10,IF(T992&lt;($F$10-$E$10)/($G$10-$E$10),$E$10+SQRT(T992*($G$10-$E$10)*($F$10-$E$10)),$G$10-SQRT((1-T992)*($G$10-$E$10)*($G$10-$F$10))))</f>
        <v>1.10021413549288</v>
      </c>
      <c r="G992" s="38" t="n">
        <f aca="false">IF($G$11=$E$11,$F$11,IF(U992&lt;($F$11-$E$11)/($G$11-$E$11),$E$11+SQRT(U992*($G$11-$E$11)*($F$11-$E$11)),$G$11-SQRT((1-U992)*($G$11-$E$11)*($G$11-$F$11))))</f>
        <v>0.0980117390995311</v>
      </c>
      <c r="H992" s="39" t="n">
        <f aca="false">(('Business Case'!B11*$C992*'Business Case'!B12*$B992)-'Business Case'!B11*$C992*'Business Case'!B13*$D992-'Business Case'!B14*$E992)-MAX(0,(('Business Case'!B11*$C992*'Business Case'!B12*$B992)-'Business Case'!B11*$C992*'Business Case'!B13*$D992-'Business Case'!B14*$E992))*'Business Case'!$B$7-'Business Case'!$B$8*('Business Case'!B11*$C992*'Business Case'!B12*$B992)-'Business Case'!B15*$F992</f>
        <v>-2200428270.98576</v>
      </c>
      <c r="I992" s="39" t="n">
        <f aca="false">(('Business Case'!C11*$C992*'Business Case'!C12*$B992)-'Business Case'!C11*$C992*'Business Case'!C13*$D992-'Business Case'!C14*$E992)-MAX(0,(('Business Case'!C11*$C992*'Business Case'!C12*$B992)-'Business Case'!C11*$C992*'Business Case'!C13*$D992-'Business Case'!C14*$E992))*'Business Case'!$B$7-'Business Case'!$B$8*(('Business Case'!C11*$C992*'Business Case'!C12*$B992)-('Business Case'!B11*$C992*'Business Case'!B12*$B992))-'Business Case'!C15*$F992</f>
        <v>-19220975.6727411</v>
      </c>
      <c r="J992" s="39" t="n">
        <f aca="false">(('Business Case'!D11*$C992*'Business Case'!D12*$B992)-'Business Case'!D11*$C992*'Business Case'!D13*$D992-'Business Case'!D14*$E992)-MAX(0,(('Business Case'!D11*$C992*'Business Case'!D12*$B992)-'Business Case'!D11*$C992*'Business Case'!D13*$D992-'Business Case'!D14*$E992))*'Business Case'!$B$7-'Business Case'!$B$8*(('Business Case'!D11*$C992*'Business Case'!D12*$B992)-('Business Case'!C11*$C992*'Business Case'!C12*$B992))-'Business Case'!D15*$F992</f>
        <v>269430023.701069</v>
      </c>
      <c r="K992" s="39" t="n">
        <f aca="false">(('Business Case'!E11*$C992*'Business Case'!E12*$B992)-'Business Case'!E11*$C992*'Business Case'!E13*$D992-'Business Case'!E14*$E992)-MAX(0,(('Business Case'!E11*$C992*'Business Case'!E12*$B992)-'Business Case'!E11*$C992*'Business Case'!E13*$D992-'Business Case'!E14*$E992))*'Business Case'!$B$7-'Business Case'!$B$8*(('Business Case'!E11*$C992*'Business Case'!E12*$B992)-('Business Case'!D11*$C992*'Business Case'!D12*$B992))-'Business Case'!E15*$F992</f>
        <v>613091729.849524</v>
      </c>
      <c r="L992" s="39" t="n">
        <f aca="false">(('Business Case'!F11*$C992*'Business Case'!F12*$B992)-'Business Case'!F11*$C992*'Business Case'!F13*$D992-'Business Case'!F14*$E992)-MAX(0,(('Business Case'!F11*$C992*'Business Case'!F12*$B992)-'Business Case'!F11*$C992*'Business Case'!F13*$D992-'Business Case'!F14*$E992))*'Business Case'!$B$7-'Business Case'!$B$8*(('Business Case'!F11*$C992*'Business Case'!F12*$B992)-('Business Case'!E11*$C992*'Business Case'!E12*$B992))-'Business Case'!F15*$F992</f>
        <v>744164743.970721</v>
      </c>
      <c r="M992" s="39" t="n">
        <f aca="false">(('Business Case'!G11*$C992*'Business Case'!G12*$B992)-'Business Case'!G11*$C992*'Business Case'!G13*$D992-'Business Case'!G14*$E992)-MAX(0,(('Business Case'!G11*$C992*'Business Case'!G12*$B992)-'Business Case'!G11*$C992*'Business Case'!G13*$D992-'Business Case'!G14*$E992))*'Business Case'!$B$7-'Business Case'!$B$8*(('Business Case'!G11*$C992*'Business Case'!G12*$B992)-('Business Case'!F11*$C992*'Business Case'!F12*$B992))-'Business Case'!G15*$F992+'Business Case'!$B$8*('Business Case'!G11*$C992*'Business Case'!G12*$B992)</f>
        <v>935872822.785322</v>
      </c>
      <c r="N992" s="39" t="n">
        <f aca="false">IF(COUNT('Business Case'!B11:G11)=0,"",H992+NPV(G992,I992:M992))</f>
        <v>-432975458.586133</v>
      </c>
      <c r="P992" s="40" t="n">
        <f aca="true">RAND()</f>
        <v>0.441510441068683</v>
      </c>
      <c r="Q992" s="40" t="n">
        <f aca="true">RAND()</f>
        <v>0.69671729234797</v>
      </c>
      <c r="R992" s="40" t="n">
        <f aca="true">RAND()</f>
        <v>0.713592106814738</v>
      </c>
      <c r="S992" s="40" t="n">
        <f aca="true">RAND()</f>
        <v>0.611629738032303</v>
      </c>
      <c r="T992" s="40" t="n">
        <f aca="true">RAND()</f>
        <v>0.800855624891333</v>
      </c>
      <c r="U992" s="40" t="n">
        <f aca="true">RAND()</f>
        <v>0.213959877996518</v>
      </c>
    </row>
    <row r="993" customFormat="false" ht="15" hidden="false" customHeight="false" outlineLevel="0" collapsed="false">
      <c r="A993" s="36" t="n">
        <v>913</v>
      </c>
      <c r="B993" s="37" t="n">
        <f aca="false">1+IF($G$6=$E$6,$F$6,IF(P993&lt;($F$6-$E$6)/($G$6-$E$6),$E$6+SQRT(P993*($G$6-$E$6)*($F$6-$E$6)),$G$6-SQRT((1-P993)*($G$6-$E$6)*($G$6-$F$6))))</f>
        <v>1.01865999108808</v>
      </c>
      <c r="C993" s="37" t="n">
        <f aca="false">1+IF($G$7=$E$7,$F$7,IF(Q993&lt;($F$7-$E$7)/($G$7-$E$7),$E$7+SQRT(Q993*($G$7-$E$7)*($F$7-$E$7)),$G$7-SQRT((1-Q993)*($G$7-$E$7)*($G$7-$F$7))))</f>
        <v>0.947742675083468</v>
      </c>
      <c r="D993" s="37" t="n">
        <f aca="false">1+IF($G$8=$E$8,$F$8,IF(R993&lt;($F$8-$E$8)/($G$8-$E$8),$E$8+SQRT(R993*($G$8-$E$8)*($F$8-$E$8)),$G$8-SQRT((1-R993)*($G$8-$E$8)*($G$8-$F$8))))</f>
        <v>1.04912486553553</v>
      </c>
      <c r="E993" s="37" t="n">
        <f aca="false">1+IF($G$9=$E$9,$F$9,IF(S993&lt;($F$9-$E$9)/($G$9-$E$9),$E$9+SQRT(S993*($G$9-$E$9)*($F$9-$E$9)),$G$9-SQRT((1-S993)*($G$9-$E$9)*($G$9-$F$9))))</f>
        <v>1.03004875990986</v>
      </c>
      <c r="F993" s="37" t="n">
        <f aca="false">1+IF($G$10=$E$10,$F$10,IF(T993&lt;($F$10-$E$10)/($G$10-$E$10),$E$10+SQRT(T993*($G$10-$E$10)*($F$10-$E$10)),$G$10-SQRT((1-T993)*($G$10-$E$10)*($G$10-$F$10))))</f>
        <v>0.956189729527808</v>
      </c>
      <c r="G993" s="38" t="n">
        <f aca="false">IF($G$11=$E$11,$F$11,IF(U993&lt;($F$11-$E$11)/($G$11-$E$11),$E$11+SQRT(U993*($G$11-$E$11)*($F$11-$E$11)),$G$11-SQRT((1-U993)*($G$11-$E$11)*($G$11-$F$11))))</f>
        <v>0.103535452250998</v>
      </c>
      <c r="H993" s="39" t="n">
        <f aca="false">(('Business Case'!B11*$C993*'Business Case'!B12*$B993)-'Business Case'!B11*$C993*'Business Case'!B13*$D993-'Business Case'!B14*$E993)-MAX(0,(('Business Case'!B11*$C993*'Business Case'!B12*$B993)-'Business Case'!B11*$C993*'Business Case'!B13*$D993-'Business Case'!B14*$E993))*'Business Case'!$B$7-'Business Case'!$B$8*('Business Case'!B11*$C993*'Business Case'!B12*$B993)-'Business Case'!B15*$F993</f>
        <v>-1912379459.05562</v>
      </c>
      <c r="I993" s="39" t="n">
        <f aca="false">(('Business Case'!C11*$C993*'Business Case'!C12*$B993)-'Business Case'!C11*$C993*'Business Case'!C13*$D993-'Business Case'!C14*$E993)-MAX(0,(('Business Case'!C11*$C993*'Business Case'!C12*$B993)-'Business Case'!C11*$C993*'Business Case'!C13*$D993-'Business Case'!C14*$E993))*'Business Case'!$B$7-'Business Case'!$B$8*(('Business Case'!C11*$C993*'Business Case'!C12*$B993)-('Business Case'!B11*$C993*'Business Case'!B12*$B993))-'Business Case'!C15*$F993</f>
        <v>-10387264.5673698</v>
      </c>
      <c r="J993" s="39" t="n">
        <f aca="false">(('Business Case'!D11*$C993*'Business Case'!D12*$B993)-'Business Case'!D11*$C993*'Business Case'!D13*$D993-'Business Case'!D14*$E993)-MAX(0,(('Business Case'!D11*$C993*'Business Case'!D12*$B993)-'Business Case'!D11*$C993*'Business Case'!D13*$D993-'Business Case'!D14*$E993))*'Business Case'!$B$7-'Business Case'!$B$8*(('Business Case'!D11*$C993*'Business Case'!D12*$B993)-('Business Case'!C11*$C993*'Business Case'!C12*$B993))-'Business Case'!D15*$F993</f>
        <v>271365141.407656</v>
      </c>
      <c r="K993" s="39" t="n">
        <f aca="false">(('Business Case'!E11*$C993*'Business Case'!E12*$B993)-'Business Case'!E11*$C993*'Business Case'!E13*$D993-'Business Case'!E14*$E993)-MAX(0,(('Business Case'!E11*$C993*'Business Case'!E12*$B993)-'Business Case'!E11*$C993*'Business Case'!E13*$D993-'Business Case'!E14*$E993))*'Business Case'!$B$7-'Business Case'!$B$8*(('Business Case'!E11*$C993*'Business Case'!E12*$B993)-('Business Case'!D11*$C993*'Business Case'!D12*$B993))-'Business Case'!E15*$F993</f>
        <v>600927033.859072</v>
      </c>
      <c r="L993" s="39" t="n">
        <f aca="false">(('Business Case'!F11*$C993*'Business Case'!F12*$B993)-'Business Case'!F11*$C993*'Business Case'!F13*$D993-'Business Case'!F14*$E993)-MAX(0,(('Business Case'!F11*$C993*'Business Case'!F12*$B993)-'Business Case'!F11*$C993*'Business Case'!F13*$D993-'Business Case'!F14*$E993))*'Business Case'!$B$7-'Business Case'!$B$8*(('Business Case'!F11*$C993*'Business Case'!F12*$B993)-('Business Case'!E11*$C993*'Business Case'!E12*$B993))-'Business Case'!F15*$F993</f>
        <v>728209678.471036</v>
      </c>
      <c r="M993" s="39" t="n">
        <f aca="false">(('Business Case'!G11*$C993*'Business Case'!G12*$B993)-'Business Case'!G11*$C993*'Business Case'!G13*$D993-'Business Case'!G14*$E993)-MAX(0,(('Business Case'!G11*$C993*'Business Case'!G12*$B993)-'Business Case'!G11*$C993*'Business Case'!G13*$D993-'Business Case'!G14*$E993))*'Business Case'!$B$7-'Business Case'!$B$8*(('Business Case'!G11*$C993*'Business Case'!G12*$B993)-('Business Case'!F11*$C993*'Business Case'!F12*$B993))-'Business Case'!G15*$F993+'Business Case'!$B$8*('Business Case'!G11*$C993*'Business Case'!G12*$B993)</f>
        <v>911718146.215953</v>
      </c>
      <c r="N993" s="39" t="n">
        <f aca="false">IF(COUNT('Business Case'!B11:G11)=0,"",H993+NPV(G993,I993:M993))</f>
        <v>-203669695.750385</v>
      </c>
      <c r="P993" s="40" t="n">
        <f aca="true">RAND()</f>
        <v>0.905125837424862</v>
      </c>
      <c r="Q993" s="40" t="n">
        <f aca="true">RAND()</f>
        <v>0.311827114868846</v>
      </c>
      <c r="R993" s="40" t="n">
        <f aca="true">RAND()</f>
        <v>0.908339045365487</v>
      </c>
      <c r="S993" s="40" t="n">
        <f aca="true">RAND()</f>
        <v>0.673788267323485</v>
      </c>
      <c r="T993" s="40" t="n">
        <f aca="true">RAND()</f>
        <v>0.00306502013019378</v>
      </c>
      <c r="U993" s="40" t="n">
        <f aca="true">RAND()</f>
        <v>0.548197779034702</v>
      </c>
    </row>
    <row r="994" customFormat="false" ht="15" hidden="false" customHeight="false" outlineLevel="0" collapsed="false">
      <c r="A994" s="36" t="n">
        <v>914</v>
      </c>
      <c r="B994" s="37" t="n">
        <f aca="false">1+IF($G$6=$E$6,$F$6,IF(P994&lt;($F$6-$E$6)/($G$6-$E$6),$E$6+SQRT(P994*($G$6-$E$6)*($F$6-$E$6)),$G$6-SQRT((1-P994)*($G$6-$E$6)*($G$6-$F$6))))</f>
        <v>0.929538986129351</v>
      </c>
      <c r="C994" s="37" t="n">
        <f aca="false">1+IF($G$7=$E$7,$F$7,IF(Q994&lt;($F$7-$E$7)/($G$7-$E$7),$E$7+SQRT(Q994*($G$7-$E$7)*($F$7-$E$7)),$G$7-SQRT((1-Q994)*($G$7-$E$7)*($G$7-$F$7))))</f>
        <v>0.944081162045164</v>
      </c>
      <c r="D994" s="37" t="n">
        <f aca="false">1+IF($G$8=$E$8,$F$8,IF(R994&lt;($F$8-$E$8)/($G$8-$E$8),$E$8+SQRT(R994*($G$8-$E$8)*($F$8-$E$8)),$G$8-SQRT((1-R994)*($G$8-$E$8)*($G$8-$F$8))))</f>
        <v>0.972514479323484</v>
      </c>
      <c r="E994" s="37" t="n">
        <f aca="false">1+IF($G$9=$E$9,$F$9,IF(S994&lt;($F$9-$E$9)/($G$9-$E$9),$E$9+SQRT(S994*($G$9-$E$9)*($F$9-$E$9)),$G$9-SQRT((1-S994)*($G$9-$E$9)*($G$9-$F$9))))</f>
        <v>1.0476034034756</v>
      </c>
      <c r="F994" s="37" t="n">
        <f aca="false">1+IF($G$10=$E$10,$F$10,IF(T994&lt;($F$10-$E$10)/($G$10-$E$10),$E$10+SQRT(T994*($G$10-$E$10)*($F$10-$E$10)),$G$10-SQRT((1-T994)*($G$10-$E$10)*($G$10-$F$10))))</f>
        <v>1.00626343390477</v>
      </c>
      <c r="G994" s="38" t="n">
        <f aca="false">IF($G$11=$E$11,$F$11,IF(U994&lt;($F$11-$E$11)/($G$11-$E$11),$E$11+SQRT(U994*($G$11-$E$11)*($F$11-$E$11)),$G$11-SQRT((1-U994)*($G$11-$E$11)*($G$11-$F$11))))</f>
        <v>0.102696808801759</v>
      </c>
      <c r="H994" s="39" t="n">
        <f aca="false">(('Business Case'!B11*$C994*'Business Case'!B12*$B994)-'Business Case'!B11*$C994*'Business Case'!B13*$D994-'Business Case'!B14*$E994)-MAX(0,(('Business Case'!B11*$C994*'Business Case'!B12*$B994)-'Business Case'!B11*$C994*'Business Case'!B13*$D994-'Business Case'!B14*$E994))*'Business Case'!$B$7-'Business Case'!$B$8*('Business Case'!B11*$C994*'Business Case'!B12*$B994)-'Business Case'!B15*$F994</f>
        <v>-2012526867.80954</v>
      </c>
      <c r="I994" s="39" t="n">
        <f aca="false">(('Business Case'!C11*$C994*'Business Case'!C12*$B994)-'Business Case'!C11*$C994*'Business Case'!C13*$D994-'Business Case'!C14*$E994)-MAX(0,(('Business Case'!C11*$C994*'Business Case'!C12*$B994)-'Business Case'!C11*$C994*'Business Case'!C13*$D994-'Business Case'!C14*$E994))*'Business Case'!$B$7-'Business Case'!$B$8*(('Business Case'!C11*$C994*'Business Case'!C12*$B994)-('Business Case'!B11*$C994*'Business Case'!B12*$B994))-'Business Case'!C15*$F994</f>
        <v>-46313685.0205752</v>
      </c>
      <c r="J994" s="39" t="n">
        <f aca="false">(('Business Case'!D11*$C994*'Business Case'!D12*$B994)-'Business Case'!D11*$C994*'Business Case'!D13*$D994-'Business Case'!D14*$E994)-MAX(0,(('Business Case'!D11*$C994*'Business Case'!D12*$B994)-'Business Case'!D11*$C994*'Business Case'!D13*$D994-'Business Case'!D14*$E994))*'Business Case'!$B$7-'Business Case'!$B$8*(('Business Case'!D11*$C994*'Business Case'!D12*$B994)-('Business Case'!C11*$C994*'Business Case'!C12*$B994))-'Business Case'!D15*$F994</f>
        <v>202460900.486113</v>
      </c>
      <c r="K994" s="39" t="n">
        <f aca="false">(('Business Case'!E11*$C994*'Business Case'!E12*$B994)-'Business Case'!E11*$C994*'Business Case'!E13*$D994-'Business Case'!E14*$E994)-MAX(0,(('Business Case'!E11*$C994*'Business Case'!E12*$B994)-'Business Case'!E11*$C994*'Business Case'!E13*$D994-'Business Case'!E14*$E994))*'Business Case'!$B$7-'Business Case'!$B$8*(('Business Case'!E11*$C994*'Business Case'!E12*$B994)-('Business Case'!D11*$C994*'Business Case'!D12*$B994))-'Business Case'!E15*$F994</f>
        <v>501548657.688039</v>
      </c>
      <c r="L994" s="39" t="n">
        <f aca="false">(('Business Case'!F11*$C994*'Business Case'!F12*$B994)-'Business Case'!F11*$C994*'Business Case'!F13*$D994-'Business Case'!F14*$E994)-MAX(0,(('Business Case'!F11*$C994*'Business Case'!F12*$B994)-'Business Case'!F11*$C994*'Business Case'!F13*$D994-'Business Case'!F14*$E994))*'Business Case'!$B$7-'Business Case'!$B$8*(('Business Case'!F11*$C994*'Business Case'!F12*$B994)-('Business Case'!E11*$C994*'Business Case'!E12*$B994))-'Business Case'!F15*$F994</f>
        <v>614802001.631973</v>
      </c>
      <c r="M994" s="39" t="n">
        <f aca="false">(('Business Case'!G11*$C994*'Business Case'!G12*$B994)-'Business Case'!G11*$C994*'Business Case'!G13*$D994-'Business Case'!G14*$E994)-MAX(0,(('Business Case'!G11*$C994*'Business Case'!G12*$B994)-'Business Case'!G11*$C994*'Business Case'!G13*$D994-'Business Case'!G14*$E994))*'Business Case'!$B$7-'Business Case'!$B$8*(('Business Case'!G11*$C994*'Business Case'!G12*$B994)-('Business Case'!F11*$C994*'Business Case'!F12*$B994))-'Business Case'!G15*$F994+'Business Case'!$B$8*('Business Case'!G11*$C994*'Business Case'!G12*$B994)</f>
        <v>781608653.228011</v>
      </c>
      <c r="N994" s="39" t="n">
        <f aca="false">IF(COUNT('Business Case'!B11:G11)=0,"",H994+NPV(G994,I994:M994))</f>
        <v>-618721591.246353</v>
      </c>
      <c r="P994" s="40" t="n">
        <f aca="true">RAND()</f>
        <v>0.00947836003916164</v>
      </c>
      <c r="Q994" s="40" t="n">
        <f aca="true">RAND()</f>
        <v>0.296562589375495</v>
      </c>
      <c r="R994" s="40" t="n">
        <f aca="true">RAND()</f>
        <v>0.0779848891088581</v>
      </c>
      <c r="S994" s="40" t="n">
        <f aca="true">RAND()</f>
        <v>0.816973111510609</v>
      </c>
      <c r="T994" s="40" t="n">
        <f aca="true">RAND()</f>
        <v>0.249322859152564</v>
      </c>
      <c r="U994" s="40" t="n">
        <f aca="true">RAND()</f>
        <v>0.500999290595181</v>
      </c>
    </row>
    <row r="995" customFormat="false" ht="15" hidden="false" customHeight="false" outlineLevel="0" collapsed="false">
      <c r="A995" s="36" t="n">
        <v>915</v>
      </c>
      <c r="B995" s="37" t="n">
        <f aca="false">1+IF($G$6=$E$6,$F$6,IF(P995&lt;($F$6-$E$6)/($G$6-$E$6),$E$6+SQRT(P995*($G$6-$E$6)*($F$6-$E$6)),$G$6-SQRT((1-P995)*($G$6-$E$6)*($G$6-$F$6))))</f>
        <v>1.00135114194693</v>
      </c>
      <c r="C995" s="37" t="n">
        <f aca="false">1+IF($G$7=$E$7,$F$7,IF(Q995&lt;($F$7-$E$7)/($G$7-$E$7),$E$7+SQRT(Q995*($G$7-$E$7)*($F$7-$E$7)),$G$7-SQRT((1-Q995)*($G$7-$E$7)*($G$7-$F$7))))</f>
        <v>0.926579013447658</v>
      </c>
      <c r="D995" s="37" t="n">
        <f aca="false">1+IF($G$8=$E$8,$F$8,IF(R995&lt;($F$8-$E$8)/($G$8-$E$8),$E$8+SQRT(R995*($G$8-$E$8)*($F$8-$E$8)),$G$8-SQRT((1-R995)*($G$8-$E$8)*($G$8-$F$8))))</f>
        <v>0.979596128912428</v>
      </c>
      <c r="E995" s="37" t="n">
        <f aca="false">1+IF($G$9=$E$9,$F$9,IF(S995&lt;($F$9-$E$9)/($G$9-$E$9),$E$9+SQRT(S995*($G$9-$E$9)*($F$9-$E$9)),$G$9-SQRT((1-S995)*($G$9-$E$9)*($G$9-$F$9))))</f>
        <v>1.01503213331194</v>
      </c>
      <c r="F995" s="37" t="n">
        <f aca="false">1+IF($G$10=$E$10,$F$10,IF(T995&lt;($F$10-$E$10)/($G$10-$E$10),$E$10+SQRT(T995*($G$10-$E$10)*($F$10-$E$10)),$G$10-SQRT((1-T995)*($G$10-$E$10)*($G$10-$F$10))))</f>
        <v>1.08823154633558</v>
      </c>
      <c r="G995" s="38" t="n">
        <f aca="false">IF($G$11=$E$11,$F$11,IF(U995&lt;($F$11-$E$11)/($G$11-$E$11),$E$11+SQRT(U995*($G$11-$E$11)*($F$11-$E$11)),$G$11-SQRT((1-U995)*($G$11-$E$11)*($G$11-$F$11))))</f>
        <v>0.0955260859302989</v>
      </c>
      <c r="H995" s="39" t="n">
        <f aca="false">(('Business Case'!B11*$C995*'Business Case'!B12*$B995)-'Business Case'!B11*$C995*'Business Case'!B13*$D995-'Business Case'!B14*$E995)-MAX(0,(('Business Case'!B11*$C995*'Business Case'!B12*$B995)-'Business Case'!B11*$C995*'Business Case'!B13*$D995-'Business Case'!B14*$E995))*'Business Case'!$B$7-'Business Case'!$B$8*('Business Case'!B11*$C995*'Business Case'!B12*$B995)-'Business Case'!B15*$F995</f>
        <v>-2176463092.67115</v>
      </c>
      <c r="I995" s="39" t="n">
        <f aca="false">(('Business Case'!C11*$C995*'Business Case'!C12*$B995)-'Business Case'!C11*$C995*'Business Case'!C13*$D995-'Business Case'!C14*$E995)-MAX(0,(('Business Case'!C11*$C995*'Business Case'!C12*$B995)-'Business Case'!C11*$C995*'Business Case'!C13*$D995-'Business Case'!C14*$E995))*'Business Case'!$B$7-'Business Case'!$B$8*(('Business Case'!C11*$C995*'Business Case'!C12*$B995)-('Business Case'!B11*$C995*'Business Case'!B12*$B995))-'Business Case'!C15*$F995</f>
        <v>-5955198.16141979</v>
      </c>
      <c r="J995" s="39" t="n">
        <f aca="false">(('Business Case'!D11*$C995*'Business Case'!D12*$B995)-'Business Case'!D11*$C995*'Business Case'!D13*$D995-'Business Case'!D14*$E995)-MAX(0,(('Business Case'!D11*$C995*'Business Case'!D12*$B995)-'Business Case'!D11*$C995*'Business Case'!D13*$D995-'Business Case'!D14*$E995))*'Business Case'!$B$7-'Business Case'!$B$8*(('Business Case'!D11*$C995*'Business Case'!D12*$B995)-('Business Case'!C11*$C995*'Business Case'!C12*$B995))-'Business Case'!D15*$F995</f>
        <v>289349084.282594</v>
      </c>
      <c r="K995" s="39" t="n">
        <f aca="false">(('Business Case'!E11*$C995*'Business Case'!E12*$B995)-'Business Case'!E11*$C995*'Business Case'!E13*$D995-'Business Case'!E14*$E995)-MAX(0,(('Business Case'!E11*$C995*'Business Case'!E12*$B995)-'Business Case'!E11*$C995*'Business Case'!E13*$D995-'Business Case'!E14*$E995))*'Business Case'!$B$7-'Business Case'!$B$8*(('Business Case'!E11*$C995*'Business Case'!E12*$B995)-('Business Case'!D11*$C995*'Business Case'!D12*$B995))-'Business Case'!E15*$F995</f>
        <v>639064944.043386</v>
      </c>
      <c r="L995" s="39" t="n">
        <f aca="false">(('Business Case'!F11*$C995*'Business Case'!F12*$B995)-'Business Case'!F11*$C995*'Business Case'!F13*$D995-'Business Case'!F14*$E995)-MAX(0,(('Business Case'!F11*$C995*'Business Case'!F12*$B995)-'Business Case'!F11*$C995*'Business Case'!F13*$D995-'Business Case'!F14*$E995))*'Business Case'!$B$7-'Business Case'!$B$8*(('Business Case'!F11*$C995*'Business Case'!F12*$B995)-('Business Case'!E11*$C995*'Business Case'!E12*$B995))-'Business Case'!F15*$F995</f>
        <v>769565542.601336</v>
      </c>
      <c r="M995" s="39" t="n">
        <f aca="false">(('Business Case'!G11*$C995*'Business Case'!G12*$B995)-'Business Case'!G11*$C995*'Business Case'!G13*$D995-'Business Case'!G14*$E995)-MAX(0,(('Business Case'!G11*$C995*'Business Case'!G12*$B995)-'Business Case'!G11*$C995*'Business Case'!G13*$D995-'Business Case'!G14*$E995))*'Business Case'!$B$7-'Business Case'!$B$8*(('Business Case'!G11*$C995*'Business Case'!G12*$B995)-('Business Case'!F11*$C995*'Business Case'!F12*$B995))-'Business Case'!G15*$F995+'Business Case'!$B$8*('Business Case'!G11*$C995*'Business Case'!G12*$B995)</f>
        <v>945927650.189369</v>
      </c>
      <c r="N995" s="39" t="n">
        <f aca="false">IF(COUNT('Business Case'!B11:G11)=0,"",H995+NPV(G995,I995:M995))</f>
        <v>-321064453.303486</v>
      </c>
      <c r="P995" s="40" t="n">
        <f aca="true">RAND()</f>
        <v>0.68880536899866</v>
      </c>
      <c r="Q995" s="40" t="n">
        <f aca="true">RAND()</f>
        <v>0.228889237791176</v>
      </c>
      <c r="R995" s="40" t="n">
        <f aca="true">RAND()</f>
        <v>0.134758591784782</v>
      </c>
      <c r="S995" s="40" t="n">
        <f aca="true">RAND()</f>
        <v>0.518697442031969</v>
      </c>
      <c r="T995" s="40" t="n">
        <f aca="true">RAND()</f>
        <v>0.750156255309268</v>
      </c>
      <c r="U995" s="40" t="n">
        <f aca="true">RAND()</f>
        <v>0.101792085696824</v>
      </c>
    </row>
    <row r="996" customFormat="false" ht="15" hidden="false" customHeight="false" outlineLevel="0" collapsed="false">
      <c r="A996" s="36" t="n">
        <v>916</v>
      </c>
      <c r="B996" s="37" t="n">
        <f aca="false">1+IF($G$6=$E$6,$F$6,IF(P996&lt;($F$6-$E$6)/($G$6-$E$6),$E$6+SQRT(P996*($G$6-$E$6)*($F$6-$E$6)),$G$6-SQRT((1-P996)*($G$6-$E$6)*($G$6-$F$6))))</f>
        <v>0.988732833037337</v>
      </c>
      <c r="C996" s="37" t="n">
        <f aca="false">1+IF($G$7=$E$7,$F$7,IF(Q996&lt;($F$7-$E$7)/($G$7-$E$7),$E$7+SQRT(Q996*($G$7-$E$7)*($F$7-$E$7)),$G$7-SQRT((1-Q996)*($G$7-$E$7)*($G$7-$F$7))))</f>
        <v>1.04954847860153</v>
      </c>
      <c r="D996" s="37" t="n">
        <f aca="false">1+IF($G$8=$E$8,$F$8,IF(R996&lt;($F$8-$E$8)/($G$8-$E$8),$E$8+SQRT(R996*($G$8-$E$8)*($F$8-$E$8)),$G$8-SQRT((1-R996)*($G$8-$E$8)*($G$8-$F$8))))</f>
        <v>1.01315809767754</v>
      </c>
      <c r="E996" s="37" t="n">
        <f aca="false">1+IF($G$9=$E$9,$F$9,IF(S996&lt;($F$9-$E$9)/($G$9-$E$9),$E$9+SQRT(S996*($G$9-$E$9)*($F$9-$E$9)),$G$9-SQRT((1-S996)*($G$9-$E$9)*($G$9-$F$9))))</f>
        <v>1.02835680902641</v>
      </c>
      <c r="F996" s="37" t="n">
        <f aca="false">1+IF($G$10=$E$10,$F$10,IF(T996&lt;($F$10-$E$10)/($G$10-$E$10),$E$10+SQRT(T996*($G$10-$E$10)*($F$10-$E$10)),$G$10-SQRT((1-T996)*($G$10-$E$10)*($G$10-$F$10))))</f>
        <v>1.05950359527719</v>
      </c>
      <c r="G996" s="38" t="n">
        <f aca="false">IF($G$11=$E$11,$F$11,IF(U996&lt;($F$11-$E$11)/($G$11-$E$11),$E$11+SQRT(U996*($G$11-$E$11)*($F$11-$E$11)),$G$11-SQRT((1-U996)*($G$11-$E$11)*($G$11-$F$11))))</f>
        <v>0.109909344377364</v>
      </c>
      <c r="H996" s="39" t="n">
        <f aca="false">(('Business Case'!B11*$C996*'Business Case'!B12*$B996)-'Business Case'!B11*$C996*'Business Case'!B13*$D996-'Business Case'!B14*$E996)-MAX(0,(('Business Case'!B11*$C996*'Business Case'!B12*$B996)-'Business Case'!B11*$C996*'Business Case'!B13*$D996-'Business Case'!B14*$E996))*'Business Case'!$B$7-'Business Case'!$B$8*('Business Case'!B11*$C996*'Business Case'!B12*$B996)-'Business Case'!B15*$F996</f>
        <v>-2119007190.55438</v>
      </c>
      <c r="I996" s="39" t="n">
        <f aca="false">(('Business Case'!C11*$C996*'Business Case'!C12*$B996)-'Business Case'!C11*$C996*'Business Case'!C13*$D996-'Business Case'!C14*$E996)-MAX(0,(('Business Case'!C11*$C996*'Business Case'!C12*$B996)-'Business Case'!C11*$C996*'Business Case'!C13*$D996-'Business Case'!C14*$E996))*'Business Case'!$B$7-'Business Case'!$B$8*(('Business Case'!C11*$C996*'Business Case'!C12*$B996)-('Business Case'!B11*$C996*'Business Case'!B12*$B996))-'Business Case'!C15*$F996</f>
        <v>-362877.638314888</v>
      </c>
      <c r="J996" s="39" t="n">
        <f aca="false">(('Business Case'!D11*$C996*'Business Case'!D12*$B996)-'Business Case'!D11*$C996*'Business Case'!D13*$D996-'Business Case'!D14*$E996)-MAX(0,(('Business Case'!D11*$C996*'Business Case'!D12*$B996)-'Business Case'!D11*$C996*'Business Case'!D13*$D996-'Business Case'!D14*$E996))*'Business Case'!$B$7-'Business Case'!$B$8*(('Business Case'!D11*$C996*'Business Case'!D12*$B996)-('Business Case'!C11*$C996*'Business Case'!C12*$B996))-'Business Case'!D15*$F996</f>
        <v>305252504.922341</v>
      </c>
      <c r="K996" s="39" t="n">
        <f aca="false">(('Business Case'!E11*$C996*'Business Case'!E12*$B996)-'Business Case'!E11*$C996*'Business Case'!E13*$D996-'Business Case'!E14*$E996)-MAX(0,(('Business Case'!E11*$C996*'Business Case'!E12*$B996)-'Business Case'!E11*$C996*'Business Case'!E13*$D996-'Business Case'!E14*$E996))*'Business Case'!$B$7-'Business Case'!$B$8*(('Business Case'!E11*$C996*'Business Case'!E12*$B996)-('Business Case'!D11*$C996*'Business Case'!D12*$B996))-'Business Case'!E15*$F996</f>
        <v>663843067.246856</v>
      </c>
      <c r="L996" s="39" t="n">
        <f aca="false">(('Business Case'!F11*$C996*'Business Case'!F12*$B996)-'Business Case'!F11*$C996*'Business Case'!F13*$D996-'Business Case'!F14*$E996)-MAX(0,(('Business Case'!F11*$C996*'Business Case'!F12*$B996)-'Business Case'!F11*$C996*'Business Case'!F13*$D996-'Business Case'!F14*$E996))*'Business Case'!$B$7-'Business Case'!$B$8*(('Business Case'!F11*$C996*'Business Case'!F12*$B996)-('Business Case'!E11*$C996*'Business Case'!E12*$B996))-'Business Case'!F15*$F996</f>
        <v>801578569.718873</v>
      </c>
      <c r="M996" s="39" t="n">
        <f aca="false">(('Business Case'!G11*$C996*'Business Case'!G12*$B996)-'Business Case'!G11*$C996*'Business Case'!G13*$D996-'Business Case'!G14*$E996)-MAX(0,(('Business Case'!G11*$C996*'Business Case'!G12*$B996)-'Business Case'!G11*$C996*'Business Case'!G13*$D996-'Business Case'!G14*$E996))*'Business Case'!$B$7-'Business Case'!$B$8*(('Business Case'!G11*$C996*'Business Case'!G12*$B996)-('Business Case'!F11*$C996*'Business Case'!F12*$B996))-'Business Case'!G15*$F996+'Business Case'!$B$8*('Business Case'!G11*$C996*'Business Case'!G12*$B996)</f>
        <v>998828965.287092</v>
      </c>
      <c r="N996" s="39" t="n">
        <f aca="false">IF(COUNT('Business Case'!B11:G11)=0,"",H996+NPV(G996,I996:M996))</f>
        <v>-264832943.241949</v>
      </c>
      <c r="P996" s="40" t="n">
        <f aca="true">RAND()</f>
        <v>0.492104410139424</v>
      </c>
      <c r="Q996" s="40" t="n">
        <f aca="true">RAND()</f>
        <v>0.807799844737779</v>
      </c>
      <c r="R996" s="40" t="n">
        <f aca="true">RAND()</f>
        <v>0.570400009030231</v>
      </c>
      <c r="S996" s="40" t="n">
        <f aca="true">RAND()</f>
        <v>0.657816879141468</v>
      </c>
      <c r="T996" s="40" t="n">
        <f aca="true">RAND()</f>
        <v>0.605215205199284</v>
      </c>
      <c r="U996" s="40" t="n">
        <f aca="true">RAND()</f>
        <v>0.830297781842278</v>
      </c>
    </row>
    <row r="997" customFormat="false" ht="15" hidden="false" customHeight="false" outlineLevel="0" collapsed="false">
      <c r="A997" s="36" t="n">
        <v>917</v>
      </c>
      <c r="B997" s="37" t="n">
        <f aca="false">1+IF($G$6=$E$6,$F$6,IF(P997&lt;($F$6-$E$6)/($G$6-$E$6),$E$6+SQRT(P997*($G$6-$E$6)*($F$6-$E$6)),$G$6-SQRT((1-P997)*($G$6-$E$6)*($G$6-$F$6))))</f>
        <v>1.01417857844076</v>
      </c>
      <c r="C997" s="37" t="n">
        <f aca="false">1+IF($G$7=$E$7,$F$7,IF(Q997&lt;($F$7-$E$7)/($G$7-$E$7),$E$7+SQRT(Q997*($G$7-$E$7)*($F$7-$E$7)),$G$7-SQRT((1-Q997)*($G$7-$E$7)*($G$7-$F$7))))</f>
        <v>0.988269319716496</v>
      </c>
      <c r="D997" s="37" t="n">
        <f aca="false">1+IF($G$8=$E$8,$F$8,IF(R997&lt;($F$8-$E$8)/($G$8-$E$8),$E$8+SQRT(R997*($G$8-$E$8)*($F$8-$E$8)),$G$8-SQRT((1-R997)*($G$8-$E$8)*($G$8-$F$8))))</f>
        <v>1.05486513467167</v>
      </c>
      <c r="E997" s="37" t="n">
        <f aca="false">1+IF($G$9=$E$9,$F$9,IF(S997&lt;($F$9-$E$9)/($G$9-$E$9),$E$9+SQRT(S997*($G$9-$E$9)*($F$9-$E$9)),$G$9-SQRT((1-S997)*($G$9-$E$9)*($G$9-$F$9))))</f>
        <v>1.04055017715341</v>
      </c>
      <c r="F997" s="37" t="n">
        <f aca="false">1+IF($G$10=$E$10,$F$10,IF(T997&lt;($F$10-$E$10)/($G$10-$E$10),$E$10+SQRT(T997*($G$10-$E$10)*($F$10-$E$10)),$G$10-SQRT((1-T997)*($G$10-$E$10)*($G$10-$F$10))))</f>
        <v>0.986495953619556</v>
      </c>
      <c r="G997" s="38" t="n">
        <f aca="false">IF($G$11=$E$11,$F$11,IF(U997&lt;($F$11-$E$11)/($G$11-$E$11),$E$11+SQRT(U997*($G$11-$E$11)*($F$11-$E$11)),$G$11-SQRT((1-U997)*($G$11-$E$11)*($G$11-$F$11))))</f>
        <v>0.100956612282186</v>
      </c>
      <c r="H997" s="39" t="n">
        <f aca="false">(('Business Case'!B11*$C997*'Business Case'!B12*$B997)-'Business Case'!B11*$C997*'Business Case'!B13*$D997-'Business Case'!B14*$E997)-MAX(0,(('Business Case'!B11*$C997*'Business Case'!B12*$B997)-'Business Case'!B11*$C997*'Business Case'!B13*$D997-'Business Case'!B14*$E997))*'Business Case'!$B$7-'Business Case'!$B$8*('Business Case'!B11*$C997*'Business Case'!B12*$B997)-'Business Case'!B15*$F997</f>
        <v>-1972991907.23911</v>
      </c>
      <c r="I997" s="39" t="n">
        <f aca="false">(('Business Case'!C11*$C997*'Business Case'!C12*$B997)-'Business Case'!C11*$C997*'Business Case'!C13*$D997-'Business Case'!C14*$E997)-MAX(0,(('Business Case'!C11*$C997*'Business Case'!C12*$B997)-'Business Case'!C11*$C997*'Business Case'!C13*$D997-'Business Case'!C14*$E997))*'Business Case'!$B$7-'Business Case'!$B$8*(('Business Case'!C11*$C997*'Business Case'!C12*$B997)-('Business Case'!B11*$C997*'Business Case'!B12*$B997))-'Business Case'!C15*$F997</f>
        <v>-11305249.5714655</v>
      </c>
      <c r="J997" s="39" t="n">
        <f aca="false">(('Business Case'!D11*$C997*'Business Case'!D12*$B997)-'Business Case'!D11*$C997*'Business Case'!D13*$D997-'Business Case'!D14*$E997)-MAX(0,(('Business Case'!D11*$C997*'Business Case'!D12*$B997)-'Business Case'!D11*$C997*'Business Case'!D13*$D997-'Business Case'!D14*$E997))*'Business Case'!$B$7-'Business Case'!$B$8*(('Business Case'!D11*$C997*'Business Case'!D12*$B997)-('Business Case'!C11*$C997*'Business Case'!C12*$B997))-'Business Case'!D15*$F997</f>
        <v>275963608.195341</v>
      </c>
      <c r="K997" s="39" t="n">
        <f aca="false">(('Business Case'!E11*$C997*'Business Case'!E12*$B997)-'Business Case'!E11*$C997*'Business Case'!E13*$D997-'Business Case'!E14*$E997)-MAX(0,(('Business Case'!E11*$C997*'Business Case'!E12*$B997)-'Business Case'!E11*$C997*'Business Case'!E13*$D997-'Business Case'!E14*$E997))*'Business Case'!$B$7-'Business Case'!$B$8*(('Business Case'!E11*$C997*'Business Case'!E12*$B997)-('Business Case'!D11*$C997*'Business Case'!D12*$B997))-'Business Case'!E15*$F997</f>
        <v>612557263.643125</v>
      </c>
      <c r="L997" s="39" t="n">
        <f aca="false">(('Business Case'!F11*$C997*'Business Case'!F12*$B997)-'Business Case'!F11*$C997*'Business Case'!F13*$D997-'Business Case'!F14*$E997)-MAX(0,(('Business Case'!F11*$C997*'Business Case'!F12*$B997)-'Business Case'!F11*$C997*'Business Case'!F13*$D997-'Business Case'!F14*$E997))*'Business Case'!$B$7-'Business Case'!$B$8*(('Business Case'!F11*$C997*'Business Case'!F12*$B997)-('Business Case'!E11*$C997*'Business Case'!E12*$B997))-'Business Case'!F15*$F997</f>
        <v>742952400.755462</v>
      </c>
      <c r="M997" s="39" t="n">
        <f aca="false">(('Business Case'!G11*$C997*'Business Case'!G12*$B997)-'Business Case'!G11*$C997*'Business Case'!G13*$D997-'Business Case'!G14*$E997)-MAX(0,(('Business Case'!G11*$C997*'Business Case'!G12*$B997)-'Business Case'!G11*$C997*'Business Case'!G13*$D997-'Business Case'!G14*$E997))*'Business Case'!$B$7-'Business Case'!$B$8*(('Business Case'!G11*$C997*'Business Case'!G12*$B997)-('Business Case'!F11*$C997*'Business Case'!F12*$B997))-'Business Case'!G15*$F997+'Business Case'!$B$8*('Business Case'!G11*$C997*'Business Case'!G12*$B997)</f>
        <v>933466082.300836</v>
      </c>
      <c r="N997" s="39" t="n">
        <f aca="false">IF(COUNT('Business Case'!B11:G11)=0,"",H997+NPV(G997,I997:M997))</f>
        <v>-213782415.771876</v>
      </c>
      <c r="P997" s="40" t="n">
        <f aca="true">RAND()</f>
        <v>0.861094622637459</v>
      </c>
      <c r="Q997" s="40" t="n">
        <f aca="true">RAND()</f>
        <v>0.506361953521605</v>
      </c>
      <c r="R997" s="40" t="n">
        <f aca="true">RAND()</f>
        <v>0.939253706242963</v>
      </c>
      <c r="S997" s="40" t="n">
        <f aca="true">RAND()</f>
        <v>0.764381237567253</v>
      </c>
      <c r="T997" s="40" t="n">
        <f aca="true">RAND()</f>
        <v>0.106556370448061</v>
      </c>
      <c r="U997" s="40" t="n">
        <f aca="true">RAND()</f>
        <v>0.395582307048355</v>
      </c>
    </row>
    <row r="998" customFormat="false" ht="15" hidden="false" customHeight="false" outlineLevel="0" collapsed="false">
      <c r="A998" s="36" t="n">
        <v>918</v>
      </c>
      <c r="B998" s="37" t="n">
        <f aca="false">1+IF($G$6=$E$6,$F$6,IF(P998&lt;($F$6-$E$6)/($G$6-$E$6),$E$6+SQRT(P998*($G$6-$E$6)*($F$6-$E$6)),$G$6-SQRT((1-P998)*($G$6-$E$6)*($G$6-$F$6))))</f>
        <v>0.95213256009622</v>
      </c>
      <c r="C998" s="37" t="n">
        <f aca="false">1+IF($G$7=$E$7,$F$7,IF(Q998&lt;($F$7-$E$7)/($G$7-$E$7),$E$7+SQRT(Q998*($G$7-$E$7)*($F$7-$E$7)),$G$7-SQRT((1-Q998)*($G$7-$E$7)*($G$7-$F$7))))</f>
        <v>0.971421382008125</v>
      </c>
      <c r="D998" s="37" t="n">
        <f aca="false">1+IF($G$8=$E$8,$F$8,IF(R998&lt;($F$8-$E$8)/($G$8-$E$8),$E$8+SQRT(R998*($G$8-$E$8)*($F$8-$E$8)),$G$8-SQRT((1-R998)*($G$8-$E$8)*($G$8-$F$8))))</f>
        <v>0.995157223434246</v>
      </c>
      <c r="E998" s="37" t="n">
        <f aca="false">1+IF($G$9=$E$9,$F$9,IF(S998&lt;($F$9-$E$9)/($G$9-$E$9),$E$9+SQRT(S998*($G$9-$E$9)*($F$9-$E$9)),$G$9-SQRT((1-S998)*($G$9-$E$9)*($G$9-$F$9))))</f>
        <v>1.03130298324722</v>
      </c>
      <c r="F998" s="37" t="n">
        <f aca="false">1+IF($G$10=$E$10,$F$10,IF(T998&lt;($F$10-$E$10)/($G$10-$E$10),$E$10+SQRT(T998*($G$10-$E$10)*($F$10-$E$10)),$G$10-SQRT((1-T998)*($G$10-$E$10)*($G$10-$F$10))))</f>
        <v>0.985464754380177</v>
      </c>
      <c r="G998" s="38" t="n">
        <f aca="false">IF($G$11=$E$11,$F$11,IF(U998&lt;($F$11-$E$11)/($G$11-$E$11),$E$11+SQRT(U998*($G$11-$E$11)*($F$11-$E$11)),$G$11-SQRT((1-U998)*($G$11-$E$11)*($G$11-$F$11))))</f>
        <v>0.108518348412684</v>
      </c>
      <c r="H998" s="39" t="n">
        <f aca="false">(('Business Case'!B11*$C998*'Business Case'!B12*$B998)-'Business Case'!B11*$C998*'Business Case'!B13*$D998-'Business Case'!B14*$E998)-MAX(0,(('Business Case'!B11*$C998*'Business Case'!B12*$B998)-'Business Case'!B11*$C998*'Business Case'!B13*$D998-'Business Case'!B14*$E998))*'Business Case'!$B$7-'Business Case'!$B$8*('Business Case'!B11*$C998*'Business Case'!B12*$B998)-'Business Case'!B15*$F998</f>
        <v>-1970929508.76035</v>
      </c>
      <c r="I998" s="39" t="n">
        <f aca="false">(('Business Case'!C11*$C998*'Business Case'!C12*$B998)-'Business Case'!C11*$C998*'Business Case'!C13*$D998-'Business Case'!C14*$E998)-MAX(0,(('Business Case'!C11*$C998*'Business Case'!C12*$B998)-'Business Case'!C11*$C998*'Business Case'!C13*$D998-'Business Case'!C14*$E998))*'Business Case'!$B$7-'Business Case'!$B$8*(('Business Case'!C11*$C998*'Business Case'!C12*$B998)-('Business Case'!B11*$C998*'Business Case'!B12*$B998))-'Business Case'!C15*$F998</f>
        <v>-30449828.8205492</v>
      </c>
      <c r="J998" s="39" t="n">
        <f aca="false">(('Business Case'!D11*$C998*'Business Case'!D12*$B998)-'Business Case'!D11*$C998*'Business Case'!D13*$D998-'Business Case'!D14*$E998)-MAX(0,(('Business Case'!D11*$C998*'Business Case'!D12*$B998)-'Business Case'!D11*$C998*'Business Case'!D13*$D998-'Business Case'!D14*$E998))*'Business Case'!$B$7-'Business Case'!$B$8*(('Business Case'!D11*$C998*'Business Case'!D12*$B998)-('Business Case'!C11*$C998*'Business Case'!C12*$B998))-'Business Case'!D15*$F998</f>
        <v>232246054.73024</v>
      </c>
      <c r="K998" s="39" t="n">
        <f aca="false">(('Business Case'!E11*$C998*'Business Case'!E12*$B998)-'Business Case'!E11*$C998*'Business Case'!E13*$D998-'Business Case'!E14*$E998)-MAX(0,(('Business Case'!E11*$C998*'Business Case'!E12*$B998)-'Business Case'!E11*$C998*'Business Case'!E13*$D998-'Business Case'!E14*$E998))*'Business Case'!$B$7-'Business Case'!$B$8*(('Business Case'!E11*$C998*'Business Case'!E12*$B998)-('Business Case'!D11*$C998*'Business Case'!D12*$B998))-'Business Case'!E15*$F998</f>
        <v>544215176.000038</v>
      </c>
      <c r="L998" s="39" t="n">
        <f aca="false">(('Business Case'!F11*$C998*'Business Case'!F12*$B998)-'Business Case'!F11*$C998*'Business Case'!F13*$D998-'Business Case'!F14*$E998)-MAX(0,(('Business Case'!F11*$C998*'Business Case'!F12*$B998)-'Business Case'!F11*$C998*'Business Case'!F13*$D998-'Business Case'!F14*$E998))*'Business Case'!$B$7-'Business Case'!$B$8*(('Business Case'!F11*$C998*'Business Case'!F12*$B998)-('Business Case'!E11*$C998*'Business Case'!E12*$B998))-'Business Case'!F15*$F998</f>
        <v>663745772.327345</v>
      </c>
      <c r="M998" s="39" t="n">
        <f aca="false">(('Business Case'!G11*$C998*'Business Case'!G12*$B998)-'Business Case'!G11*$C998*'Business Case'!G13*$D998-'Business Case'!G14*$E998)-MAX(0,(('Business Case'!G11*$C998*'Business Case'!G12*$B998)-'Business Case'!G11*$C998*'Business Case'!G13*$D998-'Business Case'!G14*$E998))*'Business Case'!$B$7-'Business Case'!$B$8*(('Business Case'!G11*$C998*'Business Case'!G12*$B998)-('Business Case'!F11*$C998*'Business Case'!F12*$B998))-'Business Case'!G15*$F998+'Business Case'!$B$8*('Business Case'!G11*$C998*'Business Case'!G12*$B998)</f>
        <v>839554932.284421</v>
      </c>
      <c r="N998" s="39" t="n">
        <f aca="false">IF(COUNT('Business Case'!B11:G11)=0,"",H998+NPV(G998,I998:M998))</f>
        <v>-468729104.960573</v>
      </c>
      <c r="P998" s="40" t="n">
        <f aca="true">RAND()</f>
        <v>0.107552231076787</v>
      </c>
      <c r="Q998" s="40" t="n">
        <f aca="true">RAND()</f>
        <v>0.419789860136796</v>
      </c>
      <c r="R998" s="40" t="n">
        <f aca="true">RAND()</f>
        <v>0.313719204352369</v>
      </c>
      <c r="S998" s="40" t="n">
        <f aca="true">RAND()</f>
        <v>0.685381325951228</v>
      </c>
      <c r="T998" s="40" t="n">
        <f aca="true">RAND()</f>
        <v>0.100619904259702</v>
      </c>
      <c r="U998" s="40" t="n">
        <f aca="true">RAND()</f>
        <v>0.780286128045804</v>
      </c>
    </row>
    <row r="999" customFormat="false" ht="15" hidden="false" customHeight="false" outlineLevel="0" collapsed="false">
      <c r="A999" s="36" t="n">
        <v>919</v>
      </c>
      <c r="B999" s="37" t="n">
        <f aca="false">1+IF($G$6=$E$6,$F$6,IF(P999&lt;($F$6-$E$6)/($G$6-$E$6),$E$6+SQRT(P999*($G$6-$E$6)*($F$6-$E$6)),$G$6-SQRT((1-P999)*($G$6-$E$6)*($G$6-$F$6))))</f>
        <v>1.03198718751698</v>
      </c>
      <c r="C999" s="37" t="n">
        <f aca="false">1+IF($G$7=$E$7,$F$7,IF(Q999&lt;($F$7-$E$7)/($G$7-$E$7),$E$7+SQRT(Q999*($G$7-$E$7)*($F$7-$E$7)),$G$7-SQRT((1-Q999)*($G$7-$E$7)*($G$7-$F$7))))</f>
        <v>1.06837389472955</v>
      </c>
      <c r="D999" s="37" t="n">
        <f aca="false">1+IF($G$8=$E$8,$F$8,IF(R999&lt;($F$8-$E$8)/($G$8-$E$8),$E$8+SQRT(R999*($G$8-$E$8)*($F$8-$E$8)),$G$8-SQRT((1-R999)*($G$8-$E$8)*($G$8-$F$8))))</f>
        <v>0.990818882185097</v>
      </c>
      <c r="E999" s="37" t="n">
        <f aca="false">1+IF($G$9=$E$9,$F$9,IF(S999&lt;($F$9-$E$9)/($G$9-$E$9),$E$9+SQRT(S999*($G$9-$E$9)*($F$9-$E$9)),$G$9-SQRT((1-S999)*($G$9-$E$9)*($G$9-$F$9))))</f>
        <v>1.03678849540277</v>
      </c>
      <c r="F999" s="37" t="n">
        <f aca="false">1+IF($G$10=$E$10,$F$10,IF(T999&lt;($F$10-$E$10)/($G$10-$E$10),$E$10+SQRT(T999*($G$10-$E$10)*($F$10-$E$10)),$G$10-SQRT((1-T999)*($G$10-$E$10)*($G$10-$F$10))))</f>
        <v>1.07257471530056</v>
      </c>
      <c r="G999" s="38" t="n">
        <f aca="false">IF($G$11=$E$11,$F$11,IF(U999&lt;($F$11-$E$11)/($G$11-$E$11),$E$11+SQRT(U999*($G$11-$E$11)*($F$11-$E$11)),$G$11-SQRT((1-U999)*($G$11-$E$11)*($G$11-$F$11))))</f>
        <v>0.117580075320468</v>
      </c>
      <c r="H999" s="39" t="n">
        <f aca="false">(('Business Case'!B11*$C999*'Business Case'!B12*$B999)-'Business Case'!B11*$C999*'Business Case'!B13*$D999-'Business Case'!B14*$E999)-MAX(0,(('Business Case'!B11*$C999*'Business Case'!B12*$B999)-'Business Case'!B11*$C999*'Business Case'!B13*$D999-'Business Case'!B14*$E999))*'Business Case'!$B$7-'Business Case'!$B$8*('Business Case'!B11*$C999*'Business Case'!B12*$B999)-'Business Case'!B15*$F999</f>
        <v>-2145149430.60111</v>
      </c>
      <c r="I999" s="39" t="n">
        <f aca="false">(('Business Case'!C11*$C999*'Business Case'!C12*$B999)-'Business Case'!C11*$C999*'Business Case'!C13*$D999-'Business Case'!C14*$E999)-MAX(0,(('Business Case'!C11*$C999*'Business Case'!C12*$B999)-'Business Case'!C11*$C999*'Business Case'!C13*$D999-'Business Case'!C14*$E999))*'Business Case'!$B$7-'Business Case'!$B$8*(('Business Case'!C11*$C999*'Business Case'!C12*$B999)-('Business Case'!B11*$C999*'Business Case'!B12*$B999))-'Business Case'!C15*$F999</f>
        <v>49320833.4312754</v>
      </c>
      <c r="J999" s="39" t="n">
        <f aca="false">(('Business Case'!D11*$C999*'Business Case'!D12*$B999)-'Business Case'!D11*$C999*'Business Case'!D13*$D999-'Business Case'!D14*$E999)-MAX(0,(('Business Case'!D11*$C999*'Business Case'!D12*$B999)-'Business Case'!D11*$C999*'Business Case'!D13*$D999-'Business Case'!D14*$E999))*'Business Case'!$B$7-'Business Case'!$B$8*(('Business Case'!D11*$C999*'Business Case'!D12*$B999)-('Business Case'!C11*$C999*'Business Case'!C12*$B999))-'Business Case'!D15*$F999</f>
        <v>410486559.615149</v>
      </c>
      <c r="K999" s="39" t="n">
        <f aca="false">(('Business Case'!E11*$C999*'Business Case'!E12*$B999)-'Business Case'!E11*$C999*'Business Case'!E13*$D999-'Business Case'!E14*$E999)-MAX(0,(('Business Case'!E11*$C999*'Business Case'!E12*$B999)-'Business Case'!E11*$C999*'Business Case'!E13*$D999-'Business Case'!E14*$E999))*'Business Case'!$B$7-'Business Case'!$B$8*(('Business Case'!E11*$C999*'Business Case'!E12*$B999)-('Business Case'!D11*$C999*'Business Case'!D12*$B999))-'Business Case'!E15*$F999</f>
        <v>825281021.564049</v>
      </c>
      <c r="L999" s="39" t="n">
        <f aca="false">(('Business Case'!F11*$C999*'Business Case'!F12*$B999)-'Business Case'!F11*$C999*'Business Case'!F13*$D999-'Business Case'!F14*$E999)-MAX(0,(('Business Case'!F11*$C999*'Business Case'!F12*$B999)-'Business Case'!F11*$C999*'Business Case'!F13*$D999-'Business Case'!F14*$E999))*'Business Case'!$B$7-'Business Case'!$B$8*(('Business Case'!F11*$C999*'Business Case'!F12*$B999)-('Business Case'!E11*$C999*'Business Case'!E12*$B999))-'Business Case'!F15*$F999</f>
        <v>983773661.742852</v>
      </c>
      <c r="M999" s="39" t="n">
        <f aca="false">(('Business Case'!G11*$C999*'Business Case'!G12*$B999)-'Business Case'!G11*$C999*'Business Case'!G13*$D999-'Business Case'!G14*$E999)-MAX(0,(('Business Case'!G11*$C999*'Business Case'!G12*$B999)-'Business Case'!G11*$C999*'Business Case'!G13*$D999-'Business Case'!G14*$E999))*'Business Case'!$B$7-'Business Case'!$B$8*(('Business Case'!G11*$C999*'Business Case'!G12*$B999)-('Business Case'!F11*$C999*'Business Case'!F12*$B999))-'Business Case'!G15*$F999+'Business Case'!$B$8*('Business Case'!G11*$C999*'Business Case'!G12*$B999)</f>
        <v>1193346018.05584</v>
      </c>
      <c r="N999" s="39" t="n">
        <f aca="false">IF(COUNT('Business Case'!B11:G11)=0,"",H999+NPV(G999,I999:M999))</f>
        <v>134019455.346078</v>
      </c>
      <c r="P999" s="40" t="n">
        <f aca="true">RAND()</f>
        <v>0.986623924189988</v>
      </c>
      <c r="Q999" s="40" t="n">
        <f aca="true">RAND()</f>
        <v>0.873089122635747</v>
      </c>
      <c r="R999" s="40" t="n">
        <f aca="true">RAND()</f>
        <v>0.256335560437048</v>
      </c>
      <c r="S999" s="40" t="n">
        <f aca="true">RAND()</f>
        <v>0.733620379103638</v>
      </c>
      <c r="T999" s="40" t="n">
        <f aca="true">RAND()</f>
        <v>0.675255936385312</v>
      </c>
      <c r="U999" s="40" t="n">
        <f aca="true">RAND()</f>
        <v>0.990239940908984</v>
      </c>
    </row>
    <row r="1000" customFormat="false" ht="15" hidden="false" customHeight="false" outlineLevel="0" collapsed="false">
      <c r="A1000" s="36" t="n">
        <v>920</v>
      </c>
      <c r="B1000" s="37" t="n">
        <f aca="false">1+IF($G$6=$E$6,$F$6,IF(P1000&lt;($F$6-$E$6)/($G$6-$E$6),$E$6+SQRT(P1000*($G$6-$E$6)*($F$6-$E$6)),$G$6-SQRT((1-P1000)*($G$6-$E$6)*($G$6-$F$6))))</f>
        <v>1.01811927647181</v>
      </c>
      <c r="C1000" s="37" t="n">
        <f aca="false">1+IF($G$7=$E$7,$F$7,IF(Q1000&lt;($F$7-$E$7)/($G$7-$E$7),$E$7+SQRT(Q1000*($G$7-$E$7)*($F$7-$E$7)),$G$7-SQRT((1-Q1000)*($G$7-$E$7)*($G$7-$F$7))))</f>
        <v>0.994467631330821</v>
      </c>
      <c r="D1000" s="37" t="n">
        <f aca="false">1+IF($G$8=$E$8,$F$8,IF(R1000&lt;($F$8-$E$8)/($G$8-$E$8),$E$8+SQRT(R1000*($G$8-$E$8)*($F$8-$E$8)),$G$8-SQRT((1-R1000)*($G$8-$E$8)*($G$8-$F$8))))</f>
        <v>0.973571017836015</v>
      </c>
      <c r="E1000" s="37" t="n">
        <f aca="false">1+IF($G$9=$E$9,$F$9,IF(S1000&lt;($F$9-$E$9)/($G$9-$E$9),$E$9+SQRT(S1000*($G$9-$E$9)*($F$9-$E$9)),$G$9-SQRT((1-S1000)*($G$9-$E$9)*($G$9-$F$9))))</f>
        <v>1.00174335395928</v>
      </c>
      <c r="F1000" s="37" t="n">
        <f aca="false">1+IF($G$10=$E$10,$F$10,IF(T1000&lt;($F$10-$E$10)/($G$10-$E$10),$E$10+SQRT(T1000*($G$10-$E$10)*($F$10-$E$10)),$G$10-SQRT((1-T1000)*($G$10-$E$10)*($G$10-$F$10))))</f>
        <v>1.02530545618497</v>
      </c>
      <c r="G1000" s="38" t="n">
        <f aca="false">IF($G$11=$E$11,$F$11,IF(U1000&lt;($F$11-$E$11)/($G$11-$E$11),$E$11+SQRT(U1000*($G$11-$E$11)*($F$11-$E$11)),$G$11-SQRT((1-U1000)*($G$11-$E$11)*($G$11-$F$11))))</f>
        <v>0.102646833189156</v>
      </c>
      <c r="H1000" s="39" t="n">
        <f aca="false">(('Business Case'!B11*$C1000*'Business Case'!B12*$B1000)-'Business Case'!B11*$C1000*'Business Case'!B13*$D1000-'Business Case'!B14*$E1000)-MAX(0,(('Business Case'!B11*$C1000*'Business Case'!B12*$B1000)-'Business Case'!B11*$C1000*'Business Case'!B13*$D1000-'Business Case'!B14*$E1000))*'Business Case'!$B$7-'Business Case'!$B$8*('Business Case'!B11*$C1000*'Business Case'!B12*$B1000)-'Business Case'!B15*$F1000</f>
        <v>-2050610912.36995</v>
      </c>
      <c r="I1000" s="39" t="n">
        <f aca="false">(('Business Case'!C11*$C1000*'Business Case'!C12*$B1000)-'Business Case'!C11*$C1000*'Business Case'!C13*$D1000-'Business Case'!C14*$E1000)-MAX(0,(('Business Case'!C11*$C1000*'Business Case'!C12*$B1000)-'Business Case'!C11*$C1000*'Business Case'!C13*$D1000-'Business Case'!C14*$E1000))*'Business Case'!$B$7-'Business Case'!$B$8*(('Business Case'!C11*$C1000*'Business Case'!C12*$B1000)-('Business Case'!B11*$C1000*'Business Case'!B12*$B1000))-'Business Case'!C15*$F1000</f>
        <v>36200523.0293541</v>
      </c>
      <c r="J1000" s="39" t="n">
        <f aca="false">(('Business Case'!D11*$C1000*'Business Case'!D12*$B1000)-'Business Case'!D11*$C1000*'Business Case'!D13*$D1000-'Business Case'!D14*$E1000)-MAX(0,(('Business Case'!D11*$C1000*'Business Case'!D12*$B1000)-'Business Case'!D11*$C1000*'Business Case'!D13*$D1000-'Business Case'!D14*$E1000))*'Business Case'!$B$7-'Business Case'!$B$8*(('Business Case'!D11*$C1000*'Business Case'!D12*$B1000)-('Business Case'!C11*$C1000*'Business Case'!C12*$B1000))-'Business Case'!D15*$F1000</f>
        <v>369866805.338599</v>
      </c>
      <c r="K1000" s="39" t="n">
        <f aca="false">(('Business Case'!E11*$C1000*'Business Case'!E12*$B1000)-'Business Case'!E11*$C1000*'Business Case'!E13*$D1000-'Business Case'!E14*$E1000)-MAX(0,(('Business Case'!E11*$C1000*'Business Case'!E12*$B1000)-'Business Case'!E11*$C1000*'Business Case'!E13*$D1000-'Business Case'!E14*$E1000))*'Business Case'!$B$7-'Business Case'!$B$8*(('Business Case'!E11*$C1000*'Business Case'!E12*$B1000)-('Business Case'!D11*$C1000*'Business Case'!D12*$B1000))-'Business Case'!E15*$F1000</f>
        <v>754798360.457092</v>
      </c>
      <c r="L1000" s="39" t="n">
        <f aca="false">(('Business Case'!F11*$C1000*'Business Case'!F12*$B1000)-'Business Case'!F11*$C1000*'Business Case'!F13*$D1000-'Business Case'!F14*$E1000)-MAX(0,(('Business Case'!F11*$C1000*'Business Case'!F12*$B1000)-'Business Case'!F11*$C1000*'Business Case'!F13*$D1000-'Business Case'!F14*$E1000))*'Business Case'!$B$7-'Business Case'!$B$8*(('Business Case'!F11*$C1000*'Business Case'!F12*$B1000)-('Business Case'!E11*$C1000*'Business Case'!E12*$B1000))-'Business Case'!F15*$F1000</f>
        <v>901011993.712429</v>
      </c>
      <c r="M1000" s="39" t="n">
        <f aca="false">(('Business Case'!G11*$C1000*'Business Case'!G12*$B1000)-'Business Case'!G11*$C1000*'Business Case'!G13*$D1000-'Business Case'!G14*$E1000)-MAX(0,(('Business Case'!G11*$C1000*'Business Case'!G12*$B1000)-'Business Case'!G11*$C1000*'Business Case'!G13*$D1000-'Business Case'!G14*$E1000))*'Business Case'!$B$7-'Business Case'!$B$8*(('Business Case'!G11*$C1000*'Business Case'!G12*$B1000)-('Business Case'!F11*$C1000*'Business Case'!F12*$B1000))-'Business Case'!G15*$F1000+'Business Case'!$B$8*('Business Case'!G11*$C1000*'Business Case'!G12*$B1000)</f>
        <v>1093465459.04983</v>
      </c>
      <c r="N1000" s="39" t="n">
        <f aca="false">IF(COUNT('Business Case'!B11:G11)=0,"",H1000+NPV(G1000,I1000:M1000))</f>
        <v>129807841.029523</v>
      </c>
      <c r="P1000" s="40" t="n">
        <f aca="true">RAND()</f>
        <v>0.9002570703923</v>
      </c>
      <c r="Q1000" s="40" t="n">
        <f aca="true">RAND()</f>
        <v>0.540252280506</v>
      </c>
      <c r="R1000" s="40" t="n">
        <f aca="true">RAND()</f>
        <v>0.0854758279731893</v>
      </c>
      <c r="S1000" s="40" t="n">
        <f aca="true">RAND()</f>
        <v>0.356375433921935</v>
      </c>
      <c r="T1000" s="40" t="n">
        <f aca="true">RAND()</f>
        <v>0.389636327225197</v>
      </c>
      <c r="U1000" s="40" t="n">
        <f aca="true">RAND()</f>
        <v>0.498112669391685</v>
      </c>
    </row>
    <row r="1001" customFormat="false" ht="15" hidden="false" customHeight="false" outlineLevel="0" collapsed="false">
      <c r="A1001" s="36" t="n">
        <v>921</v>
      </c>
      <c r="B1001" s="37" t="n">
        <f aca="false">1+IF($G$6=$E$6,$F$6,IF(P1001&lt;($F$6-$E$6)/($G$6-$E$6),$E$6+SQRT(P1001*($G$6-$E$6)*($F$6-$E$6)),$G$6-SQRT((1-P1001)*($G$6-$E$6)*($G$6-$F$6))))</f>
        <v>1.00761515220904</v>
      </c>
      <c r="C1001" s="37" t="n">
        <f aca="false">1+IF($G$7=$E$7,$F$7,IF(Q1001&lt;($F$7-$E$7)/($G$7-$E$7),$E$7+SQRT(Q1001*($G$7-$E$7)*($F$7-$E$7)),$G$7-SQRT((1-Q1001)*($G$7-$E$7)*($G$7-$F$7))))</f>
        <v>0.927689567939779</v>
      </c>
      <c r="D1001" s="37" t="n">
        <f aca="false">1+IF($G$8=$E$8,$F$8,IF(R1001&lt;($F$8-$E$8)/($G$8-$E$8),$E$8+SQRT(R1001*($G$8-$E$8)*($F$8-$E$8)),$G$8-SQRT((1-R1001)*($G$8-$E$8)*($G$8-$F$8))))</f>
        <v>1.02808990029236</v>
      </c>
      <c r="E1001" s="37" t="n">
        <f aca="false">1+IF($G$9=$E$9,$F$9,IF(S1001&lt;($F$9-$E$9)/($G$9-$E$9),$E$9+SQRT(S1001*($G$9-$E$9)*($F$9-$E$9)),$G$9-SQRT((1-S1001)*($G$9-$E$9)*($G$9-$F$9))))</f>
        <v>1.00267352589928</v>
      </c>
      <c r="F1001" s="37" t="n">
        <f aca="false">1+IF($G$10=$E$10,$F$10,IF(T1001&lt;($F$10-$E$10)/($G$10-$E$10),$E$10+SQRT(T1001*($G$10-$E$10)*($F$10-$E$10)),$G$10-SQRT((1-T1001)*($G$10-$E$10)*($G$10-$F$10))))</f>
        <v>0.985323762149999</v>
      </c>
      <c r="G1001" s="38" t="n">
        <f aca="false">IF($G$11=$E$11,$F$11,IF(U1001&lt;($F$11-$E$11)/($G$11-$E$11),$E$11+SQRT(U1001*($G$11-$E$11)*($F$11-$E$11)),$G$11-SQRT((1-U1001)*($G$11-$E$11)*($G$11-$F$11))))</f>
        <v>0.102504735344294</v>
      </c>
      <c r="H1001" s="39" t="n">
        <f aca="false">(('Business Case'!B11*$C1001*'Business Case'!B12*$B1001)-'Business Case'!B11*$C1001*'Business Case'!B13*$D1001-'Business Case'!B14*$E1001)-MAX(0,(('Business Case'!B11*$C1001*'Business Case'!B12*$B1001)-'Business Case'!B11*$C1001*'Business Case'!B13*$D1001-'Business Case'!B14*$E1001))*'Business Case'!$B$7-'Business Case'!$B$8*('Business Case'!B11*$C1001*'Business Case'!B12*$B1001)-'Business Case'!B15*$F1001</f>
        <v>-1970647524.3</v>
      </c>
      <c r="I1001" s="39" t="n">
        <f aca="false">(('Business Case'!C11*$C1001*'Business Case'!C12*$B1001)-'Business Case'!C11*$C1001*'Business Case'!C13*$D1001-'Business Case'!C14*$E1001)-MAX(0,(('Business Case'!C11*$C1001*'Business Case'!C12*$B1001)-'Business Case'!C11*$C1001*'Business Case'!C13*$D1001-'Business Case'!C14*$E1001))*'Business Case'!$B$7-'Business Case'!$B$8*(('Business Case'!C11*$C1001*'Business Case'!C12*$B1001)-('Business Case'!B11*$C1001*'Business Case'!B12*$B1001))-'Business Case'!C15*$F1001</f>
        <v>-12182137.7900964</v>
      </c>
      <c r="J1001" s="39" t="n">
        <f aca="false">(('Business Case'!D11*$C1001*'Business Case'!D12*$B1001)-'Business Case'!D11*$C1001*'Business Case'!D13*$D1001-'Business Case'!D14*$E1001)-MAX(0,(('Business Case'!D11*$C1001*'Business Case'!D12*$B1001)-'Business Case'!D11*$C1001*'Business Case'!D13*$D1001-'Business Case'!D14*$E1001))*'Business Case'!$B$7-'Business Case'!$B$8*(('Business Case'!D11*$C1001*'Business Case'!D12*$B1001)-('Business Case'!C11*$C1001*'Business Case'!C12*$B1001))-'Business Case'!D15*$F1001</f>
        <v>265205926.757777</v>
      </c>
      <c r="K1001" s="39" t="n">
        <f aca="false">(('Business Case'!E11*$C1001*'Business Case'!E12*$B1001)-'Business Case'!E11*$C1001*'Business Case'!E13*$D1001-'Business Case'!E14*$E1001)-MAX(0,(('Business Case'!E11*$C1001*'Business Case'!E12*$B1001)-'Business Case'!E11*$C1001*'Business Case'!E13*$D1001-'Business Case'!E14*$E1001))*'Business Case'!$B$7-'Business Case'!$B$8*(('Business Case'!E11*$C1001*'Business Case'!E12*$B1001)-('Business Case'!D11*$C1001*'Business Case'!D12*$B1001))-'Business Case'!E15*$F1001</f>
        <v>591860179.41315</v>
      </c>
      <c r="L1001" s="39" t="n">
        <f aca="false">(('Business Case'!F11*$C1001*'Business Case'!F12*$B1001)-'Business Case'!F11*$C1001*'Business Case'!F13*$D1001-'Business Case'!F14*$E1001)-MAX(0,(('Business Case'!F11*$C1001*'Business Case'!F12*$B1001)-'Business Case'!F11*$C1001*'Business Case'!F13*$D1001-'Business Case'!F14*$E1001))*'Business Case'!$B$7-'Business Case'!$B$8*(('Business Case'!F11*$C1001*'Business Case'!F12*$B1001)-('Business Case'!E11*$C1001*'Business Case'!E12*$B1001))-'Business Case'!F15*$F1001</f>
        <v>716627968.089168</v>
      </c>
      <c r="M1001" s="39" t="n">
        <f aca="false">(('Business Case'!G11*$C1001*'Business Case'!G12*$B1001)-'Business Case'!G11*$C1001*'Business Case'!G13*$D1001-'Business Case'!G14*$E1001)-MAX(0,(('Business Case'!G11*$C1001*'Business Case'!G12*$B1001)-'Business Case'!G11*$C1001*'Business Case'!G13*$D1001-'Business Case'!G14*$E1001))*'Business Case'!$B$7-'Business Case'!$B$8*(('Business Case'!G11*$C1001*'Business Case'!G12*$B1001)-('Business Case'!F11*$C1001*'Business Case'!F12*$B1001))-'Business Case'!G15*$F1001+'Business Case'!$B$8*('Business Case'!G11*$C1001*'Business Case'!G12*$B1001)</f>
        <v>894306020.802837</v>
      </c>
      <c r="N1001" s="39" t="n">
        <f aca="false">IF(COUNT('Business Case'!B11:G11)=0,"",H1001+NPV(G1001,I1001:M1001))</f>
        <v>-287815637.119861</v>
      </c>
      <c r="P1001" s="40" t="n">
        <f aca="true">RAND()</f>
        <v>0.781504506990912</v>
      </c>
      <c r="Q1001" s="40" t="n">
        <f aca="true">RAND()</f>
        <v>0.232923225152107</v>
      </c>
      <c r="R1001" s="40" t="n">
        <f aca="true">RAND()</f>
        <v>0.740898225802241</v>
      </c>
      <c r="S1001" s="40" t="n">
        <f aca="true">RAND()</f>
        <v>0.368503829274844</v>
      </c>
      <c r="T1001" s="40" t="n">
        <f aca="true">RAND()</f>
        <v>0.0998214537943786</v>
      </c>
      <c r="U1001" s="40" t="n">
        <f aca="true">RAND()</f>
        <v>0.489859524377993</v>
      </c>
    </row>
    <row r="1002" customFormat="false" ht="15" hidden="false" customHeight="false" outlineLevel="0" collapsed="false">
      <c r="A1002" s="36" t="n">
        <v>922</v>
      </c>
      <c r="B1002" s="37" t="n">
        <f aca="false">1+IF($G$6=$E$6,$F$6,IF(P1002&lt;($F$6-$E$6)/($G$6-$E$6),$E$6+SQRT(P1002*($G$6-$E$6)*($F$6-$E$6)),$G$6-SQRT((1-P1002)*($G$6-$E$6)*($G$6-$F$6))))</f>
        <v>1.03572686731943</v>
      </c>
      <c r="C1002" s="37" t="n">
        <f aca="false">1+IF($G$7=$E$7,$F$7,IF(Q1002&lt;($F$7-$E$7)/($G$7-$E$7),$E$7+SQRT(Q1002*($G$7-$E$7)*($F$7-$E$7)),$G$7-SQRT((1-Q1002)*($G$7-$E$7)*($G$7-$F$7))))</f>
        <v>1.09375093657097</v>
      </c>
      <c r="D1002" s="37" t="n">
        <f aca="false">1+IF($G$8=$E$8,$F$8,IF(R1002&lt;($F$8-$E$8)/($G$8-$E$8),$E$8+SQRT(R1002*($G$8-$E$8)*($F$8-$E$8)),$G$8-SQRT((1-R1002)*($G$8-$E$8)*($G$8-$F$8))))</f>
        <v>0.988029995872696</v>
      </c>
      <c r="E1002" s="37" t="n">
        <f aca="false">1+IF($G$9=$E$9,$F$9,IF(S1002&lt;($F$9-$E$9)/($G$9-$E$9),$E$9+SQRT(S1002*($G$9-$E$9)*($F$9-$E$9)),$G$9-SQRT((1-S1002)*($G$9-$E$9)*($G$9-$F$9))))</f>
        <v>1.04554911424881</v>
      </c>
      <c r="F1002" s="37" t="n">
        <f aca="false">1+IF($G$10=$E$10,$F$10,IF(T1002&lt;($F$10-$E$10)/($G$10-$E$10),$E$10+SQRT(T1002*($G$10-$E$10)*($F$10-$E$10)),$G$10-SQRT((1-T1002)*($G$10-$E$10)*($G$10-$F$10))))</f>
        <v>0.975958015963936</v>
      </c>
      <c r="G1002" s="38" t="n">
        <f aca="false">IF($G$11=$E$11,$F$11,IF(U1002&lt;($F$11-$E$11)/($G$11-$E$11),$E$11+SQRT(U1002*($G$11-$E$11)*($F$11-$E$11)),$G$11-SQRT((1-U1002)*($G$11-$E$11)*($G$11-$F$11))))</f>
        <v>0.105985998877866</v>
      </c>
      <c r="H1002" s="39" t="n">
        <f aca="false">(('Business Case'!B11*$C1002*'Business Case'!B12*$B1002)-'Business Case'!B11*$C1002*'Business Case'!B13*$D1002-'Business Case'!B14*$E1002)-MAX(0,(('Business Case'!B11*$C1002*'Business Case'!B12*$B1002)-'Business Case'!B11*$C1002*'Business Case'!B13*$D1002-'Business Case'!B14*$E1002))*'Business Case'!$B$7-'Business Case'!$B$8*('Business Case'!B11*$C1002*'Business Case'!B12*$B1002)-'Business Case'!B15*$F1002</f>
        <v>-1951916031.92787</v>
      </c>
      <c r="I1002" s="39" t="n">
        <f aca="false">(('Business Case'!C11*$C1002*'Business Case'!C12*$B1002)-'Business Case'!C11*$C1002*'Business Case'!C13*$D1002-'Business Case'!C14*$E1002)-MAX(0,(('Business Case'!C11*$C1002*'Business Case'!C12*$B1002)-'Business Case'!C11*$C1002*'Business Case'!C13*$D1002-'Business Case'!C14*$E1002))*'Business Case'!$B$7-'Business Case'!$B$8*(('Business Case'!C11*$C1002*'Business Case'!C12*$B1002)-('Business Case'!B11*$C1002*'Business Case'!B12*$B1002))-'Business Case'!C15*$F1002</f>
        <v>69657597.8021071</v>
      </c>
      <c r="J1002" s="39" t="n">
        <f aca="false">(('Business Case'!D11*$C1002*'Business Case'!D12*$B1002)-'Business Case'!D11*$C1002*'Business Case'!D13*$D1002-'Business Case'!D14*$E1002)-MAX(0,(('Business Case'!D11*$C1002*'Business Case'!D12*$B1002)-'Business Case'!D11*$C1002*'Business Case'!D13*$D1002-'Business Case'!D14*$E1002))*'Business Case'!$B$7-'Business Case'!$B$8*(('Business Case'!D11*$C1002*'Business Case'!D12*$B1002)-('Business Case'!C11*$C1002*'Business Case'!C12*$B1002))-'Business Case'!D15*$F1002</f>
        <v>444313844.910245</v>
      </c>
      <c r="K1002" s="39" t="n">
        <f aca="false">(('Business Case'!E11*$C1002*'Business Case'!E12*$B1002)-'Business Case'!E11*$C1002*'Business Case'!E13*$D1002-'Business Case'!E14*$E1002)-MAX(0,(('Business Case'!E11*$C1002*'Business Case'!E12*$B1002)-'Business Case'!E11*$C1002*'Business Case'!E13*$D1002-'Business Case'!E14*$E1002))*'Business Case'!$B$7-'Business Case'!$B$8*(('Business Case'!E11*$C1002*'Business Case'!E12*$B1002)-('Business Case'!D11*$C1002*'Business Case'!D12*$B1002))-'Business Case'!E15*$F1002</f>
        <v>867767992.816578</v>
      </c>
      <c r="L1002" s="39" t="n">
        <f aca="false">(('Business Case'!F11*$C1002*'Business Case'!F12*$B1002)-'Business Case'!F11*$C1002*'Business Case'!F13*$D1002-'Business Case'!F14*$E1002)-MAX(0,(('Business Case'!F11*$C1002*'Business Case'!F12*$B1002)-'Business Case'!F11*$C1002*'Business Case'!F13*$D1002-'Business Case'!F14*$E1002))*'Business Case'!$B$7-'Business Case'!$B$8*(('Business Case'!F11*$C1002*'Business Case'!F12*$B1002)-('Business Case'!E11*$C1002*'Business Case'!E12*$B1002))-'Business Case'!F15*$F1002</f>
        <v>1031803917.62826</v>
      </c>
      <c r="M1002" s="39" t="n">
        <f aca="false">(('Business Case'!G11*$C1002*'Business Case'!G12*$B1002)-'Business Case'!G11*$C1002*'Business Case'!G13*$D1002-'Business Case'!G14*$E1002)-MAX(0,(('Business Case'!G11*$C1002*'Business Case'!G12*$B1002)-'Business Case'!G11*$C1002*'Business Case'!G13*$D1002-'Business Case'!G14*$E1002))*'Business Case'!$B$7-'Business Case'!$B$8*(('Business Case'!G11*$C1002*'Business Case'!G12*$B1002)-('Business Case'!F11*$C1002*'Business Case'!F12*$B1002))-'Business Case'!G15*$F1002+'Business Case'!$B$8*('Business Case'!G11*$C1002*'Business Case'!G12*$B1002)</f>
        <v>1247131717.7276</v>
      </c>
      <c r="N1002" s="39" t="n">
        <f aca="false">IF(COUNT('Business Case'!B11:G11)=0,"",H1002+NPV(G1002,I1002:M1002))</f>
        <v>558984466.567357</v>
      </c>
      <c r="P1002" s="40" t="n">
        <f aca="true">RAND()</f>
        <v>0.996195903561308</v>
      </c>
      <c r="Q1002" s="40" t="n">
        <f aca="true">RAND()</f>
        <v>0.939734149778236</v>
      </c>
      <c r="R1002" s="40" t="n">
        <f aca="true">RAND()</f>
        <v>0.222504705550351</v>
      </c>
      <c r="S1002" s="40" t="n">
        <f aca="true">RAND()</f>
        <v>0.80234006939404</v>
      </c>
      <c r="T1002" s="40" t="n">
        <f aca="true">RAND()</f>
        <v>0.0539054874227172</v>
      </c>
      <c r="U1002" s="40" t="n">
        <f aca="true">RAND()</f>
        <v>0.672679620914726</v>
      </c>
    </row>
    <row r="1003" customFormat="false" ht="15" hidden="false" customHeight="false" outlineLevel="0" collapsed="false">
      <c r="A1003" s="36" t="n">
        <v>923</v>
      </c>
      <c r="B1003" s="37" t="n">
        <f aca="false">1+IF($G$6=$E$6,$F$6,IF(P1003&lt;($F$6-$E$6)/($G$6-$E$6),$E$6+SQRT(P1003*($G$6-$E$6)*($F$6-$E$6)),$G$6-SQRT((1-P1003)*($G$6-$E$6)*($G$6-$F$6))))</f>
        <v>0.995160240377125</v>
      </c>
      <c r="C1003" s="37" t="n">
        <f aca="false">1+IF($G$7=$E$7,$F$7,IF(Q1003&lt;($F$7-$E$7)/($G$7-$E$7),$E$7+SQRT(Q1003*($G$7-$E$7)*($F$7-$E$7)),$G$7-SQRT((1-Q1003)*($G$7-$E$7)*($G$7-$F$7))))</f>
        <v>0.968202475113818</v>
      </c>
      <c r="D1003" s="37" t="n">
        <f aca="false">1+IF($G$8=$E$8,$F$8,IF(R1003&lt;($F$8-$E$8)/($G$8-$E$8),$E$8+SQRT(R1003*($G$8-$E$8)*($F$8-$E$8)),$G$8-SQRT((1-R1003)*($G$8-$E$8)*($G$8-$F$8))))</f>
        <v>1.02890477489932</v>
      </c>
      <c r="E1003" s="37" t="n">
        <f aca="false">1+IF($G$9=$E$9,$F$9,IF(S1003&lt;($F$9-$E$9)/($G$9-$E$9),$E$9+SQRT(S1003*($G$9-$E$9)*($F$9-$E$9)),$G$9-SQRT((1-S1003)*($G$9-$E$9)*($G$9-$F$9))))</f>
        <v>0.970938504257835</v>
      </c>
      <c r="F1003" s="37" t="n">
        <f aca="false">1+IF($G$10=$E$10,$F$10,IF(T1003&lt;($F$10-$E$10)/($G$10-$E$10),$E$10+SQRT(T1003*($G$10-$E$10)*($F$10-$E$10)),$G$10-SQRT((1-T1003)*($G$10-$E$10)*($G$10-$F$10))))</f>
        <v>1.03058375317692</v>
      </c>
      <c r="G1003" s="38" t="n">
        <f aca="false">IF($G$11=$E$11,$F$11,IF(U1003&lt;($F$11-$E$11)/($G$11-$E$11),$E$11+SQRT(U1003*($G$11-$E$11)*($F$11-$E$11)),$G$11-SQRT((1-U1003)*($G$11-$E$11)*($G$11-$F$11))))</f>
        <v>0.0921188396619852</v>
      </c>
      <c r="H1003" s="39" t="n">
        <f aca="false">(('Business Case'!B11*$C1003*'Business Case'!B12*$B1003)-'Business Case'!B11*$C1003*'Business Case'!B13*$D1003-'Business Case'!B14*$E1003)-MAX(0,(('Business Case'!B11*$C1003*'Business Case'!B12*$B1003)-'Business Case'!B11*$C1003*'Business Case'!B13*$D1003-'Business Case'!B14*$E1003))*'Business Case'!$B$7-'Business Case'!$B$8*('Business Case'!B11*$C1003*'Business Case'!B12*$B1003)-'Business Case'!B15*$F1003</f>
        <v>-2061167506.35384</v>
      </c>
      <c r="I1003" s="39" t="n">
        <f aca="false">(('Business Case'!C11*$C1003*'Business Case'!C12*$B1003)-'Business Case'!C11*$C1003*'Business Case'!C13*$D1003-'Business Case'!C14*$E1003)-MAX(0,(('Business Case'!C11*$C1003*'Business Case'!C12*$B1003)-'Business Case'!C11*$C1003*'Business Case'!C13*$D1003-'Business Case'!C14*$E1003))*'Business Case'!$B$7-'Business Case'!$B$8*(('Business Case'!C11*$C1003*'Business Case'!C12*$B1003)-('Business Case'!B11*$C1003*'Business Case'!B12*$B1003))-'Business Case'!C15*$F1003</f>
        <v>-11853694.1369451</v>
      </c>
      <c r="J1003" s="39" t="n">
        <f aca="false">(('Business Case'!D11*$C1003*'Business Case'!D12*$B1003)-'Business Case'!D11*$C1003*'Business Case'!D13*$D1003-'Business Case'!D14*$E1003)-MAX(0,(('Business Case'!D11*$C1003*'Business Case'!D12*$B1003)-'Business Case'!D11*$C1003*'Business Case'!D13*$D1003-'Business Case'!D14*$E1003))*'Business Case'!$B$7-'Business Case'!$B$8*(('Business Case'!D11*$C1003*'Business Case'!D12*$B1003)-('Business Case'!C11*$C1003*'Business Case'!C12*$B1003))-'Business Case'!D15*$F1003</f>
        <v>267367143.301143</v>
      </c>
      <c r="K1003" s="39" t="n">
        <f aca="false">(('Business Case'!E11*$C1003*'Business Case'!E12*$B1003)-'Business Case'!E11*$C1003*'Business Case'!E13*$D1003-'Business Case'!E14*$E1003)-MAX(0,(('Business Case'!E11*$C1003*'Business Case'!E12*$B1003)-'Business Case'!E11*$C1003*'Business Case'!E13*$D1003-'Business Case'!E14*$E1003))*'Business Case'!$B$7-'Business Case'!$B$8*(('Business Case'!E11*$C1003*'Business Case'!E12*$B1003)-('Business Case'!D11*$C1003*'Business Case'!D12*$B1003))-'Business Case'!E15*$F1003</f>
        <v>598117168.398076</v>
      </c>
      <c r="L1003" s="39" t="n">
        <f aca="false">(('Business Case'!F11*$C1003*'Business Case'!F12*$B1003)-'Business Case'!F11*$C1003*'Business Case'!F13*$D1003-'Business Case'!F14*$E1003)-MAX(0,(('Business Case'!F11*$C1003*'Business Case'!F12*$B1003)-'Business Case'!F11*$C1003*'Business Case'!F13*$D1003-'Business Case'!F14*$E1003))*'Business Case'!$B$7-'Business Case'!$B$8*(('Business Case'!F11*$C1003*'Business Case'!F12*$B1003)-('Business Case'!E11*$C1003*'Business Case'!E12*$B1003))-'Business Case'!F15*$F1003</f>
        <v>724489914.845357</v>
      </c>
      <c r="M1003" s="39" t="n">
        <f aca="false">(('Business Case'!G11*$C1003*'Business Case'!G12*$B1003)-'Business Case'!G11*$C1003*'Business Case'!G13*$D1003-'Business Case'!G14*$E1003)-MAX(0,(('Business Case'!G11*$C1003*'Business Case'!G12*$B1003)-'Business Case'!G11*$C1003*'Business Case'!G13*$D1003-'Business Case'!G14*$E1003))*'Business Case'!$B$7-'Business Case'!$B$8*(('Business Case'!G11*$C1003*'Business Case'!G12*$B1003)-('Business Case'!F11*$C1003*'Business Case'!F12*$B1003))-'Business Case'!G15*$F1003+'Business Case'!$B$8*('Business Case'!G11*$C1003*'Business Case'!G12*$B1003)</f>
        <v>907635151.668905</v>
      </c>
      <c r="N1003" s="39" t="n">
        <f aca="false">IF(COUNT('Business Case'!B11:G11)=0,"",H1003+NPV(G1003,I1003:M1003))</f>
        <v>-295207083.610906</v>
      </c>
      <c r="P1003" s="40" t="n">
        <f aca="true">RAND()</f>
        <v>0.588443930577826</v>
      </c>
      <c r="Q1003" s="40" t="n">
        <f aca="true">RAND()</f>
        <v>0.404172466205924</v>
      </c>
      <c r="R1003" s="40" t="n">
        <f aca="true">RAND()</f>
        <v>0.748969035760699</v>
      </c>
      <c r="S1003" s="40" t="n">
        <f aca="true">RAND()</f>
        <v>0.0584561280740518</v>
      </c>
      <c r="T1003" s="40" t="n">
        <f aca="true">RAND()</f>
        <v>0.42596270624761</v>
      </c>
      <c r="U1003" s="40" t="n">
        <f aca="true">RAND()</f>
        <v>0.0149649383773386</v>
      </c>
    </row>
    <row r="1004" customFormat="false" ht="15" hidden="false" customHeight="false" outlineLevel="0" collapsed="false">
      <c r="A1004" s="36" t="n">
        <v>924</v>
      </c>
      <c r="B1004" s="37" t="n">
        <f aca="false">1+IF($G$6=$E$6,$F$6,IF(P1004&lt;($F$6-$E$6)/($G$6-$E$6),$E$6+SQRT(P1004*($G$6-$E$6)*($F$6-$E$6)),$G$6-SQRT((1-P1004)*($G$6-$E$6)*($G$6-$F$6))))</f>
        <v>0.976953479757096</v>
      </c>
      <c r="C1004" s="37" t="n">
        <f aca="false">1+IF($G$7=$E$7,$F$7,IF(Q1004&lt;($F$7-$E$7)/($G$7-$E$7),$E$7+SQRT(Q1004*($G$7-$E$7)*($F$7-$E$7)),$G$7-SQRT((1-Q1004)*($G$7-$E$7)*($G$7-$F$7))))</f>
        <v>1.05780076000304</v>
      </c>
      <c r="D1004" s="37" t="n">
        <f aca="false">1+IF($G$8=$E$8,$F$8,IF(R1004&lt;($F$8-$E$8)/($G$8-$E$8),$E$8+SQRT(R1004*($G$8-$E$8)*($F$8-$E$8)),$G$8-SQRT((1-R1004)*($G$8-$E$8)*($G$8-$F$8))))</f>
        <v>1.04003144881047</v>
      </c>
      <c r="E1004" s="37" t="n">
        <f aca="false">1+IF($G$9=$E$9,$F$9,IF(S1004&lt;($F$9-$E$9)/($G$9-$E$9),$E$9+SQRT(S1004*($G$9-$E$9)*($F$9-$E$9)),$G$9-SQRT((1-S1004)*($G$9-$E$9)*($G$9-$F$9))))</f>
        <v>1.0046578420676</v>
      </c>
      <c r="F1004" s="37" t="n">
        <f aca="false">1+IF($G$10=$E$10,$F$10,IF(T1004&lt;($F$10-$E$10)/($G$10-$E$10),$E$10+SQRT(T1004*($G$10-$E$10)*($F$10-$E$10)),$G$10-SQRT((1-T1004)*($G$10-$E$10)*($G$10-$F$10))))</f>
        <v>1.08360735581154</v>
      </c>
      <c r="G1004" s="38" t="n">
        <f aca="false">IF($G$11=$E$11,$F$11,IF(U1004&lt;($F$11-$E$11)/($G$11-$E$11),$E$11+SQRT(U1004*($G$11-$E$11)*($F$11-$E$11)),$G$11-SQRT((1-U1004)*($G$11-$E$11)*($G$11-$F$11))))</f>
        <v>0.0995341136907777</v>
      </c>
      <c r="H1004" s="39" t="n">
        <f aca="false">(('Business Case'!B11*$C1004*'Business Case'!B12*$B1004)-'Business Case'!B11*$C1004*'Business Case'!B13*$D1004-'Business Case'!B14*$E1004)-MAX(0,(('Business Case'!B11*$C1004*'Business Case'!B12*$B1004)-'Business Case'!B11*$C1004*'Business Case'!B13*$D1004-'Business Case'!B14*$E1004))*'Business Case'!$B$7-'Business Case'!$B$8*('Business Case'!B11*$C1004*'Business Case'!B12*$B1004)-'Business Case'!B15*$F1004</f>
        <v>-2167214711.62307</v>
      </c>
      <c r="I1004" s="39" t="n">
        <f aca="false">(('Business Case'!C11*$C1004*'Business Case'!C12*$B1004)-'Business Case'!C11*$C1004*'Business Case'!C13*$D1004-'Business Case'!C14*$E1004)-MAX(0,(('Business Case'!C11*$C1004*'Business Case'!C12*$B1004)-'Business Case'!C11*$C1004*'Business Case'!C13*$D1004-'Business Case'!C14*$E1004))*'Business Case'!$B$7-'Business Case'!$B$8*(('Business Case'!C11*$C1004*'Business Case'!C12*$B1004)-('Business Case'!B11*$C1004*'Business Case'!B12*$B1004))-'Business Case'!C15*$F1004</f>
        <v>-21535319.9784248</v>
      </c>
      <c r="J1004" s="39" t="n">
        <f aca="false">(('Business Case'!D11*$C1004*'Business Case'!D12*$B1004)-'Business Case'!D11*$C1004*'Business Case'!D13*$D1004-'Business Case'!D14*$E1004)-MAX(0,(('Business Case'!D11*$C1004*'Business Case'!D12*$B1004)-'Business Case'!D11*$C1004*'Business Case'!D13*$D1004-'Business Case'!D14*$E1004))*'Business Case'!$B$7-'Business Case'!$B$8*(('Business Case'!D11*$C1004*'Business Case'!D12*$B1004)-('Business Case'!C11*$C1004*'Business Case'!C12*$B1004))-'Business Case'!D15*$F1004</f>
        <v>261725044.160459</v>
      </c>
      <c r="K1004" s="39" t="n">
        <f aca="false">(('Business Case'!E11*$C1004*'Business Case'!E12*$B1004)-'Business Case'!E11*$C1004*'Business Case'!E13*$D1004-'Business Case'!E14*$E1004)-MAX(0,(('Business Case'!E11*$C1004*'Business Case'!E12*$B1004)-'Business Case'!E11*$C1004*'Business Case'!E13*$D1004-'Business Case'!E14*$E1004))*'Business Case'!$B$7-'Business Case'!$B$8*(('Business Case'!E11*$C1004*'Business Case'!E12*$B1004)-('Business Case'!D11*$C1004*'Business Case'!D12*$B1004))-'Business Case'!E15*$F1004</f>
        <v>599165776.08992</v>
      </c>
      <c r="L1004" s="39" t="n">
        <f aca="false">(('Business Case'!F11*$C1004*'Business Case'!F12*$B1004)-'Business Case'!F11*$C1004*'Business Case'!F13*$D1004-'Business Case'!F14*$E1004)-MAX(0,(('Business Case'!F11*$C1004*'Business Case'!F12*$B1004)-'Business Case'!F11*$C1004*'Business Case'!F13*$D1004-'Business Case'!F14*$E1004))*'Business Case'!$B$7-'Business Case'!$B$8*(('Business Case'!F11*$C1004*'Business Case'!F12*$B1004)-('Business Case'!E11*$C1004*'Business Case'!E12*$B1004))-'Business Case'!F15*$F1004</f>
        <v>729300966.398976</v>
      </c>
      <c r="M1004" s="39" t="n">
        <f aca="false">(('Business Case'!G11*$C1004*'Business Case'!G12*$B1004)-'Business Case'!G11*$C1004*'Business Case'!G13*$D1004-'Business Case'!G14*$E1004)-MAX(0,(('Business Case'!G11*$C1004*'Business Case'!G12*$B1004)-'Business Case'!G11*$C1004*'Business Case'!G13*$D1004-'Business Case'!G14*$E1004))*'Business Case'!$B$7-'Business Case'!$B$8*(('Business Case'!G11*$C1004*'Business Case'!G12*$B1004)-('Business Case'!F11*$C1004*'Business Case'!F12*$B1004))-'Business Case'!G15*$F1004+'Business Case'!$B$8*('Business Case'!G11*$C1004*'Business Case'!G12*$B1004)</f>
        <v>925733845.510832</v>
      </c>
      <c r="N1004" s="39" t="n">
        <f aca="false">IF(COUNT('Business Case'!B11:G11)=0,"",H1004+NPV(G1004,I1004:M1004))</f>
        <v>-444587131.368118</v>
      </c>
      <c r="P1004" s="40" t="n">
        <f aca="true">RAND()</f>
        <v>0.337885297546035</v>
      </c>
      <c r="Q1004" s="40" t="n">
        <f aca="true">RAND()</f>
        <v>0.838081907504422</v>
      </c>
      <c r="R1004" s="40" t="n">
        <f aca="true">RAND()</f>
        <v>0.846395664981683</v>
      </c>
      <c r="S1004" s="40" t="n">
        <f aca="true">RAND()</f>
        <v>0.393991528052834</v>
      </c>
      <c r="T1004" s="40" t="n">
        <f aca="true">RAND()</f>
        <v>0.729055047576358</v>
      </c>
      <c r="U1004" s="40" t="n">
        <f aca="true">RAND()</f>
        <v>0.302997746228915</v>
      </c>
    </row>
    <row r="1005" customFormat="false" ht="15" hidden="false" customHeight="false" outlineLevel="0" collapsed="false">
      <c r="A1005" s="36" t="n">
        <v>925</v>
      </c>
      <c r="B1005" s="37" t="n">
        <f aca="false">1+IF($G$6=$E$6,$F$6,IF(P1005&lt;($F$6-$E$6)/($G$6-$E$6),$E$6+SQRT(P1005*($G$6-$E$6)*($F$6-$E$6)),$G$6-SQRT((1-P1005)*($G$6-$E$6)*($G$6-$F$6))))</f>
        <v>0.985631697470105</v>
      </c>
      <c r="C1005" s="37" t="n">
        <f aca="false">1+IF($G$7=$E$7,$F$7,IF(Q1005&lt;($F$7-$E$7)/($G$7-$E$7),$E$7+SQRT(Q1005*($G$7-$E$7)*($F$7-$E$7)),$G$7-SQRT((1-Q1005)*($G$7-$E$7)*($G$7-$F$7))))</f>
        <v>0.94909981209991</v>
      </c>
      <c r="D1005" s="37" t="n">
        <f aca="false">1+IF($G$8=$E$8,$F$8,IF(R1005&lt;($F$8-$E$8)/($G$8-$E$8),$E$8+SQRT(R1005*($G$8-$E$8)*($F$8-$E$8)),$G$8-SQRT((1-R1005)*($G$8-$E$8)*($G$8-$F$8))))</f>
        <v>1.03729331039663</v>
      </c>
      <c r="E1005" s="37" t="n">
        <f aca="false">1+IF($G$9=$E$9,$F$9,IF(S1005&lt;($F$9-$E$9)/($G$9-$E$9),$E$9+SQRT(S1005*($G$9-$E$9)*($F$9-$E$9)),$G$9-SQRT((1-S1005)*($G$9-$E$9)*($G$9-$F$9))))</f>
        <v>0.97706399400605</v>
      </c>
      <c r="F1005" s="37" t="n">
        <f aca="false">1+IF($G$10=$E$10,$F$10,IF(T1005&lt;($F$10-$E$10)/($G$10-$E$10),$E$10+SQRT(T1005*($G$10-$E$10)*($F$10-$E$10)),$G$10-SQRT((1-T1005)*($G$10-$E$10)*($G$10-$F$10))))</f>
        <v>1.03357367250658</v>
      </c>
      <c r="G1005" s="38" t="n">
        <f aca="false">IF($G$11=$E$11,$F$11,IF(U1005&lt;($F$11-$E$11)/($G$11-$E$11),$E$11+SQRT(U1005*($G$11-$E$11)*($F$11-$E$11)),$G$11-SQRT((1-U1005)*($G$11-$E$11)*($G$11-$F$11))))</f>
        <v>0.109539085091368</v>
      </c>
      <c r="H1005" s="39" t="n">
        <f aca="false">(('Business Case'!B11*$C1005*'Business Case'!B12*$B1005)-'Business Case'!B11*$C1005*'Business Case'!B13*$D1005-'Business Case'!B14*$E1005)-MAX(0,(('Business Case'!B11*$C1005*'Business Case'!B12*$B1005)-'Business Case'!B11*$C1005*'Business Case'!B13*$D1005-'Business Case'!B14*$E1005))*'Business Case'!$B$7-'Business Case'!$B$8*('Business Case'!B11*$C1005*'Business Case'!B12*$B1005)-'Business Case'!B15*$F1005</f>
        <v>-2067147345.01316</v>
      </c>
      <c r="I1005" s="39" t="n">
        <f aca="false">(('Business Case'!C11*$C1005*'Business Case'!C12*$B1005)-'Business Case'!C11*$C1005*'Business Case'!C13*$D1005-'Business Case'!C14*$E1005)-MAX(0,(('Business Case'!C11*$C1005*'Business Case'!C12*$B1005)-'Business Case'!C11*$C1005*'Business Case'!C13*$D1005-'Business Case'!C14*$E1005))*'Business Case'!$B$7-'Business Case'!$B$8*(('Business Case'!C11*$C1005*'Business Case'!C12*$B1005)-('Business Case'!B11*$C1005*'Business Case'!B12*$B1005))-'Business Case'!C15*$F1005</f>
        <v>-28561449.0988185</v>
      </c>
      <c r="J1005" s="39" t="n">
        <f aca="false">(('Business Case'!D11*$C1005*'Business Case'!D12*$B1005)-'Business Case'!D11*$C1005*'Business Case'!D13*$D1005-'Business Case'!D14*$E1005)-MAX(0,(('Business Case'!D11*$C1005*'Business Case'!D12*$B1005)-'Business Case'!D11*$C1005*'Business Case'!D13*$D1005-'Business Case'!D14*$E1005))*'Business Case'!$B$7-'Business Case'!$B$8*(('Business Case'!D11*$C1005*'Business Case'!D12*$B1005)-('Business Case'!C11*$C1005*'Business Case'!C12*$B1005))-'Business Case'!D15*$F1005</f>
        <v>233667363.604429</v>
      </c>
      <c r="K1005" s="39" t="n">
        <f aca="false">(('Business Case'!E11*$C1005*'Business Case'!E12*$B1005)-'Business Case'!E11*$C1005*'Business Case'!E13*$D1005-'Business Case'!E14*$E1005)-MAX(0,(('Business Case'!E11*$C1005*'Business Case'!E12*$B1005)-'Business Case'!E11*$C1005*'Business Case'!E13*$D1005-'Business Case'!E14*$E1005))*'Business Case'!$B$7-'Business Case'!$B$8*(('Business Case'!E11*$C1005*'Business Case'!E12*$B1005)-('Business Case'!D11*$C1005*'Business Case'!D12*$B1005))-'Business Case'!E15*$F1005</f>
        <v>547574859.933006</v>
      </c>
      <c r="L1005" s="39" t="n">
        <f aca="false">(('Business Case'!F11*$C1005*'Business Case'!F12*$B1005)-'Business Case'!F11*$C1005*'Business Case'!F13*$D1005-'Business Case'!F14*$E1005)-MAX(0,(('Business Case'!F11*$C1005*'Business Case'!F12*$B1005)-'Business Case'!F11*$C1005*'Business Case'!F13*$D1005-'Business Case'!F14*$E1005))*'Business Case'!$B$7-'Business Case'!$B$8*(('Business Case'!F11*$C1005*'Business Case'!F12*$B1005)-('Business Case'!E11*$C1005*'Business Case'!E12*$B1005))-'Business Case'!F15*$F1005</f>
        <v>667314060.56992</v>
      </c>
      <c r="M1005" s="39" t="n">
        <f aca="false">(('Business Case'!G11*$C1005*'Business Case'!G12*$B1005)-'Business Case'!G11*$C1005*'Business Case'!G13*$D1005-'Business Case'!G14*$E1005)-MAX(0,(('Business Case'!G11*$C1005*'Business Case'!G12*$B1005)-'Business Case'!G11*$C1005*'Business Case'!G13*$D1005-'Business Case'!G14*$E1005))*'Business Case'!$B$7-'Business Case'!$B$8*(('Business Case'!G11*$C1005*'Business Case'!G12*$B1005)-('Business Case'!F11*$C1005*'Business Case'!F12*$B1005))-'Business Case'!G15*$F1005+'Business Case'!$B$8*('Business Case'!G11*$C1005*'Business Case'!G12*$B1005)</f>
        <v>845126840.783662</v>
      </c>
      <c r="N1005" s="39" t="n">
        <f aca="false">IF(COUNT('Business Case'!B11:G11)=0,"",H1005+NPV(G1005,I1005:M1005))</f>
        <v>-559305037.329023</v>
      </c>
      <c r="P1005" s="40" t="n">
        <f aca="true">RAND()</f>
        <v>0.448699970084104</v>
      </c>
      <c r="Q1005" s="40" t="n">
        <f aca="true">RAND()</f>
        <v>0.317582199546119</v>
      </c>
      <c r="R1005" s="40" t="n">
        <f aca="true">RAND()</f>
        <v>0.824628717607833</v>
      </c>
      <c r="S1005" s="40" t="n">
        <f aca="true">RAND()</f>
        <v>0.0976613028746002</v>
      </c>
      <c r="T1005" s="40" t="n">
        <f aca="true">RAND()</f>
        <v>0.446045550341053</v>
      </c>
      <c r="U1005" s="40" t="n">
        <f aca="true">RAND()</f>
        <v>0.817615432123949</v>
      </c>
    </row>
    <row r="1006" customFormat="false" ht="15" hidden="false" customHeight="false" outlineLevel="0" collapsed="false">
      <c r="A1006" s="36" t="n">
        <v>926</v>
      </c>
      <c r="B1006" s="37" t="n">
        <f aca="false">1+IF($G$6=$E$6,$F$6,IF(P1006&lt;($F$6-$E$6)/($G$6-$E$6),$E$6+SQRT(P1006*($G$6-$E$6)*($F$6-$E$6)),$G$6-SQRT((1-P1006)*($G$6-$E$6)*($G$6-$F$6))))</f>
        <v>0.963205955456322</v>
      </c>
      <c r="C1006" s="37" t="n">
        <f aca="false">1+IF($G$7=$E$7,$F$7,IF(Q1006&lt;($F$7-$E$7)/($G$7-$E$7),$E$7+SQRT(Q1006*($G$7-$E$7)*($F$7-$E$7)),$G$7-SQRT((1-Q1006)*($G$7-$E$7)*($G$7-$F$7))))</f>
        <v>1.03535590289421</v>
      </c>
      <c r="D1006" s="37" t="n">
        <f aca="false">1+IF($G$8=$E$8,$F$8,IF(R1006&lt;($F$8-$E$8)/($G$8-$E$8),$E$8+SQRT(R1006*($G$8-$E$8)*($F$8-$E$8)),$G$8-SQRT((1-R1006)*($G$8-$E$8)*($G$8-$F$8))))</f>
        <v>0.971162430347736</v>
      </c>
      <c r="E1006" s="37" t="n">
        <f aca="false">1+IF($G$9=$E$9,$F$9,IF(S1006&lt;($F$9-$E$9)/($G$9-$E$9),$E$9+SQRT(S1006*($G$9-$E$9)*($F$9-$E$9)),$G$9-SQRT((1-S1006)*($G$9-$E$9)*($G$9-$F$9))))</f>
        <v>0.979445339493658</v>
      </c>
      <c r="F1006" s="37" t="n">
        <f aca="false">1+IF($G$10=$E$10,$F$10,IF(T1006&lt;($F$10-$E$10)/($G$10-$E$10),$E$10+SQRT(T1006*($G$10-$E$10)*($F$10-$E$10)),$G$10-SQRT((1-T1006)*($G$10-$E$10)*($G$10-$F$10))))</f>
        <v>1.05943815957748</v>
      </c>
      <c r="G1006" s="38" t="n">
        <f aca="false">IF($G$11=$E$11,$F$11,IF(U1006&lt;($F$11-$E$11)/($G$11-$E$11),$E$11+SQRT(U1006*($G$11-$E$11)*($F$11-$E$11)),$G$11-SQRT((1-U1006)*($G$11-$E$11)*($G$11-$F$11))))</f>
        <v>0.107856327897548</v>
      </c>
      <c r="H1006" s="39" t="n">
        <f aca="false">(('Business Case'!B11*$C1006*'Business Case'!B12*$B1006)-'Business Case'!B11*$C1006*'Business Case'!B13*$D1006-'Business Case'!B14*$E1006)-MAX(0,(('Business Case'!B11*$C1006*'Business Case'!B12*$B1006)-'Business Case'!B11*$C1006*'Business Case'!B13*$D1006-'Business Case'!B14*$E1006))*'Business Case'!$B$7-'Business Case'!$B$8*('Business Case'!B11*$C1006*'Business Case'!B12*$B1006)-'Business Case'!B15*$F1006</f>
        <v>-2118876319.15496</v>
      </c>
      <c r="I1006" s="39" t="n">
        <f aca="false">(('Business Case'!C11*$C1006*'Business Case'!C12*$B1006)-'Business Case'!C11*$C1006*'Business Case'!C13*$D1006-'Business Case'!C14*$E1006)-MAX(0,(('Business Case'!C11*$C1006*'Business Case'!C12*$B1006)-'Business Case'!C11*$C1006*'Business Case'!C13*$D1006-'Business Case'!C14*$E1006))*'Business Case'!$B$7-'Business Case'!$B$8*(('Business Case'!C11*$C1006*'Business Case'!C12*$B1006)-('Business Case'!B11*$C1006*'Business Case'!B12*$B1006))-'Business Case'!C15*$F1006</f>
        <v>5174663.97017396</v>
      </c>
      <c r="J1006" s="39" t="n">
        <f aca="false">(('Business Case'!D11*$C1006*'Business Case'!D12*$B1006)-'Business Case'!D11*$C1006*'Business Case'!D13*$D1006-'Business Case'!D14*$E1006)-MAX(0,(('Business Case'!D11*$C1006*'Business Case'!D12*$B1006)-'Business Case'!D11*$C1006*'Business Case'!D13*$D1006-'Business Case'!D14*$E1006))*'Business Case'!$B$7-'Business Case'!$B$8*(('Business Case'!D11*$C1006*'Business Case'!D12*$B1006)-('Business Case'!C11*$C1006*'Business Case'!C12*$B1006))-'Business Case'!D15*$F1006</f>
        <v>307268279.946221</v>
      </c>
      <c r="K1006" s="39" t="n">
        <f aca="false">(('Business Case'!E11*$C1006*'Business Case'!E12*$B1006)-'Business Case'!E11*$C1006*'Business Case'!E13*$D1006-'Business Case'!E14*$E1006)-MAX(0,(('Business Case'!E11*$C1006*'Business Case'!E12*$B1006)-'Business Case'!E11*$C1006*'Business Case'!E13*$D1006-'Business Case'!E14*$E1006))*'Business Case'!$B$7-'Business Case'!$B$8*(('Business Case'!E11*$C1006*'Business Case'!E12*$B1006)-('Business Case'!D11*$C1006*'Business Case'!D12*$B1006))-'Business Case'!E15*$F1006</f>
        <v>662333803.901143</v>
      </c>
      <c r="L1006" s="39" t="n">
        <f aca="false">(('Business Case'!F11*$C1006*'Business Case'!F12*$B1006)-'Business Case'!F11*$C1006*'Business Case'!F13*$D1006-'Business Case'!F14*$E1006)-MAX(0,(('Business Case'!F11*$C1006*'Business Case'!F12*$B1006)-'Business Case'!F11*$C1006*'Business Case'!F13*$D1006-'Business Case'!F14*$E1006))*'Business Case'!$B$7-'Business Case'!$B$8*(('Business Case'!F11*$C1006*'Business Case'!F12*$B1006)-('Business Case'!E11*$C1006*'Business Case'!E12*$B1006))-'Business Case'!F15*$F1006</f>
        <v>797497015.074577</v>
      </c>
      <c r="M1006" s="39" t="n">
        <f aca="false">(('Business Case'!G11*$C1006*'Business Case'!G12*$B1006)-'Business Case'!G11*$C1006*'Business Case'!G13*$D1006-'Business Case'!G14*$E1006)-MAX(0,(('Business Case'!G11*$C1006*'Business Case'!G12*$B1006)-'Business Case'!G11*$C1006*'Business Case'!G13*$D1006-'Business Case'!G14*$E1006))*'Business Case'!$B$7-'Business Case'!$B$8*(('Business Case'!G11*$C1006*'Business Case'!G12*$B1006)-('Business Case'!F11*$C1006*'Business Case'!F12*$B1006))-'Business Case'!G15*$F1006+'Business Case'!$B$8*('Business Case'!G11*$C1006*'Business Case'!G12*$B1006)</f>
        <v>987056380.572377</v>
      </c>
      <c r="N1006" s="39" t="n">
        <f aca="false">IF(COUNT('Business Case'!B11:G11)=0,"",H1006+NPV(G1006,I1006:M1006))</f>
        <v>-255871088.664203</v>
      </c>
      <c r="P1006" s="40" t="n">
        <f aca="true">RAND()</f>
        <v>0.194453602801426</v>
      </c>
      <c r="Q1006" s="40" t="n">
        <f aca="true">RAND()</f>
        <v>0.74965201902472</v>
      </c>
      <c r="R1006" s="40" t="n">
        <f aca="true">RAND()</f>
        <v>0.0688997628035027</v>
      </c>
      <c r="S1006" s="40" t="n">
        <f aca="true">RAND()</f>
        <v>0.115603735719566</v>
      </c>
      <c r="T1006" s="40" t="n">
        <f aca="true">RAND()</f>
        <v>0.604847380340667</v>
      </c>
      <c r="U1006" s="40" t="n">
        <f aca="true">RAND()</f>
        <v>0.754218713113536</v>
      </c>
    </row>
    <row r="1007" customFormat="false" ht="15" hidden="false" customHeight="false" outlineLevel="0" collapsed="false">
      <c r="A1007" s="36" t="n">
        <v>927</v>
      </c>
      <c r="B1007" s="37" t="n">
        <f aca="false">1+IF($G$6=$E$6,$F$6,IF(P1007&lt;($F$6-$E$6)/($G$6-$E$6),$E$6+SQRT(P1007*($G$6-$E$6)*($F$6-$E$6)),$G$6-SQRT((1-P1007)*($G$6-$E$6)*($G$6-$F$6))))</f>
        <v>0.996275254911933</v>
      </c>
      <c r="C1007" s="37" t="n">
        <f aca="false">1+IF($G$7=$E$7,$F$7,IF(Q1007&lt;($F$7-$E$7)/($G$7-$E$7),$E$7+SQRT(Q1007*($G$7-$E$7)*($F$7-$E$7)),$G$7-SQRT((1-Q1007)*($G$7-$E$7)*($G$7-$F$7))))</f>
        <v>1.01857152396258</v>
      </c>
      <c r="D1007" s="37" t="n">
        <f aca="false">1+IF($G$8=$E$8,$F$8,IF(R1007&lt;($F$8-$E$8)/($G$8-$E$8),$E$8+SQRT(R1007*($G$8-$E$8)*($F$8-$E$8)),$G$8-SQRT((1-R1007)*($G$8-$E$8)*($G$8-$F$8))))</f>
        <v>0.976356254201818</v>
      </c>
      <c r="E1007" s="37" t="n">
        <f aca="false">1+IF($G$9=$E$9,$F$9,IF(S1007&lt;($F$9-$E$9)/($G$9-$E$9),$E$9+SQRT(S1007*($G$9-$E$9)*($F$9-$E$9)),$G$9-SQRT((1-S1007)*($G$9-$E$9)*($G$9-$F$9))))</f>
        <v>1.03075617642353</v>
      </c>
      <c r="F1007" s="37" t="n">
        <f aca="false">1+IF($G$10=$E$10,$F$10,IF(T1007&lt;($F$10-$E$10)/($G$10-$E$10),$E$10+SQRT(T1007*($G$10-$E$10)*($F$10-$E$10)),$G$10-SQRT((1-T1007)*($G$10-$E$10)*($G$10-$F$10))))</f>
        <v>1.1570342377231</v>
      </c>
      <c r="G1007" s="38" t="n">
        <f aca="false">IF($G$11=$E$11,$F$11,IF(U1007&lt;($F$11-$E$11)/($G$11-$E$11),$E$11+SQRT(U1007*($G$11-$E$11)*($F$11-$E$11)),$G$11-SQRT((1-U1007)*($G$11-$E$11)*($G$11-$F$11))))</f>
        <v>0.105926883194283</v>
      </c>
      <c r="H1007" s="39" t="n">
        <f aca="false">(('Business Case'!B11*$C1007*'Business Case'!B12*$B1007)-'Business Case'!B11*$C1007*'Business Case'!B13*$D1007-'Business Case'!B14*$E1007)-MAX(0,(('Business Case'!B11*$C1007*'Business Case'!B12*$B1007)-'Business Case'!B11*$C1007*'Business Case'!B13*$D1007-'Business Case'!B14*$E1007))*'Business Case'!$B$7-'Business Case'!$B$8*('Business Case'!B11*$C1007*'Business Case'!B12*$B1007)-'Business Case'!B15*$F1007</f>
        <v>-2314068475.44621</v>
      </c>
      <c r="I1007" s="39" t="n">
        <f aca="false">(('Business Case'!C11*$C1007*'Business Case'!C12*$B1007)-'Business Case'!C11*$C1007*'Business Case'!C13*$D1007-'Business Case'!C14*$E1007)-MAX(0,(('Business Case'!C11*$C1007*'Business Case'!C12*$B1007)-'Business Case'!C11*$C1007*'Business Case'!C13*$D1007-'Business Case'!C14*$E1007))*'Business Case'!$B$7-'Business Case'!$B$8*(('Business Case'!C11*$C1007*'Business Case'!C12*$B1007)-('Business Case'!B11*$C1007*'Business Case'!B12*$B1007))-'Business Case'!C15*$F1007</f>
        <v>7194255.2101109</v>
      </c>
      <c r="J1007" s="39" t="n">
        <f aca="false">(('Business Case'!D11*$C1007*'Business Case'!D12*$B1007)-'Business Case'!D11*$C1007*'Business Case'!D13*$D1007-'Business Case'!D14*$E1007)-MAX(0,(('Business Case'!D11*$C1007*'Business Case'!D12*$B1007)-'Business Case'!D11*$C1007*'Business Case'!D13*$D1007-'Business Case'!D14*$E1007))*'Business Case'!$B$7-'Business Case'!$B$8*(('Business Case'!D11*$C1007*'Business Case'!D12*$B1007)-('Business Case'!C11*$C1007*'Business Case'!C12*$B1007))-'Business Case'!D15*$F1007</f>
        <v>329271533.506666</v>
      </c>
      <c r="K1007" s="39" t="n">
        <f aca="false">(('Business Case'!E11*$C1007*'Business Case'!E12*$B1007)-'Business Case'!E11*$C1007*'Business Case'!E13*$D1007-'Business Case'!E14*$E1007)-MAX(0,(('Business Case'!E11*$C1007*'Business Case'!E12*$B1007)-'Business Case'!E11*$C1007*'Business Case'!E13*$D1007-'Business Case'!E14*$E1007))*'Business Case'!$B$7-'Business Case'!$B$8*(('Business Case'!E11*$C1007*'Business Case'!E12*$B1007)-('Business Case'!D11*$C1007*'Business Case'!D12*$B1007))-'Business Case'!E15*$F1007</f>
        <v>709200523.689376</v>
      </c>
      <c r="L1007" s="39" t="n">
        <f aca="false">(('Business Case'!F11*$C1007*'Business Case'!F12*$B1007)-'Business Case'!F11*$C1007*'Business Case'!F13*$D1007-'Business Case'!F14*$E1007)-MAX(0,(('Business Case'!F11*$C1007*'Business Case'!F12*$B1007)-'Business Case'!F11*$C1007*'Business Case'!F13*$D1007-'Business Case'!F14*$E1007))*'Business Case'!$B$7-'Business Case'!$B$8*(('Business Case'!F11*$C1007*'Business Case'!F12*$B1007)-('Business Case'!E11*$C1007*'Business Case'!E12*$B1007))-'Business Case'!F15*$F1007</f>
        <v>851630330.4727</v>
      </c>
      <c r="M1007" s="39" t="n">
        <f aca="false">(('Business Case'!G11*$C1007*'Business Case'!G12*$B1007)-'Business Case'!G11*$C1007*'Business Case'!G13*$D1007-'Business Case'!G14*$E1007)-MAX(0,(('Business Case'!G11*$C1007*'Business Case'!G12*$B1007)-'Business Case'!G11*$C1007*'Business Case'!G13*$D1007-'Business Case'!G14*$E1007))*'Business Case'!$B$7-'Business Case'!$B$8*(('Business Case'!G11*$C1007*'Business Case'!G12*$B1007)-('Business Case'!F11*$C1007*'Business Case'!F12*$B1007))-'Business Case'!G15*$F1007+'Business Case'!$B$8*('Business Case'!G11*$C1007*'Business Case'!G12*$B1007)</f>
        <v>1044519257.57063</v>
      </c>
      <c r="N1007" s="39" t="n">
        <f aca="false">IF(COUNT('Business Case'!B11:G11)=0,"",H1007+NPV(G1007,I1007:M1007))</f>
        <v>-313358750.123395</v>
      </c>
      <c r="P1007" s="40" t="n">
        <f aca="true">RAND()</f>
        <v>0.606032761654205</v>
      </c>
      <c r="Q1007" s="40" t="n">
        <f aca="true">RAND()</f>
        <v>0.670982013075845</v>
      </c>
      <c r="R1007" s="40" t="n">
        <f aca="true">RAND()</f>
        <v>0.106869559315518</v>
      </c>
      <c r="S1007" s="40" t="n">
        <f aca="true">RAND()</f>
        <v>0.680352859767411</v>
      </c>
      <c r="T1007" s="40" t="n">
        <f aca="true">RAND()</f>
        <v>0.963078865439305</v>
      </c>
      <c r="U1007" s="40" t="n">
        <f aca="true">RAND()</f>
        <v>0.669912305621082</v>
      </c>
    </row>
    <row r="1008" customFormat="false" ht="15" hidden="false" customHeight="false" outlineLevel="0" collapsed="false">
      <c r="A1008" s="36" t="n">
        <v>928</v>
      </c>
      <c r="B1008" s="37" t="n">
        <f aca="false">1+IF($G$6=$E$6,$F$6,IF(P1008&lt;($F$6-$E$6)/($G$6-$E$6),$E$6+SQRT(P1008*($G$6-$E$6)*($F$6-$E$6)),$G$6-SQRT((1-P1008)*($G$6-$E$6)*($G$6-$F$6))))</f>
        <v>1.01688193312846</v>
      </c>
      <c r="C1008" s="37" t="n">
        <f aca="false">1+IF($G$7=$E$7,$F$7,IF(Q1008&lt;($F$7-$E$7)/($G$7-$E$7),$E$7+SQRT(Q1008*($G$7-$E$7)*($F$7-$E$7)),$G$7-SQRT((1-Q1008)*($G$7-$E$7)*($G$7-$F$7))))</f>
        <v>0.956108447101873</v>
      </c>
      <c r="D1008" s="37" t="n">
        <f aca="false">1+IF($G$8=$E$8,$F$8,IF(R1008&lt;($F$8-$E$8)/($G$8-$E$8),$E$8+SQRT(R1008*($G$8-$E$8)*($F$8-$E$8)),$G$8-SQRT((1-R1008)*($G$8-$E$8)*($G$8-$F$8))))</f>
        <v>0.956229544042562</v>
      </c>
      <c r="E1008" s="37" t="n">
        <f aca="false">1+IF($G$9=$E$9,$F$9,IF(S1008&lt;($F$9-$E$9)/($G$9-$E$9),$E$9+SQRT(S1008*($G$9-$E$9)*($F$9-$E$9)),$G$9-SQRT((1-S1008)*($G$9-$E$9)*($G$9-$F$9))))</f>
        <v>1.0208778158221</v>
      </c>
      <c r="F1008" s="37" t="n">
        <f aca="false">1+IF($G$10=$E$10,$F$10,IF(T1008&lt;($F$10-$E$10)/($G$10-$E$10),$E$10+SQRT(T1008*($G$10-$E$10)*($F$10-$E$10)),$G$10-SQRT((1-T1008)*($G$10-$E$10)*($G$10-$F$10))))</f>
        <v>1.09114701069147</v>
      </c>
      <c r="G1008" s="38" t="n">
        <f aca="false">IF($G$11=$E$11,$F$11,IF(U1008&lt;($F$11-$E$11)/($G$11-$E$11),$E$11+SQRT(U1008*($G$11-$E$11)*($F$11-$E$11)),$G$11-SQRT((1-U1008)*($G$11-$E$11)*($G$11-$F$11))))</f>
        <v>0.104287188397384</v>
      </c>
      <c r="H1008" s="39" t="n">
        <f aca="false">(('Business Case'!B11*$C1008*'Business Case'!B12*$B1008)-'Business Case'!B11*$C1008*'Business Case'!B13*$D1008-'Business Case'!B14*$E1008)-MAX(0,(('Business Case'!B11*$C1008*'Business Case'!B12*$B1008)-'Business Case'!B11*$C1008*'Business Case'!B13*$D1008-'Business Case'!B14*$E1008))*'Business Case'!$B$7-'Business Case'!$B$8*('Business Case'!B11*$C1008*'Business Case'!B12*$B1008)-'Business Case'!B15*$F1008</f>
        <v>-2182294021.38294</v>
      </c>
      <c r="I1008" s="39" t="n">
        <f aca="false">(('Business Case'!C11*$C1008*'Business Case'!C12*$B1008)-'Business Case'!C11*$C1008*'Business Case'!C13*$D1008-'Business Case'!C14*$E1008)-MAX(0,(('Business Case'!C11*$C1008*'Business Case'!C12*$B1008)-'Business Case'!C11*$C1008*'Business Case'!C13*$D1008-'Business Case'!C14*$E1008))*'Business Case'!$B$7-'Business Case'!$B$8*(('Business Case'!C11*$C1008*'Business Case'!C12*$B1008)-('Business Case'!B11*$C1008*'Business Case'!B12*$B1008))-'Business Case'!C15*$F1008</f>
        <v>23629788.5463552</v>
      </c>
      <c r="J1008" s="39" t="n">
        <f aca="false">(('Business Case'!D11*$C1008*'Business Case'!D12*$B1008)-'Business Case'!D11*$C1008*'Business Case'!D13*$D1008-'Business Case'!D14*$E1008)-MAX(0,(('Business Case'!D11*$C1008*'Business Case'!D12*$B1008)-'Business Case'!D11*$C1008*'Business Case'!D13*$D1008-'Business Case'!D14*$E1008))*'Business Case'!$B$7-'Business Case'!$B$8*(('Business Case'!D11*$C1008*'Business Case'!D12*$B1008)-('Business Case'!C11*$C1008*'Business Case'!C12*$B1008))-'Business Case'!D15*$F1008</f>
        <v>351944512.777214</v>
      </c>
      <c r="K1008" s="39" t="n">
        <f aca="false">(('Business Case'!E11*$C1008*'Business Case'!E12*$B1008)-'Business Case'!E11*$C1008*'Business Case'!E13*$D1008-'Business Case'!E14*$E1008)-MAX(0,(('Business Case'!E11*$C1008*'Business Case'!E12*$B1008)-'Business Case'!E11*$C1008*'Business Case'!E13*$D1008-'Business Case'!E14*$E1008))*'Business Case'!$B$7-'Business Case'!$B$8*(('Business Case'!E11*$C1008*'Business Case'!E12*$B1008)-('Business Case'!D11*$C1008*'Business Case'!D12*$B1008))-'Business Case'!E15*$F1008</f>
        <v>734816587.542646</v>
      </c>
      <c r="L1008" s="39" t="n">
        <f aca="false">(('Business Case'!F11*$C1008*'Business Case'!F12*$B1008)-'Business Case'!F11*$C1008*'Business Case'!F13*$D1008-'Business Case'!F14*$E1008)-MAX(0,(('Business Case'!F11*$C1008*'Business Case'!F12*$B1008)-'Business Case'!F11*$C1008*'Business Case'!F13*$D1008-'Business Case'!F14*$E1008))*'Business Case'!$B$7-'Business Case'!$B$8*(('Business Case'!F11*$C1008*'Business Case'!F12*$B1008)-('Business Case'!E11*$C1008*'Business Case'!E12*$B1008))-'Business Case'!F15*$F1008</f>
        <v>877855768.423235</v>
      </c>
      <c r="M1008" s="39" t="n">
        <f aca="false">(('Business Case'!G11*$C1008*'Business Case'!G12*$B1008)-'Business Case'!G11*$C1008*'Business Case'!G13*$D1008-'Business Case'!G14*$E1008)-MAX(0,(('Business Case'!G11*$C1008*'Business Case'!G12*$B1008)-'Business Case'!G11*$C1008*'Business Case'!G13*$D1008-'Business Case'!G14*$E1008))*'Business Case'!$B$7-'Business Case'!$B$8*(('Business Case'!G11*$C1008*'Business Case'!G12*$B1008)-('Business Case'!F11*$C1008*'Business Case'!F12*$B1008))-'Business Case'!G15*$F1008+'Business Case'!$B$8*('Business Case'!G11*$C1008*'Business Case'!G12*$B1008)</f>
        <v>1062660935.5099</v>
      </c>
      <c r="N1008" s="39" t="n">
        <f aca="false">IF(COUNT('Business Case'!B11:G11)=0,"",H1008+NPV(G1008,I1008:M1008))</f>
        <v>-89163303.3940563</v>
      </c>
      <c r="P1008" s="40" t="n">
        <f aca="true">RAND()</f>
        <v>0.888657288358918</v>
      </c>
      <c r="Q1008" s="40" t="n">
        <f aca="true">RAND()</f>
        <v>0.348140675093689</v>
      </c>
      <c r="R1008" s="40" t="n">
        <f aca="true">RAND()</f>
        <v>0.00597034138126458</v>
      </c>
      <c r="S1008" s="40" t="n">
        <f aca="true">RAND()</f>
        <v>0.582645331394574</v>
      </c>
      <c r="T1008" s="40" t="n">
        <f aca="true">RAND()</f>
        <v>0.76302053437195</v>
      </c>
      <c r="U1008" s="40" t="n">
        <f aca="true">RAND()</f>
        <v>0.588512585901158</v>
      </c>
    </row>
    <row r="1009" customFormat="false" ht="15" hidden="false" customHeight="false" outlineLevel="0" collapsed="false">
      <c r="A1009" s="36" t="n">
        <v>929</v>
      </c>
      <c r="B1009" s="37" t="n">
        <f aca="false">1+IF($G$6=$E$6,$F$6,IF(P1009&lt;($F$6-$E$6)/($G$6-$E$6),$E$6+SQRT(P1009*($G$6-$E$6)*($F$6-$E$6)),$G$6-SQRT((1-P1009)*($G$6-$E$6)*($G$6-$F$6))))</f>
        <v>0.981399704209243</v>
      </c>
      <c r="C1009" s="37" t="n">
        <f aca="false">1+IF($G$7=$E$7,$F$7,IF(Q1009&lt;($F$7-$E$7)/($G$7-$E$7),$E$7+SQRT(Q1009*($G$7-$E$7)*($F$7-$E$7)),$G$7-SQRT((1-Q1009)*($G$7-$E$7)*($G$7-$F$7))))</f>
        <v>0.995701930652668</v>
      </c>
      <c r="D1009" s="37" t="n">
        <f aca="false">1+IF($G$8=$E$8,$F$8,IF(R1009&lt;($F$8-$E$8)/($G$8-$E$8),$E$8+SQRT(R1009*($G$8-$E$8)*($F$8-$E$8)),$G$8-SQRT((1-R1009)*($G$8-$E$8)*($G$8-$F$8))))</f>
        <v>1.05113253584756</v>
      </c>
      <c r="E1009" s="37" t="n">
        <f aca="false">1+IF($G$9=$E$9,$F$9,IF(S1009&lt;($F$9-$E$9)/($G$9-$E$9),$E$9+SQRT(S1009*($G$9-$E$9)*($F$9-$E$9)),$G$9-SQRT((1-S1009)*($G$9-$E$9)*($G$9-$F$9))))</f>
        <v>1.00716451094696</v>
      </c>
      <c r="F1009" s="37" t="n">
        <f aca="false">1+IF($G$10=$E$10,$F$10,IF(T1009&lt;($F$10-$E$10)/($G$10-$E$10),$E$10+SQRT(T1009*($G$10-$E$10)*($F$10-$E$10)),$G$10-SQRT((1-T1009)*($G$10-$E$10)*($G$10-$F$10))))</f>
        <v>1.10279022865591</v>
      </c>
      <c r="G1009" s="38" t="n">
        <f aca="false">IF($G$11=$E$11,$F$11,IF(U1009&lt;($F$11-$E$11)/($G$11-$E$11),$E$11+SQRT(U1009*($G$11-$E$11)*($F$11-$E$11)),$G$11-SQRT((1-U1009)*($G$11-$E$11)*($G$11-$F$11))))</f>
        <v>0.110610085410583</v>
      </c>
      <c r="H1009" s="39" t="n">
        <f aca="false">(('Business Case'!B11*$C1009*'Business Case'!B12*$B1009)-'Business Case'!B11*$C1009*'Business Case'!B13*$D1009-'Business Case'!B14*$E1009)-MAX(0,(('Business Case'!B11*$C1009*'Business Case'!B12*$B1009)-'Business Case'!B11*$C1009*'Business Case'!B13*$D1009-'Business Case'!B14*$E1009))*'Business Case'!$B$7-'Business Case'!$B$8*('Business Case'!B11*$C1009*'Business Case'!B12*$B1009)-'Business Case'!B15*$F1009</f>
        <v>-2205580457.31182</v>
      </c>
      <c r="I1009" s="39" t="n">
        <f aca="false">(('Business Case'!C11*$C1009*'Business Case'!C12*$B1009)-'Business Case'!C11*$C1009*'Business Case'!C13*$D1009-'Business Case'!C14*$E1009)-MAX(0,(('Business Case'!C11*$C1009*'Business Case'!C12*$B1009)-'Business Case'!C11*$C1009*'Business Case'!C13*$D1009-'Business Case'!C14*$E1009))*'Business Case'!$B$7-'Business Case'!$B$8*(('Business Case'!C11*$C1009*'Business Case'!C12*$B1009)-('Business Case'!B11*$C1009*'Business Case'!B12*$B1009))-'Business Case'!C15*$F1009</f>
        <v>-39555832.9903047</v>
      </c>
      <c r="J1009" s="39" t="n">
        <f aca="false">(('Business Case'!D11*$C1009*'Business Case'!D12*$B1009)-'Business Case'!D11*$C1009*'Business Case'!D13*$D1009-'Business Case'!D14*$E1009)-MAX(0,(('Business Case'!D11*$C1009*'Business Case'!D12*$B1009)-'Business Case'!D11*$C1009*'Business Case'!D13*$D1009-'Business Case'!D14*$E1009))*'Business Case'!$B$7-'Business Case'!$B$8*(('Business Case'!D11*$C1009*'Business Case'!D12*$B1009)-('Business Case'!C11*$C1009*'Business Case'!C12*$B1009))-'Business Case'!D15*$F1009</f>
        <v>225043243.460405</v>
      </c>
      <c r="K1009" s="39" t="n">
        <f aca="false">(('Business Case'!E11*$C1009*'Business Case'!E12*$B1009)-'Business Case'!E11*$C1009*'Business Case'!E13*$D1009-'Business Case'!E14*$E1009)-MAX(0,(('Business Case'!E11*$C1009*'Business Case'!E12*$B1009)-'Business Case'!E11*$C1009*'Business Case'!E13*$D1009-'Business Case'!E14*$E1009))*'Business Case'!$B$7-'Business Case'!$B$8*(('Business Case'!E11*$C1009*'Business Case'!E12*$B1009)-('Business Case'!D11*$C1009*'Business Case'!D12*$B1009))-'Business Case'!E15*$F1009</f>
        <v>544781831.343911</v>
      </c>
      <c r="L1009" s="39" t="n">
        <f aca="false">(('Business Case'!F11*$C1009*'Business Case'!F12*$B1009)-'Business Case'!F11*$C1009*'Business Case'!F13*$D1009-'Business Case'!F14*$E1009)-MAX(0,(('Business Case'!F11*$C1009*'Business Case'!F12*$B1009)-'Business Case'!F11*$C1009*'Business Case'!F13*$D1009-'Business Case'!F14*$E1009))*'Business Case'!$B$7-'Business Case'!$B$8*(('Business Case'!F11*$C1009*'Business Case'!F12*$B1009)-('Business Case'!E11*$C1009*'Business Case'!E12*$B1009))-'Business Case'!F15*$F1009</f>
        <v>666752918.906658</v>
      </c>
      <c r="M1009" s="39" t="n">
        <f aca="false">(('Business Case'!G11*$C1009*'Business Case'!G12*$B1009)-'Business Case'!G11*$C1009*'Business Case'!G13*$D1009-'Business Case'!G14*$E1009)-MAX(0,(('Business Case'!G11*$C1009*'Business Case'!G12*$B1009)-'Business Case'!G11*$C1009*'Business Case'!G13*$D1009-'Business Case'!G14*$E1009))*'Business Case'!$B$7-'Business Case'!$B$8*(('Business Case'!G11*$C1009*'Business Case'!G12*$B1009)-('Business Case'!F11*$C1009*'Business Case'!F12*$B1009))-'Business Case'!G15*$F1009+'Business Case'!$B$8*('Business Case'!G11*$C1009*'Business Case'!G12*$B1009)</f>
        <v>852495593.675465</v>
      </c>
      <c r="N1009" s="39" t="n">
        <f aca="false">IF(COUNT('Business Case'!B11:G11)=0,"",H1009+NPV(G1009,I1009:M1009))</f>
        <v>-718290419.998073</v>
      </c>
      <c r="P1009" s="40" t="n">
        <f aca="true">RAND()</f>
        <v>0.39270038301901</v>
      </c>
      <c r="Q1009" s="40" t="n">
        <f aca="true">RAND()</f>
        <v>0.547132080874025</v>
      </c>
      <c r="R1009" s="40" t="n">
        <f aca="true">RAND()</f>
        <v>0.91987206859691</v>
      </c>
      <c r="S1009" s="40" t="n">
        <f aca="true">RAND()</f>
        <v>0.425438131485572</v>
      </c>
      <c r="T1009" s="40" t="n">
        <f aca="true">RAND()</f>
        <v>0.811005207104589</v>
      </c>
      <c r="U1009" s="40" t="n">
        <f aca="true">RAND()</f>
        <v>0.853049173339081</v>
      </c>
    </row>
    <row r="1010" customFormat="false" ht="15" hidden="false" customHeight="false" outlineLevel="0" collapsed="false">
      <c r="A1010" s="36" t="n">
        <v>930</v>
      </c>
      <c r="B1010" s="37" t="n">
        <f aca="false">1+IF($G$6=$E$6,$F$6,IF(P1010&lt;($F$6-$E$6)/($G$6-$E$6),$E$6+SQRT(P1010*($G$6-$E$6)*($F$6-$E$6)),$G$6-SQRT((1-P1010)*($G$6-$E$6)*($G$6-$F$6))))</f>
        <v>1.00551272671427</v>
      </c>
      <c r="C1010" s="37" t="n">
        <f aca="false">1+IF($G$7=$E$7,$F$7,IF(Q1010&lt;($F$7-$E$7)/($G$7-$E$7),$E$7+SQRT(Q1010*($G$7-$E$7)*($F$7-$E$7)),$G$7-SQRT((1-Q1010)*($G$7-$E$7)*($G$7-$F$7))))</f>
        <v>0.934806794725547</v>
      </c>
      <c r="D1010" s="37" t="n">
        <f aca="false">1+IF($G$8=$E$8,$F$8,IF(R1010&lt;($F$8-$E$8)/($G$8-$E$8),$E$8+SQRT(R1010*($G$8-$E$8)*($F$8-$E$8)),$G$8-SQRT((1-R1010)*($G$8-$E$8)*($G$8-$F$8))))</f>
        <v>1.02765217355277</v>
      </c>
      <c r="E1010" s="37" t="n">
        <f aca="false">1+IF($G$9=$E$9,$F$9,IF(S1010&lt;($F$9-$E$9)/($G$9-$E$9),$E$9+SQRT(S1010*($G$9-$E$9)*($F$9-$E$9)),$G$9-SQRT((1-S1010)*($G$9-$E$9)*($G$9-$F$9))))</f>
        <v>0.964395225129321</v>
      </c>
      <c r="F1010" s="37" t="n">
        <f aca="false">1+IF($G$10=$E$10,$F$10,IF(T1010&lt;($F$10-$E$10)/($G$10-$E$10),$E$10+SQRT(T1010*($G$10-$E$10)*($F$10-$E$10)),$G$10-SQRT((1-T1010)*($G$10-$E$10)*($G$10-$F$10))))</f>
        <v>1.01948646801264</v>
      </c>
      <c r="G1010" s="38" t="n">
        <f aca="false">IF($G$11=$E$11,$F$11,IF(U1010&lt;($F$11-$E$11)/($G$11-$E$11),$E$11+SQRT(U1010*($G$11-$E$11)*($F$11-$E$11)),$G$11-SQRT((1-U1010)*($G$11-$E$11)*($G$11-$F$11))))</f>
        <v>0.114775186129841</v>
      </c>
      <c r="H1010" s="39" t="n">
        <f aca="false">(('Business Case'!B11*$C1010*'Business Case'!B12*$B1010)-'Business Case'!B11*$C1010*'Business Case'!B13*$D1010-'Business Case'!B14*$E1010)-MAX(0,(('Business Case'!B11*$C1010*'Business Case'!B12*$B1010)-'Business Case'!B11*$C1010*'Business Case'!B13*$D1010-'Business Case'!B14*$E1010))*'Business Case'!$B$7-'Business Case'!$B$8*('Business Case'!B11*$C1010*'Business Case'!B12*$B1010)-'Business Case'!B15*$F1010</f>
        <v>-2038972936.02527</v>
      </c>
      <c r="I1010" s="39" t="n">
        <f aca="false">(('Business Case'!C11*$C1010*'Business Case'!C12*$B1010)-'Business Case'!C11*$C1010*'Business Case'!C13*$D1010-'Business Case'!C14*$E1010)-MAX(0,(('Business Case'!C11*$C1010*'Business Case'!C12*$B1010)-'Business Case'!C11*$C1010*'Business Case'!C13*$D1010-'Business Case'!C14*$E1010))*'Business Case'!$B$7-'Business Case'!$B$8*(('Business Case'!C11*$C1010*'Business Case'!C12*$B1010)-('Business Case'!B11*$C1010*'Business Case'!B12*$B1010))-'Business Case'!C15*$F1010</f>
        <v>-9697297.57356355</v>
      </c>
      <c r="J1010" s="39" t="n">
        <f aca="false">(('Business Case'!D11*$C1010*'Business Case'!D12*$B1010)-'Business Case'!D11*$C1010*'Business Case'!D13*$D1010-'Business Case'!D14*$E1010)-MAX(0,(('Business Case'!D11*$C1010*'Business Case'!D12*$B1010)-'Business Case'!D11*$C1010*'Business Case'!D13*$D1010-'Business Case'!D14*$E1010))*'Business Case'!$B$7-'Business Case'!$B$8*(('Business Case'!D11*$C1010*'Business Case'!D12*$B1010)-('Business Case'!C11*$C1010*'Business Case'!C12*$B1010))-'Business Case'!D15*$F1010</f>
        <v>268418585.760874</v>
      </c>
      <c r="K1010" s="39" t="n">
        <f aca="false">(('Business Case'!E11*$C1010*'Business Case'!E12*$B1010)-'Business Case'!E11*$C1010*'Business Case'!E13*$D1010-'Business Case'!E14*$E1010)-MAX(0,(('Business Case'!E11*$C1010*'Business Case'!E12*$B1010)-'Business Case'!E11*$C1010*'Business Case'!E13*$D1010-'Business Case'!E14*$E1010))*'Business Case'!$B$7-'Business Case'!$B$8*(('Business Case'!E11*$C1010*'Business Case'!E12*$B1010)-('Business Case'!D11*$C1010*'Business Case'!D12*$B1010))-'Business Case'!E15*$F1010</f>
        <v>597508792.495944</v>
      </c>
      <c r="L1010" s="39" t="n">
        <f aca="false">(('Business Case'!F11*$C1010*'Business Case'!F12*$B1010)-'Business Case'!F11*$C1010*'Business Case'!F13*$D1010-'Business Case'!F14*$E1010)-MAX(0,(('Business Case'!F11*$C1010*'Business Case'!F12*$B1010)-'Business Case'!F11*$C1010*'Business Case'!F13*$D1010-'Business Case'!F14*$E1010))*'Business Case'!$B$7-'Business Case'!$B$8*(('Business Case'!F11*$C1010*'Business Case'!F12*$B1010)-('Business Case'!E11*$C1010*'Business Case'!E12*$B1010))-'Business Case'!F15*$F1010</f>
        <v>722699109.002989</v>
      </c>
      <c r="M1010" s="39" t="n">
        <f aca="false">(('Business Case'!G11*$C1010*'Business Case'!G12*$B1010)-'Business Case'!G11*$C1010*'Business Case'!G13*$D1010-'Business Case'!G14*$E1010)-MAX(0,(('Business Case'!G11*$C1010*'Business Case'!G12*$B1010)-'Business Case'!G11*$C1010*'Business Case'!G13*$D1010-'Business Case'!G14*$E1010))*'Business Case'!$B$7-'Business Case'!$B$8*(('Business Case'!G11*$C1010*'Business Case'!G12*$B1010)-('Business Case'!F11*$C1010*'Business Case'!F12*$B1010))-'Business Case'!G15*$F1010+'Business Case'!$B$8*('Business Case'!G11*$C1010*'Business Case'!G12*$B1010)</f>
        <v>901366730.345266</v>
      </c>
      <c r="N1010" s="39" t="n">
        <f aca="false">IF(COUNT('Business Case'!B11:G11)=0,"",H1010+NPV(G1010,I1010:M1010))</f>
        <v>-408858814.573574</v>
      </c>
      <c r="P1010" s="40" t="n">
        <f aca="true">RAND()</f>
        <v>0.752214162774062</v>
      </c>
      <c r="Q1010" s="40" t="n">
        <f aca="true">RAND()</f>
        <v>0.259612455773941</v>
      </c>
      <c r="R1010" s="40" t="n">
        <f aca="true">RAND()</f>
        <v>0.736510102524054</v>
      </c>
      <c r="S1010" s="40" t="n">
        <f aca="true">RAND()</f>
        <v>0.0276296675365122</v>
      </c>
      <c r="T1010" s="40" t="n">
        <f aca="true">RAND()</f>
        <v>0.348297295388948</v>
      </c>
      <c r="U1010" s="40" t="n">
        <f aca="true">RAND()</f>
        <v>0.954502200036983</v>
      </c>
    </row>
    <row r="1011" customFormat="false" ht="15" hidden="false" customHeight="false" outlineLevel="0" collapsed="false">
      <c r="A1011" s="36" t="n">
        <v>931</v>
      </c>
      <c r="B1011" s="37" t="n">
        <f aca="false">1+IF($G$6=$E$6,$F$6,IF(P1011&lt;($F$6-$E$6)/($G$6-$E$6),$E$6+SQRT(P1011*($G$6-$E$6)*($F$6-$E$6)),$G$6-SQRT((1-P1011)*($G$6-$E$6)*($G$6-$F$6))))</f>
        <v>0.990785098196832</v>
      </c>
      <c r="C1011" s="37" t="n">
        <f aca="false">1+IF($G$7=$E$7,$F$7,IF(Q1011&lt;($F$7-$E$7)/($G$7-$E$7),$E$7+SQRT(Q1011*($G$7-$E$7)*($F$7-$E$7)),$G$7-SQRT((1-Q1011)*($G$7-$E$7)*($G$7-$F$7))))</f>
        <v>0.909079513518423</v>
      </c>
      <c r="D1011" s="37" t="n">
        <f aca="false">1+IF($G$8=$E$8,$F$8,IF(R1011&lt;($F$8-$E$8)/($G$8-$E$8),$E$8+SQRT(R1011*($G$8-$E$8)*($F$8-$E$8)),$G$8-SQRT((1-R1011)*($G$8-$E$8)*($G$8-$F$8))))</f>
        <v>0.99212949700912</v>
      </c>
      <c r="E1011" s="37" t="n">
        <f aca="false">1+IF($G$9=$E$9,$F$9,IF(S1011&lt;($F$9-$E$9)/($G$9-$E$9),$E$9+SQRT(S1011*($G$9-$E$9)*($F$9-$E$9)),$G$9-SQRT((1-S1011)*($G$9-$E$9)*($G$9-$F$9))))</f>
        <v>0.997156766741554</v>
      </c>
      <c r="F1011" s="37" t="n">
        <f aca="false">1+IF($G$10=$E$10,$F$10,IF(T1011&lt;($F$10-$E$10)/($G$10-$E$10),$E$10+SQRT(T1011*($G$10-$E$10)*($F$10-$E$10)),$G$10-SQRT((1-T1011)*($G$10-$E$10)*($G$10-$F$10))))</f>
        <v>1.06971615936837</v>
      </c>
      <c r="G1011" s="38" t="n">
        <f aca="false">IF($G$11=$E$11,$F$11,IF(U1011&lt;($F$11-$E$11)/($G$11-$E$11),$E$11+SQRT(U1011*($G$11-$E$11)*($F$11-$E$11)),$G$11-SQRT((1-U1011)*($G$11-$E$11)*($G$11-$F$11))))</f>
        <v>0.0993067880586643</v>
      </c>
      <c r="H1011" s="39" t="n">
        <f aca="false">(('Business Case'!B11*$C1011*'Business Case'!B12*$B1011)-'Business Case'!B11*$C1011*'Business Case'!B13*$D1011-'Business Case'!B14*$E1011)-MAX(0,(('Business Case'!B11*$C1011*'Business Case'!B12*$B1011)-'Business Case'!B11*$C1011*'Business Case'!B13*$D1011-'Business Case'!B14*$E1011))*'Business Case'!$B$7-'Business Case'!$B$8*('Business Case'!B11*$C1011*'Business Case'!B12*$B1011)-'Business Case'!B15*$F1011</f>
        <v>-2139432318.73675</v>
      </c>
      <c r="I1011" s="39" t="n">
        <f aca="false">(('Business Case'!C11*$C1011*'Business Case'!C12*$B1011)-'Business Case'!C11*$C1011*'Business Case'!C13*$D1011-'Business Case'!C14*$E1011)-MAX(0,(('Business Case'!C11*$C1011*'Business Case'!C12*$B1011)-'Business Case'!C11*$C1011*'Business Case'!C13*$D1011-'Business Case'!C14*$E1011))*'Business Case'!$B$7-'Business Case'!$B$8*(('Business Case'!C11*$C1011*'Business Case'!C12*$B1011)-('Business Case'!B11*$C1011*'Business Case'!B12*$B1011))-'Business Case'!C15*$F1011</f>
        <v>-19432818.9857846</v>
      </c>
      <c r="J1011" s="39" t="n">
        <f aca="false">(('Business Case'!D11*$C1011*'Business Case'!D12*$B1011)-'Business Case'!D11*$C1011*'Business Case'!D13*$D1011-'Business Case'!D14*$E1011)-MAX(0,(('Business Case'!D11*$C1011*'Business Case'!D12*$B1011)-'Business Case'!D11*$C1011*'Business Case'!D13*$D1011-'Business Case'!D14*$E1011))*'Business Case'!$B$7-'Business Case'!$B$8*(('Business Case'!D11*$C1011*'Business Case'!D12*$B1011)-('Business Case'!C11*$C1011*'Business Case'!C12*$B1011))-'Business Case'!D15*$F1011</f>
        <v>256594084.42995</v>
      </c>
      <c r="K1011" s="39" t="n">
        <f aca="false">(('Business Case'!E11*$C1011*'Business Case'!E12*$B1011)-'Business Case'!E11*$C1011*'Business Case'!E13*$D1011-'Business Case'!E14*$E1011)-MAX(0,(('Business Case'!E11*$C1011*'Business Case'!E12*$B1011)-'Business Case'!E11*$C1011*'Business Case'!E13*$D1011-'Business Case'!E14*$E1011))*'Business Case'!$B$7-'Business Case'!$B$8*(('Business Case'!E11*$C1011*'Business Case'!E12*$B1011)-('Business Case'!D11*$C1011*'Business Case'!D12*$B1011))-'Business Case'!E15*$F1011</f>
        <v>586106795.814103</v>
      </c>
      <c r="L1011" s="39" t="n">
        <f aca="false">(('Business Case'!F11*$C1011*'Business Case'!F12*$B1011)-'Business Case'!F11*$C1011*'Business Case'!F13*$D1011-'Business Case'!F14*$E1011)-MAX(0,(('Business Case'!F11*$C1011*'Business Case'!F12*$B1011)-'Business Case'!F11*$C1011*'Business Case'!F13*$D1011-'Business Case'!F14*$E1011))*'Business Case'!$B$7-'Business Case'!$B$8*(('Business Case'!F11*$C1011*'Business Case'!F12*$B1011)-('Business Case'!E11*$C1011*'Business Case'!E12*$B1011))-'Business Case'!F15*$F1011</f>
        <v>709244039.77537</v>
      </c>
      <c r="M1011" s="39" t="n">
        <f aca="false">(('Business Case'!G11*$C1011*'Business Case'!G12*$B1011)-'Business Case'!G11*$C1011*'Business Case'!G13*$D1011-'Business Case'!G14*$E1011)-MAX(0,(('Business Case'!G11*$C1011*'Business Case'!G12*$B1011)-'Business Case'!G11*$C1011*'Business Case'!G13*$D1011-'Business Case'!G14*$E1011))*'Business Case'!$B$7-'Business Case'!$B$8*(('Business Case'!G11*$C1011*'Business Case'!G12*$B1011)-('Business Case'!F11*$C1011*'Business Case'!F12*$B1011))-'Business Case'!G15*$F1011+'Business Case'!$B$8*('Business Case'!G11*$C1011*'Business Case'!G12*$B1011)</f>
        <v>880449558.63349</v>
      </c>
      <c r="N1011" s="39" t="n">
        <f aca="false">IF(COUNT('Business Case'!B11:G11)=0,"",H1011+NPV(G1011,I1011:M1011))</f>
        <v>-469534586.386869</v>
      </c>
      <c r="P1011" s="40" t="n">
        <f aca="true">RAND()</f>
        <v>0.521930221534913</v>
      </c>
      <c r="Q1011" s="40" t="n">
        <f aca="true">RAND()</f>
        <v>0.169976289563082</v>
      </c>
      <c r="R1011" s="40" t="n">
        <f aca="true">RAND()</f>
        <v>0.273060695114071</v>
      </c>
      <c r="S1011" s="40" t="n">
        <f aca="true">RAND()</f>
        <v>0.296501419935639</v>
      </c>
      <c r="T1011" s="40" t="n">
        <f aca="true">RAND()</f>
        <v>0.66052241740546</v>
      </c>
      <c r="U1011" s="40" t="n">
        <f aca="true">RAND()</f>
        <v>0.288721013229656</v>
      </c>
    </row>
    <row r="1012" customFormat="false" ht="15" hidden="false" customHeight="false" outlineLevel="0" collapsed="false">
      <c r="A1012" s="36" t="n">
        <v>932</v>
      </c>
      <c r="B1012" s="37" t="n">
        <f aca="false">1+IF($G$6=$E$6,$F$6,IF(P1012&lt;($F$6-$E$6)/($G$6-$E$6),$E$6+SQRT(P1012*($G$6-$E$6)*($F$6-$E$6)),$G$6-SQRT((1-P1012)*($G$6-$E$6)*($G$6-$F$6))))</f>
        <v>0.990052796057263</v>
      </c>
      <c r="C1012" s="37" t="n">
        <f aca="false">1+IF($G$7=$E$7,$F$7,IF(Q1012&lt;($F$7-$E$7)/($G$7-$E$7),$E$7+SQRT(Q1012*($G$7-$E$7)*($F$7-$E$7)),$G$7-SQRT((1-Q1012)*($G$7-$E$7)*($G$7-$F$7))))</f>
        <v>1.04305991903988</v>
      </c>
      <c r="D1012" s="37" t="n">
        <f aca="false">1+IF($G$8=$E$8,$F$8,IF(R1012&lt;($F$8-$E$8)/($G$8-$E$8),$E$8+SQRT(R1012*($G$8-$E$8)*($F$8-$E$8)),$G$8-SQRT((1-R1012)*($G$8-$E$8)*($G$8-$F$8))))</f>
        <v>0.99321104364858</v>
      </c>
      <c r="E1012" s="37" t="n">
        <f aca="false">1+IF($G$9=$E$9,$F$9,IF(S1012&lt;($F$9-$E$9)/($G$9-$E$9),$E$9+SQRT(S1012*($G$9-$E$9)*($F$9-$E$9)),$G$9-SQRT((1-S1012)*($G$9-$E$9)*($G$9-$F$9))))</f>
        <v>1.0910768404595</v>
      </c>
      <c r="F1012" s="37" t="n">
        <f aca="false">1+IF($G$10=$E$10,$F$10,IF(T1012&lt;($F$10-$E$10)/($G$10-$E$10),$E$10+SQRT(T1012*($G$10-$E$10)*($F$10-$E$10)),$G$10-SQRT((1-T1012)*($G$10-$E$10)*($G$10-$F$10))))</f>
        <v>1.05741018909371</v>
      </c>
      <c r="G1012" s="38" t="n">
        <f aca="false">IF($G$11=$E$11,$F$11,IF(U1012&lt;($F$11-$E$11)/($G$11-$E$11),$E$11+SQRT(U1012*($G$11-$E$11)*($F$11-$E$11)),$G$11-SQRT((1-U1012)*($G$11-$E$11)*($G$11-$F$11))))</f>
        <v>0.0965288646929926</v>
      </c>
      <c r="H1012" s="39" t="n">
        <f aca="false">(('Business Case'!B11*$C1012*'Business Case'!B12*$B1012)-'Business Case'!B11*$C1012*'Business Case'!B13*$D1012-'Business Case'!B14*$E1012)-MAX(0,(('Business Case'!B11*$C1012*'Business Case'!B12*$B1012)-'Business Case'!B11*$C1012*'Business Case'!B13*$D1012-'Business Case'!B14*$E1012))*'Business Case'!$B$7-'Business Case'!$B$8*('Business Case'!B11*$C1012*'Business Case'!B12*$B1012)-'Business Case'!B15*$F1012</f>
        <v>-2114820378.18743</v>
      </c>
      <c r="I1012" s="39" t="n">
        <f aca="false">(('Business Case'!C11*$C1012*'Business Case'!C12*$B1012)-'Business Case'!C11*$C1012*'Business Case'!C13*$D1012-'Business Case'!C14*$E1012)-MAX(0,(('Business Case'!C11*$C1012*'Business Case'!C12*$B1012)-'Business Case'!C11*$C1012*'Business Case'!C13*$D1012-'Business Case'!C14*$E1012))*'Business Case'!$B$7-'Business Case'!$B$8*(('Business Case'!C11*$C1012*'Business Case'!C12*$B1012)-('Business Case'!B11*$C1012*'Business Case'!B12*$B1012))-'Business Case'!C15*$F1012</f>
        <v>1078183.0815682</v>
      </c>
      <c r="J1012" s="39" t="n">
        <f aca="false">(('Business Case'!D11*$C1012*'Business Case'!D12*$B1012)-'Business Case'!D11*$C1012*'Business Case'!D13*$D1012-'Business Case'!D14*$E1012)-MAX(0,(('Business Case'!D11*$C1012*'Business Case'!D12*$B1012)-'Business Case'!D11*$C1012*'Business Case'!D13*$D1012-'Business Case'!D14*$E1012))*'Business Case'!$B$7-'Business Case'!$B$8*(('Business Case'!D11*$C1012*'Business Case'!D12*$B1012)-('Business Case'!C11*$C1012*'Business Case'!C12*$B1012))-'Business Case'!D15*$F1012</f>
        <v>316582870.527197</v>
      </c>
      <c r="K1012" s="39" t="n">
        <f aca="false">(('Business Case'!E11*$C1012*'Business Case'!E12*$B1012)-'Business Case'!E11*$C1012*'Business Case'!E13*$D1012-'Business Case'!E14*$E1012)-MAX(0,(('Business Case'!E11*$C1012*'Business Case'!E12*$B1012)-'Business Case'!E11*$C1012*'Business Case'!E13*$D1012-'Business Case'!E14*$E1012))*'Business Case'!$B$7-'Business Case'!$B$8*(('Business Case'!E11*$C1012*'Business Case'!E12*$B1012)-('Business Case'!D11*$C1012*'Business Case'!D12*$B1012))-'Business Case'!E15*$F1012</f>
        <v>684958067.427511</v>
      </c>
      <c r="L1012" s="39" t="n">
        <f aca="false">(('Business Case'!F11*$C1012*'Business Case'!F12*$B1012)-'Business Case'!F11*$C1012*'Business Case'!F13*$D1012-'Business Case'!F14*$E1012)-MAX(0,(('Business Case'!F11*$C1012*'Business Case'!F12*$B1012)-'Business Case'!F11*$C1012*'Business Case'!F13*$D1012-'Business Case'!F14*$E1012))*'Business Case'!$B$7-'Business Case'!$B$8*(('Business Case'!F11*$C1012*'Business Case'!F12*$B1012)-('Business Case'!E11*$C1012*'Business Case'!E12*$B1012))-'Business Case'!F15*$F1012</f>
        <v>825815869.070285</v>
      </c>
      <c r="M1012" s="39" t="n">
        <f aca="false">(('Business Case'!G11*$C1012*'Business Case'!G12*$B1012)-'Business Case'!G11*$C1012*'Business Case'!G13*$D1012-'Business Case'!G14*$E1012)-MAX(0,(('Business Case'!G11*$C1012*'Business Case'!G12*$B1012)-'Business Case'!G11*$C1012*'Business Case'!G13*$D1012-'Business Case'!G14*$E1012))*'Business Case'!$B$7-'Business Case'!$B$8*(('Business Case'!G11*$C1012*'Business Case'!G12*$B1012)-('Business Case'!F11*$C1012*'Business Case'!F12*$B1012))-'Business Case'!G15*$F1012+'Business Case'!$B$8*('Business Case'!G11*$C1012*'Business Case'!G12*$B1012)</f>
        <v>1022108517.78856</v>
      </c>
      <c r="N1012" s="39" t="n">
        <f aca="false">IF(COUNT('Business Case'!B11:G11)=0,"",H1012+NPV(G1012,I1012:M1012))</f>
        <v>-115040184.072429</v>
      </c>
      <c r="P1012" s="40" t="n">
        <f aca="true">RAND()</f>
        <v>0.511186899525054</v>
      </c>
      <c r="Q1012" s="40" t="n">
        <f aca="true">RAND()</f>
        <v>0.782167982557</v>
      </c>
      <c r="R1012" s="40" t="n">
        <f aca="true">RAND()</f>
        <v>0.287260660492231</v>
      </c>
      <c r="S1012" s="40" t="n">
        <f aca="true">RAND()</f>
        <v>0.994691814920985</v>
      </c>
      <c r="T1012" s="40" t="n">
        <f aca="true">RAND()</f>
        <v>0.593362916514193</v>
      </c>
      <c r="U1012" s="40" t="n">
        <f aca="true">RAND()</f>
        <v>0.142086913931349</v>
      </c>
    </row>
    <row r="1013" customFormat="false" ht="15" hidden="false" customHeight="false" outlineLevel="0" collapsed="false">
      <c r="A1013" s="36" t="n">
        <v>933</v>
      </c>
      <c r="B1013" s="37" t="n">
        <f aca="false">1+IF($G$6=$E$6,$F$6,IF(P1013&lt;($F$6-$E$6)/($G$6-$E$6),$E$6+SQRT(P1013*($G$6-$E$6)*($F$6-$E$6)),$G$6-SQRT((1-P1013)*($G$6-$E$6)*($G$6-$F$6))))</f>
        <v>0.942829475240202</v>
      </c>
      <c r="C1013" s="37" t="n">
        <f aca="false">1+IF($G$7=$E$7,$F$7,IF(Q1013&lt;($F$7-$E$7)/($G$7-$E$7),$E$7+SQRT(Q1013*($G$7-$E$7)*($F$7-$E$7)),$G$7-SQRT((1-Q1013)*($G$7-$E$7)*($G$7-$F$7))))</f>
        <v>0.840702239507166</v>
      </c>
      <c r="D1013" s="37" t="n">
        <f aca="false">1+IF($G$8=$E$8,$F$8,IF(R1013&lt;($F$8-$E$8)/($G$8-$E$8),$E$8+SQRT(R1013*($G$8-$E$8)*($F$8-$E$8)),$G$8-SQRT((1-R1013)*($G$8-$E$8)*($G$8-$F$8))))</f>
        <v>0.99029504987086</v>
      </c>
      <c r="E1013" s="37" t="n">
        <f aca="false">1+IF($G$9=$E$9,$F$9,IF(S1013&lt;($F$9-$E$9)/($G$9-$E$9),$E$9+SQRT(S1013*($G$9-$E$9)*($F$9-$E$9)),$G$9-SQRT((1-S1013)*($G$9-$E$9)*($G$9-$F$9))))</f>
        <v>1.06724270190126</v>
      </c>
      <c r="F1013" s="37" t="n">
        <f aca="false">1+IF($G$10=$E$10,$F$10,IF(T1013&lt;($F$10-$E$10)/($G$10-$E$10),$E$10+SQRT(T1013*($G$10-$E$10)*($F$10-$E$10)),$G$10-SQRT((1-T1013)*($G$10-$E$10)*($G$10-$F$10))))</f>
        <v>1.00300099627447</v>
      </c>
      <c r="G1013" s="38" t="n">
        <f aca="false">IF($G$11=$E$11,$F$11,IF(U1013&lt;($F$11-$E$11)/($G$11-$E$11),$E$11+SQRT(U1013*($G$11-$E$11)*($F$11-$E$11)),$G$11-SQRT((1-U1013)*($G$11-$E$11)*($G$11-$F$11))))</f>
        <v>0.106799747802658</v>
      </c>
      <c r="H1013" s="39" t="n">
        <f aca="false">(('Business Case'!B11*$C1013*'Business Case'!B12*$B1013)-'Business Case'!B11*$C1013*'Business Case'!B13*$D1013-'Business Case'!B14*$E1013)-MAX(0,(('Business Case'!B11*$C1013*'Business Case'!B12*$B1013)-'Business Case'!B11*$C1013*'Business Case'!B13*$D1013-'Business Case'!B14*$E1013))*'Business Case'!$B$7-'Business Case'!$B$8*('Business Case'!B11*$C1013*'Business Case'!B12*$B1013)-'Business Case'!B15*$F1013</f>
        <v>-2006001992.54894</v>
      </c>
      <c r="I1013" s="39" t="n">
        <f aca="false">(('Business Case'!C11*$C1013*'Business Case'!C12*$B1013)-'Business Case'!C11*$C1013*'Business Case'!C13*$D1013-'Business Case'!C14*$E1013)-MAX(0,(('Business Case'!C11*$C1013*'Business Case'!C12*$B1013)-'Business Case'!C11*$C1013*'Business Case'!C13*$D1013-'Business Case'!C14*$E1013))*'Business Case'!$B$7-'Business Case'!$B$8*(('Business Case'!C11*$C1013*'Business Case'!C12*$B1013)-('Business Case'!B11*$C1013*'Business Case'!B12*$B1013))-'Business Case'!C15*$F1013</f>
        <v>-70119669.5039586</v>
      </c>
      <c r="J1013" s="39" t="n">
        <f aca="false">(('Business Case'!D11*$C1013*'Business Case'!D12*$B1013)-'Business Case'!D11*$C1013*'Business Case'!D13*$D1013-'Business Case'!D14*$E1013)-MAX(0,(('Business Case'!D11*$C1013*'Business Case'!D12*$B1013)-'Business Case'!D11*$C1013*'Business Case'!D13*$D1013-'Business Case'!D14*$E1013))*'Business Case'!$B$7-'Business Case'!$B$8*(('Business Case'!D11*$C1013*'Business Case'!D12*$B1013)-('Business Case'!C11*$C1013*'Business Case'!C12*$B1013))-'Business Case'!D15*$F1013</f>
        <v>152913070.881685</v>
      </c>
      <c r="K1013" s="39" t="n">
        <f aca="false">(('Business Case'!E11*$C1013*'Business Case'!E12*$B1013)-'Business Case'!E11*$C1013*'Business Case'!E13*$D1013-'Business Case'!E14*$E1013)-MAX(0,(('Business Case'!E11*$C1013*'Business Case'!E12*$B1013)-'Business Case'!E11*$C1013*'Business Case'!E13*$D1013-'Business Case'!E14*$E1013))*'Business Case'!$B$7-'Business Case'!$B$8*(('Business Case'!E11*$C1013*'Business Case'!E12*$B1013)-('Business Case'!D11*$C1013*'Business Case'!D12*$B1013))-'Business Case'!E15*$F1013</f>
        <v>426095861.081052</v>
      </c>
      <c r="L1013" s="39" t="n">
        <f aca="false">(('Business Case'!F11*$C1013*'Business Case'!F12*$B1013)-'Business Case'!F11*$C1013*'Business Case'!F13*$D1013-'Business Case'!F14*$E1013)-MAX(0,(('Business Case'!F11*$C1013*'Business Case'!F12*$B1013)-'Business Case'!F11*$C1013*'Business Case'!F13*$D1013-'Business Case'!F14*$E1013))*'Business Case'!$B$7-'Business Case'!$B$8*(('Business Case'!F11*$C1013*'Business Case'!F12*$B1013)-('Business Case'!E11*$C1013*'Business Case'!E12*$B1013))-'Business Case'!F15*$F1013</f>
        <v>527833706.577464</v>
      </c>
      <c r="M1013" s="39" t="n">
        <f aca="false">(('Business Case'!G11*$C1013*'Business Case'!G12*$B1013)-'Business Case'!G11*$C1013*'Business Case'!G13*$D1013-'Business Case'!G14*$E1013)-MAX(0,(('Business Case'!G11*$C1013*'Business Case'!G12*$B1013)-'Business Case'!G11*$C1013*'Business Case'!G13*$D1013-'Business Case'!G14*$E1013))*'Business Case'!$B$7-'Business Case'!$B$8*(('Business Case'!G11*$C1013*'Business Case'!G12*$B1013)-('Business Case'!F11*$C1013*'Business Case'!F12*$B1013))-'Business Case'!G15*$F1013+'Business Case'!$B$8*('Business Case'!G11*$C1013*'Business Case'!G12*$B1013)</f>
        <v>678498499.434051</v>
      </c>
      <c r="N1013" s="39" t="n">
        <f aca="false">IF(COUNT('Business Case'!B11:G11)=0,"",H1013+NPV(G1013,I1013:M1013))</f>
        <v>-870010902.580033</v>
      </c>
      <c r="P1013" s="40" t="n">
        <f aca="true">RAND()</f>
        <v>0.0542900978898932</v>
      </c>
      <c r="Q1013" s="40" t="n">
        <f aca="true">RAND()</f>
        <v>0.0236667471556958</v>
      </c>
      <c r="R1013" s="40" t="n">
        <f aca="true">RAND()</f>
        <v>0.249798622168475</v>
      </c>
      <c r="S1013" s="40" t="n">
        <f aca="true">RAND()</f>
        <v>0.928463961417998</v>
      </c>
      <c r="T1013" s="40" t="n">
        <f aca="true">RAND()</f>
        <v>0.22382785062297</v>
      </c>
      <c r="U1013" s="40" t="n">
        <f aca="true">RAND()</f>
        <v>0.709588903210934</v>
      </c>
    </row>
    <row r="1014" customFormat="false" ht="15" hidden="false" customHeight="false" outlineLevel="0" collapsed="false">
      <c r="A1014" s="36" t="n">
        <v>934</v>
      </c>
      <c r="B1014" s="37" t="n">
        <f aca="false">1+IF($G$6=$E$6,$F$6,IF(P1014&lt;($F$6-$E$6)/($G$6-$E$6),$E$6+SQRT(P1014*($G$6-$E$6)*($F$6-$E$6)),$G$6-SQRT((1-P1014)*($G$6-$E$6)*($G$6-$F$6))))</f>
        <v>1.01499066375078</v>
      </c>
      <c r="C1014" s="37" t="n">
        <f aca="false">1+IF($G$7=$E$7,$F$7,IF(Q1014&lt;($F$7-$E$7)/($G$7-$E$7),$E$7+SQRT(Q1014*($G$7-$E$7)*($F$7-$E$7)),$G$7-SQRT((1-Q1014)*($G$7-$E$7)*($G$7-$F$7))))</f>
        <v>0.892618957039997</v>
      </c>
      <c r="D1014" s="37" t="n">
        <f aca="false">1+IF($G$8=$E$8,$F$8,IF(R1014&lt;($F$8-$E$8)/($G$8-$E$8),$E$8+SQRT(R1014*($G$8-$E$8)*($F$8-$E$8)),$G$8-SQRT((1-R1014)*($G$8-$E$8)*($G$8-$F$8))))</f>
        <v>0.970656937213525</v>
      </c>
      <c r="E1014" s="37" t="n">
        <f aca="false">1+IF($G$9=$E$9,$F$9,IF(S1014&lt;($F$9-$E$9)/($G$9-$E$9),$E$9+SQRT(S1014*($G$9-$E$9)*($F$9-$E$9)),$G$9-SQRT((1-S1014)*($G$9-$E$9)*($G$9-$F$9))))</f>
        <v>1.00328980003601</v>
      </c>
      <c r="F1014" s="37" t="n">
        <f aca="false">1+IF($G$10=$E$10,$F$10,IF(T1014&lt;($F$10-$E$10)/($G$10-$E$10),$E$10+SQRT(T1014*($G$10-$E$10)*($F$10-$E$10)),$G$10-SQRT((1-T1014)*($G$10-$E$10)*($G$10-$F$10))))</f>
        <v>0.969349505684167</v>
      </c>
      <c r="G1014" s="38" t="n">
        <f aca="false">IF($G$11=$E$11,$F$11,IF(U1014&lt;($F$11-$E$11)/($G$11-$E$11),$E$11+SQRT(U1014*($G$11-$E$11)*($F$11-$E$11)),$G$11-SQRT((1-U1014)*($G$11-$E$11)*($G$11-$F$11))))</f>
        <v>0.0995469600098548</v>
      </c>
      <c r="H1014" s="39" t="n">
        <f aca="false">(('Business Case'!B11*$C1014*'Business Case'!B12*$B1014)-'Business Case'!B11*$C1014*'Business Case'!B13*$D1014-'Business Case'!B14*$E1014)-MAX(0,(('Business Case'!B11*$C1014*'Business Case'!B12*$B1014)-'Business Case'!B11*$C1014*'Business Case'!B13*$D1014-'Business Case'!B14*$E1014))*'Business Case'!$B$7-'Business Case'!$B$8*('Business Case'!B11*$C1014*'Business Case'!B12*$B1014)-'Business Case'!B15*$F1014</f>
        <v>-1938699011.36833</v>
      </c>
      <c r="I1014" s="39" t="n">
        <f aca="false">(('Business Case'!C11*$C1014*'Business Case'!C12*$B1014)-'Business Case'!C11*$C1014*'Business Case'!C13*$D1014-'Business Case'!C14*$E1014)-MAX(0,(('Business Case'!C11*$C1014*'Business Case'!C12*$B1014)-'Business Case'!C11*$C1014*'Business Case'!C13*$D1014-'Business Case'!C14*$E1014))*'Business Case'!$B$7-'Business Case'!$B$8*(('Business Case'!C11*$C1014*'Business Case'!C12*$B1014)-('Business Case'!B11*$C1014*'Business Case'!B12*$B1014))-'Business Case'!C15*$F1014</f>
        <v>11968162.3153405</v>
      </c>
      <c r="J1014" s="39" t="n">
        <f aca="false">(('Business Case'!D11*$C1014*'Business Case'!D12*$B1014)-'Business Case'!D11*$C1014*'Business Case'!D13*$D1014-'Business Case'!D14*$E1014)-MAX(0,(('Business Case'!D11*$C1014*'Business Case'!D12*$B1014)-'Business Case'!D11*$C1014*'Business Case'!D13*$D1014-'Business Case'!D14*$E1014))*'Business Case'!$B$7-'Business Case'!$B$8*(('Business Case'!D11*$C1014*'Business Case'!D12*$B1014)-('Business Case'!C11*$C1014*'Business Case'!C12*$B1014))-'Business Case'!D15*$F1014</f>
        <v>310506119.978482</v>
      </c>
      <c r="K1014" s="39" t="n">
        <f aca="false">(('Business Case'!E11*$C1014*'Business Case'!E12*$B1014)-'Business Case'!E11*$C1014*'Business Case'!E13*$D1014-'Business Case'!E14*$E1014)-MAX(0,(('Business Case'!E11*$C1014*'Business Case'!E12*$B1014)-'Business Case'!E11*$C1014*'Business Case'!E13*$D1014-'Business Case'!E14*$E1014))*'Business Case'!$B$7-'Business Case'!$B$8*(('Business Case'!E11*$C1014*'Business Case'!E12*$B1014)-('Business Case'!D11*$C1014*'Business Case'!D12*$B1014))-'Business Case'!E15*$F1014</f>
        <v>657511552.925832</v>
      </c>
      <c r="L1014" s="39" t="n">
        <f aca="false">(('Business Case'!F11*$C1014*'Business Case'!F12*$B1014)-'Business Case'!F11*$C1014*'Business Case'!F13*$D1014-'Business Case'!F14*$E1014)-MAX(0,(('Business Case'!F11*$C1014*'Business Case'!F12*$B1014)-'Business Case'!F11*$C1014*'Business Case'!F13*$D1014-'Business Case'!F14*$E1014))*'Business Case'!$B$7-'Business Case'!$B$8*(('Business Case'!F11*$C1014*'Business Case'!F12*$B1014)-('Business Case'!E11*$C1014*'Business Case'!E12*$B1014))-'Business Case'!F15*$F1014</f>
        <v>788335562.289722</v>
      </c>
      <c r="M1014" s="39" t="n">
        <f aca="false">(('Business Case'!G11*$C1014*'Business Case'!G12*$B1014)-'Business Case'!G11*$C1014*'Business Case'!G13*$D1014-'Business Case'!G14*$E1014)-MAX(0,(('Business Case'!G11*$C1014*'Business Case'!G12*$B1014)-'Business Case'!G11*$C1014*'Business Case'!G13*$D1014-'Business Case'!G14*$E1014))*'Business Case'!$B$7-'Business Case'!$B$8*(('Business Case'!G11*$C1014*'Business Case'!G12*$B1014)-('Business Case'!F11*$C1014*'Business Case'!F12*$B1014))-'Business Case'!G15*$F1014+'Business Case'!$B$8*('Business Case'!G11*$C1014*'Business Case'!G12*$B1014)</f>
        <v>960548024.742021</v>
      </c>
      <c r="N1014" s="39" t="n">
        <f aca="false">IF(COUNT('Business Case'!B11:G11)=0,"",H1014+NPV(G1014,I1014:M1014))</f>
        <v>-39390990.8919292</v>
      </c>
      <c r="P1014" s="40" t="n">
        <f aca="true">RAND()</f>
        <v>0.8696943959111</v>
      </c>
      <c r="Q1014" s="40" t="n">
        <f aca="true">RAND()</f>
        <v>0.122546731473954</v>
      </c>
      <c r="R1014" s="40" t="n">
        <f aca="true">RAND()</f>
        <v>0.0656475469297682</v>
      </c>
      <c r="S1014" s="40" t="n">
        <f aca="true">RAND()</f>
        <v>0.37647581486169</v>
      </c>
      <c r="T1014" s="40" t="n">
        <f aca="true">RAND()</f>
        <v>0.0299522696177295</v>
      </c>
      <c r="U1014" s="40" t="n">
        <f aca="true">RAND()</f>
        <v>0.303814818099219</v>
      </c>
    </row>
    <row r="1015" customFormat="false" ht="15" hidden="false" customHeight="false" outlineLevel="0" collapsed="false">
      <c r="A1015" s="36" t="n">
        <v>935</v>
      </c>
      <c r="B1015" s="37" t="n">
        <f aca="false">1+IF($G$6=$E$6,$F$6,IF(P1015&lt;($F$6-$E$6)/($G$6-$E$6),$E$6+SQRT(P1015*($G$6-$E$6)*($F$6-$E$6)),$G$6-SQRT((1-P1015)*($G$6-$E$6)*($G$6-$F$6))))</f>
        <v>1.02651240497833</v>
      </c>
      <c r="C1015" s="37" t="n">
        <f aca="false">1+IF($G$7=$E$7,$F$7,IF(Q1015&lt;($F$7-$E$7)/($G$7-$E$7),$E$7+SQRT(Q1015*($G$7-$E$7)*($F$7-$E$7)),$G$7-SQRT((1-Q1015)*($G$7-$E$7)*($G$7-$F$7))))</f>
        <v>0.913354253216615</v>
      </c>
      <c r="D1015" s="37" t="n">
        <f aca="false">1+IF($G$8=$E$8,$F$8,IF(R1015&lt;($F$8-$E$8)/($G$8-$E$8),$E$8+SQRT(R1015*($G$8-$E$8)*($F$8-$E$8)),$G$8-SQRT((1-R1015)*($G$8-$E$8)*($G$8-$F$8))))</f>
        <v>0.982556243647588</v>
      </c>
      <c r="E1015" s="37" t="n">
        <f aca="false">1+IF($G$9=$E$9,$F$9,IF(S1015&lt;($F$9-$E$9)/($G$9-$E$9),$E$9+SQRT(S1015*($G$9-$E$9)*($F$9-$E$9)),$G$9-SQRT((1-S1015)*($G$9-$E$9)*($G$9-$F$9))))</f>
        <v>1.04196168148601</v>
      </c>
      <c r="F1015" s="37" t="n">
        <f aca="false">1+IF($G$10=$E$10,$F$10,IF(T1015&lt;($F$10-$E$10)/($G$10-$E$10),$E$10+SQRT(T1015*($G$10-$E$10)*($F$10-$E$10)),$G$10-SQRT((1-T1015)*($G$10-$E$10)*($G$10-$F$10))))</f>
        <v>1.06038947846532</v>
      </c>
      <c r="G1015" s="38" t="n">
        <f aca="false">IF($G$11=$E$11,$F$11,IF(U1015&lt;($F$11-$E$11)/($G$11-$E$11),$E$11+SQRT(U1015*($G$11-$E$11)*($F$11-$E$11)),$G$11-SQRT((1-U1015)*($G$11-$E$11)*($G$11-$F$11))))</f>
        <v>0.10482390971872</v>
      </c>
      <c r="H1015" s="39" t="n">
        <f aca="false">(('Business Case'!B11*$C1015*'Business Case'!B12*$B1015)-'Business Case'!B11*$C1015*'Business Case'!B13*$D1015-'Business Case'!B14*$E1015)-MAX(0,(('Business Case'!B11*$C1015*'Business Case'!B12*$B1015)-'Business Case'!B11*$C1015*'Business Case'!B13*$D1015-'Business Case'!B14*$E1015))*'Business Case'!$B$7-'Business Case'!$B$8*('Business Case'!B11*$C1015*'Business Case'!B12*$B1015)-'Business Case'!B15*$F1015</f>
        <v>-2120778956.93065</v>
      </c>
      <c r="I1015" s="39" t="n">
        <f aca="false">(('Business Case'!C11*$C1015*'Business Case'!C12*$B1015)-'Business Case'!C11*$C1015*'Business Case'!C13*$D1015-'Business Case'!C14*$E1015)-MAX(0,(('Business Case'!C11*$C1015*'Business Case'!C12*$B1015)-'Business Case'!C11*$C1015*'Business Case'!C13*$D1015-'Business Case'!C14*$E1015))*'Business Case'!$B$7-'Business Case'!$B$8*(('Business Case'!C11*$C1015*'Business Case'!C12*$B1015)-('Business Case'!B11*$C1015*'Business Case'!B12*$B1015))-'Business Case'!C15*$F1015</f>
        <v>5719170.05548798</v>
      </c>
      <c r="J1015" s="39" t="n">
        <f aca="false">(('Business Case'!D11*$C1015*'Business Case'!D12*$B1015)-'Business Case'!D11*$C1015*'Business Case'!D13*$D1015-'Business Case'!D14*$E1015)-MAX(0,(('Business Case'!D11*$C1015*'Business Case'!D12*$B1015)-'Business Case'!D11*$C1015*'Business Case'!D13*$D1015-'Business Case'!D14*$E1015))*'Business Case'!$B$7-'Business Case'!$B$8*(('Business Case'!D11*$C1015*'Business Case'!D12*$B1015)-('Business Case'!C11*$C1015*'Business Case'!C12*$B1015))-'Business Case'!D15*$F1015</f>
        <v>314247840.44491</v>
      </c>
      <c r="K1015" s="39" t="n">
        <f aca="false">(('Business Case'!E11*$C1015*'Business Case'!E12*$B1015)-'Business Case'!E11*$C1015*'Business Case'!E13*$D1015-'Business Case'!E14*$E1015)-MAX(0,(('Business Case'!E11*$C1015*'Business Case'!E12*$B1015)-'Business Case'!E11*$C1015*'Business Case'!E13*$D1015-'Business Case'!E14*$E1015))*'Business Case'!$B$7-'Business Case'!$B$8*(('Business Case'!E11*$C1015*'Business Case'!E12*$B1015)-('Business Case'!D11*$C1015*'Business Case'!D12*$B1015))-'Business Case'!E15*$F1015</f>
        <v>675795984.757599</v>
      </c>
      <c r="L1015" s="39" t="n">
        <f aca="false">(('Business Case'!F11*$C1015*'Business Case'!F12*$B1015)-'Business Case'!F11*$C1015*'Business Case'!F13*$D1015-'Business Case'!F14*$E1015)-MAX(0,(('Business Case'!F11*$C1015*'Business Case'!F12*$B1015)-'Business Case'!F11*$C1015*'Business Case'!F13*$D1015-'Business Case'!F14*$E1015))*'Business Case'!$B$7-'Business Case'!$B$8*(('Business Case'!F11*$C1015*'Business Case'!F12*$B1015)-('Business Case'!E11*$C1015*'Business Case'!E12*$B1015))-'Business Case'!F15*$F1015</f>
        <v>811041275.807467</v>
      </c>
      <c r="M1015" s="39" t="n">
        <f aca="false">(('Business Case'!G11*$C1015*'Business Case'!G12*$B1015)-'Business Case'!G11*$C1015*'Business Case'!G13*$D1015-'Business Case'!G14*$E1015)-MAX(0,(('Business Case'!G11*$C1015*'Business Case'!G12*$B1015)-'Business Case'!G11*$C1015*'Business Case'!G13*$D1015-'Business Case'!G14*$E1015))*'Business Case'!$B$7-'Business Case'!$B$8*(('Business Case'!G11*$C1015*'Business Case'!G12*$B1015)-('Business Case'!F11*$C1015*'Business Case'!F12*$B1015))-'Business Case'!G15*$F1015+'Business Case'!$B$8*('Business Case'!G11*$C1015*'Business Case'!G12*$B1015)</f>
        <v>989254480.867801</v>
      </c>
      <c r="N1015" s="39" t="n">
        <f aca="false">IF(COUNT('Business Case'!B11:G11)=0,"",H1015+NPV(G1015,I1015:M1015))</f>
        <v>-211745933.678227</v>
      </c>
      <c r="P1015" s="40" t="n">
        <f aca="true">RAND()</f>
        <v>0.962100995944058</v>
      </c>
      <c r="Q1015" s="40" t="n">
        <f aca="true">RAND()</f>
        <v>0.183559810318521</v>
      </c>
      <c r="R1015" s="40" t="n">
        <f aca="true">RAND()</f>
        <v>0.163062923144783</v>
      </c>
      <c r="S1015" s="40" t="n">
        <f aca="true">RAND()</f>
        <v>0.775436905604565</v>
      </c>
      <c r="T1015" s="40" t="n">
        <f aca="true">RAND()</f>
        <v>0.610178045536315</v>
      </c>
      <c r="U1015" s="40" t="n">
        <f aca="true">RAND()</f>
        <v>0.61614380629073</v>
      </c>
    </row>
    <row r="1016" customFormat="false" ht="15" hidden="false" customHeight="false" outlineLevel="0" collapsed="false">
      <c r="A1016" s="36" t="n">
        <v>936</v>
      </c>
      <c r="B1016" s="37" t="n">
        <f aca="false">1+IF($G$6=$E$6,$F$6,IF(P1016&lt;($F$6-$E$6)/($G$6-$E$6),$E$6+SQRT(P1016*($G$6-$E$6)*($F$6-$E$6)),$G$6-SQRT((1-P1016)*($G$6-$E$6)*($G$6-$F$6))))</f>
        <v>1.02081252707652</v>
      </c>
      <c r="C1016" s="37" t="n">
        <f aca="false">1+IF($G$7=$E$7,$F$7,IF(Q1016&lt;($F$7-$E$7)/($G$7-$E$7),$E$7+SQRT(Q1016*($G$7-$E$7)*($F$7-$E$7)),$G$7-SQRT((1-Q1016)*($G$7-$E$7)*($G$7-$F$7))))</f>
        <v>1.05981181921513</v>
      </c>
      <c r="D1016" s="37" t="n">
        <f aca="false">1+IF($G$8=$E$8,$F$8,IF(R1016&lt;($F$8-$E$8)/($G$8-$E$8),$E$8+SQRT(R1016*($G$8-$E$8)*($F$8-$E$8)),$G$8-SQRT((1-R1016)*($G$8-$E$8)*($G$8-$F$8))))</f>
        <v>1.04044441501595</v>
      </c>
      <c r="E1016" s="37" t="n">
        <f aca="false">1+IF($G$9=$E$9,$F$9,IF(S1016&lt;($F$9-$E$9)/($G$9-$E$9),$E$9+SQRT(S1016*($G$9-$E$9)*($F$9-$E$9)),$G$9-SQRT((1-S1016)*($G$9-$E$9)*($G$9-$F$9))))</f>
        <v>1.04544034266943</v>
      </c>
      <c r="F1016" s="37" t="n">
        <f aca="false">1+IF($G$10=$E$10,$F$10,IF(T1016&lt;($F$10-$E$10)/($G$10-$E$10),$E$10+SQRT(T1016*($G$10-$E$10)*($F$10-$E$10)),$G$10-SQRT((1-T1016)*($G$10-$E$10)*($G$10-$F$10))))</f>
        <v>1.13297969598834</v>
      </c>
      <c r="G1016" s="38" t="n">
        <f aca="false">IF($G$11=$E$11,$F$11,IF(U1016&lt;($F$11-$E$11)/($G$11-$E$11),$E$11+SQRT(U1016*($G$11-$E$11)*($F$11-$E$11)),$G$11-SQRT((1-U1016)*($G$11-$E$11)*($G$11-$F$11))))</f>
        <v>0.0944232746224517</v>
      </c>
      <c r="H1016" s="39" t="n">
        <f aca="false">(('Business Case'!B11*$C1016*'Business Case'!B12*$B1016)-'Business Case'!B11*$C1016*'Business Case'!B13*$D1016-'Business Case'!B14*$E1016)-MAX(0,(('Business Case'!B11*$C1016*'Business Case'!B12*$B1016)-'Business Case'!B11*$C1016*'Business Case'!B13*$D1016-'Business Case'!B14*$E1016))*'Business Case'!$B$7-'Business Case'!$B$8*('Business Case'!B11*$C1016*'Business Case'!B12*$B1016)-'Business Case'!B15*$F1016</f>
        <v>-2265959391.97667</v>
      </c>
      <c r="I1016" s="39" t="n">
        <f aca="false">(('Business Case'!C11*$C1016*'Business Case'!C12*$B1016)-'Business Case'!C11*$C1016*'Business Case'!C13*$D1016-'Business Case'!C14*$E1016)-MAX(0,(('Business Case'!C11*$C1016*'Business Case'!C12*$B1016)-'Business Case'!C11*$C1016*'Business Case'!C13*$D1016-'Business Case'!C14*$E1016))*'Business Case'!$B$7-'Business Case'!$B$8*(('Business Case'!C11*$C1016*'Business Case'!C12*$B1016)-('Business Case'!B11*$C1016*'Business Case'!B12*$B1016))-'Business Case'!C15*$F1016</f>
        <v>3603535.88503681</v>
      </c>
      <c r="J1016" s="39" t="n">
        <f aca="false">(('Business Case'!D11*$C1016*'Business Case'!D12*$B1016)-'Business Case'!D11*$C1016*'Business Case'!D13*$D1016-'Business Case'!D14*$E1016)-MAX(0,(('Business Case'!D11*$C1016*'Business Case'!D12*$B1016)-'Business Case'!D11*$C1016*'Business Case'!D13*$D1016-'Business Case'!D14*$E1016))*'Business Case'!$B$7-'Business Case'!$B$8*(('Business Case'!D11*$C1016*'Business Case'!D12*$B1016)-('Business Case'!C11*$C1016*'Business Case'!C12*$B1016))-'Business Case'!D15*$F1016</f>
        <v>325250756.460202</v>
      </c>
      <c r="K1016" s="39" t="n">
        <f aca="false">(('Business Case'!E11*$C1016*'Business Case'!E12*$B1016)-'Business Case'!E11*$C1016*'Business Case'!E13*$D1016-'Business Case'!E14*$E1016)-MAX(0,(('Business Case'!E11*$C1016*'Business Case'!E12*$B1016)-'Business Case'!E11*$C1016*'Business Case'!E13*$D1016-'Business Case'!E14*$E1016))*'Business Case'!$B$7-'Business Case'!$B$8*(('Business Case'!E11*$C1016*'Business Case'!E12*$B1016)-('Business Case'!D11*$C1016*'Business Case'!D12*$B1016))-'Business Case'!E15*$F1016</f>
        <v>703546961.834784</v>
      </c>
      <c r="L1016" s="39" t="n">
        <f aca="false">(('Business Case'!F11*$C1016*'Business Case'!F12*$B1016)-'Business Case'!F11*$C1016*'Business Case'!F13*$D1016-'Business Case'!F14*$E1016)-MAX(0,(('Business Case'!F11*$C1016*'Business Case'!F12*$B1016)-'Business Case'!F11*$C1016*'Business Case'!F13*$D1016-'Business Case'!F14*$E1016))*'Business Case'!$B$7-'Business Case'!$B$8*(('Business Case'!F11*$C1016*'Business Case'!F12*$B1016)-('Business Case'!E11*$C1016*'Business Case'!E12*$B1016))-'Business Case'!F15*$F1016</f>
        <v>848152100.935639</v>
      </c>
      <c r="M1016" s="39" t="n">
        <f aca="false">(('Business Case'!G11*$C1016*'Business Case'!G12*$B1016)-'Business Case'!G11*$C1016*'Business Case'!G13*$D1016-'Business Case'!G14*$E1016)-MAX(0,(('Business Case'!G11*$C1016*'Business Case'!G12*$B1016)-'Business Case'!G11*$C1016*'Business Case'!G13*$D1016-'Business Case'!G14*$E1016))*'Business Case'!$B$7-'Business Case'!$B$8*(('Business Case'!G11*$C1016*'Business Case'!G12*$B1016)-('Business Case'!F11*$C1016*'Business Case'!F12*$B1016))-'Business Case'!G15*$F1016+'Business Case'!$B$8*('Business Case'!G11*$C1016*'Business Case'!G12*$B1016)</f>
        <v>1053793794.93588</v>
      </c>
      <c r="N1016" s="39" t="n">
        <f aca="false">IF(COUNT('Business Case'!B11:G11)=0,"",H1016+NPV(G1016,I1016:M1016))</f>
        <v>-192049335.978519</v>
      </c>
      <c r="P1016" s="40" t="n">
        <f aca="true">RAND()</f>
        <v>0.923300183918934</v>
      </c>
      <c r="Q1016" s="40" t="n">
        <f aca="true">RAND()</f>
        <v>0.845068419937434</v>
      </c>
      <c r="R1016" s="40" t="n">
        <f aca="true">RAND()</f>
        <v>0.84955343236247</v>
      </c>
      <c r="S1016" s="40" t="n">
        <f aca="true">RAND()</f>
        <v>0.801549586131389</v>
      </c>
      <c r="T1016" s="40" t="n">
        <f aca="true">RAND()</f>
        <v>0.910165577003681</v>
      </c>
      <c r="U1016" s="40" t="n">
        <f aca="true">RAND()</f>
        <v>0.0652178612854164</v>
      </c>
    </row>
    <row r="1017" customFormat="false" ht="15" hidden="false" customHeight="false" outlineLevel="0" collapsed="false">
      <c r="A1017" s="36" t="n">
        <v>937</v>
      </c>
      <c r="B1017" s="37" t="n">
        <f aca="false">1+IF($G$6=$E$6,$F$6,IF(P1017&lt;($F$6-$E$6)/($G$6-$E$6),$E$6+SQRT(P1017*($G$6-$E$6)*($F$6-$E$6)),$G$6-SQRT((1-P1017)*($G$6-$E$6)*($G$6-$F$6))))</f>
        <v>0.974642651733119</v>
      </c>
      <c r="C1017" s="37" t="n">
        <f aca="false">1+IF($G$7=$E$7,$F$7,IF(Q1017&lt;($F$7-$E$7)/($G$7-$E$7),$E$7+SQRT(Q1017*($G$7-$E$7)*($F$7-$E$7)),$G$7-SQRT((1-Q1017)*($G$7-$E$7)*($G$7-$F$7))))</f>
        <v>1.0267753654549</v>
      </c>
      <c r="D1017" s="37" t="n">
        <f aca="false">1+IF($G$8=$E$8,$F$8,IF(R1017&lt;($F$8-$E$8)/($G$8-$E$8),$E$8+SQRT(R1017*($G$8-$E$8)*($F$8-$E$8)),$G$8-SQRT((1-R1017)*($G$8-$E$8)*($G$8-$F$8))))</f>
        <v>0.994365396803793</v>
      </c>
      <c r="E1017" s="37" t="n">
        <f aca="false">1+IF($G$9=$E$9,$F$9,IF(S1017&lt;($F$9-$E$9)/($G$9-$E$9),$E$9+SQRT(S1017*($G$9-$E$9)*($F$9-$E$9)),$G$9-SQRT((1-S1017)*($G$9-$E$9)*($G$9-$F$9))))</f>
        <v>1.03116131339292</v>
      </c>
      <c r="F1017" s="37" t="n">
        <f aca="false">1+IF($G$10=$E$10,$F$10,IF(T1017&lt;($F$10-$E$10)/($G$10-$E$10),$E$10+SQRT(T1017*($G$10-$E$10)*($F$10-$E$10)),$G$10-SQRT((1-T1017)*($G$10-$E$10)*($G$10-$F$10))))</f>
        <v>0.999659437350793</v>
      </c>
      <c r="G1017" s="38" t="n">
        <f aca="false">IF($G$11=$E$11,$F$11,IF(U1017&lt;($F$11-$E$11)/($G$11-$E$11),$E$11+SQRT(U1017*($G$11-$E$11)*($F$11-$E$11)),$G$11-SQRT((1-U1017)*($G$11-$E$11)*($G$11-$F$11))))</f>
        <v>0.115533335301763</v>
      </c>
      <c r="H1017" s="39" t="n">
        <f aca="false">(('Business Case'!B11*$C1017*'Business Case'!B12*$B1017)-'Business Case'!B11*$C1017*'Business Case'!B13*$D1017-'Business Case'!B14*$E1017)-MAX(0,(('Business Case'!B11*$C1017*'Business Case'!B12*$B1017)-'Business Case'!B11*$C1017*'Business Case'!B13*$D1017-'Business Case'!B14*$E1017))*'Business Case'!$B$7-'Business Case'!$B$8*('Business Case'!B11*$C1017*'Business Case'!B12*$B1017)-'Business Case'!B15*$F1017</f>
        <v>-1999318874.70159</v>
      </c>
      <c r="I1017" s="39" t="n">
        <f aca="false">(('Business Case'!C11*$C1017*'Business Case'!C12*$B1017)-'Business Case'!C11*$C1017*'Business Case'!C13*$D1017-'Business Case'!C14*$E1017)-MAX(0,(('Business Case'!C11*$C1017*'Business Case'!C12*$B1017)-'Business Case'!C11*$C1017*'Business Case'!C13*$D1017-'Business Case'!C14*$E1017))*'Business Case'!$B$7-'Business Case'!$B$8*(('Business Case'!C11*$C1017*'Business Case'!C12*$B1017)-('Business Case'!B11*$C1017*'Business Case'!B12*$B1017))-'Business Case'!C15*$F1017</f>
        <v>-1463194.62427814</v>
      </c>
      <c r="J1017" s="39" t="n">
        <f aca="false">(('Business Case'!D11*$C1017*'Business Case'!D12*$B1017)-'Business Case'!D11*$C1017*'Business Case'!D13*$D1017-'Business Case'!D14*$E1017)-MAX(0,(('Business Case'!D11*$C1017*'Business Case'!D12*$B1017)-'Business Case'!D11*$C1017*'Business Case'!D13*$D1017-'Business Case'!D14*$E1017))*'Business Case'!$B$7-'Business Case'!$B$8*(('Business Case'!D11*$C1017*'Business Case'!D12*$B1017)-('Business Case'!C11*$C1017*'Business Case'!C12*$B1017))-'Business Case'!D15*$F1017</f>
        <v>295549006.376512</v>
      </c>
      <c r="K1017" s="39" t="n">
        <f aca="false">(('Business Case'!E11*$C1017*'Business Case'!E12*$B1017)-'Business Case'!E11*$C1017*'Business Case'!E13*$D1017-'Business Case'!E14*$E1017)-MAX(0,(('Business Case'!E11*$C1017*'Business Case'!E12*$B1017)-'Business Case'!E11*$C1017*'Business Case'!E13*$D1017-'Business Case'!E14*$E1017))*'Business Case'!$B$7-'Business Case'!$B$8*(('Business Case'!E11*$C1017*'Business Case'!E12*$B1017)-('Business Case'!D11*$C1017*'Business Case'!D12*$B1017))-'Business Case'!E15*$F1017</f>
        <v>642544179.244841</v>
      </c>
      <c r="L1017" s="39" t="n">
        <f aca="false">(('Business Case'!F11*$C1017*'Business Case'!F12*$B1017)-'Business Case'!F11*$C1017*'Business Case'!F13*$D1017-'Business Case'!F14*$E1017)-MAX(0,(('Business Case'!F11*$C1017*'Business Case'!F12*$B1017)-'Business Case'!F11*$C1017*'Business Case'!F13*$D1017-'Business Case'!F14*$E1017))*'Business Case'!$B$7-'Business Case'!$B$8*(('Business Case'!F11*$C1017*'Business Case'!F12*$B1017)-('Business Case'!E11*$C1017*'Business Case'!E12*$B1017))-'Business Case'!F15*$F1017</f>
        <v>776133788.328781</v>
      </c>
      <c r="M1017" s="39" t="n">
        <f aca="false">(('Business Case'!G11*$C1017*'Business Case'!G12*$B1017)-'Business Case'!G11*$C1017*'Business Case'!G13*$D1017-'Business Case'!G14*$E1017)-MAX(0,(('Business Case'!G11*$C1017*'Business Case'!G12*$B1017)-'Business Case'!G11*$C1017*'Business Case'!G13*$D1017-'Business Case'!G14*$E1017))*'Business Case'!$B$7-'Business Case'!$B$8*(('Business Case'!G11*$C1017*'Business Case'!G12*$B1017)-('Business Case'!F11*$C1017*'Business Case'!F12*$B1017))-'Business Case'!G15*$F1017+'Business Case'!$B$8*('Business Case'!G11*$C1017*'Business Case'!G12*$B1017)</f>
        <v>966354269.789004</v>
      </c>
      <c r="N1017" s="39" t="n">
        <f aca="false">IF(COUNT('Business Case'!B11:G11)=0,"",H1017+NPV(G1017,I1017:M1017))</f>
        <v>-239667973.036031</v>
      </c>
      <c r="P1017" s="40" t="n">
        <f aca="true">RAND()</f>
        <v>0.31102285296114</v>
      </c>
      <c r="Q1017" s="40" t="n">
        <f aca="true">RAND()</f>
        <v>0.71077503697573</v>
      </c>
      <c r="R1017" s="40" t="n">
        <f aca="true">RAND()</f>
        <v>0.302813605162764</v>
      </c>
      <c r="S1017" s="40" t="n">
        <f aca="true">RAND()</f>
        <v>0.684082348414161</v>
      </c>
      <c r="T1017" s="40" t="n">
        <f aca="true">RAND()</f>
        <v>0.197284777439783</v>
      </c>
      <c r="U1017" s="40" t="n">
        <f aca="true">RAND()</f>
        <v>0.966748177455876</v>
      </c>
    </row>
    <row r="1018" customFormat="false" ht="15" hidden="false" customHeight="false" outlineLevel="0" collapsed="false">
      <c r="A1018" s="36" t="n">
        <v>938</v>
      </c>
      <c r="B1018" s="37" t="n">
        <f aca="false">1+IF($G$6=$E$6,$F$6,IF(P1018&lt;($F$6-$E$6)/($G$6-$E$6),$E$6+SQRT(P1018*($G$6-$E$6)*($F$6-$E$6)),$G$6-SQRT((1-P1018)*($G$6-$E$6)*($G$6-$F$6))))</f>
        <v>1.01777382235828</v>
      </c>
      <c r="C1018" s="37" t="n">
        <f aca="false">1+IF($G$7=$E$7,$F$7,IF(Q1018&lt;($F$7-$E$7)/($G$7-$E$7),$E$7+SQRT(Q1018*($G$7-$E$7)*($F$7-$E$7)),$G$7-SQRT((1-Q1018)*($G$7-$E$7)*($G$7-$F$7))))</f>
        <v>0.914608866993492</v>
      </c>
      <c r="D1018" s="37" t="n">
        <f aca="false">1+IF($G$8=$E$8,$F$8,IF(R1018&lt;($F$8-$E$8)/($G$8-$E$8),$E$8+SQRT(R1018*($G$8-$E$8)*($F$8-$E$8)),$G$8-SQRT((1-R1018)*($G$8-$E$8)*($G$8-$F$8))))</f>
        <v>1.01521736743688</v>
      </c>
      <c r="E1018" s="37" t="n">
        <f aca="false">1+IF($G$9=$E$9,$F$9,IF(S1018&lt;($F$9-$E$9)/($G$9-$E$9),$E$9+SQRT(S1018*($G$9-$E$9)*($F$9-$E$9)),$G$9-SQRT((1-S1018)*($G$9-$E$9)*($G$9-$F$9))))</f>
        <v>1.02802956301916</v>
      </c>
      <c r="F1018" s="37" t="n">
        <f aca="false">1+IF($G$10=$E$10,$F$10,IF(T1018&lt;($F$10-$E$10)/($G$10-$E$10),$E$10+SQRT(T1018*($G$10-$E$10)*($F$10-$E$10)),$G$10-SQRT((1-T1018)*($G$10-$E$10)*($G$10-$F$10))))</f>
        <v>1.02566063356352</v>
      </c>
      <c r="G1018" s="38" t="n">
        <f aca="false">IF($G$11=$E$11,$F$11,IF(U1018&lt;($F$11-$E$11)/($G$11-$E$11),$E$11+SQRT(U1018*($G$11-$E$11)*($F$11-$E$11)),$G$11-SQRT((1-U1018)*($G$11-$E$11)*($G$11-$F$11))))</f>
        <v>0.100542009647924</v>
      </c>
      <c r="H1018" s="39" t="n">
        <f aca="false">(('Business Case'!B11*$C1018*'Business Case'!B12*$B1018)-'Business Case'!B11*$C1018*'Business Case'!B13*$D1018-'Business Case'!B14*$E1018)-MAX(0,(('Business Case'!B11*$C1018*'Business Case'!B12*$B1018)-'Business Case'!B11*$C1018*'Business Case'!B13*$D1018-'Business Case'!B14*$E1018))*'Business Case'!$B$7-'Business Case'!$B$8*('Business Case'!B11*$C1018*'Business Case'!B12*$B1018)-'Business Case'!B15*$F1018</f>
        <v>-2051321267.12704</v>
      </c>
      <c r="I1018" s="39" t="n">
        <f aca="false">(('Business Case'!C11*$C1018*'Business Case'!C12*$B1018)-'Business Case'!C11*$C1018*'Business Case'!C13*$D1018-'Business Case'!C14*$E1018)-MAX(0,(('Business Case'!C11*$C1018*'Business Case'!C12*$B1018)-'Business Case'!C11*$C1018*'Business Case'!C13*$D1018-'Business Case'!C14*$E1018))*'Business Case'!$B$7-'Business Case'!$B$8*(('Business Case'!C11*$C1018*'Business Case'!C12*$B1018)-('Business Case'!B11*$C1018*'Business Case'!B12*$B1018))-'Business Case'!C15*$F1018</f>
        <v>-9893922.91291711</v>
      </c>
      <c r="J1018" s="39" t="n">
        <f aca="false">(('Business Case'!D11*$C1018*'Business Case'!D12*$B1018)-'Business Case'!D11*$C1018*'Business Case'!D13*$D1018-'Business Case'!D14*$E1018)-MAX(0,(('Business Case'!D11*$C1018*'Business Case'!D12*$B1018)-'Business Case'!D11*$C1018*'Business Case'!D13*$D1018-'Business Case'!D14*$E1018))*'Business Case'!$B$7-'Business Case'!$B$8*(('Business Case'!D11*$C1018*'Business Case'!D12*$B1018)-('Business Case'!C11*$C1018*'Business Case'!C12*$B1018))-'Business Case'!D15*$F1018</f>
        <v>277220061.049021</v>
      </c>
      <c r="K1018" s="39" t="n">
        <f aca="false">(('Business Case'!E11*$C1018*'Business Case'!E12*$B1018)-'Business Case'!E11*$C1018*'Business Case'!E13*$D1018-'Business Case'!E14*$E1018)-MAX(0,(('Business Case'!E11*$C1018*'Business Case'!E12*$B1018)-'Business Case'!E11*$C1018*'Business Case'!E13*$D1018-'Business Case'!E14*$E1018))*'Business Case'!$B$7-'Business Case'!$B$8*(('Business Case'!E11*$C1018*'Business Case'!E12*$B1018)-('Business Case'!D11*$C1018*'Business Case'!D12*$B1018))-'Business Case'!E15*$F1018</f>
        <v>615617076.689135</v>
      </c>
      <c r="L1018" s="39" t="n">
        <f aca="false">(('Business Case'!F11*$C1018*'Business Case'!F12*$B1018)-'Business Case'!F11*$C1018*'Business Case'!F13*$D1018-'Business Case'!F14*$E1018)-MAX(0,(('Business Case'!F11*$C1018*'Business Case'!F12*$B1018)-'Business Case'!F11*$C1018*'Business Case'!F13*$D1018-'Business Case'!F14*$E1018))*'Business Case'!$B$7-'Business Case'!$B$8*(('Business Case'!F11*$C1018*'Business Case'!F12*$B1018)-('Business Case'!E11*$C1018*'Business Case'!E12*$B1018))-'Business Case'!F15*$F1018</f>
        <v>743492431.114567</v>
      </c>
      <c r="M1018" s="39" t="n">
        <f aca="false">(('Business Case'!G11*$C1018*'Business Case'!G12*$B1018)-'Business Case'!G11*$C1018*'Business Case'!G13*$D1018-'Business Case'!G14*$E1018)-MAX(0,(('Business Case'!G11*$C1018*'Business Case'!G12*$B1018)-'Business Case'!G11*$C1018*'Business Case'!G13*$D1018-'Business Case'!G14*$E1018))*'Business Case'!$B$7-'Business Case'!$B$8*(('Business Case'!G11*$C1018*'Business Case'!G12*$B1018)-('Business Case'!F11*$C1018*'Business Case'!F12*$B1018))-'Business Case'!G15*$F1018+'Business Case'!$B$8*('Business Case'!G11*$C1018*'Business Case'!G12*$B1018)</f>
        <v>920431243.19089</v>
      </c>
      <c r="N1018" s="39" t="n">
        <f aca="false">IF(COUNT('Business Case'!B11:G11)=0,"",H1018+NPV(G1018,I1018:M1018))</f>
        <v>-292665122.494643</v>
      </c>
      <c r="P1018" s="40" t="n">
        <f aca="true">RAND()</f>
        <v>0.897082714049739</v>
      </c>
      <c r="Q1018" s="40" t="n">
        <f aca="true">RAND()</f>
        <v>0.187645605621886</v>
      </c>
      <c r="R1018" s="40" t="n">
        <f aca="true">RAND()</f>
        <v>0.596462549826182</v>
      </c>
      <c r="S1018" s="40" t="n">
        <f aca="true">RAND()</f>
        <v>0.654683746719116</v>
      </c>
      <c r="T1018" s="40" t="n">
        <f aca="true">RAND()</f>
        <v>0.392115706210522</v>
      </c>
      <c r="U1018" s="40" t="n">
        <f aca="true">RAND()</f>
        <v>0.368977685764185</v>
      </c>
    </row>
    <row r="1019" customFormat="false" ht="15" hidden="false" customHeight="false" outlineLevel="0" collapsed="false">
      <c r="A1019" s="36" t="n">
        <v>939</v>
      </c>
      <c r="B1019" s="37" t="n">
        <f aca="false">1+IF($G$6=$E$6,$F$6,IF(P1019&lt;($F$6-$E$6)/($G$6-$E$6),$E$6+SQRT(P1019*($G$6-$E$6)*($F$6-$E$6)),$G$6-SQRT((1-P1019)*($G$6-$E$6)*($G$6-$F$6))))</f>
        <v>0.955404164914919</v>
      </c>
      <c r="C1019" s="37" t="n">
        <f aca="false">1+IF($G$7=$E$7,$F$7,IF(Q1019&lt;($F$7-$E$7)/($G$7-$E$7),$E$7+SQRT(Q1019*($G$7-$E$7)*($F$7-$E$7)),$G$7-SQRT((1-Q1019)*($G$7-$E$7)*($G$7-$F$7))))</f>
        <v>0.976807851284393</v>
      </c>
      <c r="D1019" s="37" t="n">
        <f aca="false">1+IF($G$8=$E$8,$F$8,IF(R1019&lt;($F$8-$E$8)/($G$8-$E$8),$E$8+SQRT(R1019*($G$8-$E$8)*($F$8-$E$8)),$G$8-SQRT((1-R1019)*($G$8-$E$8)*($G$8-$F$8))))</f>
        <v>1.02011467314725</v>
      </c>
      <c r="E1019" s="37" t="n">
        <f aca="false">1+IF($G$9=$E$9,$F$9,IF(S1019&lt;($F$9-$E$9)/($G$9-$E$9),$E$9+SQRT(S1019*($G$9-$E$9)*($F$9-$E$9)),$G$9-SQRT((1-S1019)*($G$9-$E$9)*($G$9-$F$9))))</f>
        <v>0.987771669257858</v>
      </c>
      <c r="F1019" s="37" t="n">
        <f aca="false">1+IF($G$10=$E$10,$F$10,IF(T1019&lt;($F$10-$E$10)/($G$10-$E$10),$E$10+SQRT(T1019*($G$10-$E$10)*($F$10-$E$10)),$G$10-SQRT((1-T1019)*($G$10-$E$10)*($G$10-$F$10))))</f>
        <v>1.01373462138108</v>
      </c>
      <c r="G1019" s="38" t="n">
        <f aca="false">IF($G$11=$E$11,$F$11,IF(U1019&lt;($F$11-$E$11)/($G$11-$E$11),$E$11+SQRT(U1019*($G$11-$E$11)*($F$11-$E$11)),$G$11-SQRT((1-U1019)*($G$11-$E$11)*($G$11-$F$11))))</f>
        <v>0.10854470727771</v>
      </c>
      <c r="H1019" s="39" t="n">
        <f aca="false">(('Business Case'!B11*$C1019*'Business Case'!B12*$B1019)-'Business Case'!B11*$C1019*'Business Case'!B13*$D1019-'Business Case'!B14*$E1019)-MAX(0,(('Business Case'!B11*$C1019*'Business Case'!B12*$B1019)-'Business Case'!B11*$C1019*'Business Case'!B13*$D1019-'Business Case'!B14*$E1019))*'Business Case'!$B$7-'Business Case'!$B$8*('Business Case'!B11*$C1019*'Business Case'!B12*$B1019)-'Business Case'!B15*$F1019</f>
        <v>-2027469242.76216</v>
      </c>
      <c r="I1019" s="39" t="n">
        <f aca="false">(('Business Case'!C11*$C1019*'Business Case'!C12*$B1019)-'Business Case'!C11*$C1019*'Business Case'!C13*$D1019-'Business Case'!C14*$E1019)-MAX(0,(('Business Case'!C11*$C1019*'Business Case'!C12*$B1019)-'Business Case'!C11*$C1019*'Business Case'!C13*$D1019-'Business Case'!C14*$E1019))*'Business Case'!$B$7-'Business Case'!$B$8*(('Business Case'!C11*$C1019*'Business Case'!C12*$B1019)-('Business Case'!B11*$C1019*'Business Case'!B12*$B1019))-'Business Case'!C15*$F1019</f>
        <v>-35923943.1197994</v>
      </c>
      <c r="J1019" s="39" t="n">
        <f aca="false">(('Business Case'!D11*$C1019*'Business Case'!D12*$B1019)-'Business Case'!D11*$C1019*'Business Case'!D13*$D1019-'Business Case'!D14*$E1019)-MAX(0,(('Business Case'!D11*$C1019*'Business Case'!D12*$B1019)-'Business Case'!D11*$C1019*'Business Case'!D13*$D1019-'Business Case'!D14*$E1019))*'Business Case'!$B$7-'Business Case'!$B$8*(('Business Case'!D11*$C1019*'Business Case'!D12*$B1019)-('Business Case'!C11*$C1019*'Business Case'!C12*$B1019))-'Business Case'!D15*$F1019</f>
        <v>218366194.911479</v>
      </c>
      <c r="K1019" s="39" t="n">
        <f aca="false">(('Business Case'!E11*$C1019*'Business Case'!E12*$B1019)-'Business Case'!E11*$C1019*'Business Case'!E13*$D1019-'Business Case'!E14*$E1019)-MAX(0,(('Business Case'!E11*$C1019*'Business Case'!E12*$B1019)-'Business Case'!E11*$C1019*'Business Case'!E13*$D1019-'Business Case'!E14*$E1019))*'Business Case'!$B$7-'Business Case'!$B$8*(('Business Case'!E11*$C1019*'Business Case'!E12*$B1019)-('Business Case'!D11*$C1019*'Business Case'!D12*$B1019))-'Business Case'!E15*$F1019</f>
        <v>523343064.011811</v>
      </c>
      <c r="L1019" s="39" t="n">
        <f aca="false">(('Business Case'!F11*$C1019*'Business Case'!F12*$B1019)-'Business Case'!F11*$C1019*'Business Case'!F13*$D1019-'Business Case'!F14*$E1019)-MAX(0,(('Business Case'!F11*$C1019*'Business Case'!F12*$B1019)-'Business Case'!F11*$C1019*'Business Case'!F13*$D1019-'Business Case'!F14*$E1019))*'Business Case'!$B$7-'Business Case'!$B$8*(('Business Case'!F11*$C1019*'Business Case'!F12*$B1019)-('Business Case'!E11*$C1019*'Business Case'!E12*$B1019))-'Business Case'!F15*$F1019</f>
        <v>640359435.118572</v>
      </c>
      <c r="M1019" s="39" t="n">
        <f aca="false">(('Business Case'!G11*$C1019*'Business Case'!G12*$B1019)-'Business Case'!G11*$C1019*'Business Case'!G13*$D1019-'Business Case'!G14*$E1019)-MAX(0,(('Business Case'!G11*$C1019*'Business Case'!G12*$B1019)-'Business Case'!G11*$C1019*'Business Case'!G13*$D1019-'Business Case'!G14*$E1019))*'Business Case'!$B$7-'Business Case'!$B$8*(('Business Case'!G11*$C1019*'Business Case'!G12*$B1019)-('Business Case'!F11*$C1019*'Business Case'!F12*$B1019))-'Business Case'!G15*$F1019+'Business Case'!$B$8*('Business Case'!G11*$C1019*'Business Case'!G12*$B1019)</f>
        <v>817750889.815081</v>
      </c>
      <c r="N1019" s="39" t="n">
        <f aca="false">IF(COUNT('Business Case'!B11:G11)=0,"",H1019+NPV(G1019,I1019:M1019))</f>
        <v>-585472870.081814</v>
      </c>
      <c r="P1019" s="40" t="n">
        <f aca="true">RAND()</f>
        <v>0.130568218054453</v>
      </c>
      <c r="Q1019" s="40" t="n">
        <f aca="true">RAND()</f>
        <v>0.446585946797201</v>
      </c>
      <c r="R1019" s="40" t="n">
        <f aca="true">RAND()</f>
        <v>0.655168041128831</v>
      </c>
      <c r="S1019" s="40" t="n">
        <f aca="true">RAND()</f>
        <v>0.190226533136666</v>
      </c>
      <c r="T1019" s="40" t="n">
        <f aca="true">RAND()</f>
        <v>0.306104174559011</v>
      </c>
      <c r="U1019" s="40" t="n">
        <f aca="true">RAND()</f>
        <v>0.781293781077744</v>
      </c>
    </row>
    <row r="1020" customFormat="false" ht="15" hidden="false" customHeight="false" outlineLevel="0" collapsed="false">
      <c r="A1020" s="36" t="n">
        <v>940</v>
      </c>
      <c r="B1020" s="37" t="n">
        <f aca="false">1+IF($G$6=$E$6,$F$6,IF(P1020&lt;($F$6-$E$6)/($G$6-$E$6),$E$6+SQRT(P1020*($G$6-$E$6)*($F$6-$E$6)),$G$6-SQRT((1-P1020)*($G$6-$E$6)*($G$6-$F$6))))</f>
        <v>0.9970463715324</v>
      </c>
      <c r="C1020" s="37" t="n">
        <f aca="false">1+IF($G$7=$E$7,$F$7,IF(Q1020&lt;($F$7-$E$7)/($G$7-$E$7),$E$7+SQRT(Q1020*($G$7-$E$7)*($F$7-$E$7)),$G$7-SQRT((1-Q1020)*($G$7-$E$7)*($G$7-$F$7))))</f>
        <v>0.923977410521824</v>
      </c>
      <c r="D1020" s="37" t="n">
        <f aca="false">1+IF($G$8=$E$8,$F$8,IF(R1020&lt;($F$8-$E$8)/($G$8-$E$8),$E$8+SQRT(R1020*($G$8-$E$8)*($F$8-$E$8)),$G$8-SQRT((1-R1020)*($G$8-$E$8)*($G$8-$F$8))))</f>
        <v>1.01581059536801</v>
      </c>
      <c r="E1020" s="37" t="n">
        <f aca="false">1+IF($G$9=$E$9,$F$9,IF(S1020&lt;($F$9-$E$9)/($G$9-$E$9),$E$9+SQRT(S1020*($G$9-$E$9)*($F$9-$E$9)),$G$9-SQRT((1-S1020)*($G$9-$E$9)*($G$9-$F$9))))</f>
        <v>1.01532566710033</v>
      </c>
      <c r="F1020" s="37" t="n">
        <f aca="false">1+IF($G$10=$E$10,$F$10,IF(T1020&lt;($F$10-$E$10)/($G$10-$E$10),$E$10+SQRT(T1020*($G$10-$E$10)*($F$10-$E$10)),$G$10-SQRT((1-T1020)*($G$10-$E$10)*($G$10-$F$10))))</f>
        <v>1.12271268330907</v>
      </c>
      <c r="G1020" s="38" t="n">
        <f aca="false">IF($G$11=$E$11,$F$11,IF(U1020&lt;($F$11-$E$11)/($G$11-$E$11),$E$11+SQRT(U1020*($G$11-$E$11)*($F$11-$E$11)),$G$11-SQRT((1-U1020)*($G$11-$E$11)*($G$11-$F$11))))</f>
        <v>0.0932843361365614</v>
      </c>
      <c r="H1020" s="39" t="n">
        <f aca="false">(('Business Case'!B11*$C1020*'Business Case'!B12*$B1020)-'Business Case'!B11*$C1020*'Business Case'!B13*$D1020-'Business Case'!B14*$E1020)-MAX(0,(('Business Case'!B11*$C1020*'Business Case'!B12*$B1020)-'Business Case'!B11*$C1020*'Business Case'!B13*$D1020-'Business Case'!B14*$E1020))*'Business Case'!$B$7-'Business Case'!$B$8*('Business Case'!B11*$C1020*'Business Case'!B12*$B1020)-'Business Case'!B15*$F1020</f>
        <v>-2245425366.61814</v>
      </c>
      <c r="I1020" s="39" t="n">
        <f aca="false">(('Business Case'!C11*$C1020*'Business Case'!C12*$B1020)-'Business Case'!C11*$C1020*'Business Case'!C13*$D1020-'Business Case'!C14*$E1020)-MAX(0,(('Business Case'!C11*$C1020*'Business Case'!C12*$B1020)-'Business Case'!C11*$C1020*'Business Case'!C13*$D1020-'Business Case'!C14*$E1020))*'Business Case'!$B$7-'Business Case'!$B$8*(('Business Case'!C11*$C1020*'Business Case'!C12*$B1020)-('Business Case'!B11*$C1020*'Business Case'!B12*$B1020))-'Business Case'!C15*$F1020</f>
        <v>-30320351.0428779</v>
      </c>
      <c r="J1020" s="39" t="n">
        <f aca="false">(('Business Case'!D11*$C1020*'Business Case'!D12*$B1020)-'Business Case'!D11*$C1020*'Business Case'!D13*$D1020-'Business Case'!D14*$E1020)-MAX(0,(('Business Case'!D11*$C1020*'Business Case'!D12*$B1020)-'Business Case'!D11*$C1020*'Business Case'!D13*$D1020-'Business Case'!D14*$E1020))*'Business Case'!$B$7-'Business Case'!$B$8*(('Business Case'!D11*$C1020*'Business Case'!D12*$B1020)-('Business Case'!C11*$C1020*'Business Case'!C12*$B1020))-'Business Case'!D15*$F1020</f>
        <v>243767389.250903</v>
      </c>
      <c r="K1020" s="39" t="n">
        <f aca="false">(('Business Case'!E11*$C1020*'Business Case'!E12*$B1020)-'Business Case'!E11*$C1020*'Business Case'!E13*$D1020-'Business Case'!E14*$E1020)-MAX(0,(('Business Case'!E11*$C1020*'Business Case'!E12*$B1020)-'Business Case'!E11*$C1020*'Business Case'!E13*$D1020-'Business Case'!E14*$E1020))*'Business Case'!$B$7-'Business Case'!$B$8*(('Business Case'!E11*$C1020*'Business Case'!E12*$B1020)-('Business Case'!D11*$C1020*'Business Case'!D12*$B1020))-'Business Case'!E15*$F1020</f>
        <v>573990763.710137</v>
      </c>
      <c r="L1020" s="39" t="n">
        <f aca="false">(('Business Case'!F11*$C1020*'Business Case'!F12*$B1020)-'Business Case'!F11*$C1020*'Business Case'!F13*$D1020-'Business Case'!F14*$E1020)-MAX(0,(('Business Case'!F11*$C1020*'Business Case'!F12*$B1020)-'Business Case'!F11*$C1020*'Business Case'!F13*$D1020-'Business Case'!F14*$E1020))*'Business Case'!$B$7-'Business Case'!$B$8*(('Business Case'!F11*$C1020*'Business Case'!F12*$B1020)-('Business Case'!E11*$C1020*'Business Case'!E12*$B1020))-'Business Case'!F15*$F1020</f>
        <v>697191685.904121</v>
      </c>
      <c r="M1020" s="39" t="n">
        <f aca="false">(('Business Case'!G11*$C1020*'Business Case'!G12*$B1020)-'Business Case'!G11*$C1020*'Business Case'!G13*$D1020-'Business Case'!G14*$E1020)-MAX(0,(('Business Case'!G11*$C1020*'Business Case'!G12*$B1020)-'Business Case'!G11*$C1020*'Business Case'!G13*$D1020-'Business Case'!G14*$E1020))*'Business Case'!$B$7-'Business Case'!$B$8*(('Business Case'!G11*$C1020*'Business Case'!G12*$B1020)-('Business Case'!F11*$C1020*'Business Case'!F12*$B1020))-'Business Case'!G15*$F1020+'Business Case'!$B$8*('Business Case'!G11*$C1020*'Business Case'!G12*$B1020)</f>
        <v>872302567.432435</v>
      </c>
      <c r="N1020" s="39" t="n">
        <f aca="false">IF(COUNT('Business Case'!B11:G11)=0,"",H1020+NPV(G1020,I1020:M1020))</f>
        <v>-583499684.474289</v>
      </c>
      <c r="P1020" s="40" t="n">
        <f aca="true">RAND()</f>
        <v>0.61834826732381</v>
      </c>
      <c r="Q1020" s="40" t="n">
        <f aca="true">RAND()</f>
        <v>0.219577118852813</v>
      </c>
      <c r="R1020" s="40" t="n">
        <f aca="true">RAND()</f>
        <v>0.603819262787603</v>
      </c>
      <c r="S1020" s="40" t="n">
        <f aca="true">RAND()</f>
        <v>0.522017156533027</v>
      </c>
      <c r="T1020" s="40" t="n">
        <f aca="true">RAND()</f>
        <v>0.88053341357431</v>
      </c>
      <c r="U1020" s="40" t="n">
        <f aca="true">RAND()</f>
        <v>0.0359562128597437</v>
      </c>
    </row>
    <row r="1021" customFormat="false" ht="15" hidden="false" customHeight="false" outlineLevel="0" collapsed="false">
      <c r="A1021" s="36" t="n">
        <v>941</v>
      </c>
      <c r="B1021" s="37" t="n">
        <f aca="false">1+IF($G$6=$E$6,$F$6,IF(P1021&lt;($F$6-$E$6)/($G$6-$E$6),$E$6+SQRT(P1021*($G$6-$E$6)*($F$6-$E$6)),$G$6-SQRT((1-P1021)*($G$6-$E$6)*($G$6-$F$6))))</f>
        <v>1.02658423050284</v>
      </c>
      <c r="C1021" s="37" t="n">
        <f aca="false">1+IF($G$7=$E$7,$F$7,IF(Q1021&lt;($F$7-$E$7)/($G$7-$E$7),$E$7+SQRT(Q1021*($G$7-$E$7)*($F$7-$E$7)),$G$7-SQRT((1-Q1021)*($G$7-$E$7)*($G$7-$F$7))))</f>
        <v>1.01528312430187</v>
      </c>
      <c r="D1021" s="37" t="n">
        <f aca="false">1+IF($G$8=$E$8,$F$8,IF(R1021&lt;($F$8-$E$8)/($G$8-$E$8),$E$8+SQRT(R1021*($G$8-$E$8)*($F$8-$E$8)),$G$8-SQRT((1-R1021)*($G$8-$E$8)*($G$8-$F$8))))</f>
        <v>1.03078214768508</v>
      </c>
      <c r="E1021" s="37" t="n">
        <f aca="false">1+IF($G$9=$E$9,$F$9,IF(S1021&lt;($F$9-$E$9)/($G$9-$E$9),$E$9+SQRT(S1021*($G$9-$E$9)*($F$9-$E$9)),$G$9-SQRT((1-S1021)*($G$9-$E$9)*($G$9-$F$9))))</f>
        <v>1.0357267762859</v>
      </c>
      <c r="F1021" s="37" t="n">
        <f aca="false">1+IF($G$10=$E$10,$F$10,IF(T1021&lt;($F$10-$E$10)/($G$10-$E$10),$E$10+SQRT(T1021*($G$10-$E$10)*($F$10-$E$10)),$G$10-SQRT((1-T1021)*($G$10-$E$10)*($G$10-$F$10))))</f>
        <v>1.04447901289016</v>
      </c>
      <c r="G1021" s="38" t="n">
        <f aca="false">IF($G$11=$E$11,$F$11,IF(U1021&lt;($F$11-$E$11)/($G$11-$E$11),$E$11+SQRT(U1021*($G$11-$E$11)*($F$11-$E$11)),$G$11-SQRT((1-U1021)*($G$11-$E$11)*($G$11-$F$11))))</f>
        <v>0.103616846928069</v>
      </c>
      <c r="H1021" s="39" t="n">
        <f aca="false">(('Business Case'!B11*$C1021*'Business Case'!B12*$B1021)-'Business Case'!B11*$C1021*'Business Case'!B13*$D1021-'Business Case'!B14*$E1021)-MAX(0,(('Business Case'!B11*$C1021*'Business Case'!B12*$B1021)-'Business Case'!B11*$C1021*'Business Case'!B13*$D1021-'Business Case'!B14*$E1021))*'Business Case'!$B$7-'Business Case'!$B$8*('Business Case'!B11*$C1021*'Business Case'!B12*$B1021)-'Business Case'!B15*$F1021</f>
        <v>-2088958025.78032</v>
      </c>
      <c r="I1021" s="39" t="n">
        <f aca="false">(('Business Case'!C11*$C1021*'Business Case'!C12*$B1021)-'Business Case'!C11*$C1021*'Business Case'!C13*$D1021-'Business Case'!C14*$E1021)-MAX(0,(('Business Case'!C11*$C1021*'Business Case'!C12*$B1021)-'Business Case'!C11*$C1021*'Business Case'!C13*$D1021-'Business Case'!C14*$E1021))*'Business Case'!$B$7-'Business Case'!$B$8*(('Business Case'!C11*$C1021*'Business Case'!C12*$B1021)-('Business Case'!B11*$C1021*'Business Case'!B12*$B1021))-'Business Case'!C15*$F1021</f>
        <v>12194878.7869685</v>
      </c>
      <c r="J1021" s="39" t="n">
        <f aca="false">(('Business Case'!D11*$C1021*'Business Case'!D12*$B1021)-'Business Case'!D11*$C1021*'Business Case'!D13*$D1021-'Business Case'!D14*$E1021)-MAX(0,(('Business Case'!D11*$C1021*'Business Case'!D12*$B1021)-'Business Case'!D11*$C1021*'Business Case'!D13*$D1021-'Business Case'!D14*$E1021))*'Business Case'!$B$7-'Business Case'!$B$8*(('Business Case'!D11*$C1021*'Business Case'!D12*$B1021)-('Business Case'!C11*$C1021*'Business Case'!C12*$B1021))-'Business Case'!D15*$F1021</f>
        <v>330149472.202629</v>
      </c>
      <c r="K1021" s="39" t="n">
        <f aca="false">(('Business Case'!E11*$C1021*'Business Case'!E12*$B1021)-'Business Case'!E11*$C1021*'Business Case'!E13*$D1021-'Business Case'!E14*$E1021)-MAX(0,(('Business Case'!E11*$C1021*'Business Case'!E12*$B1021)-'Business Case'!E11*$C1021*'Business Case'!E13*$D1021-'Business Case'!E14*$E1021))*'Business Case'!$B$7-'Business Case'!$B$8*(('Business Case'!E11*$C1021*'Business Case'!E12*$B1021)-('Business Case'!D11*$C1021*'Business Case'!D12*$B1021))-'Business Case'!E15*$F1021</f>
        <v>700328016.262797</v>
      </c>
      <c r="L1021" s="39" t="n">
        <f aca="false">(('Business Case'!F11*$C1021*'Business Case'!F12*$B1021)-'Business Case'!F11*$C1021*'Business Case'!F13*$D1021-'Business Case'!F14*$E1021)-MAX(0,(('Business Case'!F11*$C1021*'Business Case'!F12*$B1021)-'Business Case'!F11*$C1021*'Business Case'!F13*$D1021-'Business Case'!F14*$E1021))*'Business Case'!$B$7-'Business Case'!$B$8*(('Business Case'!F11*$C1021*'Business Case'!F12*$B1021)-('Business Case'!E11*$C1021*'Business Case'!E12*$B1021))-'Business Case'!F15*$F1021</f>
        <v>842333857.902564</v>
      </c>
      <c r="M1021" s="39" t="n">
        <f aca="false">(('Business Case'!G11*$C1021*'Business Case'!G12*$B1021)-'Business Case'!G11*$C1021*'Business Case'!G13*$D1021-'Business Case'!G14*$E1021)-MAX(0,(('Business Case'!G11*$C1021*'Business Case'!G12*$B1021)-'Business Case'!G11*$C1021*'Business Case'!G13*$D1021-'Business Case'!G14*$E1021))*'Business Case'!$B$7-'Business Case'!$B$8*(('Business Case'!G11*$C1021*'Business Case'!G12*$B1021)-('Business Case'!F11*$C1021*'Business Case'!F12*$B1021))-'Business Case'!G15*$F1021+'Business Case'!$B$8*('Business Case'!G11*$C1021*'Business Case'!G12*$B1021)</f>
        <v>1040449232.32591</v>
      </c>
      <c r="N1021" s="39" t="n">
        <f aca="false">IF(COUNT('Business Case'!B11:G11)=0,"",H1021+NPV(G1021,I1021:M1021))</f>
        <v>-82491739.5969617</v>
      </c>
      <c r="P1021" s="40" t="n">
        <f aca="true">RAND()</f>
        <v>0.96250356849983</v>
      </c>
      <c r="Q1021" s="40" t="n">
        <f aca="true">RAND()</f>
        <v>0.654311683850176</v>
      </c>
      <c r="R1021" s="40" t="n">
        <f aca="true">RAND()</f>
        <v>0.767077212837174</v>
      </c>
      <c r="S1021" s="40" t="n">
        <f aca="true">RAND()</f>
        <v>0.724596847559798</v>
      </c>
      <c r="T1021" s="40" t="n">
        <f aca="true">RAND()</f>
        <v>0.516264451367611</v>
      </c>
      <c r="U1021" s="40" t="n">
        <f aca="true">RAND()</f>
        <v>0.552653825702807</v>
      </c>
    </row>
    <row r="1022" customFormat="false" ht="15" hidden="false" customHeight="false" outlineLevel="0" collapsed="false">
      <c r="A1022" s="36" t="n">
        <v>942</v>
      </c>
      <c r="B1022" s="37" t="n">
        <f aca="false">1+IF($G$6=$E$6,$F$6,IF(P1022&lt;($F$6-$E$6)/($G$6-$E$6),$E$6+SQRT(P1022*($G$6-$E$6)*($F$6-$E$6)),$G$6-SQRT((1-P1022)*($G$6-$E$6)*($G$6-$F$6))))</f>
        <v>0.979605742442203</v>
      </c>
      <c r="C1022" s="37" t="n">
        <f aca="false">1+IF($G$7=$E$7,$F$7,IF(Q1022&lt;($F$7-$E$7)/($G$7-$E$7),$E$7+SQRT(Q1022*($G$7-$E$7)*($F$7-$E$7)),$G$7-SQRT((1-Q1022)*($G$7-$E$7)*($G$7-$F$7))))</f>
        <v>1.12930218854544</v>
      </c>
      <c r="D1022" s="37" t="n">
        <f aca="false">1+IF($G$8=$E$8,$F$8,IF(R1022&lt;($F$8-$E$8)/($G$8-$E$8),$E$8+SQRT(R1022*($G$8-$E$8)*($F$8-$E$8)),$G$8-SQRT((1-R1022)*($G$8-$E$8)*($G$8-$F$8))))</f>
        <v>0.997287412174332</v>
      </c>
      <c r="E1022" s="37" t="n">
        <f aca="false">1+IF($G$9=$E$9,$F$9,IF(S1022&lt;($F$9-$E$9)/($G$9-$E$9),$E$9+SQRT(S1022*($G$9-$E$9)*($F$9-$E$9)),$G$9-SQRT((1-S1022)*($G$9-$E$9)*($G$9-$F$9))))</f>
        <v>1.0633407680116</v>
      </c>
      <c r="F1022" s="37" t="n">
        <f aca="false">1+IF($G$10=$E$10,$F$10,IF(T1022&lt;($F$10-$E$10)/($G$10-$E$10),$E$10+SQRT(T1022*($G$10-$E$10)*($F$10-$E$10)),$G$10-SQRT((1-T1022)*($G$10-$E$10)*($G$10-$F$10))))</f>
        <v>1.09567238886267</v>
      </c>
      <c r="G1022" s="38" t="n">
        <f aca="false">IF($G$11=$E$11,$F$11,IF(U1022&lt;($F$11-$E$11)/($G$11-$E$11),$E$11+SQRT(U1022*($G$11-$E$11)*($F$11-$E$11)),$G$11-SQRT((1-U1022)*($G$11-$E$11)*($G$11-$F$11))))</f>
        <v>0.0968895096254122</v>
      </c>
      <c r="H1022" s="39" t="n">
        <f aca="false">(('Business Case'!B11*$C1022*'Business Case'!B12*$B1022)-'Business Case'!B11*$C1022*'Business Case'!B13*$D1022-'Business Case'!B14*$E1022)-MAX(0,(('Business Case'!B11*$C1022*'Business Case'!B12*$B1022)-'Business Case'!B11*$C1022*'Business Case'!B13*$D1022-'Business Case'!B14*$E1022))*'Business Case'!$B$7-'Business Case'!$B$8*('Business Case'!B11*$C1022*'Business Case'!B12*$B1022)-'Business Case'!B15*$F1022</f>
        <v>-2191344777.72535</v>
      </c>
      <c r="I1022" s="39" t="n">
        <f aca="false">(('Business Case'!C11*$C1022*'Business Case'!C12*$B1022)-'Business Case'!C11*$C1022*'Business Case'!C13*$D1022-'Business Case'!C14*$E1022)-MAX(0,(('Business Case'!C11*$C1022*'Business Case'!C12*$B1022)-'Business Case'!C11*$C1022*'Business Case'!C13*$D1022-'Business Case'!C14*$E1022))*'Business Case'!$B$7-'Business Case'!$B$8*(('Business Case'!C11*$C1022*'Business Case'!C12*$B1022)-('Business Case'!B11*$C1022*'Business Case'!B12*$B1022))-'Business Case'!C15*$F1022</f>
        <v>11447950.0763614</v>
      </c>
      <c r="J1022" s="39" t="n">
        <f aca="false">(('Business Case'!D11*$C1022*'Business Case'!D12*$B1022)-'Business Case'!D11*$C1022*'Business Case'!D13*$D1022-'Business Case'!D14*$E1022)-MAX(0,(('Business Case'!D11*$C1022*'Business Case'!D12*$B1022)-'Business Case'!D11*$C1022*'Business Case'!D13*$D1022-'Business Case'!D14*$E1022))*'Business Case'!$B$7-'Business Case'!$B$8*(('Business Case'!D11*$C1022*'Business Case'!D12*$B1022)-('Business Case'!C11*$C1022*'Business Case'!C12*$B1022))-'Business Case'!D15*$F1022</f>
        <v>341019280.165109</v>
      </c>
      <c r="K1022" s="39" t="n">
        <f aca="false">(('Business Case'!E11*$C1022*'Business Case'!E12*$B1022)-'Business Case'!E11*$C1022*'Business Case'!E13*$D1022-'Business Case'!E14*$E1022)-MAX(0,(('Business Case'!E11*$C1022*'Business Case'!E12*$B1022)-'Business Case'!E11*$C1022*'Business Case'!E13*$D1022-'Business Case'!E14*$E1022))*'Business Case'!$B$7-'Business Case'!$B$8*(('Business Case'!E11*$C1022*'Business Case'!E12*$B1022)-('Business Case'!D11*$C1022*'Business Case'!D12*$B1022))-'Business Case'!E15*$F1022</f>
        <v>725374229.696991</v>
      </c>
      <c r="L1022" s="39" t="n">
        <f aca="false">(('Business Case'!F11*$C1022*'Business Case'!F12*$B1022)-'Business Case'!F11*$C1022*'Business Case'!F13*$D1022-'Business Case'!F14*$E1022)-MAX(0,(('Business Case'!F11*$C1022*'Business Case'!F12*$B1022)-'Business Case'!F11*$C1022*'Business Case'!F13*$D1022-'Business Case'!F14*$E1022))*'Business Case'!$B$7-'Business Case'!$B$8*(('Business Case'!F11*$C1022*'Business Case'!F12*$B1022)-('Business Case'!E11*$C1022*'Business Case'!E12*$B1022))-'Business Case'!F15*$F1022</f>
        <v>873464062.336487</v>
      </c>
      <c r="M1022" s="39" t="n">
        <f aca="false">(('Business Case'!G11*$C1022*'Business Case'!G12*$B1022)-'Business Case'!G11*$C1022*'Business Case'!G13*$D1022-'Business Case'!G14*$E1022)-MAX(0,(('Business Case'!G11*$C1022*'Business Case'!G12*$B1022)-'Business Case'!G11*$C1022*'Business Case'!G13*$D1022-'Business Case'!G14*$E1022))*'Business Case'!$B$7-'Business Case'!$B$8*(('Business Case'!G11*$C1022*'Business Case'!G12*$B1022)-('Business Case'!F11*$C1022*'Business Case'!F12*$B1022))-'Business Case'!G15*$F1022+'Business Case'!$B$8*('Business Case'!G11*$C1022*'Business Case'!G12*$B1022)</f>
        <v>1083744036.69101</v>
      </c>
      <c r="N1022" s="39" t="n">
        <f aca="false">IF(COUNT('Business Case'!B11:G11)=0,"",H1022+NPV(G1022,I1022:M1022))</f>
        <v>-61940613.5533514</v>
      </c>
      <c r="P1022" s="40" t="n">
        <f aca="true">RAND()</f>
        <v>0.370087972092319</v>
      </c>
      <c r="Q1022" s="40" t="n">
        <f aca="true">RAND()</f>
        <v>0.991840011447455</v>
      </c>
      <c r="R1022" s="40" t="n">
        <f aca="true">RAND()</f>
        <v>0.344015284637713</v>
      </c>
      <c r="S1022" s="40" t="n">
        <f aca="true">RAND()</f>
        <v>0.91040671400136</v>
      </c>
      <c r="T1022" s="40" t="n">
        <f aca="true">RAND()</f>
        <v>0.782314991087579</v>
      </c>
      <c r="U1022" s="40" t="n">
        <f aca="true">RAND()</f>
        <v>0.158217809595492</v>
      </c>
    </row>
    <row r="1023" customFormat="false" ht="15" hidden="false" customHeight="false" outlineLevel="0" collapsed="false">
      <c r="A1023" s="36" t="n">
        <v>943</v>
      </c>
      <c r="B1023" s="37" t="n">
        <f aca="false">1+IF($G$6=$E$6,$F$6,IF(P1023&lt;($F$6-$E$6)/($G$6-$E$6),$E$6+SQRT(P1023*($G$6-$E$6)*($F$6-$E$6)),$G$6-SQRT((1-P1023)*($G$6-$E$6)*($G$6-$F$6))))</f>
        <v>0.958302101450086</v>
      </c>
      <c r="C1023" s="37" t="n">
        <f aca="false">1+IF($G$7=$E$7,$F$7,IF(Q1023&lt;($F$7-$E$7)/($G$7-$E$7),$E$7+SQRT(Q1023*($G$7-$E$7)*($F$7-$E$7)),$G$7-SQRT((1-Q1023)*($G$7-$E$7)*($G$7-$F$7))))</f>
        <v>0.970140320376983</v>
      </c>
      <c r="D1023" s="37" t="n">
        <f aca="false">1+IF($G$8=$E$8,$F$8,IF(R1023&lt;($F$8-$E$8)/($G$8-$E$8),$E$8+SQRT(R1023*($G$8-$E$8)*($F$8-$E$8)),$G$8-SQRT((1-R1023)*($G$8-$E$8)*($G$8-$F$8))))</f>
        <v>0.999532941915249</v>
      </c>
      <c r="E1023" s="37" t="n">
        <f aca="false">1+IF($G$9=$E$9,$F$9,IF(S1023&lt;($F$9-$E$9)/($G$9-$E$9),$E$9+SQRT(S1023*($G$9-$E$9)*($F$9-$E$9)),$G$9-SQRT((1-S1023)*($G$9-$E$9)*($G$9-$F$9))))</f>
        <v>0.976021811435466</v>
      </c>
      <c r="F1023" s="37" t="n">
        <f aca="false">1+IF($G$10=$E$10,$F$10,IF(T1023&lt;($F$10-$E$10)/($G$10-$E$10),$E$10+SQRT(T1023*($G$10-$E$10)*($F$10-$E$10)),$G$10-SQRT((1-T1023)*($G$10-$E$10)*($G$10-$F$10))))</f>
        <v>1.03728859446913</v>
      </c>
      <c r="G1023" s="38" t="n">
        <f aca="false">IF($G$11=$E$11,$F$11,IF(U1023&lt;($F$11-$E$11)/($G$11-$E$11),$E$11+SQRT(U1023*($G$11-$E$11)*($F$11-$E$11)),$G$11-SQRT((1-U1023)*($G$11-$E$11)*($G$11-$F$11))))</f>
        <v>0.105277307086996</v>
      </c>
      <c r="H1023" s="39" t="n">
        <f aca="false">(('Business Case'!B11*$C1023*'Business Case'!B12*$B1023)-'Business Case'!B11*$C1023*'Business Case'!B13*$D1023-'Business Case'!B14*$E1023)-MAX(0,(('Business Case'!B11*$C1023*'Business Case'!B12*$B1023)-'Business Case'!B11*$C1023*'Business Case'!B13*$D1023-'Business Case'!B14*$E1023))*'Business Case'!$B$7-'Business Case'!$B$8*('Business Case'!B11*$C1023*'Business Case'!B12*$B1023)-'Business Case'!B15*$F1023</f>
        <v>-2074577188.93827</v>
      </c>
      <c r="I1023" s="39" t="n">
        <f aca="false">(('Business Case'!C11*$C1023*'Business Case'!C12*$B1023)-'Business Case'!C11*$C1023*'Business Case'!C13*$D1023-'Business Case'!C14*$E1023)-MAX(0,(('Business Case'!C11*$C1023*'Business Case'!C12*$B1023)-'Business Case'!C11*$C1023*'Business Case'!C13*$D1023-'Business Case'!C14*$E1023))*'Business Case'!$B$7-'Business Case'!$B$8*(('Business Case'!C11*$C1023*'Business Case'!C12*$B1023)-('Business Case'!B11*$C1023*'Business Case'!B12*$B1023))-'Business Case'!C15*$F1023</f>
        <v>-25635430.8847743</v>
      </c>
      <c r="J1023" s="39" t="n">
        <f aca="false">(('Business Case'!D11*$C1023*'Business Case'!D12*$B1023)-'Business Case'!D11*$C1023*'Business Case'!D13*$D1023-'Business Case'!D14*$E1023)-MAX(0,(('Business Case'!D11*$C1023*'Business Case'!D12*$B1023)-'Business Case'!D11*$C1023*'Business Case'!D13*$D1023-'Business Case'!D14*$E1023))*'Business Case'!$B$7-'Business Case'!$B$8*(('Business Case'!D11*$C1023*'Business Case'!D12*$B1023)-('Business Case'!C11*$C1023*'Business Case'!C12*$B1023))-'Business Case'!D15*$F1023</f>
        <v>239443299.663627</v>
      </c>
      <c r="K1023" s="39" t="n">
        <f aca="false">(('Business Case'!E11*$C1023*'Business Case'!E12*$B1023)-'Business Case'!E11*$C1023*'Business Case'!E13*$D1023-'Business Case'!E14*$E1023)-MAX(0,(('Business Case'!E11*$C1023*'Business Case'!E12*$B1023)-'Business Case'!E11*$C1023*'Business Case'!E13*$D1023-'Business Case'!E14*$E1023))*'Business Case'!$B$7-'Business Case'!$B$8*(('Business Case'!E11*$C1023*'Business Case'!E12*$B1023)-('Business Case'!D11*$C1023*'Business Case'!D12*$B1023))-'Business Case'!E15*$F1023</f>
        <v>556386459.935484</v>
      </c>
      <c r="L1023" s="39" t="n">
        <f aca="false">(('Business Case'!F11*$C1023*'Business Case'!F12*$B1023)-'Business Case'!F11*$C1023*'Business Case'!F13*$D1023-'Business Case'!F14*$E1023)-MAX(0,(('Business Case'!F11*$C1023*'Business Case'!F12*$B1023)-'Business Case'!F11*$C1023*'Business Case'!F13*$D1023-'Business Case'!F14*$E1023))*'Business Case'!$B$7-'Business Case'!$B$8*(('Business Case'!F11*$C1023*'Business Case'!F12*$B1023)-('Business Case'!E11*$C1023*'Business Case'!E12*$B1023))-'Business Case'!F15*$F1023</f>
        <v>676876037.05171</v>
      </c>
      <c r="M1023" s="39" t="n">
        <f aca="false">(('Business Case'!G11*$C1023*'Business Case'!G12*$B1023)-'Business Case'!G11*$C1023*'Business Case'!G13*$D1023-'Business Case'!G14*$E1023)-MAX(0,(('Business Case'!G11*$C1023*'Business Case'!G12*$B1023)-'Business Case'!G11*$C1023*'Business Case'!G13*$D1023-'Business Case'!G14*$E1023))*'Business Case'!$B$7-'Business Case'!$B$8*(('Business Case'!G11*$C1023*'Business Case'!G12*$B1023)-('Business Case'!F11*$C1023*'Business Case'!F12*$B1023))-'Business Case'!G15*$F1023+'Business Case'!$B$8*('Business Case'!G11*$C1023*'Business Case'!G12*$B1023)</f>
        <v>853591038.518885</v>
      </c>
      <c r="N1023" s="39" t="n">
        <f aca="false">IF(COUNT('Business Case'!B11:G11)=0,"",H1023+NPV(G1023,I1023:M1023))</f>
        <v>-518677863.296913</v>
      </c>
      <c r="P1023" s="40" t="n">
        <f aca="true">RAND()</f>
        <v>0.15281780994715</v>
      </c>
      <c r="Q1023" s="40" t="n">
        <f aca="true">RAND()</f>
        <v>0.413538980256894</v>
      </c>
      <c r="R1023" s="40" t="n">
        <f aca="true">RAND()</f>
        <v>0.377463436119915</v>
      </c>
      <c r="S1023" s="40" t="n">
        <f aca="true">RAND()</f>
        <v>0.0902846227177279</v>
      </c>
      <c r="T1023" s="40" t="n">
        <f aca="true">RAND()</f>
        <v>0.470499970203399</v>
      </c>
      <c r="U1023" s="40" t="n">
        <f aca="true">RAND()</f>
        <v>0.638737188982319</v>
      </c>
    </row>
    <row r="1024" customFormat="false" ht="15" hidden="false" customHeight="false" outlineLevel="0" collapsed="false">
      <c r="A1024" s="36" t="n">
        <v>944</v>
      </c>
      <c r="B1024" s="37" t="n">
        <f aca="false">1+IF($G$6=$E$6,$F$6,IF(P1024&lt;($F$6-$E$6)/($G$6-$E$6),$E$6+SQRT(P1024*($G$6-$E$6)*($F$6-$E$6)),$G$6-SQRT((1-P1024)*($G$6-$E$6)*($G$6-$F$6))))</f>
        <v>1.00221264773602</v>
      </c>
      <c r="C1024" s="37" t="n">
        <f aca="false">1+IF($G$7=$E$7,$F$7,IF(Q1024&lt;($F$7-$E$7)/($G$7-$E$7),$E$7+SQRT(Q1024*($G$7-$E$7)*($F$7-$E$7)),$G$7-SQRT((1-Q1024)*($G$7-$E$7)*($G$7-$F$7))))</f>
        <v>0.9510740778937</v>
      </c>
      <c r="D1024" s="37" t="n">
        <f aca="false">1+IF($G$8=$E$8,$F$8,IF(R1024&lt;($F$8-$E$8)/($G$8-$E$8),$E$8+SQRT(R1024*($G$8-$E$8)*($F$8-$E$8)),$G$8-SQRT((1-R1024)*($G$8-$E$8)*($G$8-$F$8))))</f>
        <v>0.987442666982966</v>
      </c>
      <c r="E1024" s="37" t="n">
        <f aca="false">1+IF($G$9=$E$9,$F$9,IF(S1024&lt;($F$9-$E$9)/($G$9-$E$9),$E$9+SQRT(S1024*($G$9-$E$9)*($F$9-$E$9)),$G$9-SQRT((1-S1024)*($G$9-$E$9)*($G$9-$F$9))))</f>
        <v>1.00450582582164</v>
      </c>
      <c r="F1024" s="37" t="n">
        <f aca="false">1+IF($G$10=$E$10,$F$10,IF(T1024&lt;($F$10-$E$10)/($G$10-$E$10),$E$10+SQRT(T1024*($G$10-$E$10)*($F$10-$E$10)),$G$10-SQRT((1-T1024)*($G$10-$E$10)*($G$10-$F$10))))</f>
        <v>1.05692768797011</v>
      </c>
      <c r="G1024" s="38" t="n">
        <f aca="false">IF($G$11=$E$11,$F$11,IF(U1024&lt;($F$11-$E$11)/($G$11-$E$11),$E$11+SQRT(U1024*($G$11-$E$11)*($F$11-$E$11)),$G$11-SQRT((1-U1024)*($G$11-$E$11)*($G$11-$F$11))))</f>
        <v>0.104206360740728</v>
      </c>
      <c r="H1024" s="39" t="n">
        <f aca="false">(('Business Case'!B11*$C1024*'Business Case'!B12*$B1024)-'Business Case'!B11*$C1024*'Business Case'!B13*$D1024-'Business Case'!B14*$E1024)-MAX(0,(('Business Case'!B11*$C1024*'Business Case'!B12*$B1024)-'Business Case'!B11*$C1024*'Business Case'!B13*$D1024-'Business Case'!B14*$E1024))*'Business Case'!$B$7-'Business Case'!$B$8*('Business Case'!B11*$C1024*'Business Case'!B12*$B1024)-'Business Case'!B15*$F1024</f>
        <v>-2113855375.94022</v>
      </c>
      <c r="I1024" s="39" t="n">
        <f aca="false">(('Business Case'!C11*$C1024*'Business Case'!C12*$B1024)-'Business Case'!C11*$C1024*'Business Case'!C13*$D1024-'Business Case'!C14*$E1024)-MAX(0,(('Business Case'!C11*$C1024*'Business Case'!C12*$B1024)-'Business Case'!C11*$C1024*'Business Case'!C13*$D1024-'Business Case'!C14*$E1024))*'Business Case'!$B$7-'Business Case'!$B$8*(('Business Case'!C11*$C1024*'Business Case'!C12*$B1024)-('Business Case'!B11*$C1024*'Business Case'!B12*$B1024))-'Business Case'!C15*$F1024</f>
        <v>2015521.5273063</v>
      </c>
      <c r="J1024" s="39" t="n">
        <f aca="false">(('Business Case'!D11*$C1024*'Business Case'!D12*$B1024)-'Business Case'!D11*$C1024*'Business Case'!D13*$D1024-'Business Case'!D14*$E1024)-MAX(0,(('Business Case'!D11*$C1024*'Business Case'!D12*$B1024)-'Business Case'!D11*$C1024*'Business Case'!D13*$D1024-'Business Case'!D14*$E1024))*'Business Case'!$B$7-'Business Case'!$B$8*(('Business Case'!D11*$C1024*'Business Case'!D12*$B1024)-('Business Case'!C11*$C1024*'Business Case'!C12*$B1024))-'Business Case'!D15*$F1024</f>
        <v>301977312.157838</v>
      </c>
      <c r="K1024" s="39" t="n">
        <f aca="false">(('Business Case'!E11*$C1024*'Business Case'!E12*$B1024)-'Business Case'!E11*$C1024*'Business Case'!E13*$D1024-'Business Case'!E14*$E1024)-MAX(0,(('Business Case'!E11*$C1024*'Business Case'!E12*$B1024)-'Business Case'!E11*$C1024*'Business Case'!E13*$D1024-'Business Case'!E14*$E1024))*'Business Case'!$B$7-'Business Case'!$B$8*(('Business Case'!E11*$C1024*'Business Case'!E12*$B1024)-('Business Case'!D11*$C1024*'Business Case'!D12*$B1024))-'Business Case'!E15*$F1024</f>
        <v>654785487.186875</v>
      </c>
      <c r="L1024" s="39" t="n">
        <f aca="false">(('Business Case'!F11*$C1024*'Business Case'!F12*$B1024)-'Business Case'!F11*$C1024*'Business Case'!F13*$D1024-'Business Case'!F14*$E1024)-MAX(0,(('Business Case'!F11*$C1024*'Business Case'!F12*$B1024)-'Business Case'!F11*$C1024*'Business Case'!F13*$D1024-'Business Case'!F14*$E1024))*'Business Case'!$B$7-'Business Case'!$B$8*(('Business Case'!F11*$C1024*'Business Case'!F12*$B1024)-('Business Case'!E11*$C1024*'Business Case'!E12*$B1024))-'Business Case'!F15*$F1024</f>
        <v>787714598.646638</v>
      </c>
      <c r="M1024" s="39" t="n">
        <f aca="false">(('Business Case'!G11*$C1024*'Business Case'!G12*$B1024)-'Business Case'!G11*$C1024*'Business Case'!G13*$D1024-'Business Case'!G14*$E1024)-MAX(0,(('Business Case'!G11*$C1024*'Business Case'!G12*$B1024)-'Business Case'!G11*$C1024*'Business Case'!G13*$D1024-'Business Case'!G14*$E1024))*'Business Case'!$B$7-'Business Case'!$B$8*(('Business Case'!G11*$C1024*'Business Case'!G12*$B1024)-('Business Case'!F11*$C1024*'Business Case'!F12*$B1024))-'Business Case'!G15*$F1024+'Business Case'!$B$8*('Business Case'!G11*$C1024*'Business Case'!G12*$B1024)</f>
        <v>968894762.18602</v>
      </c>
      <c r="N1024" s="39" t="n">
        <f aca="false">IF(COUNT('Business Case'!B11:G11)=0,"",H1024+NPV(G1024,I1024:M1024))</f>
        <v>-257906651.955185</v>
      </c>
      <c r="P1024" s="40" t="n">
        <f aca="true">RAND()</f>
        <v>0.702524168516273</v>
      </c>
      <c r="Q1024" s="40" t="n">
        <f aca="true">RAND()</f>
        <v>0.326048243020452</v>
      </c>
      <c r="R1024" s="40" t="n">
        <f aca="true">RAND()</f>
        <v>0.215685124738039</v>
      </c>
      <c r="S1024" s="40" t="n">
        <f aca="true">RAND()</f>
        <v>0.392057513199577</v>
      </c>
      <c r="T1024" s="40" t="n">
        <f aca="true">RAND()</f>
        <v>0.590606270608432</v>
      </c>
      <c r="U1024" s="40" t="n">
        <f aca="true">RAND()</f>
        <v>0.584268264913317</v>
      </c>
    </row>
    <row r="1025" customFormat="false" ht="15" hidden="false" customHeight="false" outlineLevel="0" collapsed="false">
      <c r="A1025" s="36" t="n">
        <v>945</v>
      </c>
      <c r="B1025" s="37" t="n">
        <f aca="false">1+IF($G$6=$E$6,$F$6,IF(P1025&lt;($F$6-$E$6)/($G$6-$E$6),$E$6+SQRT(P1025*($G$6-$E$6)*($F$6-$E$6)),$G$6-SQRT((1-P1025)*($G$6-$E$6)*($G$6-$F$6))))</f>
        <v>1.00584165854913</v>
      </c>
      <c r="C1025" s="37" t="n">
        <f aca="false">1+IF($G$7=$E$7,$F$7,IF(Q1025&lt;($F$7-$E$7)/($G$7-$E$7),$E$7+SQRT(Q1025*($G$7-$E$7)*($F$7-$E$7)),$G$7-SQRT((1-Q1025)*($G$7-$E$7)*($G$7-$F$7))))</f>
        <v>0.874405868386884</v>
      </c>
      <c r="D1025" s="37" t="n">
        <f aca="false">1+IF($G$8=$E$8,$F$8,IF(R1025&lt;($F$8-$E$8)/($G$8-$E$8),$E$8+SQRT(R1025*($G$8-$E$8)*($F$8-$E$8)),$G$8-SQRT((1-R1025)*($G$8-$E$8)*($G$8-$F$8))))</f>
        <v>1.01538466244141</v>
      </c>
      <c r="E1025" s="37" t="n">
        <f aca="false">1+IF($G$9=$E$9,$F$9,IF(S1025&lt;($F$9-$E$9)/($G$9-$E$9),$E$9+SQRT(S1025*($G$9-$E$9)*($F$9-$E$9)),$G$9-SQRT((1-S1025)*($G$9-$E$9)*($G$9-$F$9))))</f>
        <v>1.01060234937633</v>
      </c>
      <c r="F1025" s="37" t="n">
        <f aca="false">1+IF($G$10=$E$10,$F$10,IF(T1025&lt;($F$10-$E$10)/($G$10-$E$10),$E$10+SQRT(T1025*($G$10-$E$10)*($F$10-$E$10)),$G$10-SQRT((1-T1025)*($G$10-$E$10)*($G$10-$F$10))))</f>
        <v>0.99852368057709</v>
      </c>
      <c r="G1025" s="38" t="n">
        <f aca="false">IF($G$11=$E$11,$F$11,IF(U1025&lt;($F$11-$E$11)/($G$11-$E$11),$E$11+SQRT(U1025*($G$11-$E$11)*($F$11-$E$11)),$G$11-SQRT((1-U1025)*($G$11-$E$11)*($G$11-$F$11))))</f>
        <v>0.106549552805947</v>
      </c>
      <c r="H1025" s="39" t="n">
        <f aca="false">(('Business Case'!B11*$C1025*'Business Case'!B12*$B1025)-'Business Case'!B11*$C1025*'Business Case'!B13*$D1025-'Business Case'!B14*$E1025)-MAX(0,(('Business Case'!B11*$C1025*'Business Case'!B12*$B1025)-'Business Case'!B11*$C1025*'Business Case'!B13*$D1025-'Business Case'!B14*$E1025))*'Business Case'!$B$7-'Business Case'!$B$8*('Business Case'!B11*$C1025*'Business Case'!B12*$B1025)-'Business Case'!B15*$F1025</f>
        <v>-1997047361.15418</v>
      </c>
      <c r="I1025" s="39" t="n">
        <f aca="false">(('Business Case'!C11*$C1025*'Business Case'!C12*$B1025)-'Business Case'!C11*$C1025*'Business Case'!C13*$D1025-'Business Case'!C14*$E1025)-MAX(0,(('Business Case'!C11*$C1025*'Business Case'!C12*$B1025)-'Business Case'!C11*$C1025*'Business Case'!C13*$D1025-'Business Case'!C14*$E1025))*'Business Case'!$B$7-'Business Case'!$B$8*(('Business Case'!C11*$C1025*'Business Case'!C12*$B1025)-('Business Case'!B11*$C1025*'Business Case'!B12*$B1025))-'Business Case'!C15*$F1025</f>
        <v>-23281277.5971112</v>
      </c>
      <c r="J1025" s="39" t="n">
        <f aca="false">(('Business Case'!D11*$C1025*'Business Case'!D12*$B1025)-'Business Case'!D11*$C1025*'Business Case'!D13*$D1025-'Business Case'!D14*$E1025)-MAX(0,(('Business Case'!D11*$C1025*'Business Case'!D12*$B1025)-'Business Case'!D11*$C1025*'Business Case'!D13*$D1025-'Business Case'!D14*$E1025))*'Business Case'!$B$7-'Business Case'!$B$8*(('Business Case'!D11*$C1025*'Business Case'!D12*$B1025)-('Business Case'!C11*$C1025*'Business Case'!C12*$B1025))-'Business Case'!D15*$F1025</f>
        <v>242591464.871951</v>
      </c>
      <c r="K1025" s="39" t="n">
        <f aca="false">(('Business Case'!E11*$C1025*'Business Case'!E12*$B1025)-'Business Case'!E11*$C1025*'Business Case'!E13*$D1025-'Business Case'!E14*$E1025)-MAX(0,(('Business Case'!E11*$C1025*'Business Case'!E12*$B1025)-'Business Case'!E11*$C1025*'Business Case'!E13*$D1025-'Business Case'!E14*$E1025))*'Business Case'!$B$7-'Business Case'!$B$8*(('Business Case'!E11*$C1025*'Business Case'!E12*$B1025)-('Business Case'!D11*$C1025*'Business Case'!D12*$B1025))-'Business Case'!E15*$F1025</f>
        <v>558390391.369867</v>
      </c>
      <c r="L1025" s="39" t="n">
        <f aca="false">(('Business Case'!F11*$C1025*'Business Case'!F12*$B1025)-'Business Case'!F11*$C1025*'Business Case'!F13*$D1025-'Business Case'!F14*$E1025)-MAX(0,(('Business Case'!F11*$C1025*'Business Case'!F12*$B1025)-'Business Case'!F11*$C1025*'Business Case'!F13*$D1025-'Business Case'!F14*$E1025))*'Business Case'!$B$7-'Business Case'!$B$8*(('Business Case'!F11*$C1025*'Business Case'!F12*$B1025)-('Business Case'!E11*$C1025*'Business Case'!E12*$B1025))-'Business Case'!F15*$F1025</f>
        <v>677410637.477654</v>
      </c>
      <c r="M1025" s="39" t="n">
        <f aca="false">(('Business Case'!G11*$C1025*'Business Case'!G12*$B1025)-'Business Case'!G11*$C1025*'Business Case'!G13*$D1025-'Business Case'!G14*$E1025)-MAX(0,(('Business Case'!G11*$C1025*'Business Case'!G12*$B1025)-'Business Case'!G11*$C1025*'Business Case'!G13*$D1025-'Business Case'!G14*$E1025))*'Business Case'!$B$7-'Business Case'!$B$8*(('Business Case'!G11*$C1025*'Business Case'!G12*$B1025)-('Business Case'!F11*$C1025*'Business Case'!F12*$B1025))-'Business Case'!G15*$F1025+'Business Case'!$B$8*('Business Case'!G11*$C1025*'Business Case'!G12*$B1025)</f>
        <v>844588629.877204</v>
      </c>
      <c r="N1025" s="39" t="n">
        <f aca="false">IF(COUNT('Business Case'!B11:G11)=0,"",H1025+NPV(G1025,I1025:M1025))</f>
        <v>-446933919.152264</v>
      </c>
      <c r="P1025" s="40" t="n">
        <f aca="true">RAND()</f>
        <v>0.756918272776234</v>
      </c>
      <c r="Q1025" s="40" t="n">
        <f aca="true">RAND()</f>
        <v>0.0790890464343751</v>
      </c>
      <c r="R1025" s="40" t="n">
        <f aca="true">RAND()</f>
        <v>0.598544053095194</v>
      </c>
      <c r="S1025" s="40" t="n">
        <f aca="true">RAND()</f>
        <v>0.467204004197871</v>
      </c>
      <c r="T1025" s="40" t="n">
        <f aca="true">RAND()</f>
        <v>0.188363806139796</v>
      </c>
      <c r="U1025" s="40" t="n">
        <f aca="true">RAND()</f>
        <v>0.698475783800007</v>
      </c>
    </row>
    <row r="1026" customFormat="false" ht="15" hidden="false" customHeight="false" outlineLevel="0" collapsed="false">
      <c r="A1026" s="36" t="n">
        <v>946</v>
      </c>
      <c r="B1026" s="37" t="n">
        <f aca="false">1+IF($G$6=$E$6,$F$6,IF(P1026&lt;($F$6-$E$6)/($G$6-$E$6),$E$6+SQRT(P1026*($G$6-$E$6)*($F$6-$E$6)),$G$6-SQRT((1-P1026)*($G$6-$E$6)*($G$6-$F$6))))</f>
        <v>0.980280686603729</v>
      </c>
      <c r="C1026" s="37" t="n">
        <f aca="false">1+IF($G$7=$E$7,$F$7,IF(Q1026&lt;($F$7-$E$7)/($G$7-$E$7),$E$7+SQRT(Q1026*($G$7-$E$7)*($F$7-$E$7)),$G$7-SQRT((1-Q1026)*($G$7-$E$7)*($G$7-$F$7))))</f>
        <v>0.878333996675414</v>
      </c>
      <c r="D1026" s="37" t="n">
        <f aca="false">1+IF($G$8=$E$8,$F$8,IF(R1026&lt;($F$8-$E$8)/($G$8-$E$8),$E$8+SQRT(R1026*($G$8-$E$8)*($F$8-$E$8)),$G$8-SQRT((1-R1026)*($G$8-$E$8)*($G$8-$F$8))))</f>
        <v>1.03232730598694</v>
      </c>
      <c r="E1026" s="37" t="n">
        <f aca="false">1+IF($G$9=$E$9,$F$9,IF(S1026&lt;($F$9-$E$9)/($G$9-$E$9),$E$9+SQRT(S1026*($G$9-$E$9)*($F$9-$E$9)),$G$9-SQRT((1-S1026)*($G$9-$E$9)*($G$9-$F$9))))</f>
        <v>1.01012459166102</v>
      </c>
      <c r="F1026" s="37" t="n">
        <f aca="false">1+IF($G$10=$E$10,$F$10,IF(T1026&lt;($F$10-$E$10)/($G$10-$E$10),$E$10+SQRT(T1026*($G$10-$E$10)*($F$10-$E$10)),$G$10-SQRT((1-T1026)*($G$10-$E$10)*($G$10-$F$10))))</f>
        <v>1.03342991699068</v>
      </c>
      <c r="G1026" s="38" t="n">
        <f aca="false">IF($G$11=$E$11,$F$11,IF(U1026&lt;($F$11-$E$11)/($G$11-$E$11),$E$11+SQRT(U1026*($G$11-$E$11)*($F$11-$E$11)),$G$11-SQRT((1-U1026)*($G$11-$E$11)*($G$11-$F$11))))</f>
        <v>0.10785180777528</v>
      </c>
      <c r="H1026" s="39" t="n">
        <f aca="false">(('Business Case'!B11*$C1026*'Business Case'!B12*$B1026)-'Business Case'!B11*$C1026*'Business Case'!B13*$D1026-'Business Case'!B14*$E1026)-MAX(0,(('Business Case'!B11*$C1026*'Business Case'!B12*$B1026)-'Business Case'!B11*$C1026*'Business Case'!B13*$D1026-'Business Case'!B14*$E1026))*'Business Case'!$B$7-'Business Case'!$B$8*('Business Case'!B11*$C1026*'Business Case'!B12*$B1026)-'Business Case'!B15*$F1026</f>
        <v>-2066859833.98135</v>
      </c>
      <c r="I1026" s="39" t="n">
        <f aca="false">(('Business Case'!C11*$C1026*'Business Case'!C12*$B1026)-'Business Case'!C11*$C1026*'Business Case'!C13*$D1026-'Business Case'!C14*$E1026)-MAX(0,(('Business Case'!C11*$C1026*'Business Case'!C12*$B1026)-'Business Case'!C11*$C1026*'Business Case'!C13*$D1026-'Business Case'!C14*$E1026))*'Business Case'!$B$7-'Business Case'!$B$8*(('Business Case'!C11*$C1026*'Business Case'!C12*$B1026)-('Business Case'!B11*$C1026*'Business Case'!B12*$B1026))-'Business Case'!C15*$F1026</f>
        <v>-50557611.957822</v>
      </c>
      <c r="J1026" s="39" t="n">
        <f aca="false">(('Business Case'!D11*$C1026*'Business Case'!D12*$B1026)-'Business Case'!D11*$C1026*'Business Case'!D13*$D1026-'Business Case'!D14*$E1026)-MAX(0,(('Business Case'!D11*$C1026*'Business Case'!D12*$B1026)-'Business Case'!D11*$C1026*'Business Case'!D13*$D1026-'Business Case'!D14*$E1026))*'Business Case'!$B$7-'Business Case'!$B$8*(('Business Case'!D11*$C1026*'Business Case'!D12*$B1026)-('Business Case'!C11*$C1026*'Business Case'!C12*$B1026))-'Business Case'!D15*$F1026</f>
        <v>190502442.874164</v>
      </c>
      <c r="K1026" s="39" t="n">
        <f aca="false">(('Business Case'!E11*$C1026*'Business Case'!E12*$B1026)-'Business Case'!E11*$C1026*'Business Case'!E13*$D1026-'Business Case'!E14*$E1026)-MAX(0,(('Business Case'!E11*$C1026*'Business Case'!E12*$B1026)-'Business Case'!E11*$C1026*'Business Case'!E13*$D1026-'Business Case'!E14*$E1026))*'Business Case'!$B$7-'Business Case'!$B$8*(('Business Case'!E11*$C1026*'Business Case'!E12*$B1026)-('Business Case'!D11*$C1026*'Business Case'!D12*$B1026))-'Business Case'!E15*$F1026</f>
        <v>483233993.555683</v>
      </c>
      <c r="L1026" s="39" t="n">
        <f aca="false">(('Business Case'!F11*$C1026*'Business Case'!F12*$B1026)-'Business Case'!F11*$C1026*'Business Case'!F13*$D1026-'Business Case'!F14*$E1026)-MAX(0,(('Business Case'!F11*$C1026*'Business Case'!F12*$B1026)-'Business Case'!F11*$C1026*'Business Case'!F13*$D1026-'Business Case'!F14*$E1026))*'Business Case'!$B$7-'Business Case'!$B$8*(('Business Case'!F11*$C1026*'Business Case'!F12*$B1026)-('Business Case'!E11*$C1026*'Business Case'!E12*$B1026))-'Business Case'!F15*$F1026</f>
        <v>593343983.937374</v>
      </c>
      <c r="M1026" s="39" t="n">
        <f aca="false">(('Business Case'!G11*$C1026*'Business Case'!G12*$B1026)-'Business Case'!G11*$C1026*'Business Case'!G13*$D1026-'Business Case'!G14*$E1026)-MAX(0,(('Business Case'!G11*$C1026*'Business Case'!G12*$B1026)-'Business Case'!G11*$C1026*'Business Case'!G13*$D1026-'Business Case'!G14*$E1026))*'Business Case'!$B$7-'Business Case'!$B$8*(('Business Case'!G11*$C1026*'Business Case'!G12*$B1026)-('Business Case'!F11*$C1026*'Business Case'!F12*$B1026))-'Business Case'!G15*$F1026+'Business Case'!$B$8*('Business Case'!G11*$C1026*'Business Case'!G12*$B1026)</f>
        <v>757005497.178031</v>
      </c>
      <c r="N1026" s="39" t="n">
        <f aca="false">IF(COUNT('Business Case'!B11:G11)=0,"",H1026+NPV(G1026,I1026:M1026))</f>
        <v>-754370484.139362</v>
      </c>
      <c r="P1026" s="40" t="n">
        <f aca="true">RAND()</f>
        <v>0.378516789314267</v>
      </c>
      <c r="Q1026" s="40" t="n">
        <f aca="true">RAND()</f>
        <v>0.0876602147877688</v>
      </c>
      <c r="R1026" s="40" t="n">
        <f aca="true">RAND()</f>
        <v>0.781472523609382</v>
      </c>
      <c r="S1026" s="40" t="n">
        <f aca="true">RAND()</f>
        <v>0.461494065060137</v>
      </c>
      <c r="T1026" s="40" t="n">
        <f aca="true">RAND()</f>
        <v>0.445088148925338</v>
      </c>
      <c r="U1026" s="40" t="n">
        <f aca="true">RAND()</f>
        <v>0.754035709452082</v>
      </c>
    </row>
    <row r="1027" customFormat="false" ht="15" hidden="false" customHeight="false" outlineLevel="0" collapsed="false">
      <c r="A1027" s="36" t="n">
        <v>947</v>
      </c>
      <c r="B1027" s="37" t="n">
        <f aca="false">1+IF($G$6=$E$6,$F$6,IF(P1027&lt;($F$6-$E$6)/($G$6-$E$6),$E$6+SQRT(P1027*($G$6-$E$6)*($F$6-$E$6)),$G$6-SQRT((1-P1027)*($G$6-$E$6)*($G$6-$F$6))))</f>
        <v>0.949276939302847</v>
      </c>
      <c r="C1027" s="37" t="n">
        <f aca="false">1+IF($G$7=$E$7,$F$7,IF(Q1027&lt;($F$7-$E$7)/($G$7-$E$7),$E$7+SQRT(Q1027*($G$7-$E$7)*($F$7-$E$7)),$G$7-SQRT((1-Q1027)*($G$7-$E$7)*($G$7-$F$7))))</f>
        <v>0.98315946940258</v>
      </c>
      <c r="D1027" s="37" t="n">
        <f aca="false">1+IF($G$8=$E$8,$F$8,IF(R1027&lt;($F$8-$E$8)/($G$8-$E$8),$E$8+SQRT(R1027*($G$8-$E$8)*($F$8-$E$8)),$G$8-SQRT((1-R1027)*($G$8-$E$8)*($G$8-$F$8))))</f>
        <v>0.978906804712562</v>
      </c>
      <c r="E1027" s="37" t="n">
        <f aca="false">1+IF($G$9=$E$9,$F$9,IF(S1027&lt;($F$9-$E$9)/($G$9-$E$9),$E$9+SQRT(S1027*($G$9-$E$9)*($F$9-$E$9)),$G$9-SQRT((1-S1027)*($G$9-$E$9)*($G$9-$F$9))))</f>
        <v>1.07117101864372</v>
      </c>
      <c r="F1027" s="37" t="n">
        <f aca="false">1+IF($G$10=$E$10,$F$10,IF(T1027&lt;($F$10-$E$10)/($G$10-$E$10),$E$10+SQRT(T1027*($G$10-$E$10)*($F$10-$E$10)),$G$10-SQRT((1-T1027)*($G$10-$E$10)*($G$10-$F$10))))</f>
        <v>0.980687318544295</v>
      </c>
      <c r="G1027" s="38" t="n">
        <f aca="false">IF($G$11=$E$11,$F$11,IF(U1027&lt;($F$11-$E$11)/($G$11-$E$11),$E$11+SQRT(U1027*($G$11-$E$11)*($F$11-$E$11)),$G$11-SQRT((1-U1027)*($G$11-$E$11)*($G$11-$F$11))))</f>
        <v>0.0954476899026318</v>
      </c>
      <c r="H1027" s="39" t="n">
        <f aca="false">(('Business Case'!B11*$C1027*'Business Case'!B12*$B1027)-'Business Case'!B11*$C1027*'Business Case'!B13*$D1027-'Business Case'!B14*$E1027)-MAX(0,(('Business Case'!B11*$C1027*'Business Case'!B12*$B1027)-'Business Case'!B11*$C1027*'Business Case'!B13*$D1027-'Business Case'!B14*$E1027))*'Business Case'!$B$7-'Business Case'!$B$8*('Business Case'!B11*$C1027*'Business Case'!B12*$B1027)-'Business Case'!B15*$F1027</f>
        <v>-1961374637.08859</v>
      </c>
      <c r="I1027" s="39" t="n">
        <f aca="false">(('Business Case'!C11*$C1027*'Business Case'!C12*$B1027)-'Business Case'!C11*$C1027*'Business Case'!C13*$D1027-'Business Case'!C14*$E1027)-MAX(0,(('Business Case'!C11*$C1027*'Business Case'!C12*$B1027)-'Business Case'!C11*$C1027*'Business Case'!C13*$D1027-'Business Case'!C14*$E1027))*'Business Case'!$B$7-'Business Case'!$B$8*(('Business Case'!C11*$C1027*'Business Case'!C12*$B1027)-('Business Case'!B11*$C1027*'Business Case'!B12*$B1027))-'Business Case'!C15*$F1027</f>
        <v>-27021639.4843339</v>
      </c>
      <c r="J1027" s="39" t="n">
        <f aca="false">(('Business Case'!D11*$C1027*'Business Case'!D12*$B1027)-'Business Case'!D11*$C1027*'Business Case'!D13*$D1027-'Business Case'!D14*$E1027)-MAX(0,(('Business Case'!D11*$C1027*'Business Case'!D12*$B1027)-'Business Case'!D11*$C1027*'Business Case'!D13*$D1027-'Business Case'!D14*$E1027))*'Business Case'!$B$7-'Business Case'!$B$8*(('Business Case'!D11*$C1027*'Business Case'!D12*$B1027)-('Business Case'!C11*$C1027*'Business Case'!C12*$B1027))-'Business Case'!D15*$F1027</f>
        <v>244727757.060961</v>
      </c>
      <c r="K1027" s="39" t="n">
        <f aca="false">(('Business Case'!E11*$C1027*'Business Case'!E12*$B1027)-'Business Case'!E11*$C1027*'Business Case'!E13*$D1027-'Business Case'!E14*$E1027)-MAX(0,(('Business Case'!E11*$C1027*'Business Case'!E12*$B1027)-'Business Case'!E11*$C1027*'Business Case'!E13*$D1027-'Business Case'!E14*$E1027))*'Business Case'!$B$7-'Business Case'!$B$8*(('Business Case'!E11*$C1027*'Business Case'!E12*$B1027)-('Business Case'!D11*$C1027*'Business Case'!D12*$B1027))-'Business Case'!E15*$F1027</f>
        <v>565511519.533471</v>
      </c>
      <c r="L1027" s="39" t="n">
        <f aca="false">(('Business Case'!F11*$C1027*'Business Case'!F12*$B1027)-'Business Case'!F11*$C1027*'Business Case'!F13*$D1027-'Business Case'!F14*$E1027)-MAX(0,(('Business Case'!F11*$C1027*'Business Case'!F12*$B1027)-'Business Case'!F11*$C1027*'Business Case'!F13*$D1027-'Business Case'!F14*$E1027))*'Business Case'!$B$7-'Business Case'!$B$8*(('Business Case'!F11*$C1027*'Business Case'!F12*$B1027)-('Business Case'!E11*$C1027*'Business Case'!E12*$B1027))-'Business Case'!F15*$F1027</f>
        <v>688349175.264611</v>
      </c>
      <c r="M1027" s="39" t="n">
        <f aca="false">(('Business Case'!G11*$C1027*'Business Case'!G12*$B1027)-'Business Case'!G11*$C1027*'Business Case'!G13*$D1027-'Business Case'!G14*$E1027)-MAX(0,(('Business Case'!G11*$C1027*'Business Case'!G12*$B1027)-'Business Case'!G11*$C1027*'Business Case'!G13*$D1027-'Business Case'!G14*$E1027))*'Business Case'!$B$7-'Business Case'!$B$8*(('Business Case'!G11*$C1027*'Business Case'!G12*$B1027)-('Business Case'!F11*$C1027*'Business Case'!F12*$B1027))-'Business Case'!G15*$F1027+'Business Case'!$B$8*('Business Case'!G11*$C1027*'Business Case'!G12*$B1027)</f>
        <v>865749054.786175</v>
      </c>
      <c r="N1027" s="39" t="n">
        <f aca="false">IF(COUNT('Business Case'!B11:G11)=0,"",H1027+NPV(G1027,I1027:M1027))</f>
        <v>-325066188.417393</v>
      </c>
      <c r="P1027" s="40" t="n">
        <f aca="true">RAND()</f>
        <v>0.0892853307231861</v>
      </c>
      <c r="Q1027" s="40" t="n">
        <f aca="true">RAND()</f>
        <v>0.479248446169065</v>
      </c>
      <c r="R1027" s="40" t="n">
        <f aca="true">RAND()</f>
        <v>0.128554362875412</v>
      </c>
      <c r="S1027" s="40" t="n">
        <f aca="true">RAND()</f>
        <v>0.944592655597266</v>
      </c>
      <c r="T1027" s="40" t="n">
        <f aca="true">RAND()</f>
        <v>0.0753369215551216</v>
      </c>
      <c r="U1027" s="40" t="n">
        <f aca="true">RAND()</f>
        <v>0.0989244175841204</v>
      </c>
    </row>
    <row r="1028" customFormat="false" ht="15" hidden="false" customHeight="false" outlineLevel="0" collapsed="false">
      <c r="A1028" s="36" t="n">
        <v>948</v>
      </c>
      <c r="B1028" s="37" t="n">
        <f aca="false">1+IF($G$6=$E$6,$F$6,IF(P1028&lt;($F$6-$E$6)/($G$6-$E$6),$E$6+SQRT(P1028*($G$6-$E$6)*($F$6-$E$6)),$G$6-SQRT((1-P1028)*($G$6-$E$6)*($G$6-$F$6))))</f>
        <v>1.02651119070924</v>
      </c>
      <c r="C1028" s="37" t="n">
        <f aca="false">1+IF($G$7=$E$7,$F$7,IF(Q1028&lt;($F$7-$E$7)/($G$7-$E$7),$E$7+SQRT(Q1028*($G$7-$E$7)*($F$7-$E$7)),$G$7-SQRT((1-Q1028)*($G$7-$E$7)*($G$7-$F$7))))</f>
        <v>0.974914336588718</v>
      </c>
      <c r="D1028" s="37" t="n">
        <f aca="false">1+IF($G$8=$E$8,$F$8,IF(R1028&lt;($F$8-$E$8)/($G$8-$E$8),$E$8+SQRT(R1028*($G$8-$E$8)*($F$8-$E$8)),$G$8-SQRT((1-R1028)*($G$8-$E$8)*($G$8-$F$8))))</f>
        <v>1.0374268937963</v>
      </c>
      <c r="E1028" s="37" t="n">
        <f aca="false">1+IF($G$9=$E$9,$F$9,IF(S1028&lt;($F$9-$E$9)/($G$9-$E$9),$E$9+SQRT(S1028*($G$9-$E$9)*($F$9-$E$9)),$G$9-SQRT((1-S1028)*($G$9-$E$9)*($G$9-$F$9))))</f>
        <v>1.02428239088785</v>
      </c>
      <c r="F1028" s="37" t="n">
        <f aca="false">1+IF($G$10=$E$10,$F$10,IF(T1028&lt;($F$10-$E$10)/($G$10-$E$10),$E$10+SQRT(T1028*($G$10-$E$10)*($F$10-$E$10)),$G$10-SQRT((1-T1028)*($G$10-$E$10)*($G$10-$F$10))))</f>
        <v>1.03708543540047</v>
      </c>
      <c r="G1028" s="38" t="n">
        <f aca="false">IF($G$11=$E$11,$F$11,IF(U1028&lt;($F$11-$E$11)/($G$11-$E$11),$E$11+SQRT(U1028*($G$11-$E$11)*($F$11-$E$11)),$G$11-SQRT((1-U1028)*($G$11-$E$11)*($G$11-$F$11))))</f>
        <v>0.101635284788436</v>
      </c>
      <c r="H1028" s="39" t="n">
        <f aca="false">(('Business Case'!B11*$C1028*'Business Case'!B12*$B1028)-'Business Case'!B11*$C1028*'Business Case'!B13*$D1028-'Business Case'!B14*$E1028)-MAX(0,(('Business Case'!B11*$C1028*'Business Case'!B12*$B1028)-'Business Case'!B11*$C1028*'Business Case'!B13*$D1028-'Business Case'!B14*$E1028))*'Business Case'!$B$7-'Business Case'!$B$8*('Business Case'!B11*$C1028*'Business Case'!B12*$B1028)-'Business Case'!B15*$F1028</f>
        <v>-2074170870.80095</v>
      </c>
      <c r="I1028" s="39" t="n">
        <f aca="false">(('Business Case'!C11*$C1028*'Business Case'!C12*$B1028)-'Business Case'!C11*$C1028*'Business Case'!C13*$D1028-'Business Case'!C14*$E1028)-MAX(0,(('Business Case'!C11*$C1028*'Business Case'!C12*$B1028)-'Business Case'!C11*$C1028*'Business Case'!C13*$D1028-'Business Case'!C14*$E1028))*'Business Case'!$B$7-'Business Case'!$B$8*(('Business Case'!C11*$C1028*'Business Case'!C12*$B1028)-('Business Case'!B11*$C1028*'Business Case'!B12*$B1028))-'Business Case'!C15*$F1028</f>
        <v>696870.377697751</v>
      </c>
      <c r="J1028" s="39" t="n">
        <f aca="false">(('Business Case'!D11*$C1028*'Business Case'!D12*$B1028)-'Business Case'!D11*$C1028*'Business Case'!D13*$D1028-'Business Case'!D14*$E1028)-MAX(0,(('Business Case'!D11*$C1028*'Business Case'!D12*$B1028)-'Business Case'!D11*$C1028*'Business Case'!D13*$D1028-'Business Case'!D14*$E1028))*'Business Case'!$B$7-'Business Case'!$B$8*(('Business Case'!D11*$C1028*'Business Case'!D12*$B1028)-('Business Case'!C11*$C1028*'Business Case'!C12*$B1028))-'Business Case'!D15*$F1028</f>
        <v>302634663.380999</v>
      </c>
      <c r="K1028" s="39" t="n">
        <f aca="false">(('Business Case'!E11*$C1028*'Business Case'!E12*$B1028)-'Business Case'!E11*$C1028*'Business Case'!E13*$D1028-'Business Case'!E14*$E1028)-MAX(0,(('Business Case'!E11*$C1028*'Business Case'!E12*$B1028)-'Business Case'!E11*$C1028*'Business Case'!E13*$D1028-'Business Case'!E14*$E1028))*'Business Case'!$B$7-'Business Case'!$B$8*(('Business Case'!E11*$C1028*'Business Case'!E12*$B1028)-('Business Case'!D11*$C1028*'Business Case'!D12*$B1028))-'Business Case'!E15*$F1028</f>
        <v>656426728.154323</v>
      </c>
      <c r="L1028" s="39" t="n">
        <f aca="false">(('Business Case'!F11*$C1028*'Business Case'!F12*$B1028)-'Business Case'!F11*$C1028*'Business Case'!F13*$D1028-'Business Case'!F14*$E1028)-MAX(0,(('Business Case'!F11*$C1028*'Business Case'!F12*$B1028)-'Business Case'!F11*$C1028*'Business Case'!F13*$D1028-'Business Case'!F14*$E1028))*'Business Case'!$B$7-'Business Case'!$B$8*(('Business Case'!F11*$C1028*'Business Case'!F12*$B1028)-('Business Case'!E11*$C1028*'Business Case'!E12*$B1028))-'Business Case'!F15*$F1028</f>
        <v>791658941.22296</v>
      </c>
      <c r="M1028" s="39" t="n">
        <f aca="false">(('Business Case'!G11*$C1028*'Business Case'!G12*$B1028)-'Business Case'!G11*$C1028*'Business Case'!G13*$D1028-'Business Case'!G14*$E1028)-MAX(0,(('Business Case'!G11*$C1028*'Business Case'!G12*$B1028)-'Business Case'!G11*$C1028*'Business Case'!G13*$D1028-'Business Case'!G14*$E1028))*'Business Case'!$B$7-'Business Case'!$B$8*(('Business Case'!G11*$C1028*'Business Case'!G12*$B1028)-('Business Case'!F11*$C1028*'Business Case'!F12*$B1028))-'Business Case'!G15*$F1028+'Business Case'!$B$8*('Business Case'!G11*$C1028*'Business Case'!G12*$B1028)</f>
        <v>981883492.594406</v>
      </c>
      <c r="N1028" s="39" t="n">
        <f aca="false">IF(COUNT('Business Case'!B11:G11)=0,"",H1028+NPV(G1028,I1028:M1028))</f>
        <v>-190507829.443978</v>
      </c>
      <c r="P1028" s="40" t="n">
        <f aca="true">RAND()</f>
        <v>0.962094171649502</v>
      </c>
      <c r="Q1028" s="40" t="n">
        <f aca="true">RAND()</f>
        <v>0.437071787775305</v>
      </c>
      <c r="R1028" s="40" t="n">
        <f aca="true">RAND()</f>
        <v>0.825724098862313</v>
      </c>
      <c r="S1028" s="40" t="n">
        <f aca="true">RAND()</f>
        <v>0.617789578022638</v>
      </c>
      <c r="T1028" s="40" t="n">
        <f aca="true">RAND()</f>
        <v>0.46917689282693</v>
      </c>
      <c r="U1028" s="40" t="n">
        <f aca="true">RAND()</f>
        <v>0.437895391996935</v>
      </c>
    </row>
    <row r="1029" customFormat="false" ht="15" hidden="false" customHeight="false" outlineLevel="0" collapsed="false">
      <c r="A1029" s="36" t="n">
        <v>949</v>
      </c>
      <c r="B1029" s="37" t="n">
        <f aca="false">1+IF($G$6=$E$6,$F$6,IF(P1029&lt;($F$6-$E$6)/($G$6-$E$6),$E$6+SQRT(P1029*($G$6-$E$6)*($F$6-$E$6)),$G$6-SQRT((1-P1029)*($G$6-$E$6)*($G$6-$F$6))))</f>
        <v>0.941868718029657</v>
      </c>
      <c r="C1029" s="37" t="n">
        <f aca="false">1+IF($G$7=$E$7,$F$7,IF(Q1029&lt;($F$7-$E$7)/($G$7-$E$7),$E$7+SQRT(Q1029*($G$7-$E$7)*($F$7-$E$7)),$G$7-SQRT((1-Q1029)*($G$7-$E$7)*($G$7-$F$7))))</f>
        <v>1.01512452923944</v>
      </c>
      <c r="D1029" s="37" t="n">
        <f aca="false">1+IF($G$8=$E$8,$F$8,IF(R1029&lt;($F$8-$E$8)/($G$8-$E$8),$E$8+SQRT(R1029*($G$8-$E$8)*($F$8-$E$8)),$G$8-SQRT((1-R1029)*($G$8-$E$8)*($G$8-$F$8))))</f>
        <v>1.05826001751188</v>
      </c>
      <c r="E1029" s="37" t="n">
        <f aca="false">1+IF($G$9=$E$9,$F$9,IF(S1029&lt;($F$9-$E$9)/($G$9-$E$9),$E$9+SQRT(S1029*($G$9-$E$9)*($F$9-$E$9)),$G$9-SQRT((1-S1029)*($G$9-$E$9)*($G$9-$F$9))))</f>
        <v>0.988013210787117</v>
      </c>
      <c r="F1029" s="37" t="n">
        <f aca="false">1+IF($G$10=$E$10,$F$10,IF(T1029&lt;($F$10-$E$10)/($G$10-$E$10),$E$10+SQRT(T1029*($G$10-$E$10)*($F$10-$E$10)),$G$10-SQRT((1-T1029)*($G$10-$E$10)*($G$10-$F$10))))</f>
        <v>0.994587800231477</v>
      </c>
      <c r="G1029" s="38" t="n">
        <f aca="false">IF($G$11=$E$11,$F$11,IF(U1029&lt;($F$11-$E$11)/($G$11-$E$11),$E$11+SQRT(U1029*($G$11-$E$11)*($F$11-$E$11)),$G$11-SQRT((1-U1029)*($G$11-$E$11)*($G$11-$F$11))))</f>
        <v>0.100289791380032</v>
      </c>
      <c r="H1029" s="39" t="n">
        <f aca="false">(('Business Case'!B11*$C1029*'Business Case'!B12*$B1029)-'Business Case'!B11*$C1029*'Business Case'!B13*$D1029-'Business Case'!B14*$E1029)-MAX(0,(('Business Case'!B11*$C1029*'Business Case'!B12*$B1029)-'Business Case'!B11*$C1029*'Business Case'!B13*$D1029-'Business Case'!B14*$E1029))*'Business Case'!$B$7-'Business Case'!$B$8*('Business Case'!B11*$C1029*'Business Case'!B12*$B1029)-'Business Case'!B15*$F1029</f>
        <v>-1989175600.46295</v>
      </c>
      <c r="I1029" s="39" t="n">
        <f aca="false">(('Business Case'!C11*$C1029*'Business Case'!C12*$B1029)-'Business Case'!C11*$C1029*'Business Case'!C13*$D1029-'Business Case'!C14*$E1029)-MAX(0,(('Business Case'!C11*$C1029*'Business Case'!C12*$B1029)-'Business Case'!C11*$C1029*'Business Case'!C13*$D1029-'Business Case'!C14*$E1029))*'Business Case'!$B$7-'Business Case'!$B$8*(('Business Case'!C11*$C1029*'Business Case'!C12*$B1029)-('Business Case'!B11*$C1029*'Business Case'!B12*$B1029))-'Business Case'!C15*$F1029</f>
        <v>-56331070.4444473</v>
      </c>
      <c r="J1029" s="39" t="n">
        <f aca="false">(('Business Case'!D11*$C1029*'Business Case'!D12*$B1029)-'Business Case'!D11*$C1029*'Business Case'!D13*$D1029-'Business Case'!D14*$E1029)-MAX(0,(('Business Case'!D11*$C1029*'Business Case'!D12*$B1029)-'Business Case'!D11*$C1029*'Business Case'!D13*$D1029-'Business Case'!D14*$E1029))*'Business Case'!$B$7-'Business Case'!$B$8*(('Business Case'!D11*$C1029*'Business Case'!D12*$B1029)-('Business Case'!C11*$C1029*'Business Case'!C12*$B1029))-'Business Case'!D15*$F1029</f>
        <v>176857069.489693</v>
      </c>
      <c r="K1029" s="39" t="n">
        <f aca="false">(('Business Case'!E11*$C1029*'Business Case'!E12*$B1029)-'Business Case'!E11*$C1029*'Business Case'!E13*$D1029-'Business Case'!E14*$E1029)-MAX(0,(('Business Case'!E11*$C1029*'Business Case'!E12*$B1029)-'Business Case'!E11*$C1029*'Business Case'!E13*$D1029-'Business Case'!E14*$E1029))*'Business Case'!$B$7-'Business Case'!$B$8*(('Business Case'!E11*$C1029*'Business Case'!E12*$B1029)-('Business Case'!D11*$C1029*'Business Case'!D12*$B1029))-'Business Case'!E15*$F1029</f>
        <v>459774599.435407</v>
      </c>
      <c r="L1029" s="39" t="n">
        <f aca="false">(('Business Case'!F11*$C1029*'Business Case'!F12*$B1029)-'Business Case'!F11*$C1029*'Business Case'!F13*$D1029-'Business Case'!F14*$E1029)-MAX(0,(('Business Case'!F11*$C1029*'Business Case'!F12*$B1029)-'Business Case'!F11*$C1029*'Business Case'!F13*$D1029-'Business Case'!F14*$E1029))*'Business Case'!$B$7-'Business Case'!$B$8*(('Business Case'!F11*$C1029*'Business Case'!F12*$B1029)-('Business Case'!E11*$C1029*'Business Case'!E12*$B1029))-'Business Case'!F15*$F1029</f>
        <v>570547280.601128</v>
      </c>
      <c r="M1029" s="39" t="n">
        <f aca="false">(('Business Case'!G11*$C1029*'Business Case'!G12*$B1029)-'Business Case'!G11*$C1029*'Business Case'!G13*$D1029-'Business Case'!G14*$E1029)-MAX(0,(('Business Case'!G11*$C1029*'Business Case'!G12*$B1029)-'Business Case'!G11*$C1029*'Business Case'!G13*$D1029-'Business Case'!G14*$E1029))*'Business Case'!$B$7-'Business Case'!$B$8*(('Business Case'!G11*$C1029*'Business Case'!G12*$B1029)-('Business Case'!F11*$C1029*'Business Case'!F12*$B1029))-'Business Case'!G15*$F1029+'Business Case'!$B$8*('Business Case'!G11*$C1029*'Business Case'!G12*$B1029)</f>
        <v>752285437.133338</v>
      </c>
      <c r="N1029" s="39" t="n">
        <f aca="false">IF(COUNT('Business Case'!B11:G11)=0,"",H1029+NPV(G1029,I1029:M1029))</f>
        <v>-693347347.47099</v>
      </c>
      <c r="P1029" s="40" t="n">
        <f aca="true">RAND()</f>
        <v>0.0498167529438151</v>
      </c>
      <c r="Q1029" s="40" t="n">
        <f aca="true">RAND()</f>
        <v>0.653497283564155</v>
      </c>
      <c r="R1029" s="40" t="n">
        <f aca="true">RAND()</f>
        <v>0.954555111674654</v>
      </c>
      <c r="S1029" s="40" t="n">
        <f aca="true">RAND()</f>
        <v>0.192667225912769</v>
      </c>
      <c r="T1029" s="40" t="n">
        <f aca="true">RAND()</f>
        <v>0.15904575435857</v>
      </c>
      <c r="U1029" s="40" t="n">
        <f aca="true">RAND()</f>
        <v>0.352512793595551</v>
      </c>
    </row>
    <row r="1030" customFormat="false" ht="15" hidden="false" customHeight="false" outlineLevel="0" collapsed="false">
      <c r="A1030" s="36" t="n">
        <v>950</v>
      </c>
      <c r="B1030" s="37" t="n">
        <f aca="false">1+IF($G$6=$E$6,$F$6,IF(P1030&lt;($F$6-$E$6)/($G$6-$E$6),$E$6+SQRT(P1030*($G$6-$E$6)*($F$6-$E$6)),$G$6-SQRT((1-P1030)*($G$6-$E$6)*($G$6-$F$6))))</f>
        <v>1.03126763338518</v>
      </c>
      <c r="C1030" s="37" t="n">
        <f aca="false">1+IF($G$7=$E$7,$F$7,IF(Q1030&lt;($F$7-$E$7)/($G$7-$E$7),$E$7+SQRT(Q1030*($G$7-$E$7)*($F$7-$E$7)),$G$7-SQRT((1-Q1030)*($G$7-$E$7)*($G$7-$F$7))))</f>
        <v>0.925411436084265</v>
      </c>
      <c r="D1030" s="37" t="n">
        <f aca="false">1+IF($G$8=$E$8,$F$8,IF(R1030&lt;($F$8-$E$8)/($G$8-$E$8),$E$8+SQRT(R1030*($G$8-$E$8)*($F$8-$E$8)),$G$8-SQRT((1-R1030)*($G$8-$E$8)*($G$8-$F$8))))</f>
        <v>1.0430327833525</v>
      </c>
      <c r="E1030" s="37" t="n">
        <f aca="false">1+IF($G$9=$E$9,$F$9,IF(S1030&lt;($F$9-$E$9)/($G$9-$E$9),$E$9+SQRT(S1030*($G$9-$E$9)*($F$9-$E$9)),$G$9-SQRT((1-S1030)*($G$9-$E$9)*($G$9-$F$9))))</f>
        <v>0.997936224205287</v>
      </c>
      <c r="F1030" s="37" t="n">
        <f aca="false">1+IF($G$10=$E$10,$F$10,IF(T1030&lt;($F$10-$E$10)/($G$10-$E$10),$E$10+SQRT(T1030*($G$10-$E$10)*($F$10-$E$10)),$G$10-SQRT((1-T1030)*($G$10-$E$10)*($G$10-$F$10))))</f>
        <v>1.02164270680691</v>
      </c>
      <c r="G1030" s="38" t="n">
        <f aca="false">IF($G$11=$E$11,$F$11,IF(U1030&lt;($F$11-$E$11)/($G$11-$E$11),$E$11+SQRT(U1030*($G$11-$E$11)*($F$11-$E$11)),$G$11-SQRT((1-U1030)*($G$11-$E$11)*($G$11-$F$11))))</f>
        <v>0.107342473011242</v>
      </c>
      <c r="H1030" s="39" t="n">
        <f aca="false">(('Business Case'!B11*$C1030*'Business Case'!B12*$B1030)-'Business Case'!B11*$C1030*'Business Case'!B13*$D1030-'Business Case'!B14*$E1030)-MAX(0,(('Business Case'!B11*$C1030*'Business Case'!B12*$B1030)-'Business Case'!B11*$C1030*'Business Case'!B13*$D1030-'Business Case'!B14*$E1030))*'Business Case'!$B$7-'Business Case'!$B$8*('Business Case'!B11*$C1030*'Business Case'!B12*$B1030)-'Business Case'!B15*$F1030</f>
        <v>-2043285413.61383</v>
      </c>
      <c r="I1030" s="39" t="n">
        <f aca="false">(('Business Case'!C11*$C1030*'Business Case'!C12*$B1030)-'Business Case'!C11*$C1030*'Business Case'!C13*$D1030-'Business Case'!C14*$E1030)-MAX(0,(('Business Case'!C11*$C1030*'Business Case'!C12*$B1030)-'Business Case'!C11*$C1030*'Business Case'!C13*$D1030-'Business Case'!C14*$E1030))*'Business Case'!$B$7-'Business Case'!$B$8*(('Business Case'!C11*$C1030*'Business Case'!C12*$B1030)-('Business Case'!B11*$C1030*'Business Case'!B12*$B1030))-'Business Case'!C15*$F1030</f>
        <v>-5988178.24140389</v>
      </c>
      <c r="J1030" s="39" t="n">
        <f aca="false">(('Business Case'!D11*$C1030*'Business Case'!D12*$B1030)-'Business Case'!D11*$C1030*'Business Case'!D13*$D1030-'Business Case'!D14*$E1030)-MAX(0,(('Business Case'!D11*$C1030*'Business Case'!D12*$B1030)-'Business Case'!D11*$C1030*'Business Case'!D13*$D1030-'Business Case'!D14*$E1030))*'Business Case'!$B$7-'Business Case'!$B$8*(('Business Case'!D11*$C1030*'Business Case'!D12*$B1030)-('Business Case'!C11*$C1030*'Business Case'!C12*$B1030))-'Business Case'!D15*$F1030</f>
        <v>281567786.585126</v>
      </c>
      <c r="K1030" s="39" t="n">
        <f aca="false">(('Business Case'!E11*$C1030*'Business Case'!E12*$B1030)-'Business Case'!E11*$C1030*'Business Case'!E13*$D1030-'Business Case'!E14*$E1030)-MAX(0,(('Business Case'!E11*$C1030*'Business Case'!E12*$B1030)-'Business Case'!E11*$C1030*'Business Case'!E13*$D1030-'Business Case'!E14*$E1030))*'Business Case'!$B$7-'Business Case'!$B$8*(('Business Case'!E11*$C1030*'Business Case'!E12*$B1030)-('Business Case'!D11*$C1030*'Business Case'!D12*$B1030))-'Business Case'!E15*$F1030</f>
        <v>620205886.752002</v>
      </c>
      <c r="L1030" s="39" t="n">
        <f aca="false">(('Business Case'!F11*$C1030*'Business Case'!F12*$B1030)-'Business Case'!F11*$C1030*'Business Case'!F13*$D1030-'Business Case'!F14*$E1030)-MAX(0,(('Business Case'!F11*$C1030*'Business Case'!F12*$B1030)-'Business Case'!F11*$C1030*'Business Case'!F13*$D1030-'Business Case'!F14*$E1030))*'Business Case'!$B$7-'Business Case'!$B$8*(('Business Case'!F11*$C1030*'Business Case'!F12*$B1030)-('Business Case'!E11*$C1030*'Business Case'!E12*$B1030))-'Business Case'!F15*$F1030</f>
        <v>749040102.564346</v>
      </c>
      <c r="M1030" s="39" t="n">
        <f aca="false">(('Business Case'!G11*$C1030*'Business Case'!G12*$B1030)-'Business Case'!G11*$C1030*'Business Case'!G13*$D1030-'Business Case'!G14*$E1030)-MAX(0,(('Business Case'!G11*$C1030*'Business Case'!G12*$B1030)-'Business Case'!G11*$C1030*'Business Case'!G13*$D1030-'Business Case'!G14*$E1030))*'Business Case'!$B$7-'Business Case'!$B$8*(('Business Case'!G11*$C1030*'Business Case'!G12*$B1030)-('Business Case'!F11*$C1030*'Business Case'!F12*$B1030))-'Business Case'!G15*$F1030+'Business Case'!$B$8*('Business Case'!G11*$C1030*'Business Case'!G12*$B1030)</f>
        <v>930442354.016932</v>
      </c>
      <c r="N1030" s="39" t="n">
        <f aca="false">IF(COUNT('Business Case'!B11:G11)=0,"",H1030+NPV(G1030,I1030:M1030))</f>
        <v>-305306552.947716</v>
      </c>
      <c r="P1030" s="40" t="n">
        <f aca="true">RAND()</f>
        <v>0.984113702771753</v>
      </c>
      <c r="Q1030" s="40" t="n">
        <f aca="true">RAND()</f>
        <v>0.224686118581681</v>
      </c>
      <c r="R1030" s="40" t="n">
        <f aca="true">RAND()</f>
        <v>0.86859854743626</v>
      </c>
      <c r="S1030" s="40" t="n">
        <f aca="true">RAND()</f>
        <v>0.306384212141274</v>
      </c>
      <c r="T1030" s="40" t="n">
        <f aca="true">RAND()</f>
        <v>0.36377351929671</v>
      </c>
      <c r="U1030" s="40" t="n">
        <f aca="true">RAND()</f>
        <v>0.732978350881423</v>
      </c>
    </row>
    <row r="1031" customFormat="false" ht="15" hidden="false" customHeight="false" outlineLevel="0" collapsed="false">
      <c r="A1031" s="36" t="n">
        <v>951</v>
      </c>
      <c r="B1031" s="37" t="n">
        <f aca="false">1+IF($G$6=$E$6,$F$6,IF(P1031&lt;($F$6-$E$6)/($G$6-$E$6),$E$6+SQRT(P1031*($G$6-$E$6)*($F$6-$E$6)),$G$6-SQRT((1-P1031)*($G$6-$E$6)*($G$6-$F$6))))</f>
        <v>0.96707577910039</v>
      </c>
      <c r="C1031" s="37" t="n">
        <f aca="false">1+IF($G$7=$E$7,$F$7,IF(Q1031&lt;($F$7-$E$7)/($G$7-$E$7),$E$7+SQRT(Q1031*($G$7-$E$7)*($F$7-$E$7)),$G$7-SQRT((1-Q1031)*($G$7-$E$7)*($G$7-$F$7))))</f>
        <v>0.941728101612204</v>
      </c>
      <c r="D1031" s="37" t="n">
        <f aca="false">1+IF($G$8=$E$8,$F$8,IF(R1031&lt;($F$8-$E$8)/($G$8-$E$8),$E$8+SQRT(R1031*($G$8-$E$8)*($F$8-$E$8)),$G$8-SQRT((1-R1031)*($G$8-$E$8)*($G$8-$F$8))))</f>
        <v>1.01753087457226</v>
      </c>
      <c r="E1031" s="37" t="n">
        <f aca="false">1+IF($G$9=$E$9,$F$9,IF(S1031&lt;($F$9-$E$9)/($G$9-$E$9),$E$9+SQRT(S1031*($G$9-$E$9)*($F$9-$E$9)),$G$9-SQRT((1-S1031)*($G$9-$E$9)*($G$9-$F$9))))</f>
        <v>0.983155953088992</v>
      </c>
      <c r="F1031" s="37" t="n">
        <f aca="false">1+IF($G$10=$E$10,$F$10,IF(T1031&lt;($F$10-$E$10)/($G$10-$E$10),$E$10+SQRT(T1031*($G$10-$E$10)*($F$10-$E$10)),$G$10-SQRT((1-T1031)*($G$10-$E$10)*($G$10-$F$10))))</f>
        <v>1.0237726386996</v>
      </c>
      <c r="G1031" s="38" t="n">
        <f aca="false">IF($G$11=$E$11,$F$11,IF(U1031&lt;($F$11-$E$11)/($G$11-$E$11),$E$11+SQRT(U1031*($G$11-$E$11)*($F$11-$E$11)),$G$11-SQRT((1-U1031)*($G$11-$E$11)*($G$11-$F$11))))</f>
        <v>0.100240467573429</v>
      </c>
      <c r="H1031" s="39" t="n">
        <f aca="false">(('Business Case'!B11*$C1031*'Business Case'!B12*$B1031)-'Business Case'!B11*$C1031*'Business Case'!B13*$D1031-'Business Case'!B14*$E1031)-MAX(0,(('Business Case'!B11*$C1031*'Business Case'!B12*$B1031)-'Business Case'!B11*$C1031*'Business Case'!B13*$D1031-'Business Case'!B14*$E1031))*'Business Case'!$B$7-'Business Case'!$B$8*('Business Case'!B11*$C1031*'Business Case'!B12*$B1031)-'Business Case'!B15*$F1031</f>
        <v>-2047545277.3992</v>
      </c>
      <c r="I1031" s="39" t="n">
        <f aca="false">(('Business Case'!C11*$C1031*'Business Case'!C12*$B1031)-'Business Case'!C11*$C1031*'Business Case'!C13*$D1031-'Business Case'!C14*$E1031)-MAX(0,(('Business Case'!C11*$C1031*'Business Case'!C12*$B1031)-'Business Case'!C11*$C1031*'Business Case'!C13*$D1031-'Business Case'!C14*$E1031))*'Business Case'!$B$7-'Business Case'!$B$8*(('Business Case'!C11*$C1031*'Business Case'!C12*$B1031)-('Business Case'!B11*$C1031*'Business Case'!B12*$B1031))-'Business Case'!C15*$F1031</f>
        <v>-33987542.6335149</v>
      </c>
      <c r="J1031" s="39" t="n">
        <f aca="false">(('Business Case'!D11*$C1031*'Business Case'!D12*$B1031)-'Business Case'!D11*$C1031*'Business Case'!D13*$D1031-'Business Case'!D14*$E1031)-MAX(0,(('Business Case'!D11*$C1031*'Business Case'!D12*$B1031)-'Business Case'!D11*$C1031*'Business Case'!D13*$D1031-'Business Case'!D14*$E1031))*'Business Case'!$B$7-'Business Case'!$B$8*(('Business Case'!D11*$C1031*'Business Case'!D12*$B1031)-('Business Case'!C11*$C1031*'Business Case'!C12*$B1031))-'Business Case'!D15*$F1031</f>
        <v>221418806.295677</v>
      </c>
      <c r="K1031" s="39" t="n">
        <f aca="false">(('Business Case'!E11*$C1031*'Business Case'!E12*$B1031)-'Business Case'!E11*$C1031*'Business Case'!E13*$D1031-'Business Case'!E14*$E1031)-MAX(0,(('Business Case'!E11*$C1031*'Business Case'!E12*$B1031)-'Business Case'!E11*$C1031*'Business Case'!E13*$D1031-'Business Case'!E14*$E1031))*'Business Case'!$B$7-'Business Case'!$B$8*(('Business Case'!E11*$C1031*'Business Case'!E12*$B1031)-('Business Case'!D11*$C1031*'Business Case'!D12*$B1031))-'Business Case'!E15*$F1031</f>
        <v>528013787.159848</v>
      </c>
      <c r="L1031" s="39" t="n">
        <f aca="false">(('Business Case'!F11*$C1031*'Business Case'!F12*$B1031)-'Business Case'!F11*$C1031*'Business Case'!F13*$D1031-'Business Case'!F14*$E1031)-MAX(0,(('Business Case'!F11*$C1031*'Business Case'!F12*$B1031)-'Business Case'!F11*$C1031*'Business Case'!F13*$D1031-'Business Case'!F14*$E1031))*'Business Case'!$B$7-'Business Case'!$B$8*(('Business Case'!F11*$C1031*'Business Case'!F12*$B1031)-('Business Case'!E11*$C1031*'Business Case'!E12*$B1031))-'Business Case'!F15*$F1031</f>
        <v>644623804.24524</v>
      </c>
      <c r="M1031" s="39" t="n">
        <f aca="false">(('Business Case'!G11*$C1031*'Business Case'!G12*$B1031)-'Business Case'!G11*$C1031*'Business Case'!G13*$D1031-'Business Case'!G14*$E1031)-MAX(0,(('Business Case'!G11*$C1031*'Business Case'!G12*$B1031)-'Business Case'!G11*$C1031*'Business Case'!G13*$D1031-'Business Case'!G14*$E1031))*'Business Case'!$B$7-'Business Case'!$B$8*(('Business Case'!G11*$C1031*'Business Case'!G12*$B1031)-('Business Case'!F11*$C1031*'Business Case'!F12*$B1031))-'Business Case'!G15*$F1031+'Business Case'!$B$8*('Business Case'!G11*$C1031*'Business Case'!G12*$B1031)</f>
        <v>817733925.178042</v>
      </c>
      <c r="N1031" s="39" t="n">
        <f aca="false">IF(COUNT('Business Case'!B11:G11)=0,"",H1031+NPV(G1031,I1031:M1031))</f>
        <v>-551985249.832553</v>
      </c>
      <c r="P1031" s="40" t="n">
        <f aca="true">RAND()</f>
        <v>0.230846768532155</v>
      </c>
      <c r="Q1031" s="40" t="n">
        <f aca="true">RAND()</f>
        <v>0.286955068379987</v>
      </c>
      <c r="R1031" s="40" t="n">
        <f aca="true">RAND()</f>
        <v>0.624770035412822</v>
      </c>
      <c r="S1031" s="40" t="n">
        <f aca="true">RAND()</f>
        <v>0.146575630031922</v>
      </c>
      <c r="T1031" s="40" t="n">
        <f aca="true">RAND()</f>
        <v>0.378878342581971</v>
      </c>
      <c r="U1031" s="40" t="n">
        <f aca="true">RAND()</f>
        <v>0.349268130472176</v>
      </c>
    </row>
    <row r="1032" customFormat="false" ht="15" hidden="false" customHeight="false" outlineLevel="0" collapsed="false">
      <c r="A1032" s="36" t="n">
        <v>952</v>
      </c>
      <c r="B1032" s="37" t="n">
        <f aca="false">1+IF($G$6=$E$6,$F$6,IF(P1032&lt;($F$6-$E$6)/($G$6-$E$6),$E$6+SQRT(P1032*($G$6-$E$6)*($F$6-$E$6)),$G$6-SQRT((1-P1032)*($G$6-$E$6)*($G$6-$F$6))))</f>
        <v>0.999232281619957</v>
      </c>
      <c r="C1032" s="37" t="n">
        <f aca="false">1+IF($G$7=$E$7,$F$7,IF(Q1032&lt;($F$7-$E$7)/($G$7-$E$7),$E$7+SQRT(Q1032*($G$7-$E$7)*($F$7-$E$7)),$G$7-SQRT((1-Q1032)*($G$7-$E$7)*($G$7-$F$7))))</f>
        <v>1.00033986051273</v>
      </c>
      <c r="D1032" s="37" t="n">
        <f aca="false">1+IF($G$8=$E$8,$F$8,IF(R1032&lt;($F$8-$E$8)/($G$8-$E$8),$E$8+SQRT(R1032*($G$8-$E$8)*($F$8-$E$8)),$G$8-SQRT((1-R1032)*($G$8-$E$8)*($G$8-$F$8))))</f>
        <v>1.00897858153298</v>
      </c>
      <c r="E1032" s="37" t="n">
        <f aca="false">1+IF($G$9=$E$9,$F$9,IF(S1032&lt;($F$9-$E$9)/($G$9-$E$9),$E$9+SQRT(S1032*($G$9-$E$9)*($F$9-$E$9)),$G$9-SQRT((1-S1032)*($G$9-$E$9)*($G$9-$F$9))))</f>
        <v>1.04818238229957</v>
      </c>
      <c r="F1032" s="37" t="n">
        <f aca="false">1+IF($G$10=$E$10,$F$10,IF(T1032&lt;($F$10-$E$10)/($G$10-$E$10),$E$10+SQRT(T1032*($G$10-$E$10)*($F$10-$E$10)),$G$10-SQRT((1-T1032)*($G$10-$E$10)*($G$10-$F$10))))</f>
        <v>1.01598880668169</v>
      </c>
      <c r="G1032" s="38" t="n">
        <f aca="false">IF($G$11=$E$11,$F$11,IF(U1032&lt;($F$11-$E$11)/($G$11-$E$11),$E$11+SQRT(U1032*($G$11-$E$11)*($F$11-$E$11)),$G$11-SQRT((1-U1032)*($G$11-$E$11)*($G$11-$F$11))))</f>
        <v>0.110637939938163</v>
      </c>
      <c r="H1032" s="39" t="n">
        <f aca="false">(('Business Case'!B11*$C1032*'Business Case'!B12*$B1032)-'Business Case'!B11*$C1032*'Business Case'!B13*$D1032-'Business Case'!B14*$E1032)-MAX(0,(('Business Case'!B11*$C1032*'Business Case'!B12*$B1032)-'Business Case'!B11*$C1032*'Business Case'!B13*$D1032-'Business Case'!B14*$E1032))*'Business Case'!$B$7-'Business Case'!$B$8*('Business Case'!B11*$C1032*'Business Case'!B12*$B1032)-'Business Case'!B15*$F1032</f>
        <v>-2031977613.36339</v>
      </c>
      <c r="I1032" s="39" t="n">
        <f aca="false">(('Business Case'!C11*$C1032*'Business Case'!C12*$B1032)-'Business Case'!C11*$C1032*'Business Case'!C13*$D1032-'Business Case'!C14*$E1032)-MAX(0,(('Business Case'!C11*$C1032*'Business Case'!C12*$B1032)-'Business Case'!C11*$C1032*'Business Case'!C13*$D1032-'Business Case'!C14*$E1032))*'Business Case'!$B$7-'Business Case'!$B$8*(('Business Case'!C11*$C1032*'Business Case'!C12*$B1032)-('Business Case'!B11*$C1032*'Business Case'!B12*$B1032))-'Business Case'!C15*$F1032</f>
        <v>-438740.820587397</v>
      </c>
      <c r="J1032" s="39" t="n">
        <f aca="false">(('Business Case'!D11*$C1032*'Business Case'!D12*$B1032)-'Business Case'!D11*$C1032*'Business Case'!D13*$D1032-'Business Case'!D14*$E1032)-MAX(0,(('Business Case'!D11*$C1032*'Business Case'!D12*$B1032)-'Business Case'!D11*$C1032*'Business Case'!D13*$D1032-'Business Case'!D14*$E1032))*'Business Case'!$B$7-'Business Case'!$B$8*(('Business Case'!D11*$C1032*'Business Case'!D12*$B1032)-('Business Case'!C11*$C1032*'Business Case'!C12*$B1032))-'Business Case'!D15*$F1032</f>
        <v>301590740.112206</v>
      </c>
      <c r="K1032" s="39" t="n">
        <f aca="false">(('Business Case'!E11*$C1032*'Business Case'!E12*$B1032)-'Business Case'!E11*$C1032*'Business Case'!E13*$D1032-'Business Case'!E14*$E1032)-MAX(0,(('Business Case'!E11*$C1032*'Business Case'!E12*$B1032)-'Business Case'!E11*$C1032*'Business Case'!E13*$D1032-'Business Case'!E14*$E1032))*'Business Case'!$B$7-'Business Case'!$B$8*(('Business Case'!E11*$C1032*'Business Case'!E12*$B1032)-('Business Case'!D11*$C1032*'Business Case'!D12*$B1032))-'Business Case'!E15*$F1032</f>
        <v>654419661.379085</v>
      </c>
      <c r="L1032" s="39" t="n">
        <f aca="false">(('Business Case'!F11*$C1032*'Business Case'!F12*$B1032)-'Business Case'!F11*$C1032*'Business Case'!F13*$D1032-'Business Case'!F14*$E1032)-MAX(0,(('Business Case'!F11*$C1032*'Business Case'!F12*$B1032)-'Business Case'!F11*$C1032*'Business Case'!F13*$D1032-'Business Case'!F14*$E1032))*'Business Case'!$B$7-'Business Case'!$B$8*(('Business Case'!F11*$C1032*'Business Case'!F12*$B1032)-('Business Case'!E11*$C1032*'Business Case'!E12*$B1032))-'Business Case'!F15*$F1032</f>
        <v>789641359.238158</v>
      </c>
      <c r="M1032" s="39" t="n">
        <f aca="false">(('Business Case'!G11*$C1032*'Business Case'!G12*$B1032)-'Business Case'!G11*$C1032*'Business Case'!G13*$D1032-'Business Case'!G14*$E1032)-MAX(0,(('Business Case'!G11*$C1032*'Business Case'!G12*$B1032)-'Business Case'!G11*$C1032*'Business Case'!G13*$D1032-'Business Case'!G14*$E1032))*'Business Case'!$B$7-'Business Case'!$B$8*(('Business Case'!G11*$C1032*'Business Case'!G12*$B1032)-('Business Case'!F11*$C1032*'Business Case'!F12*$B1032))-'Business Case'!G15*$F1032+'Business Case'!$B$8*('Business Case'!G11*$C1032*'Business Case'!G12*$B1032)</f>
        <v>979639982.419604</v>
      </c>
      <c r="N1032" s="39" t="n">
        <f aca="false">IF(COUNT('Business Case'!B11:G11)=0,"",H1032+NPV(G1032,I1032:M1032))</f>
        <v>-211525961.093085</v>
      </c>
      <c r="P1032" s="40" t="n">
        <f aca="true">RAND()</f>
        <v>0.653932755281679</v>
      </c>
      <c r="Q1032" s="40" t="n">
        <f aca="true">RAND()</f>
        <v>0.57336843140286</v>
      </c>
      <c r="R1032" s="40" t="n">
        <f aca="true">RAND()</f>
        <v>0.514995972974252</v>
      </c>
      <c r="S1032" s="40" t="n">
        <f aca="true">RAND()</f>
        <v>0.820995633056814</v>
      </c>
      <c r="T1032" s="40" t="n">
        <f aca="true">RAND()</f>
        <v>0.322797614671459</v>
      </c>
      <c r="U1032" s="40" t="n">
        <f aca="true">RAND()</f>
        <v>0.85391971899759</v>
      </c>
    </row>
    <row r="1033" customFormat="false" ht="15" hidden="false" customHeight="false" outlineLevel="0" collapsed="false">
      <c r="A1033" s="36" t="n">
        <v>953</v>
      </c>
      <c r="B1033" s="37" t="n">
        <f aca="false">1+IF($G$6=$E$6,$F$6,IF(P1033&lt;($F$6-$E$6)/($G$6-$E$6),$E$6+SQRT(P1033*($G$6-$E$6)*($F$6-$E$6)),$G$6-SQRT((1-P1033)*($G$6-$E$6)*($G$6-$F$6))))</f>
        <v>0.978334516782003</v>
      </c>
      <c r="C1033" s="37" t="n">
        <f aca="false">1+IF($G$7=$E$7,$F$7,IF(Q1033&lt;($F$7-$E$7)/($G$7-$E$7),$E$7+SQRT(Q1033*($G$7-$E$7)*($F$7-$E$7)),$G$7-SQRT((1-Q1033)*($G$7-$E$7)*($G$7-$F$7))))</f>
        <v>0.846963824414799</v>
      </c>
      <c r="D1033" s="37" t="n">
        <f aca="false">1+IF($G$8=$E$8,$F$8,IF(R1033&lt;($F$8-$E$8)/($G$8-$E$8),$E$8+SQRT(R1033*($G$8-$E$8)*($F$8-$E$8)),$G$8-SQRT((1-R1033)*($G$8-$E$8)*($G$8-$F$8))))</f>
        <v>0.985057586987272</v>
      </c>
      <c r="E1033" s="37" t="n">
        <f aca="false">1+IF($G$9=$E$9,$F$9,IF(S1033&lt;($F$9-$E$9)/($G$9-$E$9),$E$9+SQRT(S1033*($G$9-$E$9)*($F$9-$E$9)),$G$9-SQRT((1-S1033)*($G$9-$E$9)*($G$9-$F$9))))</f>
        <v>1.03284815877665</v>
      </c>
      <c r="F1033" s="37" t="n">
        <f aca="false">1+IF($G$10=$E$10,$F$10,IF(T1033&lt;($F$10-$E$10)/($G$10-$E$10),$E$10+SQRT(T1033*($G$10-$E$10)*($F$10-$E$10)),$G$10-SQRT((1-T1033)*($G$10-$E$10)*($G$10-$F$10))))</f>
        <v>1.17386202467684</v>
      </c>
      <c r="G1033" s="38" t="n">
        <f aca="false">IF($G$11=$E$11,$F$11,IF(U1033&lt;($F$11-$E$11)/($G$11-$E$11),$E$11+SQRT(U1033*($G$11-$E$11)*($F$11-$E$11)),$G$11-SQRT((1-U1033)*($G$11-$E$11)*($G$11-$F$11))))</f>
        <v>0.09823806621848</v>
      </c>
      <c r="H1033" s="39" t="n">
        <f aca="false">(('Business Case'!B11*$C1033*'Business Case'!B12*$B1033)-'Business Case'!B11*$C1033*'Business Case'!B13*$D1033-'Business Case'!B14*$E1033)-MAX(0,(('Business Case'!B11*$C1033*'Business Case'!B12*$B1033)-'Business Case'!B11*$C1033*'Business Case'!B13*$D1033-'Business Case'!B14*$E1033))*'Business Case'!$B$7-'Business Case'!$B$8*('Business Case'!B11*$C1033*'Business Case'!B12*$B1033)-'Business Case'!B15*$F1033</f>
        <v>-2347724049.35368</v>
      </c>
      <c r="I1033" s="39" t="n">
        <f aca="false">(('Business Case'!C11*$C1033*'Business Case'!C12*$B1033)-'Business Case'!C11*$C1033*'Business Case'!C13*$D1033-'Business Case'!C14*$E1033)-MAX(0,(('Business Case'!C11*$C1033*'Business Case'!C12*$B1033)-'Business Case'!C11*$C1033*'Business Case'!C13*$D1033-'Business Case'!C14*$E1033))*'Business Case'!$B$7-'Business Case'!$B$8*(('Business Case'!C11*$C1033*'Business Case'!C12*$B1033)-('Business Case'!B11*$C1033*'Business Case'!B12*$B1033))-'Business Case'!C15*$F1033</f>
        <v>-55617100.8607893</v>
      </c>
      <c r="J1033" s="39" t="n">
        <f aca="false">(('Business Case'!D11*$C1033*'Business Case'!D12*$B1033)-'Business Case'!D11*$C1033*'Business Case'!D13*$D1033-'Business Case'!D14*$E1033)-MAX(0,(('Business Case'!D11*$C1033*'Business Case'!D12*$B1033)-'Business Case'!D11*$C1033*'Business Case'!D13*$D1033-'Business Case'!D14*$E1033))*'Business Case'!$B$7-'Business Case'!$B$8*(('Business Case'!D11*$C1033*'Business Case'!D12*$B1033)-('Business Case'!C11*$C1033*'Business Case'!C12*$B1033))-'Business Case'!D15*$F1033</f>
        <v>195978355.775438</v>
      </c>
      <c r="K1033" s="39" t="n">
        <f aca="false">(('Business Case'!E11*$C1033*'Business Case'!E12*$B1033)-'Business Case'!E11*$C1033*'Business Case'!E13*$D1033-'Business Case'!E14*$E1033)-MAX(0,(('Business Case'!E11*$C1033*'Business Case'!E12*$B1033)-'Business Case'!E11*$C1033*'Business Case'!E13*$D1033-'Business Case'!E14*$E1033))*'Business Case'!$B$7-'Business Case'!$B$8*(('Business Case'!E11*$C1033*'Business Case'!E12*$B1033)-('Business Case'!D11*$C1033*'Business Case'!D12*$B1033))-'Business Case'!E15*$F1033</f>
        <v>506266913.645508</v>
      </c>
      <c r="L1033" s="39" t="n">
        <f aca="false">(('Business Case'!F11*$C1033*'Business Case'!F12*$B1033)-'Business Case'!F11*$C1033*'Business Case'!F13*$D1033-'Business Case'!F14*$E1033)-MAX(0,(('Business Case'!F11*$C1033*'Business Case'!F12*$B1033)-'Business Case'!F11*$C1033*'Business Case'!F13*$D1033-'Business Case'!F14*$E1033))*'Business Case'!$B$7-'Business Case'!$B$8*(('Business Case'!F11*$C1033*'Business Case'!F12*$B1033)-('Business Case'!E11*$C1033*'Business Case'!E12*$B1033))-'Business Case'!F15*$F1033</f>
        <v>618768963.758446</v>
      </c>
      <c r="M1033" s="39" t="n">
        <f aca="false">(('Business Case'!G11*$C1033*'Business Case'!G12*$B1033)-'Business Case'!G11*$C1033*'Business Case'!G13*$D1033-'Business Case'!G14*$E1033)-MAX(0,(('Business Case'!G11*$C1033*'Business Case'!G12*$B1033)-'Business Case'!G11*$C1033*'Business Case'!G13*$D1033-'Business Case'!G14*$E1033))*'Business Case'!$B$7-'Business Case'!$B$8*(('Business Case'!G11*$C1033*'Business Case'!G12*$B1033)-('Business Case'!F11*$C1033*'Business Case'!F12*$B1033))-'Business Case'!G15*$F1033+'Business Case'!$B$8*('Business Case'!G11*$C1033*'Business Case'!G12*$B1033)</f>
        <v>776271902.213188</v>
      </c>
      <c r="N1033" s="39" t="n">
        <f aca="false">IF(COUNT('Business Case'!B11:G11)=0,"",H1033+NPV(G1033,I1033:M1033))</f>
        <v>-942452159.56565</v>
      </c>
      <c r="P1033" s="40" t="n">
        <f aca="true">RAND()</f>
        <v>0.354470400853107</v>
      </c>
      <c r="Q1033" s="40" t="n">
        <f aca="true">RAND()</f>
        <v>0.0315085829094871</v>
      </c>
      <c r="R1033" s="40" t="n">
        <f aca="true">RAND()</f>
        <v>0.189082216210794</v>
      </c>
      <c r="S1033" s="40" t="n">
        <f aca="true">RAND()</f>
        <v>0.699375348020905</v>
      </c>
      <c r="T1033" s="40" t="n">
        <f aca="true">RAND()</f>
        <v>0.986336124920117</v>
      </c>
      <c r="U1033" s="40" t="n">
        <f aca="true">RAND()</f>
        <v>0.226219116733537</v>
      </c>
    </row>
    <row r="1034" customFormat="false" ht="15" hidden="false" customHeight="false" outlineLevel="0" collapsed="false">
      <c r="A1034" s="36" t="n">
        <v>954</v>
      </c>
      <c r="B1034" s="37" t="n">
        <f aca="false">1+IF($G$6=$E$6,$F$6,IF(P1034&lt;($F$6-$E$6)/($G$6-$E$6),$E$6+SQRT(P1034*($G$6-$E$6)*($F$6-$E$6)),$G$6-SQRT((1-P1034)*($G$6-$E$6)*($G$6-$F$6))))</f>
        <v>1.03036607144848</v>
      </c>
      <c r="C1034" s="37" t="n">
        <f aca="false">1+IF($G$7=$E$7,$F$7,IF(Q1034&lt;($F$7-$E$7)/($G$7-$E$7),$E$7+SQRT(Q1034*($G$7-$E$7)*($F$7-$E$7)),$G$7-SQRT((1-Q1034)*($G$7-$E$7)*($G$7-$F$7))))</f>
        <v>1.01660188202321</v>
      </c>
      <c r="D1034" s="37" t="n">
        <f aca="false">1+IF($G$8=$E$8,$F$8,IF(R1034&lt;($F$8-$E$8)/($G$8-$E$8),$E$8+SQRT(R1034*($G$8-$E$8)*($F$8-$E$8)),$G$8-SQRT((1-R1034)*($G$8-$E$8)*($G$8-$F$8))))</f>
        <v>0.958144804962786</v>
      </c>
      <c r="E1034" s="37" t="n">
        <f aca="false">1+IF($G$9=$E$9,$F$9,IF(S1034&lt;($F$9-$E$9)/($G$9-$E$9),$E$9+SQRT(S1034*($G$9-$E$9)*($F$9-$E$9)),$G$9-SQRT((1-S1034)*($G$9-$E$9)*($G$9-$F$9))))</f>
        <v>1.0722665322491</v>
      </c>
      <c r="F1034" s="37" t="n">
        <f aca="false">1+IF($G$10=$E$10,$F$10,IF(T1034&lt;($F$10-$E$10)/($G$10-$E$10),$E$10+SQRT(T1034*($G$10-$E$10)*($F$10-$E$10)),$G$10-SQRT((1-T1034)*($G$10-$E$10)*($G$10-$F$10))))</f>
        <v>1.07172516427756</v>
      </c>
      <c r="G1034" s="38" t="n">
        <f aca="false">IF($G$11=$E$11,$F$11,IF(U1034&lt;($F$11-$E$11)/($G$11-$E$11),$E$11+SQRT(U1034*($G$11-$E$11)*($F$11-$E$11)),$G$11-SQRT((1-U1034)*($G$11-$E$11)*($G$11-$F$11))))</f>
        <v>0.0930854506934343</v>
      </c>
      <c r="H1034" s="39" t="n">
        <f aca="false">(('Business Case'!B11*$C1034*'Business Case'!B12*$B1034)-'Business Case'!B11*$C1034*'Business Case'!B13*$D1034-'Business Case'!B14*$E1034)-MAX(0,(('Business Case'!B11*$C1034*'Business Case'!B12*$B1034)-'Business Case'!B11*$C1034*'Business Case'!B13*$D1034-'Business Case'!B14*$E1034))*'Business Case'!$B$7-'Business Case'!$B$8*('Business Case'!B11*$C1034*'Business Case'!B12*$B1034)-'Business Case'!B15*$F1034</f>
        <v>-2143450328.55512</v>
      </c>
      <c r="I1034" s="39" t="n">
        <f aca="false">(('Business Case'!C11*$C1034*'Business Case'!C12*$B1034)-'Business Case'!C11*$C1034*'Business Case'!C13*$D1034-'Business Case'!C14*$E1034)-MAX(0,(('Business Case'!C11*$C1034*'Business Case'!C12*$B1034)-'Business Case'!C11*$C1034*'Business Case'!C13*$D1034-'Business Case'!C14*$E1034))*'Business Case'!$B$7-'Business Case'!$B$8*(('Business Case'!C11*$C1034*'Business Case'!C12*$B1034)-('Business Case'!B11*$C1034*'Business Case'!B12*$B1034))-'Business Case'!C15*$F1034</f>
        <v>45368683.6654502</v>
      </c>
      <c r="J1034" s="39" t="n">
        <f aca="false">(('Business Case'!D11*$C1034*'Business Case'!D12*$B1034)-'Business Case'!D11*$C1034*'Business Case'!D13*$D1034-'Business Case'!D14*$E1034)-MAX(0,(('Business Case'!D11*$C1034*'Business Case'!D12*$B1034)-'Business Case'!D11*$C1034*'Business Case'!D13*$D1034-'Business Case'!D14*$E1034))*'Business Case'!$B$7-'Business Case'!$B$8*(('Business Case'!D11*$C1034*'Business Case'!D12*$B1034)-('Business Case'!C11*$C1034*'Business Case'!C12*$B1034))-'Business Case'!D15*$F1034</f>
        <v>404687137.655677</v>
      </c>
      <c r="K1034" s="39" t="n">
        <f aca="false">(('Business Case'!E11*$C1034*'Business Case'!E12*$B1034)-'Business Case'!E11*$C1034*'Business Case'!E13*$D1034-'Business Case'!E14*$E1034)-MAX(0,(('Business Case'!E11*$C1034*'Business Case'!E12*$B1034)-'Business Case'!E11*$C1034*'Business Case'!E13*$D1034-'Business Case'!E14*$E1034))*'Business Case'!$B$7-'Business Case'!$B$8*(('Business Case'!E11*$C1034*'Business Case'!E12*$B1034)-('Business Case'!D11*$C1034*'Business Case'!D12*$B1034))-'Business Case'!E15*$F1034</f>
        <v>817591849.859781</v>
      </c>
      <c r="L1034" s="39" t="n">
        <f aca="false">(('Business Case'!F11*$C1034*'Business Case'!F12*$B1034)-'Business Case'!F11*$C1034*'Business Case'!F13*$D1034-'Business Case'!F14*$E1034)-MAX(0,(('Business Case'!F11*$C1034*'Business Case'!F12*$B1034)-'Business Case'!F11*$C1034*'Business Case'!F13*$D1034-'Business Case'!F14*$E1034))*'Business Case'!$B$7-'Business Case'!$B$8*(('Business Case'!F11*$C1034*'Business Case'!F12*$B1034)-('Business Case'!E11*$C1034*'Business Case'!E12*$B1034))-'Business Case'!F15*$F1034</f>
        <v>973565303.197322</v>
      </c>
      <c r="M1034" s="39" t="n">
        <f aca="false">(('Business Case'!G11*$C1034*'Business Case'!G12*$B1034)-'Business Case'!G11*$C1034*'Business Case'!G13*$D1034-'Business Case'!G14*$E1034)-MAX(0,(('Business Case'!G11*$C1034*'Business Case'!G12*$B1034)-'Business Case'!G11*$C1034*'Business Case'!G13*$D1034-'Business Case'!G14*$E1034))*'Business Case'!$B$7-'Business Case'!$B$8*(('Business Case'!G11*$C1034*'Business Case'!G12*$B1034)-('Business Case'!F11*$C1034*'Business Case'!F12*$B1034))-'Business Case'!G15*$F1034+'Business Case'!$B$8*('Business Case'!G11*$C1034*'Business Case'!G12*$B1034)</f>
        <v>1172668797.57172</v>
      </c>
      <c r="N1034" s="39" t="n">
        <f aca="false">IF(COUNT('Business Case'!B11:G11)=0,"",H1034+NPV(G1034,I1034:M1034))</f>
        <v>296153544.91581</v>
      </c>
      <c r="P1034" s="40" t="n">
        <f aca="true">RAND()</f>
        <v>0.980664045971716</v>
      </c>
      <c r="Q1034" s="40" t="n">
        <f aca="true">RAND()</f>
        <v>0.661046516576208</v>
      </c>
      <c r="R1034" s="40" t="n">
        <f aca="true">RAND()</f>
        <v>0.0102058227510497</v>
      </c>
      <c r="S1034" s="40" t="n">
        <f aca="true">RAND()</f>
        <v>0.948723651100636</v>
      </c>
      <c r="T1034" s="40" t="n">
        <f aca="true">RAND()</f>
        <v>0.670911330407609</v>
      </c>
      <c r="U1034" s="40" t="n">
        <f aca="true">RAND()</f>
        <v>0.0317333532720464</v>
      </c>
    </row>
    <row r="1035" customFormat="false" ht="15" hidden="false" customHeight="false" outlineLevel="0" collapsed="false">
      <c r="A1035" s="36" t="n">
        <v>955</v>
      </c>
      <c r="B1035" s="37" t="n">
        <f aca="false">1+IF($G$6=$E$6,$F$6,IF(P1035&lt;($F$6-$E$6)/($G$6-$E$6),$E$6+SQRT(P1035*($G$6-$E$6)*($F$6-$E$6)),$G$6-SQRT((1-P1035)*($G$6-$E$6)*($G$6-$F$6))))</f>
        <v>0.955662492387835</v>
      </c>
      <c r="C1035" s="37" t="n">
        <f aca="false">1+IF($G$7=$E$7,$F$7,IF(Q1035&lt;($F$7-$E$7)/($G$7-$E$7),$E$7+SQRT(Q1035*($G$7-$E$7)*($F$7-$E$7)),$G$7-SQRT((1-Q1035)*($G$7-$E$7)*($G$7-$F$7))))</f>
        <v>1.00089237384935</v>
      </c>
      <c r="D1035" s="37" t="n">
        <f aca="false">1+IF($G$8=$E$8,$F$8,IF(R1035&lt;($F$8-$E$8)/($G$8-$E$8),$E$8+SQRT(R1035*($G$8-$E$8)*($F$8-$E$8)),$G$8-SQRT((1-R1035)*($G$8-$E$8)*($G$8-$F$8))))</f>
        <v>1.02143890163299</v>
      </c>
      <c r="E1035" s="37" t="n">
        <f aca="false">1+IF($G$9=$E$9,$F$9,IF(S1035&lt;($F$9-$E$9)/($G$9-$E$9),$E$9+SQRT(S1035*($G$9-$E$9)*($F$9-$E$9)),$G$9-SQRT((1-S1035)*($G$9-$E$9)*($G$9-$F$9))))</f>
        <v>1.02176726955121</v>
      </c>
      <c r="F1035" s="37" t="n">
        <f aca="false">1+IF($G$10=$E$10,$F$10,IF(T1035&lt;($F$10-$E$10)/($G$10-$E$10),$E$10+SQRT(T1035*($G$10-$E$10)*($F$10-$E$10)),$G$10-SQRT((1-T1035)*($G$10-$E$10)*($G$10-$F$10))))</f>
        <v>0.983173499016574</v>
      </c>
      <c r="G1035" s="38" t="n">
        <f aca="false">IF($G$11=$E$11,$F$11,IF(U1035&lt;($F$11-$E$11)/($G$11-$E$11),$E$11+SQRT(U1035*($G$11-$E$11)*($F$11-$E$11)),$G$11-SQRT((1-U1035)*($G$11-$E$11)*($G$11-$F$11))))</f>
        <v>0.103238008998316</v>
      </c>
      <c r="H1035" s="39" t="n">
        <f aca="false">(('Business Case'!B11*$C1035*'Business Case'!B12*$B1035)-'Business Case'!B11*$C1035*'Business Case'!B13*$D1035-'Business Case'!B14*$E1035)-MAX(0,(('Business Case'!B11*$C1035*'Business Case'!B12*$B1035)-'Business Case'!B11*$C1035*'Business Case'!B13*$D1035-'Business Case'!B14*$E1035))*'Business Case'!$B$7-'Business Case'!$B$8*('Business Case'!B11*$C1035*'Business Case'!B12*$B1035)-'Business Case'!B15*$F1035</f>
        <v>-1966346998.03315</v>
      </c>
      <c r="I1035" s="39" t="n">
        <f aca="false">(('Business Case'!C11*$C1035*'Business Case'!C12*$B1035)-'Business Case'!C11*$C1035*'Business Case'!C13*$D1035-'Business Case'!C14*$E1035)-MAX(0,(('Business Case'!C11*$C1035*'Business Case'!C12*$B1035)-'Business Case'!C11*$C1035*'Business Case'!C13*$D1035-'Business Case'!C14*$E1035))*'Business Case'!$B$7-'Business Case'!$B$8*(('Business Case'!C11*$C1035*'Business Case'!C12*$B1035)-('Business Case'!B11*$C1035*'Business Case'!B12*$B1035))-'Business Case'!C15*$F1035</f>
        <v>-33105128.8683519</v>
      </c>
      <c r="J1035" s="39" t="n">
        <f aca="false">(('Business Case'!D11*$C1035*'Business Case'!D12*$B1035)-'Business Case'!D11*$C1035*'Business Case'!D13*$D1035-'Business Case'!D14*$E1035)-MAX(0,(('Business Case'!D11*$C1035*'Business Case'!D12*$B1035)-'Business Case'!D11*$C1035*'Business Case'!D13*$D1035-'Business Case'!D14*$E1035))*'Business Case'!$B$7-'Business Case'!$B$8*(('Business Case'!D11*$C1035*'Business Case'!D12*$B1035)-('Business Case'!C11*$C1035*'Business Case'!C12*$B1035))-'Business Case'!D15*$F1035</f>
        <v>226988151.078491</v>
      </c>
      <c r="K1035" s="39" t="n">
        <f aca="false">(('Business Case'!E11*$C1035*'Business Case'!E12*$B1035)-'Business Case'!E11*$C1035*'Business Case'!E13*$D1035-'Business Case'!E14*$E1035)-MAX(0,(('Business Case'!E11*$C1035*'Business Case'!E12*$B1035)-'Business Case'!E11*$C1035*'Business Case'!E13*$D1035-'Business Case'!E14*$E1035))*'Business Case'!$B$7-'Business Case'!$B$8*(('Business Case'!E11*$C1035*'Business Case'!E12*$B1035)-('Business Case'!D11*$C1035*'Business Case'!D12*$B1035))-'Business Case'!E15*$F1035</f>
        <v>536240105.976164</v>
      </c>
      <c r="L1035" s="39" t="n">
        <f aca="false">(('Business Case'!F11*$C1035*'Business Case'!F12*$B1035)-'Business Case'!F11*$C1035*'Business Case'!F13*$D1035-'Business Case'!F14*$E1035)-MAX(0,(('Business Case'!F11*$C1035*'Business Case'!F12*$B1035)-'Business Case'!F11*$C1035*'Business Case'!F13*$D1035-'Business Case'!F14*$E1035))*'Business Case'!$B$7-'Business Case'!$B$8*(('Business Case'!F11*$C1035*'Business Case'!F12*$B1035)-('Business Case'!E11*$C1035*'Business Case'!E12*$B1035))-'Business Case'!F15*$F1035</f>
        <v>655995034.747348</v>
      </c>
      <c r="M1035" s="39" t="n">
        <f aca="false">(('Business Case'!G11*$C1035*'Business Case'!G12*$B1035)-'Business Case'!G11*$C1035*'Business Case'!G13*$D1035-'Business Case'!G14*$E1035)-MAX(0,(('Business Case'!G11*$C1035*'Business Case'!G12*$B1035)-'Business Case'!G11*$C1035*'Business Case'!G13*$D1035-'Business Case'!G14*$E1035))*'Business Case'!$B$7-'Business Case'!$B$8*(('Business Case'!G11*$C1035*'Business Case'!G12*$B1035)-('Business Case'!F11*$C1035*'Business Case'!F12*$B1035))-'Business Case'!G15*$F1035+'Business Case'!$B$8*('Business Case'!G11*$C1035*'Business Case'!G12*$B1035)</f>
        <v>837809463.086316</v>
      </c>
      <c r="N1035" s="39" t="n">
        <f aca="false">IF(COUNT('Business Case'!B11:G11)=0,"",H1035+NPV(G1035,I1035:M1035))</f>
        <v>-455071481.628897</v>
      </c>
      <c r="P1035" s="40" t="n">
        <f aca="true">RAND()</f>
        <v>0.132480558678371</v>
      </c>
      <c r="Q1035" s="40" t="n">
        <f aca="true">RAND()</f>
        <v>0.57651268235651</v>
      </c>
      <c r="R1035" s="40" t="n">
        <f aca="true">RAND()</f>
        <v>0.670249784427822</v>
      </c>
      <c r="S1035" s="40" t="n">
        <f aca="true">RAND()</f>
        <v>0.591975992435181</v>
      </c>
      <c r="T1035" s="40" t="n">
        <f aca="true">RAND()</f>
        <v>0.0880384829602098</v>
      </c>
      <c r="U1035" s="40" t="n">
        <f aca="true">RAND()</f>
        <v>0.531726096099084</v>
      </c>
    </row>
    <row r="1036" customFormat="false" ht="15" hidden="false" customHeight="false" outlineLevel="0" collapsed="false">
      <c r="A1036" s="36" t="n">
        <v>956</v>
      </c>
      <c r="B1036" s="37" t="n">
        <f aca="false">1+IF($G$6=$E$6,$F$6,IF(P1036&lt;($F$6-$E$6)/($G$6-$E$6),$E$6+SQRT(P1036*($G$6-$E$6)*($F$6-$E$6)),$G$6-SQRT((1-P1036)*($G$6-$E$6)*($G$6-$F$6))))</f>
        <v>0.994808098562084</v>
      </c>
      <c r="C1036" s="37" t="n">
        <f aca="false">1+IF($G$7=$E$7,$F$7,IF(Q1036&lt;($F$7-$E$7)/($G$7-$E$7),$E$7+SQRT(Q1036*($G$7-$E$7)*($F$7-$E$7)),$G$7-SQRT((1-Q1036)*($G$7-$E$7)*($G$7-$F$7))))</f>
        <v>0.963137682051711</v>
      </c>
      <c r="D1036" s="37" t="n">
        <f aca="false">1+IF($G$8=$E$8,$F$8,IF(R1036&lt;($F$8-$E$8)/($G$8-$E$8),$E$8+SQRT(R1036*($G$8-$E$8)*($F$8-$E$8)),$G$8-SQRT((1-R1036)*($G$8-$E$8)*($G$8-$F$8))))</f>
        <v>1.04563927141531</v>
      </c>
      <c r="E1036" s="37" t="n">
        <f aca="false">1+IF($G$9=$E$9,$F$9,IF(S1036&lt;($F$9-$E$9)/($G$9-$E$9),$E$9+SQRT(S1036*($G$9-$E$9)*($F$9-$E$9)),$G$9-SQRT((1-S1036)*($G$9-$E$9)*($G$9-$F$9))))</f>
        <v>1.03692741628064</v>
      </c>
      <c r="F1036" s="37" t="n">
        <f aca="false">1+IF($G$10=$E$10,$F$10,IF(T1036&lt;($F$10-$E$10)/($G$10-$E$10),$E$10+SQRT(T1036*($G$10-$E$10)*($F$10-$E$10)),$G$10-SQRT((1-T1036)*($G$10-$E$10)*($G$10-$F$10))))</f>
        <v>1.01950962201075</v>
      </c>
      <c r="G1036" s="38" t="n">
        <f aca="false">IF($G$11=$E$11,$F$11,IF(U1036&lt;($F$11-$E$11)/($G$11-$E$11),$E$11+SQRT(U1036*($G$11-$E$11)*($F$11-$E$11)),$G$11-SQRT((1-U1036)*($G$11-$E$11)*($G$11-$F$11))))</f>
        <v>0.115020014302951</v>
      </c>
      <c r="H1036" s="39" t="n">
        <f aca="false">(('Business Case'!B11*$C1036*'Business Case'!B12*$B1036)-'Business Case'!B11*$C1036*'Business Case'!B13*$D1036-'Business Case'!B14*$E1036)-MAX(0,(('Business Case'!B11*$C1036*'Business Case'!B12*$B1036)-'Business Case'!B11*$C1036*'Business Case'!B13*$D1036-'Business Case'!B14*$E1036))*'Business Case'!$B$7-'Business Case'!$B$8*('Business Case'!B11*$C1036*'Business Case'!B12*$B1036)-'Business Case'!B15*$F1036</f>
        <v>-2039019244.0215</v>
      </c>
      <c r="I1036" s="39" t="n">
        <f aca="false">(('Business Case'!C11*$C1036*'Business Case'!C12*$B1036)-'Business Case'!C11*$C1036*'Business Case'!C13*$D1036-'Business Case'!C14*$E1036)-MAX(0,(('Business Case'!C11*$C1036*'Business Case'!C12*$B1036)-'Business Case'!C11*$C1036*'Business Case'!C13*$D1036-'Business Case'!C14*$E1036))*'Business Case'!$B$7-'Business Case'!$B$8*(('Business Case'!C11*$C1036*'Business Case'!C12*$B1036)-('Business Case'!B11*$C1036*'Business Case'!B12*$B1036))-'Business Case'!C15*$F1036</f>
        <v>-29840406.0572784</v>
      </c>
      <c r="J1036" s="39" t="n">
        <f aca="false">(('Business Case'!D11*$C1036*'Business Case'!D12*$B1036)-'Business Case'!D11*$C1036*'Business Case'!D13*$D1036-'Business Case'!D14*$E1036)-MAX(0,(('Business Case'!D11*$C1036*'Business Case'!D12*$B1036)-'Business Case'!D11*$C1036*'Business Case'!D13*$D1036-'Business Case'!D14*$E1036))*'Business Case'!$B$7-'Business Case'!$B$8*(('Business Case'!D11*$C1036*'Business Case'!D12*$B1036)-('Business Case'!C11*$C1036*'Business Case'!C12*$B1036))-'Business Case'!D15*$F1036</f>
        <v>239391059.374082</v>
      </c>
      <c r="K1036" s="39" t="n">
        <f aca="false">(('Business Case'!E11*$C1036*'Business Case'!E12*$B1036)-'Business Case'!E11*$C1036*'Business Case'!E13*$D1036-'Business Case'!E14*$E1036)-MAX(0,(('Business Case'!E11*$C1036*'Business Case'!E12*$B1036)-'Business Case'!E11*$C1036*'Business Case'!E13*$D1036-'Business Case'!E14*$E1036))*'Business Case'!$B$7-'Business Case'!$B$8*(('Business Case'!E11*$C1036*'Business Case'!E12*$B1036)-('Business Case'!D11*$C1036*'Business Case'!D12*$B1036))-'Business Case'!E15*$F1036</f>
        <v>559598005.90598</v>
      </c>
      <c r="L1036" s="39" t="n">
        <f aca="false">(('Business Case'!F11*$C1036*'Business Case'!F12*$B1036)-'Business Case'!F11*$C1036*'Business Case'!F13*$D1036-'Business Case'!F14*$E1036)-MAX(0,(('Business Case'!F11*$C1036*'Business Case'!F12*$B1036)-'Business Case'!F11*$C1036*'Business Case'!F13*$D1036-'Business Case'!F14*$E1036))*'Business Case'!$B$7-'Business Case'!$B$8*(('Business Case'!F11*$C1036*'Business Case'!F12*$B1036)-('Business Case'!E11*$C1036*'Business Case'!E12*$B1036))-'Business Case'!F15*$F1036</f>
        <v>682455048.178071</v>
      </c>
      <c r="M1036" s="39" t="n">
        <f aca="false">(('Business Case'!G11*$C1036*'Business Case'!G12*$B1036)-'Business Case'!G11*$C1036*'Business Case'!G13*$D1036-'Business Case'!G14*$E1036)-MAX(0,(('Business Case'!G11*$C1036*'Business Case'!G12*$B1036)-'Business Case'!G11*$C1036*'Business Case'!G13*$D1036-'Business Case'!G14*$E1036))*'Business Case'!$B$7-'Business Case'!$B$8*(('Business Case'!G11*$C1036*'Business Case'!G12*$B1036)-('Business Case'!F11*$C1036*'Business Case'!F12*$B1036))-'Business Case'!G15*$F1036+'Business Case'!$B$8*('Business Case'!G11*$C1036*'Business Case'!G12*$B1036)</f>
        <v>864577760.71708</v>
      </c>
      <c r="N1036" s="39" t="n">
        <f aca="false">IF(COUNT('Business Case'!B11:G11)=0,"",H1036+NPV(G1036,I1036:M1036))</f>
        <v>-526409024.30374</v>
      </c>
      <c r="P1036" s="40" t="n">
        <f aca="true">RAND()</f>
        <v>0.582942876091092</v>
      </c>
      <c r="Q1036" s="40" t="n">
        <f aca="true">RAND()</f>
        <v>0.380198618645787</v>
      </c>
      <c r="R1036" s="40" t="n">
        <f aca="true">RAND()</f>
        <v>0.886475031839345</v>
      </c>
      <c r="S1036" s="40" t="n">
        <f aca="true">RAND()</f>
        <v>0.734789945530931</v>
      </c>
      <c r="T1036" s="40" t="n">
        <f aca="true">RAND()</f>
        <v>0.348464469065972</v>
      </c>
      <c r="U1036" s="40" t="n">
        <f aca="true">RAND()</f>
        <v>0.958666237428639</v>
      </c>
    </row>
    <row r="1037" customFormat="false" ht="15" hidden="false" customHeight="false" outlineLevel="0" collapsed="false">
      <c r="A1037" s="36" t="n">
        <v>957</v>
      </c>
      <c r="B1037" s="37" t="n">
        <f aca="false">1+IF($G$6=$E$6,$F$6,IF(P1037&lt;($F$6-$E$6)/($G$6-$E$6),$E$6+SQRT(P1037*($G$6-$E$6)*($F$6-$E$6)),$G$6-SQRT((1-P1037)*($G$6-$E$6)*($G$6-$F$6))))</f>
        <v>1.00004049490217</v>
      </c>
      <c r="C1037" s="37" t="n">
        <f aca="false">1+IF($G$7=$E$7,$F$7,IF(Q1037&lt;($F$7-$E$7)/($G$7-$E$7),$E$7+SQRT(Q1037*($G$7-$E$7)*($F$7-$E$7)),$G$7-SQRT((1-Q1037)*($G$7-$E$7)*($G$7-$F$7))))</f>
        <v>0.866402910553395</v>
      </c>
      <c r="D1037" s="37" t="n">
        <f aca="false">1+IF($G$8=$E$8,$F$8,IF(R1037&lt;($F$8-$E$8)/($G$8-$E$8),$E$8+SQRT(R1037*($G$8-$E$8)*($F$8-$E$8)),$G$8-SQRT((1-R1037)*($G$8-$E$8)*($G$8-$F$8))))</f>
        <v>1.07255475550771</v>
      </c>
      <c r="E1037" s="37" t="n">
        <f aca="false">1+IF($G$9=$E$9,$F$9,IF(S1037&lt;($F$9-$E$9)/($G$9-$E$9),$E$9+SQRT(S1037*($G$9-$E$9)*($F$9-$E$9)),$G$9-SQRT((1-S1037)*($G$9-$E$9)*($G$9-$F$9))))</f>
        <v>1.0661002607535</v>
      </c>
      <c r="F1037" s="37" t="n">
        <f aca="false">1+IF($G$10=$E$10,$F$10,IF(T1037&lt;($F$10-$E$10)/($G$10-$E$10),$E$10+SQRT(T1037*($G$10-$E$10)*($F$10-$E$10)),$G$10-SQRT((1-T1037)*($G$10-$E$10)*($G$10-$F$10))))</f>
        <v>1.00846828106218</v>
      </c>
      <c r="G1037" s="38" t="n">
        <f aca="false">IF($G$11=$E$11,$F$11,IF(U1037&lt;($F$11-$E$11)/($G$11-$E$11),$E$11+SQRT(U1037*($G$11-$E$11)*($F$11-$E$11)),$G$11-SQRT((1-U1037)*($G$11-$E$11)*($G$11-$F$11))))</f>
        <v>0.105212340478</v>
      </c>
      <c r="H1037" s="39" t="n">
        <f aca="false">(('Business Case'!B11*$C1037*'Business Case'!B12*$B1037)-'Business Case'!B11*$C1037*'Business Case'!B13*$D1037-'Business Case'!B14*$E1037)-MAX(0,(('Business Case'!B11*$C1037*'Business Case'!B12*$B1037)-'Business Case'!B11*$C1037*'Business Case'!B13*$D1037-'Business Case'!B14*$E1037))*'Business Case'!$B$7-'Business Case'!$B$8*('Business Case'!B11*$C1037*'Business Case'!B12*$B1037)-'Business Case'!B15*$F1037</f>
        <v>-2016936562.12437</v>
      </c>
      <c r="I1037" s="39" t="n">
        <f aca="false">(('Business Case'!C11*$C1037*'Business Case'!C12*$B1037)-'Business Case'!C11*$C1037*'Business Case'!C13*$D1037-'Business Case'!C14*$E1037)-MAX(0,(('Business Case'!C11*$C1037*'Business Case'!C12*$B1037)-'Business Case'!C11*$C1037*'Business Case'!C13*$D1037-'Business Case'!C14*$E1037))*'Business Case'!$B$7-'Business Case'!$B$8*(('Business Case'!C11*$C1037*'Business Case'!C12*$B1037)-('Business Case'!B11*$C1037*'Business Case'!B12*$B1037))-'Business Case'!C15*$F1037</f>
        <v>-63396443.5845496</v>
      </c>
      <c r="J1037" s="39" t="n">
        <f aca="false">(('Business Case'!D11*$C1037*'Business Case'!D12*$B1037)-'Business Case'!D11*$C1037*'Business Case'!D13*$D1037-'Business Case'!D14*$E1037)-MAX(0,(('Business Case'!D11*$C1037*'Business Case'!D12*$B1037)-'Business Case'!D11*$C1037*'Business Case'!D13*$D1037-'Business Case'!D14*$E1037))*'Business Case'!$B$7-'Business Case'!$B$8*(('Business Case'!D11*$C1037*'Business Case'!D12*$B1037)-('Business Case'!C11*$C1037*'Business Case'!C12*$B1037))-'Business Case'!D15*$F1037</f>
        <v>170569543.700627</v>
      </c>
      <c r="K1037" s="39" t="n">
        <f aca="false">(('Business Case'!E11*$C1037*'Business Case'!E12*$B1037)-'Business Case'!E11*$C1037*'Business Case'!E13*$D1037-'Business Case'!E14*$E1037)-MAX(0,(('Business Case'!E11*$C1037*'Business Case'!E12*$B1037)-'Business Case'!E11*$C1037*'Business Case'!E13*$D1037-'Business Case'!E14*$E1037))*'Business Case'!$B$7-'Business Case'!$B$8*(('Business Case'!E11*$C1037*'Business Case'!E12*$B1037)-('Business Case'!D11*$C1037*'Business Case'!D12*$B1037))-'Business Case'!E15*$F1037</f>
        <v>454958945.038914</v>
      </c>
      <c r="L1037" s="39" t="n">
        <f aca="false">(('Business Case'!F11*$C1037*'Business Case'!F12*$B1037)-'Business Case'!F11*$C1037*'Business Case'!F13*$D1037-'Business Case'!F14*$E1037)-MAX(0,(('Business Case'!F11*$C1037*'Business Case'!F12*$B1037)-'Business Case'!F11*$C1037*'Business Case'!F13*$D1037-'Business Case'!F14*$E1037))*'Business Case'!$B$7-'Business Case'!$B$8*(('Business Case'!F11*$C1037*'Business Case'!F12*$B1037)-('Business Case'!E11*$C1037*'Business Case'!E12*$B1037))-'Business Case'!F15*$F1037</f>
        <v>562891704.590213</v>
      </c>
      <c r="M1037" s="39" t="n">
        <f aca="false">(('Business Case'!G11*$C1037*'Business Case'!G12*$B1037)-'Business Case'!G11*$C1037*'Business Case'!G13*$D1037-'Business Case'!G14*$E1037)-MAX(0,(('Business Case'!G11*$C1037*'Business Case'!G12*$B1037)-'Business Case'!G11*$C1037*'Business Case'!G13*$D1037-'Business Case'!G14*$E1037))*'Business Case'!$B$7-'Business Case'!$B$8*(('Business Case'!G11*$C1037*'Business Case'!G12*$B1037)-('Business Case'!F11*$C1037*'Business Case'!F12*$B1037))-'Business Case'!G15*$F1037+'Business Case'!$B$8*('Business Case'!G11*$C1037*'Business Case'!G12*$B1037)</f>
        <v>727584238.766204</v>
      </c>
      <c r="N1037" s="39" t="n">
        <f aca="false">IF(COUNT('Business Case'!B11:G11)=0,"",H1037+NPV(G1037,I1037:M1037))</f>
        <v>-779173355.076487</v>
      </c>
      <c r="P1037" s="40" t="n">
        <f aca="true">RAND()</f>
        <v>0.667341240070085</v>
      </c>
      <c r="Q1037" s="40" t="n">
        <f aca="true">RAND()</f>
        <v>0.0629906647137445</v>
      </c>
      <c r="R1037" s="40" t="n">
        <f aca="true">RAND()</f>
        <v>0.994670032158658</v>
      </c>
      <c r="S1037" s="40" t="n">
        <f aca="true">RAND()</f>
        <v>0.923387178601275</v>
      </c>
      <c r="T1037" s="40" t="n">
        <f aca="true">RAND()</f>
        <v>0.266312012814503</v>
      </c>
      <c r="U1037" s="40" t="n">
        <f aca="true">RAND()</f>
        <v>0.635541876435657</v>
      </c>
    </row>
    <row r="1038" customFormat="false" ht="15" hidden="false" customHeight="false" outlineLevel="0" collapsed="false">
      <c r="A1038" s="36" t="n">
        <v>958</v>
      </c>
      <c r="B1038" s="37" t="n">
        <f aca="false">1+IF($G$6=$E$6,$F$6,IF(P1038&lt;($F$6-$E$6)/($G$6-$E$6),$E$6+SQRT(P1038*($G$6-$E$6)*($F$6-$E$6)),$G$6-SQRT((1-P1038)*($G$6-$E$6)*($G$6-$F$6))))</f>
        <v>0.975661894235338</v>
      </c>
      <c r="C1038" s="37" t="n">
        <f aca="false">1+IF($G$7=$E$7,$F$7,IF(Q1038&lt;($F$7-$E$7)/($G$7-$E$7),$E$7+SQRT(Q1038*($G$7-$E$7)*($F$7-$E$7)),$G$7-SQRT((1-Q1038)*($G$7-$E$7)*($G$7-$F$7))))</f>
        <v>0.885364387177845</v>
      </c>
      <c r="D1038" s="37" t="n">
        <f aca="false">1+IF($G$8=$E$8,$F$8,IF(R1038&lt;($F$8-$E$8)/($G$8-$E$8),$E$8+SQRT(R1038*($G$8-$E$8)*($F$8-$E$8)),$G$8-SQRT((1-R1038)*($G$8-$E$8)*($G$8-$F$8))))</f>
        <v>1.00440492306462</v>
      </c>
      <c r="E1038" s="37" t="n">
        <f aca="false">1+IF($G$9=$E$9,$F$9,IF(S1038&lt;($F$9-$E$9)/($G$9-$E$9),$E$9+SQRT(S1038*($G$9-$E$9)*($F$9-$E$9)),$G$9-SQRT((1-S1038)*($G$9-$E$9)*($G$9-$F$9))))</f>
        <v>1.0036497965786</v>
      </c>
      <c r="F1038" s="37" t="n">
        <f aca="false">1+IF($G$10=$E$10,$F$10,IF(T1038&lt;($F$10-$E$10)/($G$10-$E$10),$E$10+SQRT(T1038*($G$10-$E$10)*($F$10-$E$10)),$G$10-SQRT((1-T1038)*($G$10-$E$10)*($G$10-$F$10))))</f>
        <v>1.0954491629819</v>
      </c>
      <c r="G1038" s="38" t="n">
        <f aca="false">IF($G$11=$E$11,$F$11,IF(U1038&lt;($F$11-$E$11)/($G$11-$E$11),$E$11+SQRT(U1038*($G$11-$E$11)*($F$11-$E$11)),$G$11-SQRT((1-U1038)*($G$11-$E$11)*($G$11-$F$11))))</f>
        <v>0.103441658403329</v>
      </c>
      <c r="H1038" s="39" t="n">
        <f aca="false">(('Business Case'!B11*$C1038*'Business Case'!B12*$B1038)-'Business Case'!B11*$C1038*'Business Case'!B13*$D1038-'Business Case'!B14*$E1038)-MAX(0,(('Business Case'!B11*$C1038*'Business Case'!B12*$B1038)-'Business Case'!B11*$C1038*'Business Case'!B13*$D1038-'Business Case'!B14*$E1038))*'Business Case'!$B$7-'Business Case'!$B$8*('Business Case'!B11*$C1038*'Business Case'!B12*$B1038)-'Business Case'!B15*$F1038</f>
        <v>-2190898325.96381</v>
      </c>
      <c r="I1038" s="39" t="n">
        <f aca="false">(('Business Case'!C11*$C1038*'Business Case'!C12*$B1038)-'Business Case'!C11*$C1038*'Business Case'!C13*$D1038-'Business Case'!C14*$E1038)-MAX(0,(('Business Case'!C11*$C1038*'Business Case'!C12*$B1038)-'Business Case'!C11*$C1038*'Business Case'!C13*$D1038-'Business Case'!C14*$E1038))*'Business Case'!$B$7-'Business Case'!$B$8*(('Business Case'!C11*$C1038*'Business Case'!C12*$B1038)-('Business Case'!B11*$C1038*'Business Case'!B12*$B1038))-'Business Case'!C15*$F1038</f>
        <v>-44748619.2990453</v>
      </c>
      <c r="J1038" s="39" t="n">
        <f aca="false">(('Business Case'!D11*$C1038*'Business Case'!D12*$B1038)-'Business Case'!D11*$C1038*'Business Case'!D13*$D1038-'Business Case'!D14*$E1038)-MAX(0,(('Business Case'!D11*$C1038*'Business Case'!D12*$B1038)-'Business Case'!D11*$C1038*'Business Case'!D13*$D1038-'Business Case'!D14*$E1038))*'Business Case'!$B$7-'Business Case'!$B$8*(('Business Case'!D11*$C1038*'Business Case'!D12*$B1038)-('Business Case'!C11*$C1038*'Business Case'!C12*$B1038))-'Business Case'!D15*$F1038</f>
        <v>207546915.510651</v>
      </c>
      <c r="K1038" s="39" t="n">
        <f aca="false">(('Business Case'!E11*$C1038*'Business Case'!E12*$B1038)-'Business Case'!E11*$C1038*'Business Case'!E13*$D1038-'Business Case'!E14*$E1038)-MAX(0,(('Business Case'!E11*$C1038*'Business Case'!E12*$B1038)-'Business Case'!E11*$C1038*'Business Case'!E13*$D1038-'Business Case'!E14*$E1038))*'Business Case'!$B$7-'Business Case'!$B$8*(('Business Case'!E11*$C1038*'Business Case'!E12*$B1038)-('Business Case'!D11*$C1038*'Business Case'!D12*$B1038))-'Business Case'!E15*$F1038</f>
        <v>514614908.469441</v>
      </c>
      <c r="L1038" s="39" t="n">
        <f aca="false">(('Business Case'!F11*$C1038*'Business Case'!F12*$B1038)-'Business Case'!F11*$C1038*'Business Case'!F13*$D1038-'Business Case'!F14*$E1038)-MAX(0,(('Business Case'!F11*$C1038*'Business Case'!F12*$B1038)-'Business Case'!F11*$C1038*'Business Case'!F13*$D1038-'Business Case'!F14*$E1038))*'Business Case'!$B$7-'Business Case'!$B$8*(('Business Case'!F11*$C1038*'Business Case'!F12*$B1038)-('Business Case'!E11*$C1038*'Business Case'!E12*$B1038))-'Business Case'!F15*$F1038</f>
        <v>628566911.230723</v>
      </c>
      <c r="M1038" s="39" t="n">
        <f aca="false">(('Business Case'!G11*$C1038*'Business Case'!G12*$B1038)-'Business Case'!G11*$C1038*'Business Case'!G13*$D1038-'Business Case'!G14*$E1038)-MAX(0,(('Business Case'!G11*$C1038*'Business Case'!G12*$B1038)-'Business Case'!G11*$C1038*'Business Case'!G13*$D1038-'Business Case'!G14*$E1038))*'Business Case'!$B$7-'Business Case'!$B$8*(('Business Case'!G11*$C1038*'Business Case'!G12*$B1038)-('Business Case'!F11*$C1038*'Business Case'!F12*$B1038))-'Business Case'!G15*$F1038+'Business Case'!$B$8*('Business Case'!G11*$C1038*'Business Case'!G12*$B1038)</f>
        <v>792761112.599994</v>
      </c>
      <c r="N1038" s="39" t="n">
        <f aca="false">IF(COUNT('Business Case'!B11:G11)=0,"",H1038+NPV(G1038,I1038:M1038))</f>
        <v>-769360793.494944</v>
      </c>
      <c r="P1038" s="40" t="n">
        <f aca="true">RAND()</f>
        <v>0.322734007277698</v>
      </c>
      <c r="Q1038" s="40" t="n">
        <f aca="true">RAND()</f>
        <v>0.10410112283213</v>
      </c>
      <c r="R1038" s="40" t="n">
        <f aca="true">RAND()</f>
        <v>0.450517725301298</v>
      </c>
      <c r="S1038" s="40" t="n">
        <f aca="true">RAND()</f>
        <v>0.381109220043651</v>
      </c>
      <c r="T1038" s="40" t="n">
        <f aca="true">RAND()</f>
        <v>0.781382449576308</v>
      </c>
      <c r="U1038" s="40" t="n">
        <f aca="true">RAND()</f>
        <v>0.543035539279908</v>
      </c>
    </row>
    <row r="1039" customFormat="false" ht="15" hidden="false" customHeight="false" outlineLevel="0" collapsed="false">
      <c r="A1039" s="36" t="n">
        <v>959</v>
      </c>
      <c r="B1039" s="37" t="n">
        <f aca="false">1+IF($G$6=$E$6,$F$6,IF(P1039&lt;($F$6-$E$6)/($G$6-$E$6),$E$6+SQRT(P1039*($G$6-$E$6)*($F$6-$E$6)),$G$6-SQRT((1-P1039)*($G$6-$E$6)*($G$6-$F$6))))</f>
        <v>0.967333285682198</v>
      </c>
      <c r="C1039" s="37" t="n">
        <f aca="false">1+IF($G$7=$E$7,$F$7,IF(Q1039&lt;($F$7-$E$7)/($G$7-$E$7),$E$7+SQRT(Q1039*($G$7-$E$7)*($F$7-$E$7)),$G$7-SQRT((1-Q1039)*($G$7-$E$7)*($G$7-$F$7))))</f>
        <v>0.982078995512787</v>
      </c>
      <c r="D1039" s="37" t="n">
        <f aca="false">1+IF($G$8=$E$8,$F$8,IF(R1039&lt;($F$8-$E$8)/($G$8-$E$8),$E$8+SQRT(R1039*($G$8-$E$8)*($F$8-$E$8)),$G$8-SQRT((1-R1039)*($G$8-$E$8)*($G$8-$F$8))))</f>
        <v>1.01902150835345</v>
      </c>
      <c r="E1039" s="37" t="n">
        <f aca="false">1+IF($G$9=$E$9,$F$9,IF(S1039&lt;($F$9-$E$9)/($G$9-$E$9),$E$9+SQRT(S1039*($G$9-$E$9)*($F$9-$E$9)),$G$9-SQRT((1-S1039)*($G$9-$E$9)*($G$9-$F$9))))</f>
        <v>0.974532963672941</v>
      </c>
      <c r="F1039" s="37" t="n">
        <f aca="false">1+IF($G$10=$E$10,$F$10,IF(T1039&lt;($F$10-$E$10)/($G$10-$E$10),$E$10+SQRT(T1039*($G$10-$E$10)*($F$10-$E$10)),$G$10-SQRT((1-T1039)*($G$10-$E$10)*($G$10-$F$10))))</f>
        <v>1.047592808695</v>
      </c>
      <c r="G1039" s="38" t="n">
        <f aca="false">IF($G$11=$E$11,$F$11,IF(U1039&lt;($F$11-$E$11)/($G$11-$E$11),$E$11+SQRT(U1039*($G$11-$E$11)*($F$11-$E$11)),$G$11-SQRT((1-U1039)*($G$11-$E$11)*($G$11-$F$11))))</f>
        <v>0.10064763366877</v>
      </c>
      <c r="H1039" s="39" t="n">
        <f aca="false">(('Business Case'!B11*$C1039*'Business Case'!B12*$B1039)-'Business Case'!B11*$C1039*'Business Case'!B13*$D1039-'Business Case'!B14*$E1039)-MAX(0,(('Business Case'!B11*$C1039*'Business Case'!B12*$B1039)-'Business Case'!B11*$C1039*'Business Case'!B13*$D1039-'Business Case'!B14*$E1039))*'Business Case'!$B$7-'Business Case'!$B$8*('Business Case'!B11*$C1039*'Business Case'!B12*$B1039)-'Business Case'!B15*$F1039</f>
        <v>-2095185617.39</v>
      </c>
      <c r="I1039" s="39" t="n">
        <f aca="false">(('Business Case'!C11*$C1039*'Business Case'!C12*$B1039)-'Business Case'!C11*$C1039*'Business Case'!C13*$D1039-'Business Case'!C14*$E1039)-MAX(0,(('Business Case'!C11*$C1039*'Business Case'!C12*$B1039)-'Business Case'!C11*$C1039*'Business Case'!C13*$D1039-'Business Case'!C14*$E1039))*'Business Case'!$B$7-'Business Case'!$B$8*(('Business Case'!C11*$C1039*'Business Case'!C12*$B1039)-('Business Case'!B11*$C1039*'Business Case'!B12*$B1039))-'Business Case'!C15*$F1039</f>
        <v>-26778096.0916547</v>
      </c>
      <c r="J1039" s="39" t="n">
        <f aca="false">(('Business Case'!D11*$C1039*'Business Case'!D12*$B1039)-'Business Case'!D11*$C1039*'Business Case'!D13*$D1039-'Business Case'!D14*$E1039)-MAX(0,(('Business Case'!D11*$C1039*'Business Case'!D12*$B1039)-'Business Case'!D11*$C1039*'Business Case'!D13*$D1039-'Business Case'!D14*$E1039))*'Business Case'!$B$7-'Business Case'!$B$8*(('Business Case'!D11*$C1039*'Business Case'!D12*$B1039)-('Business Case'!C11*$C1039*'Business Case'!C12*$B1039))-'Business Case'!D15*$F1039</f>
        <v>239029556.967738</v>
      </c>
      <c r="K1039" s="39" t="n">
        <f aca="false">(('Business Case'!E11*$C1039*'Business Case'!E12*$B1039)-'Business Case'!E11*$C1039*'Business Case'!E13*$D1039-'Business Case'!E14*$E1039)-MAX(0,(('Business Case'!E11*$C1039*'Business Case'!E12*$B1039)-'Business Case'!E11*$C1039*'Business Case'!E13*$D1039-'Business Case'!E14*$E1039))*'Business Case'!$B$7-'Business Case'!$B$8*(('Business Case'!E11*$C1039*'Business Case'!E12*$B1039)-('Business Case'!D11*$C1039*'Business Case'!D12*$B1039))-'Business Case'!E15*$F1039</f>
        <v>557216850.461882</v>
      </c>
      <c r="L1039" s="39" t="n">
        <f aca="false">(('Business Case'!F11*$C1039*'Business Case'!F12*$B1039)-'Business Case'!F11*$C1039*'Business Case'!F13*$D1039-'Business Case'!F14*$E1039)-MAX(0,(('Business Case'!F11*$C1039*'Business Case'!F12*$B1039)-'Business Case'!F11*$C1039*'Business Case'!F13*$D1039-'Business Case'!F14*$E1039))*'Business Case'!$B$7-'Business Case'!$B$8*(('Business Case'!F11*$C1039*'Business Case'!F12*$B1039)-('Business Case'!E11*$C1039*'Business Case'!E12*$B1039))-'Business Case'!F15*$F1039</f>
        <v>678651322.046517</v>
      </c>
      <c r="M1039" s="39" t="n">
        <f aca="false">(('Business Case'!G11*$C1039*'Business Case'!G12*$B1039)-'Business Case'!G11*$C1039*'Business Case'!G13*$D1039-'Business Case'!G14*$E1039)-MAX(0,(('Business Case'!G11*$C1039*'Business Case'!G12*$B1039)-'Business Case'!G11*$C1039*'Business Case'!G13*$D1039-'Business Case'!G14*$E1039))*'Business Case'!$B$7-'Business Case'!$B$8*(('Business Case'!G11*$C1039*'Business Case'!G12*$B1039)-('Business Case'!F11*$C1039*'Business Case'!F12*$B1039))-'Business Case'!G15*$F1039+'Business Case'!$B$8*('Business Case'!G11*$C1039*'Business Case'!G12*$B1039)</f>
        <v>859226885.153122</v>
      </c>
      <c r="N1039" s="39" t="n">
        <f aca="false">IF(COUNT('Business Case'!B11:G11)=0,"",H1039+NPV(G1039,I1039:M1039))</f>
        <v>-509913157.936785</v>
      </c>
      <c r="P1039" s="40" t="n">
        <f aca="true">RAND()</f>
        <v>0.233379159736723</v>
      </c>
      <c r="Q1039" s="40" t="n">
        <f aca="true">RAND()</f>
        <v>0.473610865813508</v>
      </c>
      <c r="R1039" s="40" t="n">
        <f aca="true">RAND()</f>
        <v>0.642463803510734</v>
      </c>
      <c r="S1039" s="40" t="n">
        <f aca="true">RAND()</f>
        <v>0.0802488408770432</v>
      </c>
      <c r="T1039" s="40" t="n">
        <f aca="true">RAND()</f>
        <v>0.535440960770411</v>
      </c>
      <c r="U1039" s="40" t="n">
        <f aca="true">RAND()</f>
        <v>0.375809862303135</v>
      </c>
    </row>
    <row r="1040" customFormat="false" ht="15" hidden="false" customHeight="false" outlineLevel="0" collapsed="false">
      <c r="A1040" s="36" t="n">
        <v>960</v>
      </c>
      <c r="B1040" s="37" t="n">
        <f aca="false">1+IF($G$6=$E$6,$F$6,IF(P1040&lt;($F$6-$E$6)/($G$6-$E$6),$E$6+SQRT(P1040*($G$6-$E$6)*($F$6-$E$6)),$G$6-SQRT((1-P1040)*($G$6-$E$6)*($G$6-$F$6))))</f>
        <v>0.944094010882175</v>
      </c>
      <c r="C1040" s="37" t="n">
        <f aca="false">1+IF($G$7=$E$7,$F$7,IF(Q1040&lt;($F$7-$E$7)/($G$7-$E$7),$E$7+SQRT(Q1040*($G$7-$E$7)*($F$7-$E$7)),$G$7-SQRT((1-Q1040)*($G$7-$E$7)*($G$7-$F$7))))</f>
        <v>1.14915570942163</v>
      </c>
      <c r="D1040" s="37" t="n">
        <f aca="false">1+IF($G$8=$E$8,$F$8,IF(R1040&lt;($F$8-$E$8)/($G$8-$E$8),$E$8+SQRT(R1040*($G$8-$E$8)*($F$8-$E$8)),$G$8-SQRT((1-R1040)*($G$8-$E$8)*($G$8-$F$8))))</f>
        <v>1.04317031553441</v>
      </c>
      <c r="E1040" s="37" t="n">
        <f aca="false">1+IF($G$9=$E$9,$F$9,IF(S1040&lt;($F$9-$E$9)/($G$9-$E$9),$E$9+SQRT(S1040*($G$9-$E$9)*($F$9-$E$9)),$G$9-SQRT((1-S1040)*($G$9-$E$9)*($G$9-$F$9))))</f>
        <v>1.05642390019936</v>
      </c>
      <c r="F1040" s="37" t="n">
        <f aca="false">1+IF($G$10=$E$10,$F$10,IF(T1040&lt;($F$10-$E$10)/($G$10-$E$10),$E$10+SQRT(T1040*($G$10-$E$10)*($F$10-$E$10)),$G$10-SQRT((1-T1040)*($G$10-$E$10)*($G$10-$F$10))))</f>
        <v>1.03566817498951</v>
      </c>
      <c r="G1040" s="38" t="n">
        <f aca="false">IF($G$11=$E$11,$F$11,IF(U1040&lt;($F$11-$E$11)/($G$11-$E$11),$E$11+SQRT(U1040*($G$11-$E$11)*($F$11-$E$11)),$G$11-SQRT((1-U1040)*($G$11-$E$11)*($G$11-$F$11))))</f>
        <v>0.0958223704345897</v>
      </c>
      <c r="H1040" s="39" t="n">
        <f aca="false">(('Business Case'!B11*$C1040*'Business Case'!B12*$B1040)-'Business Case'!B11*$C1040*'Business Case'!B13*$D1040-'Business Case'!B14*$E1040)-MAX(0,(('Business Case'!B11*$C1040*'Business Case'!B12*$B1040)-'Business Case'!B11*$C1040*'Business Case'!B13*$D1040-'Business Case'!B14*$E1040))*'Business Case'!$B$7-'Business Case'!$B$8*('Business Case'!B11*$C1040*'Business Case'!B12*$B1040)-'Business Case'!B15*$F1040</f>
        <v>-2071336349.97903</v>
      </c>
      <c r="I1040" s="39" t="n">
        <f aca="false">(('Business Case'!C11*$C1040*'Business Case'!C12*$B1040)-'Business Case'!C11*$C1040*'Business Case'!C13*$D1040-'Business Case'!C14*$E1040)-MAX(0,(('Business Case'!C11*$C1040*'Business Case'!C12*$B1040)-'Business Case'!C11*$C1040*'Business Case'!C13*$D1040-'Business Case'!C14*$E1040))*'Business Case'!$B$7-'Business Case'!$B$8*(('Business Case'!C11*$C1040*'Business Case'!C12*$B1040)-('Business Case'!B11*$C1040*'Business Case'!B12*$B1040))-'Business Case'!C15*$F1040</f>
        <v>-35083684.5105664</v>
      </c>
      <c r="J1040" s="39" t="n">
        <f aca="false">(('Business Case'!D11*$C1040*'Business Case'!D12*$B1040)-'Business Case'!D11*$C1040*'Business Case'!D13*$D1040-'Business Case'!D14*$E1040)-MAX(0,(('Business Case'!D11*$C1040*'Business Case'!D12*$B1040)-'Business Case'!D11*$C1040*'Business Case'!D13*$D1040-'Business Case'!D14*$E1040))*'Business Case'!$B$7-'Business Case'!$B$8*(('Business Case'!D11*$C1040*'Business Case'!D12*$B1040)-('Business Case'!C11*$C1040*'Business Case'!C12*$B1040))-'Business Case'!D15*$F1040</f>
        <v>239864714.509987</v>
      </c>
      <c r="K1040" s="39" t="n">
        <f aca="false">(('Business Case'!E11*$C1040*'Business Case'!E12*$B1040)-'Business Case'!E11*$C1040*'Business Case'!E13*$D1040-'Business Case'!E14*$E1040)-MAX(0,(('Business Case'!E11*$C1040*'Business Case'!E12*$B1040)-'Business Case'!E11*$C1040*'Business Case'!E13*$D1040-'Business Case'!E14*$E1040))*'Business Case'!$B$7-'Business Case'!$B$8*(('Business Case'!E11*$C1040*'Business Case'!E12*$B1040)-('Business Case'!D11*$C1040*'Business Case'!D12*$B1040))-'Business Case'!E15*$F1040</f>
        <v>566596522.280015</v>
      </c>
      <c r="L1040" s="39" t="n">
        <f aca="false">(('Business Case'!F11*$C1040*'Business Case'!F12*$B1040)-'Business Case'!F11*$C1040*'Business Case'!F13*$D1040-'Business Case'!F14*$E1040)-MAX(0,(('Business Case'!F11*$C1040*'Business Case'!F12*$B1040)-'Business Case'!F11*$C1040*'Business Case'!F13*$D1040-'Business Case'!F14*$E1040))*'Business Case'!$B$7-'Business Case'!$B$8*(('Business Case'!F11*$C1040*'Business Case'!F12*$B1040)-('Business Case'!E11*$C1040*'Business Case'!E12*$B1040))-'Business Case'!F15*$F1040</f>
        <v>695740513.569412</v>
      </c>
      <c r="M1040" s="39" t="n">
        <f aca="false">(('Business Case'!G11*$C1040*'Business Case'!G12*$B1040)-'Business Case'!G11*$C1040*'Business Case'!G13*$D1040-'Business Case'!G14*$E1040)-MAX(0,(('Business Case'!G11*$C1040*'Business Case'!G12*$B1040)-'Business Case'!G11*$C1040*'Business Case'!G13*$D1040-'Business Case'!G14*$E1040))*'Business Case'!$B$7-'Business Case'!$B$8*(('Business Case'!G11*$C1040*'Business Case'!G12*$B1040)-('Business Case'!F11*$C1040*'Business Case'!F12*$B1040))-'Business Case'!G15*$F1040+'Business Case'!$B$8*('Business Case'!G11*$C1040*'Business Case'!G12*$B1040)</f>
        <v>901960400.790083</v>
      </c>
      <c r="N1040" s="39" t="n">
        <f aca="false">IF(COUNT('Business Case'!B11:G11)=0,"",H1040+NPV(G1040,I1040:M1040))</f>
        <v>-419731287.098453</v>
      </c>
      <c r="P1040" s="40" t="n">
        <f aca="true">RAND()</f>
        <v>0.0604709750406613</v>
      </c>
      <c r="Q1040" s="40" t="n">
        <f aca="true">RAND()</f>
        <v>0.999986422350843</v>
      </c>
      <c r="R1040" s="40" t="n">
        <f aca="true">RAND()</f>
        <v>0.86957445597738</v>
      </c>
      <c r="S1040" s="40" t="n">
        <f aca="true">RAND()</f>
        <v>0.873408235077645</v>
      </c>
      <c r="T1040" s="40" t="n">
        <f aca="true">RAND()</f>
        <v>0.459901025774452</v>
      </c>
      <c r="U1040" s="40" t="n">
        <f aca="true">RAND()</f>
        <v>0.112999991591947</v>
      </c>
    </row>
    <row r="1041" customFormat="false" ht="15" hidden="false" customHeight="false" outlineLevel="0" collapsed="false">
      <c r="A1041" s="36" t="n">
        <v>961</v>
      </c>
      <c r="B1041" s="37" t="n">
        <f aca="false">1+IF($G$6=$E$6,$F$6,IF(P1041&lt;($F$6-$E$6)/($G$6-$E$6),$E$6+SQRT(P1041*($G$6-$E$6)*($F$6-$E$6)),$G$6-SQRT((1-P1041)*($G$6-$E$6)*($G$6-$F$6))))</f>
        <v>0.969505791511566</v>
      </c>
      <c r="C1041" s="37" t="n">
        <f aca="false">1+IF($G$7=$E$7,$F$7,IF(Q1041&lt;($F$7-$E$7)/($G$7-$E$7),$E$7+SQRT(Q1041*($G$7-$E$7)*($F$7-$E$7)),$G$7-SQRT((1-Q1041)*($G$7-$E$7)*($G$7-$F$7))))</f>
        <v>1.02973869766195</v>
      </c>
      <c r="D1041" s="37" t="n">
        <f aca="false">1+IF($G$8=$E$8,$F$8,IF(R1041&lt;($F$8-$E$8)/($G$8-$E$8),$E$8+SQRT(R1041*($G$8-$E$8)*($F$8-$E$8)),$G$8-SQRT((1-R1041)*($G$8-$E$8)*($G$8-$F$8))))</f>
        <v>1.04184717289758</v>
      </c>
      <c r="E1041" s="37" t="n">
        <f aca="false">1+IF($G$9=$E$9,$F$9,IF(S1041&lt;($F$9-$E$9)/($G$9-$E$9),$E$9+SQRT(S1041*($G$9-$E$9)*($F$9-$E$9)),$G$9-SQRT((1-S1041)*($G$9-$E$9)*($G$9-$F$9))))</f>
        <v>0.992061092961518</v>
      </c>
      <c r="F1041" s="37" t="n">
        <f aca="false">1+IF($G$10=$E$10,$F$10,IF(T1041&lt;($F$10-$E$10)/($G$10-$E$10),$E$10+SQRT(T1041*($G$10-$E$10)*($F$10-$E$10)),$G$10-SQRT((1-T1041)*($G$10-$E$10)*($G$10-$F$10))))</f>
        <v>1.07658357182319</v>
      </c>
      <c r="G1041" s="38" t="n">
        <f aca="false">IF($G$11=$E$11,$F$11,IF(U1041&lt;($F$11-$E$11)/($G$11-$E$11),$E$11+SQRT(U1041*($G$11-$E$11)*($F$11-$E$11)),$G$11-SQRT((1-U1041)*($G$11-$E$11)*($G$11-$F$11))))</f>
        <v>0.10447266869152</v>
      </c>
      <c r="H1041" s="39" t="n">
        <f aca="false">(('Business Case'!B11*$C1041*'Business Case'!B12*$B1041)-'Business Case'!B11*$C1041*'Business Case'!B13*$D1041-'Business Case'!B14*$E1041)-MAX(0,(('Business Case'!B11*$C1041*'Business Case'!B12*$B1041)-'Business Case'!B11*$C1041*'Business Case'!B13*$D1041-'Business Case'!B14*$E1041))*'Business Case'!$B$7-'Business Case'!$B$8*('Business Case'!B11*$C1041*'Business Case'!B12*$B1041)-'Business Case'!B15*$F1041</f>
        <v>-2153167143.64638</v>
      </c>
      <c r="I1041" s="39" t="n">
        <f aca="false">(('Business Case'!C11*$C1041*'Business Case'!C12*$B1041)-'Business Case'!C11*$C1041*'Business Case'!C13*$D1041-'Business Case'!C14*$E1041)-MAX(0,(('Business Case'!C11*$C1041*'Business Case'!C12*$B1041)-'Business Case'!C11*$C1041*'Business Case'!C13*$D1041-'Business Case'!C14*$E1041))*'Business Case'!$B$7-'Business Case'!$B$8*(('Business Case'!C11*$C1041*'Business Case'!C12*$B1041)-('Business Case'!B11*$C1041*'Business Case'!B12*$B1041))-'Business Case'!C15*$F1041</f>
        <v>-31976180.4716188</v>
      </c>
      <c r="J1041" s="39" t="n">
        <f aca="false">(('Business Case'!D11*$C1041*'Business Case'!D12*$B1041)-'Business Case'!D11*$C1041*'Business Case'!D13*$D1041-'Business Case'!D14*$E1041)-MAX(0,(('Business Case'!D11*$C1041*'Business Case'!D12*$B1041)-'Business Case'!D11*$C1041*'Business Case'!D13*$D1041-'Business Case'!D14*$E1041))*'Business Case'!$B$7-'Business Case'!$B$8*(('Business Case'!D11*$C1041*'Business Case'!D12*$B1041)-('Business Case'!C11*$C1041*'Business Case'!C12*$B1041))-'Business Case'!D15*$F1041</f>
        <v>236530906.455824</v>
      </c>
      <c r="K1041" s="39" t="n">
        <f aca="false">(('Business Case'!E11*$C1041*'Business Case'!E12*$B1041)-'Business Case'!E11*$C1041*'Business Case'!E13*$D1041-'Business Case'!E14*$E1041)-MAX(0,(('Business Case'!E11*$C1041*'Business Case'!E12*$B1041)-'Business Case'!E11*$C1041*'Business Case'!E13*$D1041-'Business Case'!E14*$E1041))*'Business Case'!$B$7-'Business Case'!$B$8*(('Business Case'!E11*$C1041*'Business Case'!E12*$B1041)-('Business Case'!D11*$C1041*'Business Case'!D12*$B1041))-'Business Case'!E15*$F1041</f>
        <v>558867171.974426</v>
      </c>
      <c r="L1041" s="39" t="n">
        <f aca="false">(('Business Case'!F11*$C1041*'Business Case'!F12*$B1041)-'Business Case'!F11*$C1041*'Business Case'!F13*$D1041-'Business Case'!F14*$E1041)-MAX(0,(('Business Case'!F11*$C1041*'Business Case'!F12*$B1041)-'Business Case'!F11*$C1041*'Business Case'!F13*$D1041-'Business Case'!F14*$E1041))*'Business Case'!$B$7-'Business Case'!$B$8*(('Business Case'!F11*$C1041*'Business Case'!F12*$B1041)-('Business Case'!E11*$C1041*'Business Case'!E12*$B1041))-'Business Case'!F15*$F1041</f>
        <v>682872082.815318</v>
      </c>
      <c r="M1041" s="39" t="n">
        <f aca="false">(('Business Case'!G11*$C1041*'Business Case'!G12*$B1041)-'Business Case'!G11*$C1041*'Business Case'!G13*$D1041-'Business Case'!G14*$E1041)-MAX(0,(('Business Case'!G11*$C1041*'Business Case'!G12*$B1041)-'Business Case'!G11*$C1041*'Business Case'!G13*$D1041-'Business Case'!G14*$E1041))*'Business Case'!$B$7-'Business Case'!$B$8*(('Business Case'!G11*$C1041*'Business Case'!G12*$B1041)-('Business Case'!F11*$C1041*'Business Case'!F12*$B1041))-'Business Case'!G15*$F1041+'Business Case'!$B$8*('Business Case'!G11*$C1041*'Business Case'!G12*$B1041)</f>
        <v>872636099.739907</v>
      </c>
      <c r="N1041" s="39" t="n">
        <f aca="false">IF(COUNT('Business Case'!B11:G11)=0,"",H1041+NPV(G1041,I1041:M1041))</f>
        <v>-583556693.031768</v>
      </c>
      <c r="P1041" s="40" t="n">
        <f aca="true">RAND()</f>
        <v>0.255294103456942</v>
      </c>
      <c r="Q1041" s="40" t="n">
        <f aca="true">RAND()</f>
        <v>0.724518460189632</v>
      </c>
      <c r="R1041" s="40" t="n">
        <f aca="true">RAND()</f>
        <v>0.860034786931996</v>
      </c>
      <c r="S1041" s="40" t="n">
        <f aca="true">RAND()</f>
        <v>0.235884738815656</v>
      </c>
      <c r="T1041" s="40" t="n">
        <f aca="true">RAND()</f>
        <v>0.695367705121555</v>
      </c>
      <c r="U1041" s="40" t="n">
        <f aca="true">RAND()</f>
        <v>0.598169970727842</v>
      </c>
    </row>
    <row r="1042" customFormat="false" ht="15" hidden="false" customHeight="false" outlineLevel="0" collapsed="false">
      <c r="A1042" s="36" t="n">
        <v>962</v>
      </c>
      <c r="B1042" s="37" t="n">
        <f aca="false">1+IF($G$6=$E$6,$F$6,IF(P1042&lt;($F$6-$E$6)/($G$6-$E$6),$E$6+SQRT(P1042*($G$6-$E$6)*($F$6-$E$6)),$G$6-SQRT((1-P1042)*($G$6-$E$6)*($G$6-$F$6))))</f>
        <v>0.985372534837765</v>
      </c>
      <c r="C1042" s="37" t="n">
        <f aca="false">1+IF($G$7=$E$7,$F$7,IF(Q1042&lt;($F$7-$E$7)/($G$7-$E$7),$E$7+SQRT(Q1042*($G$7-$E$7)*($F$7-$E$7)),$G$7-SQRT((1-Q1042)*($G$7-$E$7)*($G$7-$F$7))))</f>
        <v>1.04386709781462</v>
      </c>
      <c r="D1042" s="37" t="n">
        <f aca="false">1+IF($G$8=$E$8,$F$8,IF(R1042&lt;($F$8-$E$8)/($G$8-$E$8),$E$8+SQRT(R1042*($G$8-$E$8)*($F$8-$E$8)),$G$8-SQRT((1-R1042)*($G$8-$E$8)*($G$8-$F$8))))</f>
        <v>1.05205519986051</v>
      </c>
      <c r="E1042" s="37" t="n">
        <f aca="false">1+IF($G$9=$E$9,$F$9,IF(S1042&lt;($F$9-$E$9)/($G$9-$E$9),$E$9+SQRT(S1042*($G$9-$E$9)*($F$9-$E$9)),$G$9-SQRT((1-S1042)*($G$9-$E$9)*($G$9-$F$9))))</f>
        <v>1.02144450742165</v>
      </c>
      <c r="F1042" s="37" t="n">
        <f aca="false">1+IF($G$10=$E$10,$F$10,IF(T1042&lt;($F$10-$E$10)/($G$10-$E$10),$E$10+SQRT(T1042*($G$10-$E$10)*($F$10-$E$10)),$G$10-SQRT((1-T1042)*($G$10-$E$10)*($G$10-$F$10))))</f>
        <v>0.952730670994147</v>
      </c>
      <c r="G1042" s="38" t="n">
        <f aca="false">IF($G$11=$E$11,$F$11,IF(U1042&lt;($F$11-$E$11)/($G$11-$E$11),$E$11+SQRT(U1042*($G$11-$E$11)*($F$11-$E$11)),$G$11-SQRT((1-U1042)*($G$11-$E$11)*($G$11-$F$11))))</f>
        <v>0.112750849444589</v>
      </c>
      <c r="H1042" s="39" t="n">
        <f aca="false">(('Business Case'!B11*$C1042*'Business Case'!B12*$B1042)-'Business Case'!B11*$C1042*'Business Case'!B13*$D1042-'Business Case'!B14*$E1042)-MAX(0,(('Business Case'!B11*$C1042*'Business Case'!B12*$B1042)-'Business Case'!B11*$C1042*'Business Case'!B13*$D1042-'Business Case'!B14*$E1042))*'Business Case'!$B$7-'Business Case'!$B$8*('Business Case'!B11*$C1042*'Business Case'!B12*$B1042)-'Business Case'!B15*$F1042</f>
        <v>-1905461341.98829</v>
      </c>
      <c r="I1042" s="39" t="n">
        <f aca="false">(('Business Case'!C11*$C1042*'Business Case'!C12*$B1042)-'Business Case'!C11*$C1042*'Business Case'!C13*$D1042-'Business Case'!C14*$E1042)-MAX(0,(('Business Case'!C11*$C1042*'Business Case'!C12*$B1042)-'Business Case'!C11*$C1042*'Business Case'!C13*$D1042-'Business Case'!C14*$E1042))*'Business Case'!$B$7-'Business Case'!$B$8*(('Business Case'!C11*$C1042*'Business Case'!C12*$B1042)-('Business Case'!B11*$C1042*'Business Case'!B12*$B1042))-'Business Case'!C15*$F1042</f>
        <v>-13542717.0546827</v>
      </c>
      <c r="J1042" s="39" t="n">
        <f aca="false">(('Business Case'!D11*$C1042*'Business Case'!D12*$B1042)-'Business Case'!D11*$C1042*'Business Case'!D13*$D1042-'Business Case'!D14*$E1042)-MAX(0,(('Business Case'!D11*$C1042*'Business Case'!D12*$B1042)-'Business Case'!D11*$C1042*'Business Case'!D13*$D1042-'Business Case'!D14*$E1042))*'Business Case'!$B$7-'Business Case'!$B$8*(('Business Case'!D11*$C1042*'Business Case'!D12*$B1042)-('Business Case'!C11*$C1042*'Business Case'!C12*$B1042))-'Business Case'!D15*$F1042</f>
        <v>266759560.617276</v>
      </c>
      <c r="K1042" s="39" t="n">
        <f aca="false">(('Business Case'!E11*$C1042*'Business Case'!E12*$B1042)-'Business Case'!E11*$C1042*'Business Case'!E13*$D1042-'Business Case'!E14*$E1042)-MAX(0,(('Business Case'!E11*$C1042*'Business Case'!E12*$B1042)-'Business Case'!E11*$C1042*'Business Case'!E13*$D1042-'Business Case'!E14*$E1042))*'Business Case'!$B$7-'Business Case'!$B$8*(('Business Case'!E11*$C1042*'Business Case'!E12*$B1042)-('Business Case'!D11*$C1042*'Business Case'!D12*$B1042))-'Business Case'!E15*$F1042</f>
        <v>594698371.838942</v>
      </c>
      <c r="L1042" s="39" t="n">
        <f aca="false">(('Business Case'!F11*$C1042*'Business Case'!F12*$B1042)-'Business Case'!F11*$C1042*'Business Case'!F13*$D1042-'Business Case'!F14*$E1042)-MAX(0,(('Business Case'!F11*$C1042*'Business Case'!F12*$B1042)-'Business Case'!F11*$C1042*'Business Case'!F13*$D1042-'Business Case'!F14*$E1042))*'Business Case'!$B$7-'Business Case'!$B$8*(('Business Case'!F11*$C1042*'Business Case'!F12*$B1042)-('Business Case'!E11*$C1042*'Business Case'!E12*$B1042))-'Business Case'!F15*$F1042</f>
        <v>723680810.177506</v>
      </c>
      <c r="M1042" s="39" t="n">
        <f aca="false">(('Business Case'!G11*$C1042*'Business Case'!G12*$B1042)-'Business Case'!G11*$C1042*'Business Case'!G13*$D1042-'Business Case'!G14*$E1042)-MAX(0,(('Business Case'!G11*$C1042*'Business Case'!G12*$B1042)-'Business Case'!G11*$C1042*'Business Case'!G13*$D1042-'Business Case'!G14*$E1042))*'Business Case'!$B$7-'Business Case'!$B$8*(('Business Case'!G11*$C1042*'Business Case'!G12*$B1042)-('Business Case'!F11*$C1042*'Business Case'!F12*$B1042))-'Business Case'!G15*$F1042+'Business Case'!$B$8*('Business Case'!G11*$C1042*'Business Case'!G12*$B1042)</f>
        <v>919196711.974356</v>
      </c>
      <c r="N1042" s="39" t="n">
        <f aca="false">IF(COUNT('Business Case'!B11:G11)=0,"",H1042+NPV(G1042,I1042:M1042))</f>
        <v>-259767986.110393</v>
      </c>
      <c r="P1042" s="40" t="n">
        <f aca="true">RAND()</f>
        <v>0.445163365741128</v>
      </c>
      <c r="Q1042" s="40" t="n">
        <f aca="true">RAND()</f>
        <v>0.785443944261095</v>
      </c>
      <c r="R1042" s="40" t="n">
        <f aca="true">RAND()</f>
        <v>0.924912321650375</v>
      </c>
      <c r="S1042" s="40" t="n">
        <f aca="true">RAND()</f>
        <v>0.588602305718182</v>
      </c>
      <c r="T1042" s="40" t="n">
        <f aca="true">RAND()</f>
        <v>0.000596525126262056</v>
      </c>
      <c r="U1042" s="40" t="n">
        <f aca="true">RAND()</f>
        <v>0.912416360374979</v>
      </c>
    </row>
    <row r="1043" customFormat="false" ht="15" hidden="false" customHeight="false" outlineLevel="0" collapsed="false">
      <c r="A1043" s="36" t="n">
        <v>963</v>
      </c>
      <c r="B1043" s="37" t="n">
        <f aca="false">1+IF($G$6=$E$6,$F$6,IF(P1043&lt;($F$6-$E$6)/($G$6-$E$6),$E$6+SQRT(P1043*($G$6-$E$6)*($F$6-$E$6)),$G$6-SQRT((1-P1043)*($G$6-$E$6)*($G$6-$F$6))))</f>
        <v>0.968966030455601</v>
      </c>
      <c r="C1043" s="37" t="n">
        <f aca="false">1+IF($G$7=$E$7,$F$7,IF(Q1043&lt;($F$7-$E$7)/($G$7-$E$7),$E$7+SQRT(Q1043*($G$7-$E$7)*($F$7-$E$7)),$G$7-SQRT((1-Q1043)*($G$7-$E$7)*($G$7-$F$7))))</f>
        <v>1.00961882953859</v>
      </c>
      <c r="D1043" s="37" t="n">
        <f aca="false">1+IF($G$8=$E$8,$F$8,IF(R1043&lt;($F$8-$E$8)/($G$8-$E$8),$E$8+SQRT(R1043*($G$8-$E$8)*($F$8-$E$8)),$G$8-SQRT((1-R1043)*($G$8-$E$8)*($G$8-$F$8))))</f>
        <v>1.00337697013753</v>
      </c>
      <c r="E1043" s="37" t="n">
        <f aca="false">1+IF($G$9=$E$9,$F$9,IF(S1043&lt;($F$9-$E$9)/($G$9-$E$9),$E$9+SQRT(S1043*($G$9-$E$9)*($F$9-$E$9)),$G$9-SQRT((1-S1043)*($G$9-$E$9)*($G$9-$F$9))))</f>
        <v>1.03301327510613</v>
      </c>
      <c r="F1043" s="37" t="n">
        <f aca="false">1+IF($G$10=$E$10,$F$10,IF(T1043&lt;($F$10-$E$10)/($G$10-$E$10),$E$10+SQRT(T1043*($G$10-$E$10)*($F$10-$E$10)),$G$10-SQRT((1-T1043)*($G$10-$E$10)*($G$10-$F$10))))</f>
        <v>1.0878191985059</v>
      </c>
      <c r="G1043" s="38" t="n">
        <f aca="false">IF($G$11=$E$11,$F$11,IF(U1043&lt;($F$11-$E$11)/($G$11-$E$11),$E$11+SQRT(U1043*($G$11-$E$11)*($F$11-$E$11)),$G$11-SQRT((1-U1043)*($G$11-$E$11)*($G$11-$F$11))))</f>
        <v>0.10865082458291</v>
      </c>
      <c r="H1043" s="39" t="n">
        <f aca="false">(('Business Case'!B11*$C1043*'Business Case'!B12*$B1043)-'Business Case'!B11*$C1043*'Business Case'!B13*$D1043-'Business Case'!B14*$E1043)-MAX(0,(('Business Case'!B11*$C1043*'Business Case'!B12*$B1043)-'Business Case'!B11*$C1043*'Business Case'!B13*$D1043-'Business Case'!B14*$E1043))*'Business Case'!$B$7-'Business Case'!$B$8*('Business Case'!B11*$C1043*'Business Case'!B12*$B1043)-'Business Case'!B15*$F1043</f>
        <v>-2175638397.01179</v>
      </c>
      <c r="I1043" s="39" t="n">
        <f aca="false">(('Business Case'!C11*$C1043*'Business Case'!C12*$B1043)-'Business Case'!C11*$C1043*'Business Case'!C13*$D1043-'Business Case'!C14*$E1043)-MAX(0,(('Business Case'!C11*$C1043*'Business Case'!C12*$B1043)-'Business Case'!C11*$C1043*'Business Case'!C13*$D1043-'Business Case'!C14*$E1043))*'Business Case'!$B$7-'Business Case'!$B$8*(('Business Case'!C11*$C1043*'Business Case'!C12*$B1043)-('Business Case'!B11*$C1043*'Business Case'!B12*$B1043))-'Business Case'!C15*$F1043</f>
        <v>-23693253.2587876</v>
      </c>
      <c r="J1043" s="39" t="n">
        <f aca="false">(('Business Case'!D11*$C1043*'Business Case'!D12*$B1043)-'Business Case'!D11*$C1043*'Business Case'!D13*$D1043-'Business Case'!D14*$E1043)-MAX(0,(('Business Case'!D11*$C1043*'Business Case'!D12*$B1043)-'Business Case'!D11*$C1043*'Business Case'!D13*$D1043-'Business Case'!D14*$E1043))*'Business Case'!$B$7-'Business Case'!$B$8*(('Business Case'!D11*$C1043*'Business Case'!D12*$B1043)-('Business Case'!C11*$C1043*'Business Case'!C12*$B1043))-'Business Case'!D15*$F1043</f>
        <v>259004265.412805</v>
      </c>
      <c r="K1043" s="39" t="n">
        <f aca="false">(('Business Case'!E11*$C1043*'Business Case'!E12*$B1043)-'Business Case'!E11*$C1043*'Business Case'!E13*$D1043-'Business Case'!E14*$E1043)-MAX(0,(('Business Case'!E11*$C1043*'Business Case'!E12*$B1043)-'Business Case'!E11*$C1043*'Business Case'!E13*$D1043-'Business Case'!E14*$E1043))*'Business Case'!$B$7-'Business Case'!$B$8*(('Business Case'!E11*$C1043*'Business Case'!E12*$B1043)-('Business Case'!D11*$C1043*'Business Case'!D12*$B1043))-'Business Case'!E15*$F1043</f>
        <v>596092744.009692</v>
      </c>
      <c r="L1043" s="39" t="n">
        <f aca="false">(('Business Case'!F11*$C1043*'Business Case'!F12*$B1043)-'Business Case'!F11*$C1043*'Business Case'!F13*$D1043-'Business Case'!F14*$E1043)-MAX(0,(('Business Case'!F11*$C1043*'Business Case'!F12*$B1043)-'Business Case'!F11*$C1043*'Business Case'!F13*$D1043-'Business Case'!F14*$E1043))*'Business Case'!$B$7-'Business Case'!$B$8*(('Business Case'!F11*$C1043*'Business Case'!F12*$B1043)-('Business Case'!E11*$C1043*'Business Case'!E12*$B1043))-'Business Case'!F15*$F1043</f>
        <v>724134826.473356</v>
      </c>
      <c r="M1043" s="39" t="n">
        <f aca="false">(('Business Case'!G11*$C1043*'Business Case'!G12*$B1043)-'Business Case'!G11*$C1043*'Business Case'!G13*$D1043-'Business Case'!G14*$E1043)-MAX(0,(('Business Case'!G11*$C1043*'Business Case'!G12*$B1043)-'Business Case'!G11*$C1043*'Business Case'!G13*$D1043-'Business Case'!G14*$E1043))*'Business Case'!$B$7-'Business Case'!$B$8*(('Business Case'!G11*$C1043*'Business Case'!G12*$B1043)-('Business Case'!F11*$C1043*'Business Case'!F12*$B1043))-'Business Case'!G15*$F1043+'Business Case'!$B$8*('Business Case'!G11*$C1043*'Business Case'!G12*$B1043)</f>
        <v>910087495.792254</v>
      </c>
      <c r="N1043" s="39" t="n">
        <f aca="false">IF(COUNT('Business Case'!B11:G11)=0,"",H1043+NPV(G1043,I1043:M1043))</f>
        <v>-526109700.809585</v>
      </c>
      <c r="P1043" s="40" t="n">
        <f aca="true">RAND()</f>
        <v>0.249757514435301</v>
      </c>
      <c r="Q1043" s="40" t="n">
        <f aca="true">RAND()</f>
        <v>0.624630990093032</v>
      </c>
      <c r="R1043" s="40" t="n">
        <f aca="true">RAND()</f>
        <v>0.435472239874569</v>
      </c>
      <c r="S1043" s="40" t="n">
        <f aca="true">RAND()</f>
        <v>0.700851912532843</v>
      </c>
      <c r="T1043" s="40" t="n">
        <f aca="true">RAND()</f>
        <v>0.748309355522807</v>
      </c>
      <c r="U1043" s="40" t="n">
        <f aca="true">RAND()</f>
        <v>0.785327028920211</v>
      </c>
    </row>
    <row r="1044" customFormat="false" ht="15" hidden="false" customHeight="false" outlineLevel="0" collapsed="false">
      <c r="A1044" s="36" t="n">
        <v>964</v>
      </c>
      <c r="B1044" s="37" t="n">
        <f aca="false">1+IF($G$6=$E$6,$F$6,IF(P1044&lt;($F$6-$E$6)/($G$6-$E$6),$E$6+SQRT(P1044*($G$6-$E$6)*($F$6-$E$6)),$G$6-SQRT((1-P1044)*($G$6-$E$6)*($G$6-$F$6))))</f>
        <v>0.996373943503301</v>
      </c>
      <c r="C1044" s="37" t="n">
        <f aca="false">1+IF($G$7=$E$7,$F$7,IF(Q1044&lt;($F$7-$E$7)/($G$7-$E$7),$E$7+SQRT(Q1044*($G$7-$E$7)*($F$7-$E$7)),$G$7-SQRT((1-Q1044)*($G$7-$E$7)*($G$7-$F$7))))</f>
        <v>1.00436649950584</v>
      </c>
      <c r="D1044" s="37" t="n">
        <f aca="false">1+IF($G$8=$E$8,$F$8,IF(R1044&lt;($F$8-$E$8)/($G$8-$E$8),$E$8+SQRT(R1044*($G$8-$E$8)*($F$8-$E$8)),$G$8-SQRT((1-R1044)*($G$8-$E$8)*($G$8-$F$8))))</f>
        <v>1.03037383112874</v>
      </c>
      <c r="E1044" s="37" t="n">
        <f aca="false">1+IF($G$9=$E$9,$F$9,IF(S1044&lt;($F$9-$E$9)/($G$9-$E$9),$E$9+SQRT(S1044*($G$9-$E$9)*($F$9-$E$9)),$G$9-SQRT((1-S1044)*($G$9-$E$9)*($G$9-$F$9))))</f>
        <v>1.03956176674713</v>
      </c>
      <c r="F1044" s="37" t="n">
        <f aca="false">1+IF($G$10=$E$10,$F$10,IF(T1044&lt;($F$10-$E$10)/($G$10-$E$10),$E$10+SQRT(T1044*($G$10-$E$10)*($F$10-$E$10)),$G$10-SQRT((1-T1044)*($G$10-$E$10)*($G$10-$F$10))))</f>
        <v>0.9799660565458</v>
      </c>
      <c r="G1044" s="38" t="n">
        <f aca="false">IF($G$11=$E$11,$F$11,IF(U1044&lt;($F$11-$E$11)/($G$11-$E$11),$E$11+SQRT(U1044*($G$11-$E$11)*($F$11-$E$11)),$G$11-SQRT((1-U1044)*($G$11-$E$11)*($G$11-$F$11))))</f>
        <v>0.0977315873452647</v>
      </c>
      <c r="H1044" s="39" t="n">
        <f aca="false">(('Business Case'!B11*$C1044*'Business Case'!B12*$B1044)-'Business Case'!B11*$C1044*'Business Case'!B13*$D1044-'Business Case'!B14*$E1044)-MAX(0,(('Business Case'!B11*$C1044*'Business Case'!B12*$B1044)-'Business Case'!B11*$C1044*'Business Case'!B13*$D1044-'Business Case'!B14*$E1044))*'Business Case'!$B$7-'Business Case'!$B$8*('Business Case'!B11*$C1044*'Business Case'!B12*$B1044)-'Business Case'!B15*$F1044</f>
        <v>-1959932113.0916</v>
      </c>
      <c r="I1044" s="39" t="n">
        <f aca="false">(('Business Case'!C11*$C1044*'Business Case'!C12*$B1044)-'Business Case'!C11*$C1044*'Business Case'!C13*$D1044-'Business Case'!C14*$E1044)-MAX(0,(('Business Case'!C11*$C1044*'Business Case'!C12*$B1044)-'Business Case'!C11*$C1044*'Business Case'!C13*$D1044-'Business Case'!C14*$E1044))*'Business Case'!$B$7-'Business Case'!$B$8*(('Business Case'!C11*$C1044*'Business Case'!C12*$B1044)-('Business Case'!B11*$C1044*'Business Case'!B12*$B1044))-'Business Case'!C15*$F1044</f>
        <v>-7806509.66830879</v>
      </c>
      <c r="J1044" s="39" t="n">
        <f aca="false">(('Business Case'!D11*$C1044*'Business Case'!D12*$B1044)-'Business Case'!D11*$C1044*'Business Case'!D13*$D1044-'Business Case'!D14*$E1044)-MAX(0,(('Business Case'!D11*$C1044*'Business Case'!D12*$B1044)-'Business Case'!D11*$C1044*'Business Case'!D13*$D1044-'Business Case'!D14*$E1044))*'Business Case'!$B$7-'Business Case'!$B$8*(('Business Case'!D11*$C1044*'Business Case'!D12*$B1044)-('Business Case'!C11*$C1044*'Business Case'!C12*$B1044))-'Business Case'!D15*$F1044</f>
        <v>282086833.323262</v>
      </c>
      <c r="K1044" s="39" t="n">
        <f aca="false">(('Business Case'!E11*$C1044*'Business Case'!E12*$B1044)-'Business Case'!E11*$C1044*'Business Case'!E13*$D1044-'Business Case'!E14*$E1044)-MAX(0,(('Business Case'!E11*$C1044*'Business Case'!E12*$B1044)-'Business Case'!E11*$C1044*'Business Case'!E13*$D1044-'Business Case'!E14*$E1044))*'Business Case'!$B$7-'Business Case'!$B$8*(('Business Case'!E11*$C1044*'Business Case'!E12*$B1044)-('Business Case'!D11*$C1044*'Business Case'!D12*$B1044))-'Business Case'!E15*$F1044</f>
        <v>620978479.142124</v>
      </c>
      <c r="L1044" s="39" t="n">
        <f aca="false">(('Business Case'!F11*$C1044*'Business Case'!F12*$B1044)-'Business Case'!F11*$C1044*'Business Case'!F13*$D1044-'Business Case'!F14*$E1044)-MAX(0,(('Business Case'!F11*$C1044*'Business Case'!F12*$B1044)-'Business Case'!F11*$C1044*'Business Case'!F13*$D1044-'Business Case'!F14*$E1044))*'Business Case'!$B$7-'Business Case'!$B$8*(('Business Case'!F11*$C1044*'Business Case'!F12*$B1044)-('Business Case'!E11*$C1044*'Business Case'!E12*$B1044))-'Business Case'!F15*$F1044</f>
        <v>752194635.988553</v>
      </c>
      <c r="M1044" s="39" t="n">
        <f aca="false">(('Business Case'!G11*$C1044*'Business Case'!G12*$B1044)-'Business Case'!G11*$C1044*'Business Case'!G13*$D1044-'Business Case'!G14*$E1044)-MAX(0,(('Business Case'!G11*$C1044*'Business Case'!G12*$B1044)-'Business Case'!G11*$C1044*'Business Case'!G13*$D1044-'Business Case'!G14*$E1044))*'Business Case'!$B$7-'Business Case'!$B$8*(('Business Case'!G11*$C1044*'Business Case'!G12*$B1044)-('Business Case'!F11*$C1044*'Business Case'!F12*$B1044))-'Business Case'!G15*$F1044+'Business Case'!$B$8*('Business Case'!G11*$C1044*'Business Case'!G12*$B1044)</f>
        <v>942412369.826035</v>
      </c>
      <c r="N1044" s="39" t="n">
        <f aca="false">IF(COUNT('Business Case'!B11:G11)=0,"",H1044+NPV(G1044,I1044:M1044))</f>
        <v>-154246945.85975</v>
      </c>
      <c r="P1044" s="40" t="n">
        <f aca="true">RAND()</f>
        <v>0.607602004817235</v>
      </c>
      <c r="Q1044" s="40" t="n">
        <f aca="true">RAND()</f>
        <v>0.59601682921557</v>
      </c>
      <c r="R1044" s="40" t="n">
        <f aca="true">RAND()</f>
        <v>0.763196477227028</v>
      </c>
      <c r="S1044" s="40" t="n">
        <f aca="true">RAND()</f>
        <v>0.756481330751414</v>
      </c>
      <c r="T1044" s="40" t="n">
        <f aca="true">RAND()</f>
        <v>0.0718371635924851</v>
      </c>
      <c r="U1044" s="40" t="n">
        <f aca="true">RAND()</f>
        <v>0.199258142924858</v>
      </c>
    </row>
    <row r="1045" customFormat="false" ht="15" hidden="false" customHeight="false" outlineLevel="0" collapsed="false">
      <c r="A1045" s="36" t="n">
        <v>965</v>
      </c>
      <c r="B1045" s="37" t="n">
        <f aca="false">1+IF($G$6=$E$6,$F$6,IF(P1045&lt;($F$6-$E$6)/($G$6-$E$6),$E$6+SQRT(P1045*($G$6-$E$6)*($F$6-$E$6)),$G$6-SQRT((1-P1045)*($G$6-$E$6)*($G$6-$F$6))))</f>
        <v>0.977192616465904</v>
      </c>
      <c r="C1045" s="37" t="n">
        <f aca="false">1+IF($G$7=$E$7,$F$7,IF(Q1045&lt;($F$7-$E$7)/($G$7-$E$7),$E$7+SQRT(Q1045*($G$7-$E$7)*($F$7-$E$7)),$G$7-SQRT((1-Q1045)*($G$7-$E$7)*($G$7-$F$7))))</f>
        <v>1.03254473094015</v>
      </c>
      <c r="D1045" s="37" t="n">
        <f aca="false">1+IF($G$8=$E$8,$F$8,IF(R1045&lt;($F$8-$E$8)/($G$8-$E$8),$E$8+SQRT(R1045*($G$8-$E$8)*($F$8-$E$8)),$G$8-SQRT((1-R1045)*($G$8-$E$8)*($G$8-$F$8))))</f>
        <v>1.00089053590346</v>
      </c>
      <c r="E1045" s="37" t="n">
        <f aca="false">1+IF($G$9=$E$9,$F$9,IF(S1045&lt;($F$9-$E$9)/($G$9-$E$9),$E$9+SQRT(S1045*($G$9-$E$9)*($F$9-$E$9)),$G$9-SQRT((1-S1045)*($G$9-$E$9)*($G$9-$F$9))))</f>
        <v>1.00733072039438</v>
      </c>
      <c r="F1045" s="37" t="n">
        <f aca="false">1+IF($G$10=$E$10,$F$10,IF(T1045&lt;($F$10-$E$10)/($G$10-$E$10),$E$10+SQRT(T1045*($G$10-$E$10)*($F$10-$E$10)),$G$10-SQRT((1-T1045)*($G$10-$E$10)*($G$10-$F$10))))</f>
        <v>0.955186260068577</v>
      </c>
      <c r="G1045" s="38" t="n">
        <f aca="false">IF($G$11=$E$11,$F$11,IF(U1045&lt;($F$11-$E$11)/($G$11-$E$11),$E$11+SQRT(U1045*($G$11-$E$11)*($F$11-$E$11)),$G$11-SQRT((1-U1045)*($G$11-$E$11)*($G$11-$F$11))))</f>
        <v>0.100335606253842</v>
      </c>
      <c r="H1045" s="39" t="n">
        <f aca="false">(('Business Case'!B11*$C1045*'Business Case'!B12*$B1045)-'Business Case'!B11*$C1045*'Business Case'!B13*$D1045-'Business Case'!B14*$E1045)-MAX(0,(('Business Case'!B11*$C1045*'Business Case'!B12*$B1045)-'Business Case'!B11*$C1045*'Business Case'!B13*$D1045-'Business Case'!B14*$E1045))*'Business Case'!$B$7-'Business Case'!$B$8*('Business Case'!B11*$C1045*'Business Case'!B12*$B1045)-'Business Case'!B15*$F1045</f>
        <v>-1910372520.13715</v>
      </c>
      <c r="I1045" s="39" t="n">
        <f aca="false">(('Business Case'!C11*$C1045*'Business Case'!C12*$B1045)-'Business Case'!C11*$C1045*'Business Case'!C13*$D1045-'Business Case'!C14*$E1045)-MAX(0,(('Business Case'!C11*$C1045*'Business Case'!C12*$B1045)-'Business Case'!C11*$C1045*'Business Case'!C13*$D1045-'Business Case'!C14*$E1045))*'Business Case'!$B$7-'Business Case'!$B$8*(('Business Case'!C11*$C1045*'Business Case'!C12*$B1045)-('Business Case'!B11*$C1045*'Business Case'!B12*$B1045))-'Business Case'!C15*$F1045</f>
        <v>6321245.93388723</v>
      </c>
      <c r="J1045" s="39" t="n">
        <f aca="false">(('Business Case'!D11*$C1045*'Business Case'!D12*$B1045)-'Business Case'!D11*$C1045*'Business Case'!D13*$D1045-'Business Case'!D14*$E1045)-MAX(0,(('Business Case'!D11*$C1045*'Business Case'!D12*$B1045)-'Business Case'!D11*$C1045*'Business Case'!D13*$D1045-'Business Case'!D14*$E1045))*'Business Case'!$B$7-'Business Case'!$B$8*(('Business Case'!D11*$C1045*'Business Case'!D12*$B1045)-('Business Case'!C11*$C1045*'Business Case'!C12*$B1045))-'Business Case'!D15*$F1045</f>
        <v>303709851.637519</v>
      </c>
      <c r="K1045" s="39" t="n">
        <f aca="false">(('Business Case'!E11*$C1045*'Business Case'!E12*$B1045)-'Business Case'!E11*$C1045*'Business Case'!E13*$D1045-'Business Case'!E14*$E1045)-MAX(0,(('Business Case'!E11*$C1045*'Business Case'!E12*$B1045)-'Business Case'!E11*$C1045*'Business Case'!E13*$D1045-'Business Case'!E14*$E1045))*'Business Case'!$B$7-'Business Case'!$B$8*(('Business Case'!E11*$C1045*'Business Case'!E12*$B1045)-('Business Case'!D11*$C1045*'Business Case'!D12*$B1045))-'Business Case'!E15*$F1045</f>
        <v>648857770.34458</v>
      </c>
      <c r="L1045" s="39" t="n">
        <f aca="false">(('Business Case'!F11*$C1045*'Business Case'!F12*$B1045)-'Business Case'!F11*$C1045*'Business Case'!F13*$D1045-'Business Case'!F14*$E1045)-MAX(0,(('Business Case'!F11*$C1045*'Business Case'!F12*$B1045)-'Business Case'!F11*$C1045*'Business Case'!F13*$D1045-'Business Case'!F14*$E1045))*'Business Case'!$B$7-'Business Case'!$B$8*(('Business Case'!F11*$C1045*'Business Case'!F12*$B1045)-('Business Case'!E11*$C1045*'Business Case'!E12*$B1045))-'Business Case'!F15*$F1045</f>
        <v>782858175.794328</v>
      </c>
      <c r="M1045" s="39" t="n">
        <f aca="false">(('Business Case'!G11*$C1045*'Business Case'!G12*$B1045)-'Business Case'!G11*$C1045*'Business Case'!G13*$D1045-'Business Case'!G14*$E1045)-MAX(0,(('Business Case'!G11*$C1045*'Business Case'!G12*$B1045)-'Business Case'!G11*$C1045*'Business Case'!G13*$D1045-'Business Case'!G14*$E1045))*'Business Case'!$B$7-'Business Case'!$B$8*(('Business Case'!G11*$C1045*'Business Case'!G12*$B1045)-('Business Case'!F11*$C1045*'Business Case'!F12*$B1045))-'Business Case'!G15*$F1045+'Business Case'!$B$8*('Business Case'!G11*$C1045*'Business Case'!G12*$B1045)</f>
        <v>974647961.977951</v>
      </c>
      <c r="N1045" s="39" t="n">
        <f aca="false">IF(COUNT('Business Case'!B11:G11)=0,"",H1045+NPV(G1045,I1045:M1045))</f>
        <v>-28422402.0651238</v>
      </c>
      <c r="P1045" s="40" t="n">
        <f aca="true">RAND()</f>
        <v>0.340728685230835</v>
      </c>
      <c r="Q1045" s="40" t="n">
        <f aca="true">RAND()</f>
        <v>0.737223995620543</v>
      </c>
      <c r="R1045" s="40" t="n">
        <f aca="true">RAND()</f>
        <v>0.398239681765285</v>
      </c>
      <c r="S1045" s="40" t="n">
        <f aca="true">RAND()</f>
        <v>0.427493641158365</v>
      </c>
      <c r="T1045" s="40" t="n">
        <f aca="true">RAND()</f>
        <v>0.00215178347991349</v>
      </c>
      <c r="U1045" s="40" t="n">
        <f aca="true">RAND()</f>
        <v>0.355519364326784</v>
      </c>
    </row>
    <row r="1046" customFormat="false" ht="15" hidden="false" customHeight="false" outlineLevel="0" collapsed="false">
      <c r="A1046" s="36" t="n">
        <v>966</v>
      </c>
      <c r="B1046" s="37" t="n">
        <f aca="false">1+IF($G$6=$E$6,$F$6,IF(P1046&lt;($F$6-$E$6)/($G$6-$E$6),$E$6+SQRT(P1046*($G$6-$E$6)*($F$6-$E$6)),$G$6-SQRT((1-P1046)*($G$6-$E$6)*($G$6-$F$6))))</f>
        <v>0.974527470217685</v>
      </c>
      <c r="C1046" s="37" t="n">
        <f aca="false">1+IF($G$7=$E$7,$F$7,IF(Q1046&lt;($F$7-$E$7)/($G$7-$E$7),$E$7+SQRT(Q1046*($G$7-$E$7)*($F$7-$E$7)),$G$7-SQRT((1-Q1046)*($G$7-$E$7)*($G$7-$F$7))))</f>
        <v>1.06832166523078</v>
      </c>
      <c r="D1046" s="37" t="n">
        <f aca="false">1+IF($G$8=$E$8,$F$8,IF(R1046&lt;($F$8-$E$8)/($G$8-$E$8),$E$8+SQRT(R1046*($G$8-$E$8)*($F$8-$E$8)),$G$8-SQRT((1-R1046)*($G$8-$E$8)*($G$8-$F$8))))</f>
        <v>0.971230665881945</v>
      </c>
      <c r="E1046" s="37" t="n">
        <f aca="false">1+IF($G$9=$E$9,$F$9,IF(S1046&lt;($F$9-$E$9)/($G$9-$E$9),$E$9+SQRT(S1046*($G$9-$E$9)*($F$9-$E$9)),$G$9-SQRT((1-S1046)*($G$9-$E$9)*($G$9-$F$9))))</f>
        <v>1.0233144564817</v>
      </c>
      <c r="F1046" s="37" t="n">
        <f aca="false">1+IF($G$10=$E$10,$F$10,IF(T1046&lt;($F$10-$E$10)/($G$10-$E$10),$E$10+SQRT(T1046*($G$10-$E$10)*($F$10-$E$10)),$G$10-SQRT((1-T1046)*($G$10-$E$10)*($G$10-$F$10))))</f>
        <v>1.07595823957806</v>
      </c>
      <c r="G1046" s="38" t="n">
        <f aca="false">IF($G$11=$E$11,$F$11,IF(U1046&lt;($F$11-$E$11)/($G$11-$E$11),$E$11+SQRT(U1046*($G$11-$E$11)*($F$11-$E$11)),$G$11-SQRT((1-U1046)*($G$11-$E$11)*($G$11-$F$11))))</f>
        <v>0.101564266282959</v>
      </c>
      <c r="H1046" s="39" t="n">
        <f aca="false">(('Business Case'!B11*$C1046*'Business Case'!B12*$B1046)-'Business Case'!B11*$C1046*'Business Case'!B13*$D1046-'Business Case'!B14*$E1046)-MAX(0,(('Business Case'!B11*$C1046*'Business Case'!B12*$B1046)-'Business Case'!B11*$C1046*'Business Case'!B13*$D1046-'Business Case'!B14*$E1046))*'Business Case'!$B$7-'Business Case'!$B$8*('Business Case'!B11*$C1046*'Business Case'!B12*$B1046)-'Business Case'!B15*$F1046</f>
        <v>-2151916479.15612</v>
      </c>
      <c r="I1046" s="39" t="n">
        <f aca="false">(('Business Case'!C11*$C1046*'Business Case'!C12*$B1046)-'Business Case'!C11*$C1046*'Business Case'!C13*$D1046-'Business Case'!C14*$E1046)-MAX(0,(('Business Case'!C11*$C1046*'Business Case'!C12*$B1046)-'Business Case'!C11*$C1046*'Business Case'!C13*$D1046-'Business Case'!C14*$E1046))*'Business Case'!$B$7-'Business Case'!$B$8*(('Business Case'!C11*$C1046*'Business Case'!C12*$B1046)-('Business Case'!B11*$C1046*'Business Case'!B12*$B1046))-'Business Case'!C15*$F1046</f>
        <v>14499439.3322819</v>
      </c>
      <c r="J1046" s="39" t="n">
        <f aca="false">(('Business Case'!D11*$C1046*'Business Case'!D12*$B1046)-'Business Case'!D11*$C1046*'Business Case'!D13*$D1046-'Business Case'!D14*$E1046)-MAX(0,(('Business Case'!D11*$C1046*'Business Case'!D12*$B1046)-'Business Case'!D11*$C1046*'Business Case'!D13*$D1046-'Business Case'!D14*$E1046))*'Business Case'!$B$7-'Business Case'!$B$8*(('Business Case'!D11*$C1046*'Business Case'!D12*$B1046)-('Business Case'!C11*$C1046*'Business Case'!C12*$B1046))-'Business Case'!D15*$F1046</f>
        <v>336081099.033896</v>
      </c>
      <c r="K1046" s="39" t="n">
        <f aca="false">(('Business Case'!E11*$C1046*'Business Case'!E12*$B1046)-'Business Case'!E11*$C1046*'Business Case'!E13*$D1046-'Business Case'!E14*$E1046)-MAX(0,(('Business Case'!E11*$C1046*'Business Case'!E12*$B1046)-'Business Case'!E11*$C1046*'Business Case'!E13*$D1046-'Business Case'!E14*$E1046))*'Business Case'!$B$7-'Business Case'!$B$8*(('Business Case'!E11*$C1046*'Business Case'!E12*$B1046)-('Business Case'!D11*$C1046*'Business Case'!D12*$B1046))-'Business Case'!E15*$F1046</f>
        <v>711460670.714414</v>
      </c>
      <c r="L1046" s="39" t="n">
        <f aca="false">(('Business Case'!F11*$C1046*'Business Case'!F12*$B1046)-'Business Case'!F11*$C1046*'Business Case'!F13*$D1046-'Business Case'!F14*$E1046)-MAX(0,(('Business Case'!F11*$C1046*'Business Case'!F12*$B1046)-'Business Case'!F11*$C1046*'Business Case'!F13*$D1046-'Business Case'!F14*$E1046))*'Business Case'!$B$7-'Business Case'!$B$8*(('Business Case'!F11*$C1046*'Business Case'!F12*$B1046)-('Business Case'!E11*$C1046*'Business Case'!E12*$B1046))-'Business Case'!F15*$F1046</f>
        <v>854635277.748171</v>
      </c>
      <c r="M1046" s="39" t="n">
        <f aca="false">(('Business Case'!G11*$C1046*'Business Case'!G12*$B1046)-'Business Case'!G11*$C1046*'Business Case'!G13*$D1046-'Business Case'!G14*$E1046)-MAX(0,(('Business Case'!G11*$C1046*'Business Case'!G12*$B1046)-'Business Case'!G11*$C1046*'Business Case'!G13*$D1046-'Business Case'!G14*$E1046))*'Business Case'!$B$7-'Business Case'!$B$8*(('Business Case'!G11*$C1046*'Business Case'!G12*$B1046)-('Business Case'!F11*$C1046*'Business Case'!F12*$B1046))-'Business Case'!G15*$F1046+'Business Case'!$B$8*('Business Case'!G11*$C1046*'Business Case'!G12*$B1046)</f>
        <v>1052529240.31421</v>
      </c>
      <c r="N1046" s="39" t="n">
        <f aca="false">IF(COUNT('Business Case'!B11:G11)=0,"",H1046+NPV(G1046,I1046:M1046))</f>
        <v>-100202659.178367</v>
      </c>
      <c r="P1046" s="40" t="n">
        <f aca="true">RAND()</f>
        <v>0.309713021702141</v>
      </c>
      <c r="Q1046" s="40" t="n">
        <f aca="true">RAND()</f>
        <v>0.872926659606226</v>
      </c>
      <c r="R1046" s="40" t="n">
        <f aca="true">RAND()</f>
        <v>0.0693447959678099</v>
      </c>
      <c r="S1046" s="40" t="n">
        <f aca="true">RAND()</f>
        <v>0.607955161020148</v>
      </c>
      <c r="T1046" s="40" t="n">
        <f aca="true">RAND()</f>
        <v>0.692272833428512</v>
      </c>
      <c r="U1046" s="40" t="n">
        <f aca="true">RAND()</f>
        <v>0.433539537190603</v>
      </c>
    </row>
    <row r="1047" customFormat="false" ht="15" hidden="false" customHeight="false" outlineLevel="0" collapsed="false">
      <c r="A1047" s="36" t="n">
        <v>967</v>
      </c>
      <c r="B1047" s="37" t="n">
        <f aca="false">1+IF($G$6=$E$6,$F$6,IF(P1047&lt;($F$6-$E$6)/($G$6-$E$6),$E$6+SQRT(P1047*($G$6-$E$6)*($F$6-$E$6)),$G$6-SQRT((1-P1047)*($G$6-$E$6)*($G$6-$F$6))))</f>
        <v>0.99675701120762</v>
      </c>
      <c r="C1047" s="37" t="n">
        <f aca="false">1+IF($G$7=$E$7,$F$7,IF(Q1047&lt;($F$7-$E$7)/($G$7-$E$7),$E$7+SQRT(Q1047*($G$7-$E$7)*($F$7-$E$7)),$G$7-SQRT((1-Q1047)*($G$7-$E$7)*($G$7-$F$7))))</f>
        <v>1.03264842678252</v>
      </c>
      <c r="D1047" s="37" t="n">
        <f aca="false">1+IF($G$8=$E$8,$F$8,IF(R1047&lt;($F$8-$E$8)/($G$8-$E$8),$E$8+SQRT(R1047*($G$8-$E$8)*($F$8-$E$8)),$G$8-SQRT((1-R1047)*($G$8-$E$8)*($G$8-$F$8))))</f>
        <v>0.985531499161325</v>
      </c>
      <c r="E1047" s="37" t="n">
        <f aca="false">1+IF($G$9=$E$9,$F$9,IF(S1047&lt;($F$9-$E$9)/($G$9-$E$9),$E$9+SQRT(S1047*($G$9-$E$9)*($F$9-$E$9)),$G$9-SQRT((1-S1047)*($G$9-$E$9)*($G$9-$F$9))))</f>
        <v>0.988595422414494</v>
      </c>
      <c r="F1047" s="37" t="n">
        <f aca="false">1+IF($G$10=$E$10,$F$10,IF(T1047&lt;($F$10-$E$10)/($G$10-$E$10),$E$10+SQRT(T1047*($G$10-$E$10)*($F$10-$E$10)),$G$10-SQRT((1-T1047)*($G$10-$E$10)*($G$10-$F$10))))</f>
        <v>1.00739432959316</v>
      </c>
      <c r="G1047" s="38" t="n">
        <f aca="false">IF($G$11=$E$11,$F$11,IF(U1047&lt;($F$11-$E$11)/($G$11-$E$11),$E$11+SQRT(U1047*($G$11-$E$11)*($F$11-$E$11)),$G$11-SQRT((1-U1047)*($G$11-$E$11)*($G$11-$F$11))))</f>
        <v>0.0987713315175936</v>
      </c>
      <c r="H1047" s="39" t="n">
        <f aca="false">(('Business Case'!B11*$C1047*'Business Case'!B12*$B1047)-'Business Case'!B11*$C1047*'Business Case'!B13*$D1047-'Business Case'!B14*$E1047)-MAX(0,(('Business Case'!B11*$C1047*'Business Case'!B12*$B1047)-'Business Case'!B11*$C1047*'Business Case'!B13*$D1047-'Business Case'!B14*$E1047))*'Business Case'!$B$7-'Business Case'!$B$8*('Business Case'!B11*$C1047*'Business Case'!B12*$B1047)-'Business Case'!B15*$F1047</f>
        <v>-2014788659.18631</v>
      </c>
      <c r="I1047" s="39" t="n">
        <f aca="false">(('Business Case'!C11*$C1047*'Business Case'!C12*$B1047)-'Business Case'!C11*$C1047*'Business Case'!C13*$D1047-'Business Case'!C14*$E1047)-MAX(0,(('Business Case'!C11*$C1047*'Business Case'!C12*$B1047)-'Business Case'!C11*$C1047*'Business Case'!C13*$D1047-'Business Case'!C14*$E1047))*'Business Case'!$B$7-'Business Case'!$B$8*(('Business Case'!C11*$C1047*'Business Case'!C12*$B1047)-('Business Case'!B11*$C1047*'Business Case'!B12*$B1047))-'Business Case'!C15*$F1047</f>
        <v>27409007.5153303</v>
      </c>
      <c r="J1047" s="39" t="n">
        <f aca="false">(('Business Case'!D11*$C1047*'Business Case'!D12*$B1047)-'Business Case'!D11*$C1047*'Business Case'!D13*$D1047-'Business Case'!D14*$E1047)-MAX(0,(('Business Case'!D11*$C1047*'Business Case'!D12*$B1047)-'Business Case'!D11*$C1047*'Business Case'!D13*$D1047-'Business Case'!D14*$E1047))*'Business Case'!$B$7-'Business Case'!$B$8*(('Business Case'!D11*$C1047*'Business Case'!D12*$B1047)-('Business Case'!C11*$C1047*'Business Case'!C12*$B1047))-'Business Case'!D15*$F1047</f>
        <v>349494606.222212</v>
      </c>
      <c r="K1047" s="39" t="n">
        <f aca="false">(('Business Case'!E11*$C1047*'Business Case'!E12*$B1047)-'Business Case'!E11*$C1047*'Business Case'!E13*$D1047-'Business Case'!E14*$E1047)-MAX(0,(('Business Case'!E11*$C1047*'Business Case'!E12*$B1047)-'Business Case'!E11*$C1047*'Business Case'!E13*$D1047-'Business Case'!E14*$E1047))*'Business Case'!$B$7-'Business Case'!$B$8*(('Business Case'!E11*$C1047*'Business Case'!E12*$B1047)-('Business Case'!D11*$C1047*'Business Case'!D12*$B1047))-'Business Case'!E15*$F1047</f>
        <v>721949921.408751</v>
      </c>
      <c r="L1047" s="39" t="n">
        <f aca="false">(('Business Case'!F11*$C1047*'Business Case'!F12*$B1047)-'Business Case'!F11*$C1047*'Business Case'!F13*$D1047-'Business Case'!F14*$E1047)-MAX(0,(('Business Case'!F11*$C1047*'Business Case'!F12*$B1047)-'Business Case'!F11*$C1047*'Business Case'!F13*$D1047-'Business Case'!F14*$E1047))*'Business Case'!$B$7-'Business Case'!$B$8*(('Business Case'!F11*$C1047*'Business Case'!F12*$B1047)-('Business Case'!E11*$C1047*'Business Case'!E12*$B1047))-'Business Case'!F15*$F1047</f>
        <v>864884380.420974</v>
      </c>
      <c r="M1047" s="39" t="n">
        <f aca="false">(('Business Case'!G11*$C1047*'Business Case'!G12*$B1047)-'Business Case'!G11*$C1047*'Business Case'!G13*$D1047-'Business Case'!G14*$E1047)-MAX(0,(('Business Case'!G11*$C1047*'Business Case'!G12*$B1047)-'Business Case'!G11*$C1047*'Business Case'!G13*$D1047-'Business Case'!G14*$E1047))*'Business Case'!$B$7-'Business Case'!$B$8*(('Business Case'!G11*$C1047*'Business Case'!G12*$B1047)-('Business Case'!F11*$C1047*'Business Case'!F12*$B1047))-'Business Case'!G15*$F1047+'Business Case'!$B$8*('Business Case'!G11*$C1047*'Business Case'!G12*$B1047)</f>
        <v>1060533640.69225</v>
      </c>
      <c r="N1047" s="39" t="n">
        <f aca="false">IF(COUNT('Business Case'!B11:G11)=0,"",H1047+NPV(G1047,I1047:M1047))</f>
        <v>99446975.4635127</v>
      </c>
      <c r="P1047" s="40" t="n">
        <f aca="true">RAND()</f>
        <v>0.6137123718257</v>
      </c>
      <c r="Q1047" s="40" t="n">
        <f aca="true">RAND()</f>
        <v>0.737687776445369</v>
      </c>
      <c r="R1047" s="40" t="n">
        <f aca="true">RAND()</f>
        <v>0.194228835792501</v>
      </c>
      <c r="S1047" s="40" t="n">
        <f aca="true">RAND()</f>
        <v>0.19861421751376</v>
      </c>
      <c r="T1047" s="40" t="n">
        <f aca="true">RAND()</f>
        <v>0.258061114542605</v>
      </c>
      <c r="U1047" s="40" t="n">
        <f aca="true">RAND()</f>
        <v>0.256454188638435</v>
      </c>
    </row>
    <row r="1048" customFormat="false" ht="15" hidden="false" customHeight="false" outlineLevel="0" collapsed="false">
      <c r="A1048" s="36" t="n">
        <v>968</v>
      </c>
      <c r="B1048" s="37" t="n">
        <f aca="false">1+IF($G$6=$E$6,$F$6,IF(P1048&lt;($F$6-$E$6)/($G$6-$E$6),$E$6+SQRT(P1048*($G$6-$E$6)*($F$6-$E$6)),$G$6-SQRT((1-P1048)*($G$6-$E$6)*($G$6-$F$6))))</f>
        <v>0.988382211567625</v>
      </c>
      <c r="C1048" s="37" t="n">
        <f aca="false">1+IF($G$7=$E$7,$F$7,IF(Q1048&lt;($F$7-$E$7)/($G$7-$E$7),$E$7+SQRT(Q1048*($G$7-$E$7)*($F$7-$E$7)),$G$7-SQRT((1-Q1048)*($G$7-$E$7)*($G$7-$F$7))))</f>
        <v>1.0120346862441</v>
      </c>
      <c r="D1048" s="37" t="n">
        <f aca="false">1+IF($G$8=$E$8,$F$8,IF(R1048&lt;($F$8-$E$8)/($G$8-$E$8),$E$8+SQRT(R1048*($G$8-$E$8)*($F$8-$E$8)),$G$8-SQRT((1-R1048)*($G$8-$E$8)*($G$8-$F$8))))</f>
        <v>1.01479721210754</v>
      </c>
      <c r="E1048" s="37" t="n">
        <f aca="false">1+IF($G$9=$E$9,$F$9,IF(S1048&lt;($F$9-$E$9)/($G$9-$E$9),$E$9+SQRT(S1048*($G$9-$E$9)*($F$9-$E$9)),$G$9-SQRT((1-S1048)*($G$9-$E$9)*($G$9-$F$9))))</f>
        <v>1.03972664452273</v>
      </c>
      <c r="F1048" s="37" t="n">
        <f aca="false">1+IF($G$10=$E$10,$F$10,IF(T1048&lt;($F$10-$E$10)/($G$10-$E$10),$E$10+SQRT(T1048*($G$10-$E$10)*($F$10-$E$10)),$G$10-SQRT((1-T1048)*($G$10-$E$10)*($G$10-$F$10))))</f>
        <v>0.989297993836553</v>
      </c>
      <c r="G1048" s="38" t="n">
        <f aca="false">IF($G$11=$E$11,$F$11,IF(U1048&lt;($F$11-$E$11)/($G$11-$E$11),$E$11+SQRT(U1048*($G$11-$E$11)*($F$11-$E$11)),$G$11-SQRT((1-U1048)*($G$11-$E$11)*($G$11-$F$11))))</f>
        <v>0.0972023538482431</v>
      </c>
      <c r="H1048" s="39" t="n">
        <f aca="false">(('Business Case'!B11*$C1048*'Business Case'!B12*$B1048)-'Business Case'!B11*$C1048*'Business Case'!B13*$D1048-'Business Case'!B14*$E1048)-MAX(0,(('Business Case'!B11*$C1048*'Business Case'!B12*$B1048)-'Business Case'!B11*$C1048*'Business Case'!B13*$D1048-'Business Case'!B14*$E1048))*'Business Case'!$B$7-'Business Case'!$B$8*('Business Case'!B11*$C1048*'Business Case'!B12*$B1048)-'Business Case'!B15*$F1048</f>
        <v>-1978595987.67311</v>
      </c>
      <c r="I1048" s="39" t="n">
        <f aca="false">(('Business Case'!C11*$C1048*'Business Case'!C12*$B1048)-'Business Case'!C11*$C1048*'Business Case'!C13*$D1048-'Business Case'!C14*$E1048)-MAX(0,(('Business Case'!C11*$C1048*'Business Case'!C12*$B1048)-'Business Case'!C11*$C1048*'Business Case'!C13*$D1048-'Business Case'!C14*$E1048))*'Business Case'!$B$7-'Business Case'!$B$8*(('Business Case'!C11*$C1048*'Business Case'!C12*$B1048)-('Business Case'!B11*$C1048*'Business Case'!B12*$B1048))-'Business Case'!C15*$F1048</f>
        <v>-5081290.55669598</v>
      </c>
      <c r="J1048" s="39" t="n">
        <f aca="false">(('Business Case'!D11*$C1048*'Business Case'!D12*$B1048)-'Business Case'!D11*$C1048*'Business Case'!D13*$D1048-'Business Case'!D14*$E1048)-MAX(0,(('Business Case'!D11*$C1048*'Business Case'!D12*$B1048)-'Business Case'!D11*$C1048*'Business Case'!D13*$D1048-'Business Case'!D14*$E1048))*'Business Case'!$B$7-'Business Case'!$B$8*(('Business Case'!D11*$C1048*'Business Case'!D12*$B1048)-('Business Case'!C11*$C1048*'Business Case'!C12*$B1048))-'Business Case'!D15*$F1048</f>
        <v>288470711.019776</v>
      </c>
      <c r="K1048" s="39" t="n">
        <f aca="false">(('Business Case'!E11*$C1048*'Business Case'!E12*$B1048)-'Business Case'!E11*$C1048*'Business Case'!E13*$D1048-'Business Case'!E14*$E1048)-MAX(0,(('Business Case'!E11*$C1048*'Business Case'!E12*$B1048)-'Business Case'!E11*$C1048*'Business Case'!E13*$D1048-'Business Case'!E14*$E1048))*'Business Case'!$B$7-'Business Case'!$B$8*(('Business Case'!E11*$C1048*'Business Case'!E12*$B1048)-('Business Case'!D11*$C1048*'Business Case'!D12*$B1048))-'Business Case'!E15*$F1048</f>
        <v>631487612.288077</v>
      </c>
      <c r="L1048" s="39" t="n">
        <f aca="false">(('Business Case'!F11*$C1048*'Business Case'!F12*$B1048)-'Business Case'!F11*$C1048*'Business Case'!F13*$D1048-'Business Case'!F14*$E1048)-MAX(0,(('Business Case'!F11*$C1048*'Business Case'!F12*$B1048)-'Business Case'!F11*$C1048*'Business Case'!F13*$D1048-'Business Case'!F14*$E1048))*'Business Case'!$B$7-'Business Case'!$B$8*(('Business Case'!F11*$C1048*'Business Case'!F12*$B1048)-('Business Case'!E11*$C1048*'Business Case'!E12*$B1048))-'Business Case'!F15*$F1048</f>
        <v>763907855.412488</v>
      </c>
      <c r="M1048" s="39" t="n">
        <f aca="false">(('Business Case'!G11*$C1048*'Business Case'!G12*$B1048)-'Business Case'!G11*$C1048*'Business Case'!G13*$D1048-'Business Case'!G14*$E1048)-MAX(0,(('Business Case'!G11*$C1048*'Business Case'!G12*$B1048)-'Business Case'!G11*$C1048*'Business Case'!G13*$D1048-'Business Case'!G14*$E1048))*'Business Case'!$B$7-'Business Case'!$B$8*(('Business Case'!G11*$C1048*'Business Case'!G12*$B1048)-('Business Case'!F11*$C1048*'Business Case'!F12*$B1048))-'Business Case'!G15*$F1048+'Business Case'!$B$8*('Business Case'!G11*$C1048*'Business Case'!G12*$B1048)</f>
        <v>954040523.039885</v>
      </c>
      <c r="N1048" s="39" t="n">
        <f aca="false">IF(COUNT('Business Case'!B11:G11)=0,"",H1048+NPV(G1048,I1048:M1048))</f>
        <v>-138443495.548723</v>
      </c>
      <c r="P1048" s="40" t="n">
        <f aca="true">RAND()</f>
        <v>0.487096547799941</v>
      </c>
      <c r="Q1048" s="40" t="n">
        <f aca="true">RAND()</f>
        <v>0.637439470480675</v>
      </c>
      <c r="R1048" s="40" t="n">
        <f aca="true">RAND()</f>
        <v>0.591211197216415</v>
      </c>
      <c r="S1048" s="40" t="n">
        <f aca="true">RAND()</f>
        <v>0.75780817463404</v>
      </c>
      <c r="T1048" s="40" t="n">
        <f aca="true">RAND()</f>
        <v>0.123546585566222</v>
      </c>
      <c r="U1048" s="40" t="n">
        <f aca="true">RAND()</f>
        <v>0.17291300318434</v>
      </c>
    </row>
    <row r="1049" customFormat="false" ht="15" hidden="false" customHeight="false" outlineLevel="0" collapsed="false">
      <c r="A1049" s="36" t="n">
        <v>969</v>
      </c>
      <c r="B1049" s="37" t="n">
        <f aca="false">1+IF($G$6=$E$6,$F$6,IF(P1049&lt;($F$6-$E$6)/($G$6-$E$6),$E$6+SQRT(P1049*($G$6-$E$6)*($F$6-$E$6)),$G$6-SQRT((1-P1049)*($G$6-$E$6)*($G$6-$F$6))))</f>
        <v>0.995817377772057</v>
      </c>
      <c r="C1049" s="37" t="n">
        <f aca="false">1+IF($G$7=$E$7,$F$7,IF(Q1049&lt;($F$7-$E$7)/($G$7-$E$7),$E$7+SQRT(Q1049*($G$7-$E$7)*($F$7-$E$7)),$G$7-SQRT((1-Q1049)*($G$7-$E$7)*($G$7-$F$7))))</f>
        <v>1.01326047668825</v>
      </c>
      <c r="D1049" s="37" t="n">
        <f aca="false">1+IF($G$8=$E$8,$F$8,IF(R1049&lt;($F$8-$E$8)/($G$8-$E$8),$E$8+SQRT(R1049*($G$8-$E$8)*($F$8-$E$8)),$G$8-SQRT((1-R1049)*($G$8-$E$8)*($G$8-$F$8))))</f>
        <v>0.973002673752342</v>
      </c>
      <c r="E1049" s="37" t="n">
        <f aca="false">1+IF($G$9=$E$9,$F$9,IF(S1049&lt;($F$9-$E$9)/($G$9-$E$9),$E$9+SQRT(S1049*($G$9-$E$9)*($F$9-$E$9)),$G$9-SQRT((1-S1049)*($G$9-$E$9)*($G$9-$F$9))))</f>
        <v>0.974346520764151</v>
      </c>
      <c r="F1049" s="37" t="n">
        <f aca="false">1+IF($G$10=$E$10,$F$10,IF(T1049&lt;($F$10-$E$10)/($G$10-$E$10),$E$10+SQRT(T1049*($G$10-$E$10)*($F$10-$E$10)),$G$10-SQRT((1-T1049)*($G$10-$E$10)*($G$10-$F$10))))</f>
        <v>0.9546080483338</v>
      </c>
      <c r="G1049" s="38" t="n">
        <f aca="false">IF($G$11=$E$11,$F$11,IF(U1049&lt;($F$11-$E$11)/($G$11-$E$11),$E$11+SQRT(U1049*($G$11-$E$11)*($F$11-$E$11)),$G$11-SQRT((1-U1049)*($G$11-$E$11)*($G$11-$F$11))))</f>
        <v>0.0989299184413555</v>
      </c>
      <c r="H1049" s="39" t="n">
        <f aca="false">(('Business Case'!B11*$C1049*'Business Case'!B12*$B1049)-'Business Case'!B11*$C1049*'Business Case'!B13*$D1049-'Business Case'!B14*$E1049)-MAX(0,(('Business Case'!B11*$C1049*'Business Case'!B12*$B1049)-'Business Case'!B11*$C1049*'Business Case'!B13*$D1049-'Business Case'!B14*$E1049))*'Business Case'!$B$7-'Business Case'!$B$8*('Business Case'!B11*$C1049*'Business Case'!B12*$B1049)-'Business Case'!B15*$F1049</f>
        <v>-1909216096.6676</v>
      </c>
      <c r="I1049" s="39" t="n">
        <f aca="false">(('Business Case'!C11*$C1049*'Business Case'!C12*$B1049)-'Business Case'!C11*$C1049*'Business Case'!C13*$D1049-'Business Case'!C14*$E1049)-MAX(0,(('Business Case'!C11*$C1049*'Business Case'!C12*$B1049)-'Business Case'!C11*$C1049*'Business Case'!C13*$D1049-'Business Case'!C14*$E1049))*'Business Case'!$B$7-'Business Case'!$B$8*(('Business Case'!C11*$C1049*'Business Case'!C12*$B1049)-('Business Case'!B11*$C1049*'Business Case'!B12*$B1049))-'Business Case'!C15*$F1049</f>
        <v>35436820.9890099</v>
      </c>
      <c r="J1049" s="39" t="n">
        <f aca="false">(('Business Case'!D11*$C1049*'Business Case'!D12*$B1049)-'Business Case'!D11*$C1049*'Business Case'!D13*$D1049-'Business Case'!D14*$E1049)-MAX(0,(('Business Case'!D11*$C1049*'Business Case'!D12*$B1049)-'Business Case'!D11*$C1049*'Business Case'!D13*$D1049-'Business Case'!D14*$E1049))*'Business Case'!$B$7-'Business Case'!$B$8*(('Business Case'!D11*$C1049*'Business Case'!D12*$B1049)-('Business Case'!C11*$C1049*'Business Case'!C12*$B1049))-'Business Case'!D15*$F1049</f>
        <v>357194242.808098</v>
      </c>
      <c r="K1049" s="39" t="n">
        <f aca="false">(('Business Case'!E11*$C1049*'Business Case'!E12*$B1049)-'Business Case'!E11*$C1049*'Business Case'!E13*$D1049-'Business Case'!E14*$E1049)-MAX(0,(('Business Case'!E11*$C1049*'Business Case'!E12*$B1049)-'Business Case'!E11*$C1049*'Business Case'!E13*$D1049-'Business Case'!E14*$E1049))*'Business Case'!$B$7-'Business Case'!$B$8*(('Business Case'!E11*$C1049*'Business Case'!E12*$B1049)-('Business Case'!D11*$C1049*'Business Case'!D12*$B1049))-'Business Case'!E15*$F1049</f>
        <v>726682067.043876</v>
      </c>
      <c r="L1049" s="39" t="n">
        <f aca="false">(('Business Case'!F11*$C1049*'Business Case'!F12*$B1049)-'Business Case'!F11*$C1049*'Business Case'!F13*$D1049-'Business Case'!F14*$E1049)-MAX(0,(('Business Case'!F11*$C1049*'Business Case'!F12*$B1049)-'Business Case'!F11*$C1049*'Business Case'!F13*$D1049-'Business Case'!F14*$E1049))*'Business Case'!$B$7-'Business Case'!$B$8*(('Business Case'!F11*$C1049*'Business Case'!F12*$B1049)-('Business Case'!E11*$C1049*'Business Case'!E12*$B1049))-'Business Case'!F15*$F1049</f>
        <v>868806354.81293</v>
      </c>
      <c r="M1049" s="39" t="n">
        <f aca="false">(('Business Case'!G11*$C1049*'Business Case'!G12*$B1049)-'Business Case'!G11*$C1049*'Business Case'!G13*$D1049-'Business Case'!G14*$E1049)-MAX(0,(('Business Case'!G11*$C1049*'Business Case'!G12*$B1049)-'Business Case'!G11*$C1049*'Business Case'!G13*$D1049-'Business Case'!G14*$E1049))*'Business Case'!$B$7-'Business Case'!$B$8*(('Business Case'!G11*$C1049*'Business Case'!G12*$B1049)-('Business Case'!F11*$C1049*'Business Case'!F12*$B1049))-'Business Case'!G15*$F1049+'Business Case'!$B$8*('Business Case'!G11*$C1049*'Business Case'!G12*$B1049)</f>
        <v>1060601330.8744</v>
      </c>
      <c r="N1049" s="39" t="n">
        <f aca="false">IF(COUNT('Business Case'!B11:G11)=0,"",H1049+NPV(G1049,I1049:M1049))</f>
        <v>223854719.37423</v>
      </c>
      <c r="P1049" s="40" t="n">
        <f aca="true">RAND()</f>
        <v>0.598778622107369</v>
      </c>
      <c r="Q1049" s="40" t="n">
        <f aca="true">RAND()</f>
        <v>0.643853385989995</v>
      </c>
      <c r="R1049" s="40" t="n">
        <f aca="true">RAND()</f>
        <v>0.0814035384241035</v>
      </c>
      <c r="S1049" s="40" t="n">
        <f aca="true">RAND()</f>
        <v>0.0790337431092303</v>
      </c>
      <c r="T1049" s="40" t="n">
        <f aca="true">RAND()</f>
        <v>0.0016987287557309</v>
      </c>
      <c r="U1049" s="40" t="n">
        <f aca="true">RAND()</f>
        <v>0.265811477897537</v>
      </c>
    </row>
    <row r="1050" customFormat="false" ht="15" hidden="false" customHeight="false" outlineLevel="0" collapsed="false">
      <c r="A1050" s="36" t="n">
        <v>970</v>
      </c>
      <c r="B1050" s="37" t="n">
        <f aca="false">1+IF($G$6=$E$6,$F$6,IF(P1050&lt;($F$6-$E$6)/($G$6-$E$6),$E$6+SQRT(P1050*($G$6-$E$6)*($F$6-$E$6)),$G$6-SQRT((1-P1050)*($G$6-$E$6)*($G$6-$F$6))))</f>
        <v>1.00941232415751</v>
      </c>
      <c r="C1050" s="37" t="n">
        <f aca="false">1+IF($G$7=$E$7,$F$7,IF(Q1050&lt;($F$7-$E$7)/($G$7-$E$7),$E$7+SQRT(Q1050*($G$7-$E$7)*($F$7-$E$7)),$G$7-SQRT((1-Q1050)*($G$7-$E$7)*($G$7-$F$7))))</f>
        <v>1.03436533858081</v>
      </c>
      <c r="D1050" s="37" t="n">
        <f aca="false">1+IF($G$8=$E$8,$F$8,IF(R1050&lt;($F$8-$E$8)/($G$8-$E$8),$E$8+SQRT(R1050*($G$8-$E$8)*($F$8-$E$8)),$G$8-SQRT((1-R1050)*($G$8-$E$8)*($G$8-$F$8))))</f>
        <v>1.00162504279083</v>
      </c>
      <c r="E1050" s="37" t="n">
        <f aca="false">1+IF($G$9=$E$9,$F$9,IF(S1050&lt;($F$9-$E$9)/($G$9-$E$9),$E$9+SQRT(S1050*($G$9-$E$9)*($F$9-$E$9)),$G$9-SQRT((1-S1050)*($G$9-$E$9)*($G$9-$F$9))))</f>
        <v>1.00825592678362</v>
      </c>
      <c r="F1050" s="37" t="n">
        <f aca="false">1+IF($G$10=$E$10,$F$10,IF(T1050&lt;($F$10-$E$10)/($G$10-$E$10),$E$10+SQRT(T1050*($G$10-$E$10)*($F$10-$E$10)),$G$10-SQRT((1-T1050)*($G$10-$E$10)*($G$10-$F$10))))</f>
        <v>1.15832523004465</v>
      </c>
      <c r="G1050" s="38" t="n">
        <f aca="false">IF($G$11=$E$11,$F$11,IF(U1050&lt;($F$11-$E$11)/($G$11-$E$11),$E$11+SQRT(U1050*($G$11-$E$11)*($F$11-$E$11)),$G$11-SQRT((1-U1050)*($G$11-$E$11)*($G$11-$F$11))))</f>
        <v>0.0954042825662842</v>
      </c>
      <c r="H1050" s="39" t="n">
        <f aca="false">(('Business Case'!B11*$C1050*'Business Case'!B12*$B1050)-'Business Case'!B11*$C1050*'Business Case'!B13*$D1050-'Business Case'!B14*$E1050)-MAX(0,(('Business Case'!B11*$C1050*'Business Case'!B12*$B1050)-'Business Case'!B11*$C1050*'Business Case'!B13*$D1050-'Business Case'!B14*$E1050))*'Business Case'!$B$7-'Business Case'!$B$8*('Business Case'!B11*$C1050*'Business Case'!B12*$B1050)-'Business Case'!B15*$F1050</f>
        <v>-2316650460.0893</v>
      </c>
      <c r="I1050" s="39" t="n">
        <f aca="false">(('Business Case'!C11*$C1050*'Business Case'!C12*$B1050)-'Business Case'!C11*$C1050*'Business Case'!C13*$D1050-'Business Case'!C14*$E1050)-MAX(0,(('Business Case'!C11*$C1050*'Business Case'!C12*$B1050)-'Business Case'!C11*$C1050*'Business Case'!C13*$D1050-'Business Case'!C14*$E1050))*'Business Case'!$B$7-'Business Case'!$B$8*(('Business Case'!C11*$C1050*'Business Case'!C12*$B1050)-('Business Case'!B11*$C1050*'Business Case'!B12*$B1050))-'Business Case'!C15*$F1050</f>
        <v>11488490.7692579</v>
      </c>
      <c r="J1050" s="39" t="n">
        <f aca="false">(('Business Case'!D11*$C1050*'Business Case'!D12*$B1050)-'Business Case'!D11*$C1050*'Business Case'!D13*$D1050-'Business Case'!D14*$E1050)-MAX(0,(('Business Case'!D11*$C1050*'Business Case'!D12*$B1050)-'Business Case'!D11*$C1050*'Business Case'!D13*$D1050-'Business Case'!D14*$E1050))*'Business Case'!$B$7-'Business Case'!$B$8*(('Business Case'!D11*$C1050*'Business Case'!D12*$B1050)-('Business Case'!C11*$C1050*'Business Case'!C12*$B1050))-'Business Case'!D15*$F1050</f>
        <v>336309699.415471</v>
      </c>
      <c r="K1050" s="39" t="n">
        <f aca="false">(('Business Case'!E11*$C1050*'Business Case'!E12*$B1050)-'Business Case'!E11*$C1050*'Business Case'!E13*$D1050-'Business Case'!E14*$E1050)-MAX(0,(('Business Case'!E11*$C1050*'Business Case'!E12*$B1050)-'Business Case'!E11*$C1050*'Business Case'!E13*$D1050-'Business Case'!E14*$E1050))*'Business Case'!$B$7-'Business Case'!$B$8*(('Business Case'!E11*$C1050*'Business Case'!E12*$B1050)-('Business Case'!D11*$C1050*'Business Case'!D12*$B1050))-'Business Case'!E15*$F1050</f>
        <v>719047169.563916</v>
      </c>
      <c r="L1050" s="39" t="n">
        <f aca="false">(('Business Case'!F11*$C1050*'Business Case'!F12*$B1050)-'Business Case'!F11*$C1050*'Business Case'!F13*$D1050-'Business Case'!F14*$E1050)-MAX(0,(('Business Case'!F11*$C1050*'Business Case'!F12*$B1050)-'Business Case'!F11*$C1050*'Business Case'!F13*$D1050-'Business Case'!F14*$E1050))*'Business Case'!$B$7-'Business Case'!$B$8*(('Business Case'!F11*$C1050*'Business Case'!F12*$B1050)-('Business Case'!E11*$C1050*'Business Case'!E12*$B1050))-'Business Case'!F15*$F1050</f>
        <v>863405040.501894</v>
      </c>
      <c r="M1050" s="39" t="n">
        <f aca="false">(('Business Case'!G11*$C1050*'Business Case'!G12*$B1050)-'Business Case'!G11*$C1050*'Business Case'!G13*$D1050-'Business Case'!G14*$E1050)-MAX(0,(('Business Case'!G11*$C1050*'Business Case'!G12*$B1050)-'Business Case'!G11*$C1050*'Business Case'!G13*$D1050-'Business Case'!G14*$E1050))*'Business Case'!$B$7-'Business Case'!$B$8*(('Business Case'!G11*$C1050*'Business Case'!G12*$B1050)-('Business Case'!F11*$C1050*'Business Case'!F12*$B1050))-'Business Case'!G15*$F1050+'Business Case'!$B$8*('Business Case'!G11*$C1050*'Business Case'!G12*$B1050)</f>
        <v>1061867781.47605</v>
      </c>
      <c r="N1050" s="39" t="n">
        <f aca="false">IF(COUNT('Business Case'!B11:G11)=0,"",H1050+NPV(G1050,I1050:M1050))</f>
        <v>-205864490.970705</v>
      </c>
      <c r="P1050" s="40" t="n">
        <f aca="true">RAND()</f>
        <v>0.805082101365518</v>
      </c>
      <c r="Q1050" s="40" t="n">
        <f aca="true">RAND()</f>
        <v>0.745307144351789</v>
      </c>
      <c r="R1050" s="40" t="n">
        <f aca="true">RAND()</f>
        <v>0.409362123313601</v>
      </c>
      <c r="S1050" s="40" t="n">
        <f aca="true">RAND()</f>
        <v>0.438868335311131</v>
      </c>
      <c r="T1050" s="40" t="n">
        <f aca="true">RAND()</f>
        <v>0.965264270983376</v>
      </c>
      <c r="U1050" s="40" t="n">
        <f aca="true">RAND()</f>
        <v>0.0973542335208092</v>
      </c>
    </row>
    <row r="1051" customFormat="false" ht="15" hidden="false" customHeight="false" outlineLevel="0" collapsed="false">
      <c r="A1051" s="36" t="n">
        <v>971</v>
      </c>
      <c r="B1051" s="37" t="n">
        <f aca="false">1+IF($G$6=$E$6,$F$6,IF(P1051&lt;($F$6-$E$6)/($G$6-$E$6),$E$6+SQRT(P1051*($G$6-$E$6)*($F$6-$E$6)),$G$6-SQRT((1-P1051)*($G$6-$E$6)*($G$6-$F$6))))</f>
        <v>0.984013144316546</v>
      </c>
      <c r="C1051" s="37" t="n">
        <f aca="false">1+IF($G$7=$E$7,$F$7,IF(Q1051&lt;($F$7-$E$7)/($G$7-$E$7),$E$7+SQRT(Q1051*($G$7-$E$7)*($F$7-$E$7)),$G$7-SQRT((1-Q1051)*($G$7-$E$7)*($G$7-$F$7))))</f>
        <v>0.879473504767283</v>
      </c>
      <c r="D1051" s="37" t="n">
        <f aca="false">1+IF($G$8=$E$8,$F$8,IF(R1051&lt;($F$8-$E$8)/($G$8-$E$8),$E$8+SQRT(R1051*($G$8-$E$8)*($F$8-$E$8)),$G$8-SQRT((1-R1051)*($G$8-$E$8)*($G$8-$F$8))))</f>
        <v>1.00213840347702</v>
      </c>
      <c r="E1051" s="37" t="n">
        <f aca="false">1+IF($G$9=$E$9,$F$9,IF(S1051&lt;($F$9-$E$9)/($G$9-$E$9),$E$9+SQRT(S1051*($G$9-$E$9)*($F$9-$E$9)),$G$9-SQRT((1-S1051)*($G$9-$E$9)*($G$9-$F$9))))</f>
        <v>0.99664172629067</v>
      </c>
      <c r="F1051" s="37" t="n">
        <f aca="false">1+IF($G$10=$E$10,$F$10,IF(T1051&lt;($F$10-$E$10)/($G$10-$E$10),$E$10+SQRT(T1051*($G$10-$E$10)*($F$10-$E$10)),$G$10-SQRT((1-T1051)*($G$10-$E$10)*($G$10-$F$10))))</f>
        <v>1.14278819204594</v>
      </c>
      <c r="G1051" s="38" t="n">
        <f aca="false">IF($G$11=$E$11,$F$11,IF(U1051&lt;($F$11-$E$11)/($G$11-$E$11),$E$11+SQRT(U1051*($G$11-$E$11)*($F$11-$E$11)),$G$11-SQRT((1-U1051)*($G$11-$E$11)*($G$11-$F$11))))</f>
        <v>0.103960396705748</v>
      </c>
      <c r="H1051" s="39" t="n">
        <f aca="false">(('Business Case'!B11*$C1051*'Business Case'!B12*$B1051)-'Business Case'!B11*$C1051*'Business Case'!B13*$D1051-'Business Case'!B14*$E1051)-MAX(0,(('Business Case'!B11*$C1051*'Business Case'!B12*$B1051)-'Business Case'!B11*$C1051*'Business Case'!B13*$D1051-'Business Case'!B14*$E1051))*'Business Case'!$B$7-'Business Case'!$B$8*('Business Case'!B11*$C1051*'Business Case'!B12*$B1051)-'Business Case'!B15*$F1051</f>
        <v>-2285576384.09189</v>
      </c>
      <c r="I1051" s="39" t="n">
        <f aca="false">(('Business Case'!C11*$C1051*'Business Case'!C12*$B1051)-'Business Case'!C11*$C1051*'Business Case'!C13*$D1051-'Business Case'!C14*$E1051)-MAX(0,(('Business Case'!C11*$C1051*'Business Case'!C12*$B1051)-'Business Case'!C11*$C1051*'Business Case'!C13*$D1051-'Business Case'!C14*$E1051))*'Business Case'!$B$7-'Business Case'!$B$8*(('Business Case'!C11*$C1051*'Business Case'!C12*$B1051)-('Business Case'!B11*$C1051*'Business Case'!B12*$B1051))-'Business Case'!C15*$F1051</f>
        <v>-43211179.6054068</v>
      </c>
      <c r="J1051" s="39" t="n">
        <f aca="false">(('Business Case'!D11*$C1051*'Business Case'!D12*$B1051)-'Business Case'!D11*$C1051*'Business Case'!D13*$D1051-'Business Case'!D14*$E1051)-MAX(0,(('Business Case'!D11*$C1051*'Business Case'!D12*$B1051)-'Business Case'!D11*$C1051*'Business Case'!D13*$D1051-'Business Case'!D14*$E1051))*'Business Case'!$B$7-'Business Case'!$B$8*(('Business Case'!D11*$C1051*'Business Case'!D12*$B1051)-('Business Case'!C11*$C1051*'Business Case'!C12*$B1051))-'Business Case'!D15*$F1051</f>
        <v>214441948.730107</v>
      </c>
      <c r="K1051" s="39" t="n">
        <f aca="false">(('Business Case'!E11*$C1051*'Business Case'!E12*$B1051)-'Business Case'!E11*$C1051*'Business Case'!E13*$D1051-'Business Case'!E14*$E1051)-MAX(0,(('Business Case'!E11*$C1051*'Business Case'!E12*$B1051)-'Business Case'!E11*$C1051*'Business Case'!E13*$D1051-'Business Case'!E14*$E1051))*'Business Case'!$B$7-'Business Case'!$B$8*(('Business Case'!E11*$C1051*'Business Case'!E12*$B1051)-('Business Case'!D11*$C1051*'Business Case'!D12*$B1051))-'Business Case'!E15*$F1051</f>
        <v>529234486.667916</v>
      </c>
      <c r="L1051" s="39" t="n">
        <f aca="false">(('Business Case'!F11*$C1051*'Business Case'!F12*$B1051)-'Business Case'!F11*$C1051*'Business Case'!F13*$D1051-'Business Case'!F14*$E1051)-MAX(0,(('Business Case'!F11*$C1051*'Business Case'!F12*$B1051)-'Business Case'!F11*$C1051*'Business Case'!F13*$D1051-'Business Case'!F14*$E1051))*'Business Case'!$B$7-'Business Case'!$B$8*(('Business Case'!F11*$C1051*'Business Case'!F12*$B1051)-('Business Case'!E11*$C1051*'Business Case'!E12*$B1051))-'Business Case'!F15*$F1051</f>
        <v>645027552.951616</v>
      </c>
      <c r="M1051" s="39" t="n">
        <f aca="false">(('Business Case'!G11*$C1051*'Business Case'!G12*$B1051)-'Business Case'!G11*$C1051*'Business Case'!G13*$D1051-'Business Case'!G14*$E1051)-MAX(0,(('Business Case'!G11*$C1051*'Business Case'!G12*$B1051)-'Business Case'!G11*$C1051*'Business Case'!G13*$D1051-'Business Case'!G14*$E1051))*'Business Case'!$B$7-'Business Case'!$B$8*(('Business Case'!G11*$C1051*'Business Case'!G12*$B1051)-('Business Case'!F11*$C1051*'Business Case'!F12*$B1051))-'Business Case'!G15*$F1051+'Business Case'!$B$8*('Business Case'!G11*$C1051*'Business Case'!G12*$B1051)</f>
        <v>809525348.896856</v>
      </c>
      <c r="N1051" s="39" t="n">
        <f aca="false">IF(COUNT('Business Case'!B11:G11)=0,"",H1051+NPV(G1051,I1051:M1051))</f>
        <v>-827430888.268787</v>
      </c>
      <c r="P1051" s="40" t="n">
        <f aca="true">RAND()</f>
        <v>0.426841942217806</v>
      </c>
      <c r="Q1051" s="40" t="n">
        <f aca="true">RAND()</f>
        <v>0.090229113714219</v>
      </c>
      <c r="R1051" s="40" t="n">
        <f aca="true">RAND()</f>
        <v>0.417074210278164</v>
      </c>
      <c r="S1051" s="40" t="n">
        <f aca="true">RAND()</f>
        <v>0.290060084183165</v>
      </c>
      <c r="T1051" s="40" t="n">
        <f aca="true">RAND()</f>
        <v>0.934536180612563</v>
      </c>
      <c r="U1051" s="40" t="n">
        <f aca="true">RAND()</f>
        <v>0.571218543605013</v>
      </c>
    </row>
    <row r="1052" customFormat="false" ht="15" hidden="false" customHeight="false" outlineLevel="0" collapsed="false">
      <c r="A1052" s="36" t="n">
        <v>972</v>
      </c>
      <c r="B1052" s="37" t="n">
        <f aca="false">1+IF($G$6=$E$6,$F$6,IF(P1052&lt;($F$6-$E$6)/($G$6-$E$6),$E$6+SQRT(P1052*($G$6-$E$6)*($F$6-$E$6)),$G$6-SQRT((1-P1052)*($G$6-$E$6)*($G$6-$F$6))))</f>
        <v>1.02200762917129</v>
      </c>
      <c r="C1052" s="37" t="n">
        <f aca="false">1+IF($G$7=$E$7,$F$7,IF(Q1052&lt;($F$7-$E$7)/($G$7-$E$7),$E$7+SQRT(Q1052*($G$7-$E$7)*($F$7-$E$7)),$G$7-SQRT((1-Q1052)*($G$7-$E$7)*($G$7-$F$7))))</f>
        <v>1.02860272417387</v>
      </c>
      <c r="D1052" s="37" t="n">
        <f aca="false">1+IF($G$8=$E$8,$F$8,IF(R1052&lt;($F$8-$E$8)/($G$8-$E$8),$E$8+SQRT(R1052*($G$8-$E$8)*($F$8-$E$8)),$G$8-SQRT((1-R1052)*($G$8-$E$8)*($G$8-$F$8))))</f>
        <v>1.01306071411252</v>
      </c>
      <c r="E1052" s="37" t="n">
        <f aca="false">1+IF($G$9=$E$9,$F$9,IF(S1052&lt;($F$9-$E$9)/($G$9-$E$9),$E$9+SQRT(S1052*($G$9-$E$9)*($F$9-$E$9)),$G$9-SQRT((1-S1052)*($G$9-$E$9)*($G$9-$F$9))))</f>
        <v>1.0808586607085</v>
      </c>
      <c r="F1052" s="37" t="n">
        <f aca="false">1+IF($G$10=$E$10,$F$10,IF(T1052&lt;($F$10-$E$10)/($G$10-$E$10),$E$10+SQRT(T1052*($G$10-$E$10)*($F$10-$E$10)),$G$10-SQRT((1-T1052)*($G$10-$E$10)*($G$10-$F$10))))</f>
        <v>1.0508223025603</v>
      </c>
      <c r="G1052" s="38" t="n">
        <f aca="false">IF($G$11=$E$11,$F$11,IF(U1052&lt;($F$11-$E$11)/($G$11-$E$11),$E$11+SQRT(U1052*($G$11-$E$11)*($F$11-$E$11)),$G$11-SQRT((1-U1052)*($G$11-$E$11)*($G$11-$F$11))))</f>
        <v>0.113253783359537</v>
      </c>
      <c r="H1052" s="39" t="n">
        <f aca="false">(('Business Case'!B11*$C1052*'Business Case'!B12*$B1052)-'Business Case'!B11*$C1052*'Business Case'!B13*$D1052-'Business Case'!B14*$E1052)-MAX(0,(('Business Case'!B11*$C1052*'Business Case'!B12*$B1052)-'Business Case'!B11*$C1052*'Business Case'!B13*$D1052-'Business Case'!B14*$E1052))*'Business Case'!$B$7-'Business Case'!$B$8*('Business Case'!B11*$C1052*'Business Case'!B12*$B1052)-'Business Case'!B15*$F1052</f>
        <v>-2101644605.12059</v>
      </c>
      <c r="I1052" s="39" t="n">
        <f aca="false">(('Business Case'!C11*$C1052*'Business Case'!C12*$B1052)-'Business Case'!C11*$C1052*'Business Case'!C13*$D1052-'Business Case'!C14*$E1052)-MAX(0,(('Business Case'!C11*$C1052*'Business Case'!C12*$B1052)-'Business Case'!C11*$C1052*'Business Case'!C13*$D1052-'Business Case'!C14*$E1052))*'Business Case'!$B$7-'Business Case'!$B$8*(('Business Case'!C11*$C1052*'Business Case'!C12*$B1052)-('Business Case'!B11*$C1052*'Business Case'!B12*$B1052))-'Business Case'!C15*$F1052</f>
        <v>14324920.2790584</v>
      </c>
      <c r="J1052" s="39" t="n">
        <f aca="false">(('Business Case'!D11*$C1052*'Business Case'!D12*$B1052)-'Business Case'!D11*$C1052*'Business Case'!D13*$D1052-'Business Case'!D14*$E1052)-MAX(0,(('Business Case'!D11*$C1052*'Business Case'!D12*$B1052)-'Business Case'!D11*$C1052*'Business Case'!D13*$D1052-'Business Case'!D14*$E1052))*'Business Case'!$B$7-'Business Case'!$B$8*(('Business Case'!D11*$C1052*'Business Case'!D12*$B1052)-('Business Case'!C11*$C1052*'Business Case'!C12*$B1052))-'Business Case'!D15*$F1052</f>
        <v>341926445.231443</v>
      </c>
      <c r="K1052" s="39" t="n">
        <f aca="false">(('Business Case'!E11*$C1052*'Business Case'!E12*$B1052)-'Business Case'!E11*$C1052*'Business Case'!E13*$D1052-'Business Case'!E14*$E1052)-MAX(0,(('Business Case'!E11*$C1052*'Business Case'!E12*$B1052)-'Business Case'!E11*$C1052*'Business Case'!E13*$D1052-'Business Case'!E14*$E1052))*'Business Case'!$B$7-'Business Case'!$B$8*(('Business Case'!E11*$C1052*'Business Case'!E12*$B1052)-('Business Case'!D11*$C1052*'Business Case'!D12*$B1052))-'Business Case'!E15*$F1052</f>
        <v>722069085.311843</v>
      </c>
      <c r="L1052" s="39" t="n">
        <f aca="false">(('Business Case'!F11*$C1052*'Business Case'!F12*$B1052)-'Business Case'!F11*$C1052*'Business Case'!F13*$D1052-'Business Case'!F14*$E1052)-MAX(0,(('Business Case'!F11*$C1052*'Business Case'!F12*$B1052)-'Business Case'!F11*$C1052*'Business Case'!F13*$D1052-'Business Case'!F14*$E1052))*'Business Case'!$B$7-'Business Case'!$B$8*(('Business Case'!F11*$C1052*'Business Case'!F12*$B1052)-('Business Case'!E11*$C1052*'Business Case'!E12*$B1052))-'Business Case'!F15*$F1052</f>
        <v>867600442.205671</v>
      </c>
      <c r="M1052" s="39" t="n">
        <f aca="false">(('Business Case'!G11*$C1052*'Business Case'!G12*$B1052)-'Business Case'!G11*$C1052*'Business Case'!G13*$D1052-'Business Case'!G14*$E1052)-MAX(0,(('Business Case'!G11*$C1052*'Business Case'!G12*$B1052)-'Business Case'!G11*$C1052*'Business Case'!G13*$D1052-'Business Case'!G14*$E1052))*'Business Case'!$B$7-'Business Case'!$B$8*(('Business Case'!G11*$C1052*'Business Case'!G12*$B1052)-('Business Case'!F11*$C1052*'Business Case'!F12*$B1052))-'Business Case'!G15*$F1052+'Business Case'!$B$8*('Business Case'!G11*$C1052*'Business Case'!G12*$B1052)</f>
        <v>1067420109.37568</v>
      </c>
      <c r="N1052" s="39" t="n">
        <f aca="false">IF(COUNT('Business Case'!B11:G11)=0,"",H1052+NPV(G1052,I1052:M1052))</f>
        <v>-100405454.054517</v>
      </c>
      <c r="P1052" s="40" t="n">
        <f aca="true">RAND()</f>
        <v>0.932557206658791</v>
      </c>
      <c r="Q1052" s="40" t="n">
        <f aca="true">RAND()</f>
        <v>0.719289550895118</v>
      </c>
      <c r="R1052" s="40" t="n">
        <f aca="true">RAND()</f>
        <v>0.56914730816098</v>
      </c>
      <c r="S1052" s="40" t="n">
        <f aca="true">RAND()</f>
        <v>0.975573942008504</v>
      </c>
      <c r="T1052" s="40" t="n">
        <f aca="true">RAND()</f>
        <v>0.554920291731765</v>
      </c>
      <c r="U1052" s="40" t="n">
        <f aca="true">RAND()</f>
        <v>0.924147601733233</v>
      </c>
    </row>
    <row r="1053" customFormat="false" ht="15" hidden="false" customHeight="false" outlineLevel="0" collapsed="false">
      <c r="A1053" s="36" t="n">
        <v>973</v>
      </c>
      <c r="B1053" s="37" t="n">
        <f aca="false">1+IF($G$6=$E$6,$F$6,IF(P1053&lt;($F$6-$E$6)/($G$6-$E$6),$E$6+SQRT(P1053*($G$6-$E$6)*($F$6-$E$6)),$G$6-SQRT((1-P1053)*($G$6-$E$6)*($G$6-$F$6))))</f>
        <v>1.03022230481009</v>
      </c>
      <c r="C1053" s="37" t="n">
        <f aca="false">1+IF($G$7=$E$7,$F$7,IF(Q1053&lt;($F$7-$E$7)/($G$7-$E$7),$E$7+SQRT(Q1053*($G$7-$E$7)*($F$7-$E$7)),$G$7-SQRT((1-Q1053)*($G$7-$E$7)*($G$7-$F$7))))</f>
        <v>1.02223011571364</v>
      </c>
      <c r="D1053" s="37" t="n">
        <f aca="false">1+IF($G$8=$E$8,$F$8,IF(R1053&lt;($F$8-$E$8)/($G$8-$E$8),$E$8+SQRT(R1053*($G$8-$E$8)*($F$8-$E$8)),$G$8-SQRT((1-R1053)*($G$8-$E$8)*($G$8-$F$8))))</f>
        <v>0.964224022115285</v>
      </c>
      <c r="E1053" s="37" t="n">
        <f aca="false">1+IF($G$9=$E$9,$F$9,IF(S1053&lt;($F$9-$E$9)/($G$9-$E$9),$E$9+SQRT(S1053*($G$9-$E$9)*($F$9-$E$9)),$G$9-SQRT((1-S1053)*($G$9-$E$9)*($G$9-$F$9))))</f>
        <v>1.05348358837217</v>
      </c>
      <c r="F1053" s="37" t="n">
        <f aca="false">1+IF($G$10=$E$10,$F$10,IF(T1053&lt;($F$10-$E$10)/($G$10-$E$10),$E$10+SQRT(T1053*($G$10-$E$10)*($F$10-$E$10)),$G$10-SQRT((1-T1053)*($G$10-$E$10)*($G$10-$F$10))))</f>
        <v>0.981598355951314</v>
      </c>
      <c r="G1053" s="38" t="n">
        <f aca="false">IF($G$11=$E$11,$F$11,IF(U1053&lt;($F$11-$E$11)/($G$11-$E$11),$E$11+SQRT(U1053*($G$11-$E$11)*($F$11-$E$11)),$G$11-SQRT((1-U1053)*($G$11-$E$11)*($G$11-$F$11))))</f>
        <v>0.115199768976451</v>
      </c>
      <c r="H1053" s="39" t="n">
        <f aca="false">(('Business Case'!B11*$C1053*'Business Case'!B12*$B1053)-'Business Case'!B11*$C1053*'Business Case'!B13*$D1053-'Business Case'!B14*$E1053)-MAX(0,(('Business Case'!B11*$C1053*'Business Case'!B12*$B1053)-'Business Case'!B11*$C1053*'Business Case'!B13*$D1053-'Business Case'!B14*$E1053))*'Business Case'!$B$7-'Business Case'!$B$8*('Business Case'!B11*$C1053*'Business Case'!B12*$B1053)-'Business Case'!B15*$F1053</f>
        <v>-1963196711.90263</v>
      </c>
      <c r="I1053" s="39" t="n">
        <f aca="false">(('Business Case'!C11*$C1053*'Business Case'!C12*$B1053)-'Business Case'!C11*$C1053*'Business Case'!C13*$D1053-'Business Case'!C14*$E1053)-MAX(0,(('Business Case'!C11*$C1053*'Business Case'!C12*$B1053)-'Business Case'!C11*$C1053*'Business Case'!C13*$D1053-'Business Case'!C14*$E1053))*'Business Case'!$B$7-'Business Case'!$B$8*(('Business Case'!C11*$C1053*'Business Case'!C12*$B1053)-('Business Case'!B11*$C1053*'Business Case'!B12*$B1053))-'Business Case'!C15*$F1053</f>
        <v>55446964.7320832</v>
      </c>
      <c r="J1053" s="39" t="n">
        <f aca="false">(('Business Case'!D11*$C1053*'Business Case'!D12*$B1053)-'Business Case'!D11*$C1053*'Business Case'!D13*$D1053-'Business Case'!D14*$E1053)-MAX(0,(('Business Case'!D11*$C1053*'Business Case'!D12*$B1053)-'Business Case'!D11*$C1053*'Business Case'!D13*$D1053-'Business Case'!D14*$E1053))*'Business Case'!$B$7-'Business Case'!$B$8*(('Business Case'!D11*$C1053*'Business Case'!D12*$B1053)-('Business Case'!C11*$C1053*'Business Case'!C12*$B1053))-'Business Case'!D15*$F1053</f>
        <v>413453093.267837</v>
      </c>
      <c r="K1053" s="39" t="n">
        <f aca="false">(('Business Case'!E11*$C1053*'Business Case'!E12*$B1053)-'Business Case'!E11*$C1053*'Business Case'!E13*$D1053-'Business Case'!E14*$E1053)-MAX(0,(('Business Case'!E11*$C1053*'Business Case'!E12*$B1053)-'Business Case'!E11*$C1053*'Business Case'!E13*$D1053-'Business Case'!E14*$E1053))*'Business Case'!$B$7-'Business Case'!$B$8*(('Business Case'!E11*$C1053*'Business Case'!E12*$B1053)-('Business Case'!D11*$C1053*'Business Case'!D12*$B1053))-'Business Case'!E15*$F1053</f>
        <v>820539139.601157</v>
      </c>
      <c r="L1053" s="39" t="n">
        <f aca="false">(('Business Case'!F11*$C1053*'Business Case'!F12*$B1053)-'Business Case'!F11*$C1053*'Business Case'!F13*$D1053-'Business Case'!F14*$E1053)-MAX(0,(('Business Case'!F11*$C1053*'Business Case'!F12*$B1053)-'Business Case'!F11*$C1053*'Business Case'!F13*$D1053-'Business Case'!F14*$E1053))*'Business Case'!$B$7-'Business Case'!$B$8*(('Business Case'!F11*$C1053*'Business Case'!F12*$B1053)-('Business Case'!E11*$C1053*'Business Case'!E12*$B1053))-'Business Case'!F15*$F1053</f>
        <v>976270490.407752</v>
      </c>
      <c r="M1053" s="39" t="n">
        <f aca="false">(('Business Case'!G11*$C1053*'Business Case'!G12*$B1053)-'Business Case'!G11*$C1053*'Business Case'!G13*$D1053-'Business Case'!G14*$E1053)-MAX(0,(('Business Case'!G11*$C1053*'Business Case'!G12*$B1053)-'Business Case'!G11*$C1053*'Business Case'!G13*$D1053-'Business Case'!G14*$E1053))*'Business Case'!$B$7-'Business Case'!$B$8*(('Business Case'!G11*$C1053*'Business Case'!G12*$B1053)-('Business Case'!F11*$C1053*'Business Case'!F12*$B1053))-'Business Case'!G15*$F1053+'Business Case'!$B$8*('Business Case'!G11*$C1053*'Business Case'!G12*$B1053)</f>
        <v>1176448350.86181</v>
      </c>
      <c r="N1053" s="39" t="n">
        <f aca="false">IF(COUNT('Business Case'!B11:G11)=0,"",H1053+NPV(G1053,I1053:M1053))</f>
        <v>323814876.566654</v>
      </c>
      <c r="P1053" s="40" t="n">
        <f aca="true">RAND()</f>
        <v>0.980082640994425</v>
      </c>
      <c r="Q1053" s="40" t="n">
        <f aca="true">RAND()</f>
        <v>0.68904488894193</v>
      </c>
      <c r="R1053" s="40" t="n">
        <f aca="true">RAND()</f>
        <v>0.0311265854055545</v>
      </c>
      <c r="S1053" s="40" t="n">
        <f aca="true">RAND()</f>
        <v>0.855748229951373</v>
      </c>
      <c r="T1053" s="40" t="n">
        <f aca="true">RAND()</f>
        <v>0.0798764879060728</v>
      </c>
      <c r="U1053" s="40" t="n">
        <f aca="true">RAND()</f>
        <v>0.961596303534268</v>
      </c>
    </row>
    <row r="1054" customFormat="false" ht="15" hidden="false" customHeight="false" outlineLevel="0" collapsed="false">
      <c r="A1054" s="36" t="n">
        <v>974</v>
      </c>
      <c r="B1054" s="37" t="n">
        <f aca="false">1+IF($G$6=$E$6,$F$6,IF(P1054&lt;($F$6-$E$6)/($G$6-$E$6),$E$6+SQRT(P1054*($G$6-$E$6)*($F$6-$E$6)),$G$6-SQRT((1-P1054)*($G$6-$E$6)*($G$6-$F$6))))</f>
        <v>0.997842139622059</v>
      </c>
      <c r="C1054" s="37" t="n">
        <f aca="false">1+IF($G$7=$E$7,$F$7,IF(Q1054&lt;($F$7-$E$7)/($G$7-$E$7),$E$7+SQRT(Q1054*($G$7-$E$7)*($F$7-$E$7)),$G$7-SQRT((1-Q1054)*($G$7-$E$7)*($G$7-$F$7))))</f>
        <v>0.989763590459881</v>
      </c>
      <c r="D1054" s="37" t="n">
        <f aca="false">1+IF($G$8=$E$8,$F$8,IF(R1054&lt;($F$8-$E$8)/($G$8-$E$8),$E$8+SQRT(R1054*($G$8-$E$8)*($F$8-$E$8)),$G$8-SQRT((1-R1054)*($G$8-$E$8)*($G$8-$F$8))))</f>
        <v>0.98444645866703</v>
      </c>
      <c r="E1054" s="37" t="n">
        <f aca="false">1+IF($G$9=$E$9,$F$9,IF(S1054&lt;($F$9-$E$9)/($G$9-$E$9),$E$9+SQRT(S1054*($G$9-$E$9)*($F$9-$E$9)),$G$9-SQRT((1-S1054)*($G$9-$E$9)*($G$9-$F$9))))</f>
        <v>0.983717826651601</v>
      </c>
      <c r="F1054" s="37" t="n">
        <f aca="false">1+IF($G$10=$E$10,$F$10,IF(T1054&lt;($F$10-$E$10)/($G$10-$E$10),$E$10+SQRT(T1054*($G$10-$E$10)*($F$10-$E$10)),$G$10-SQRT((1-T1054)*($G$10-$E$10)*($G$10-$F$10))))</f>
        <v>1.03216595642849</v>
      </c>
      <c r="G1054" s="38" t="n">
        <f aca="false">IF($G$11=$E$11,$F$11,IF(U1054&lt;($F$11-$E$11)/($G$11-$E$11),$E$11+SQRT(U1054*($G$11-$E$11)*($F$11-$E$11)),$G$11-SQRT((1-U1054)*($G$11-$E$11)*($G$11-$F$11))))</f>
        <v>0.0911240388373109</v>
      </c>
      <c r="H1054" s="39" t="n">
        <f aca="false">(('Business Case'!B11*$C1054*'Business Case'!B12*$B1054)-'Business Case'!B11*$C1054*'Business Case'!B13*$D1054-'Business Case'!B14*$E1054)-MAX(0,(('Business Case'!B11*$C1054*'Business Case'!B12*$B1054)-'Business Case'!B11*$C1054*'Business Case'!B13*$D1054-'Business Case'!B14*$E1054))*'Business Case'!$B$7-'Business Case'!$B$8*('Business Case'!B11*$C1054*'Business Case'!B12*$B1054)-'Business Case'!B15*$F1054</f>
        <v>-2064331912.85699</v>
      </c>
      <c r="I1054" s="39" t="n">
        <f aca="false">(('Business Case'!C11*$C1054*'Business Case'!C12*$B1054)-'Business Case'!C11*$C1054*'Business Case'!C13*$D1054-'Business Case'!C14*$E1054)-MAX(0,(('Business Case'!C11*$C1054*'Business Case'!C12*$B1054)-'Business Case'!C11*$C1054*'Business Case'!C13*$D1054-'Business Case'!C14*$E1054))*'Business Case'!$B$7-'Business Case'!$B$8*(('Business Case'!C11*$C1054*'Business Case'!C12*$B1054)-('Business Case'!B11*$C1054*'Business Case'!B12*$B1054))-'Business Case'!C15*$F1054</f>
        <v>15839283.7291278</v>
      </c>
      <c r="J1054" s="39" t="n">
        <f aca="false">(('Business Case'!D11*$C1054*'Business Case'!D12*$B1054)-'Business Case'!D11*$C1054*'Business Case'!D13*$D1054-'Business Case'!D14*$E1054)-MAX(0,(('Business Case'!D11*$C1054*'Business Case'!D12*$B1054)-'Business Case'!D11*$C1054*'Business Case'!D13*$D1054-'Business Case'!D14*$E1054))*'Business Case'!$B$7-'Business Case'!$B$8*(('Business Case'!D11*$C1054*'Business Case'!D12*$B1054)-('Business Case'!C11*$C1054*'Business Case'!C12*$B1054))-'Business Case'!D15*$F1054</f>
        <v>325978464.178825</v>
      </c>
      <c r="K1054" s="39" t="n">
        <f aca="false">(('Business Case'!E11*$C1054*'Business Case'!E12*$B1054)-'Business Case'!E11*$C1054*'Business Case'!E13*$D1054-'Business Case'!E14*$E1054)-MAX(0,(('Business Case'!E11*$C1054*'Business Case'!E12*$B1054)-'Business Case'!E11*$C1054*'Business Case'!E13*$D1054-'Business Case'!E14*$E1054))*'Business Case'!$B$7-'Business Case'!$B$8*(('Business Case'!E11*$C1054*'Business Case'!E12*$B1054)-('Business Case'!D11*$C1054*'Business Case'!D12*$B1054))-'Business Case'!E15*$F1054</f>
        <v>687725942.449946</v>
      </c>
      <c r="L1054" s="39" t="n">
        <f aca="false">(('Business Case'!F11*$C1054*'Business Case'!F12*$B1054)-'Business Case'!F11*$C1054*'Business Case'!F13*$D1054-'Business Case'!F14*$E1054)-MAX(0,(('Business Case'!F11*$C1054*'Business Case'!F12*$B1054)-'Business Case'!F11*$C1054*'Business Case'!F13*$D1054-'Business Case'!F14*$E1054))*'Business Case'!$B$7-'Business Case'!$B$8*(('Business Case'!F11*$C1054*'Business Case'!F12*$B1054)-('Business Case'!E11*$C1054*'Business Case'!E12*$B1054))-'Business Case'!F15*$F1054</f>
        <v>825238086.685087</v>
      </c>
      <c r="M1054" s="39" t="n">
        <f aca="false">(('Business Case'!G11*$C1054*'Business Case'!G12*$B1054)-'Business Case'!G11*$C1054*'Business Case'!G13*$D1054-'Business Case'!G14*$E1054)-MAX(0,(('Business Case'!G11*$C1054*'Business Case'!G12*$B1054)-'Business Case'!G11*$C1054*'Business Case'!G13*$D1054-'Business Case'!G14*$E1054))*'Business Case'!$B$7-'Business Case'!$B$8*(('Business Case'!G11*$C1054*'Business Case'!G12*$B1054)-('Business Case'!F11*$C1054*'Business Case'!F12*$B1054))-'Business Case'!G15*$F1054+'Business Case'!$B$8*('Business Case'!G11*$C1054*'Business Case'!G12*$B1054)</f>
        <v>1012966382.48725</v>
      </c>
      <c r="N1054" s="39" t="n">
        <f aca="false">IF(COUNT('Business Case'!B11:G11)=0,"",H1054+NPV(G1054,I1054:M1054))</f>
        <v>-9411091.4559803</v>
      </c>
      <c r="P1054" s="40" t="n">
        <f aca="true">RAND()</f>
        <v>0.631187364681264</v>
      </c>
      <c r="Q1054" s="40" t="n">
        <f aca="true">RAND()</f>
        <v>0.514431718060365</v>
      </c>
      <c r="R1054" s="40" t="n">
        <f aca="true">RAND()</f>
        <v>0.182547463799912</v>
      </c>
      <c r="S1054" s="40" t="n">
        <f aca="true">RAND()</f>
        <v>0.151585577880991</v>
      </c>
      <c r="T1054" s="40" t="n">
        <f aca="true">RAND()</f>
        <v>0.43663467636875</v>
      </c>
      <c r="U1054" s="40" t="n">
        <f aca="true">RAND()</f>
        <v>0.00421154435927718</v>
      </c>
    </row>
    <row r="1055" customFormat="false" ht="15" hidden="false" customHeight="false" outlineLevel="0" collapsed="false">
      <c r="A1055" s="36" t="n">
        <v>975</v>
      </c>
      <c r="B1055" s="37" t="n">
        <f aca="false">1+IF($G$6=$E$6,$F$6,IF(P1055&lt;($F$6-$E$6)/($G$6-$E$6),$E$6+SQRT(P1055*($G$6-$E$6)*($F$6-$E$6)),$G$6-SQRT((1-P1055)*($G$6-$E$6)*($G$6-$F$6))))</f>
        <v>0.965288019664149</v>
      </c>
      <c r="C1055" s="37" t="n">
        <f aca="false">1+IF($G$7=$E$7,$F$7,IF(Q1055&lt;($F$7-$E$7)/($G$7-$E$7),$E$7+SQRT(Q1055*($G$7-$E$7)*($F$7-$E$7)),$G$7-SQRT((1-Q1055)*($G$7-$E$7)*($G$7-$F$7))))</f>
        <v>1.07074952716936</v>
      </c>
      <c r="D1055" s="37" t="n">
        <f aca="false">1+IF($G$8=$E$8,$F$8,IF(R1055&lt;($F$8-$E$8)/($G$8-$E$8),$E$8+SQRT(R1055*($G$8-$E$8)*($F$8-$E$8)),$G$8-SQRT((1-R1055)*($G$8-$E$8)*($G$8-$F$8))))</f>
        <v>1.00534684239911</v>
      </c>
      <c r="E1055" s="37" t="n">
        <f aca="false">1+IF($G$9=$E$9,$F$9,IF(S1055&lt;($F$9-$E$9)/($G$9-$E$9),$E$9+SQRT(S1055*($G$9-$E$9)*($F$9-$E$9)),$G$9-SQRT((1-S1055)*($G$9-$E$9)*($G$9-$F$9))))</f>
        <v>1.04482630444719</v>
      </c>
      <c r="F1055" s="37" t="n">
        <f aca="false">1+IF($G$10=$E$10,$F$10,IF(T1055&lt;($F$10-$E$10)/($G$10-$E$10),$E$10+SQRT(T1055*($G$10-$E$10)*($F$10-$E$10)),$G$10-SQRT((1-T1055)*($G$10-$E$10)*($G$10-$F$10))))</f>
        <v>1.08754830540097</v>
      </c>
      <c r="G1055" s="38" t="n">
        <f aca="false">IF($G$11=$E$11,$F$11,IF(U1055&lt;($F$11-$E$11)/($G$11-$E$11),$E$11+SQRT(U1055*($G$11-$E$11)*($F$11-$E$11)),$G$11-SQRT((1-U1055)*($G$11-$E$11)*($G$11-$F$11))))</f>
        <v>0.102903594148817</v>
      </c>
      <c r="H1055" s="39" t="n">
        <f aca="false">(('Business Case'!B11*$C1055*'Business Case'!B12*$B1055)-'Business Case'!B11*$C1055*'Business Case'!B13*$D1055-'Business Case'!B14*$E1055)-MAX(0,(('Business Case'!B11*$C1055*'Business Case'!B12*$B1055)-'Business Case'!B11*$C1055*'Business Case'!B13*$D1055-'Business Case'!B14*$E1055))*'Business Case'!$B$7-'Business Case'!$B$8*('Business Case'!B11*$C1055*'Business Case'!B12*$B1055)-'Business Case'!B15*$F1055</f>
        <v>-2175096610.80193</v>
      </c>
      <c r="I1055" s="39" t="n">
        <f aca="false">(('Business Case'!C11*$C1055*'Business Case'!C12*$B1055)-'Business Case'!C11*$C1055*'Business Case'!C13*$D1055-'Business Case'!C14*$E1055)-MAX(0,(('Business Case'!C11*$C1055*'Business Case'!C12*$B1055)-'Business Case'!C11*$C1055*'Business Case'!C13*$D1055-'Business Case'!C14*$E1055))*'Business Case'!$B$7-'Business Case'!$B$8*(('Business Case'!C11*$C1055*'Business Case'!C12*$B1055)-('Business Case'!B11*$C1055*'Business Case'!B12*$B1055))-'Business Case'!C15*$F1055</f>
        <v>-15401089.3324076</v>
      </c>
      <c r="J1055" s="39" t="n">
        <f aca="false">(('Business Case'!D11*$C1055*'Business Case'!D12*$B1055)-'Business Case'!D11*$C1055*'Business Case'!D13*$D1055-'Business Case'!D14*$E1055)-MAX(0,(('Business Case'!D11*$C1055*'Business Case'!D12*$B1055)-'Business Case'!D11*$C1055*'Business Case'!D13*$D1055-'Business Case'!D14*$E1055))*'Business Case'!$B$7-'Business Case'!$B$8*(('Business Case'!D11*$C1055*'Business Case'!D12*$B1055)-('Business Case'!C11*$C1055*'Business Case'!C12*$B1055))-'Business Case'!D15*$F1055</f>
        <v>280107827.210327</v>
      </c>
      <c r="K1055" s="39" t="n">
        <f aca="false">(('Business Case'!E11*$C1055*'Business Case'!E12*$B1055)-'Business Case'!E11*$C1055*'Business Case'!E13*$D1055-'Business Case'!E14*$E1055)-MAX(0,(('Business Case'!E11*$C1055*'Business Case'!E12*$B1055)-'Business Case'!E11*$C1055*'Business Case'!E13*$D1055-'Business Case'!E14*$E1055))*'Business Case'!$B$7-'Business Case'!$B$8*(('Business Case'!E11*$C1055*'Business Case'!E12*$B1055)-('Business Case'!D11*$C1055*'Business Case'!D12*$B1055))-'Business Case'!E15*$F1055</f>
        <v>629994159.02311</v>
      </c>
      <c r="L1055" s="39" t="n">
        <f aca="false">(('Business Case'!F11*$C1055*'Business Case'!F12*$B1055)-'Business Case'!F11*$C1055*'Business Case'!F13*$D1055-'Business Case'!F14*$E1055)-MAX(0,(('Business Case'!F11*$C1055*'Business Case'!F12*$B1055)-'Business Case'!F11*$C1055*'Business Case'!F13*$D1055-'Business Case'!F14*$E1055))*'Business Case'!$B$7-'Business Case'!$B$8*(('Business Case'!F11*$C1055*'Business Case'!F12*$B1055)-('Business Case'!E11*$C1055*'Business Case'!E12*$B1055))-'Business Case'!F15*$F1055</f>
        <v>764217714.432458</v>
      </c>
      <c r="M1055" s="39" t="n">
        <f aca="false">(('Business Case'!G11*$C1055*'Business Case'!G12*$B1055)-'Business Case'!G11*$C1055*'Business Case'!G13*$D1055-'Business Case'!G14*$E1055)-MAX(0,(('Business Case'!G11*$C1055*'Business Case'!G12*$B1055)-'Business Case'!G11*$C1055*'Business Case'!G13*$D1055-'Business Case'!G14*$E1055))*'Business Case'!$B$7-'Business Case'!$B$8*(('Business Case'!G11*$C1055*'Business Case'!G12*$B1055)-('Business Case'!F11*$C1055*'Business Case'!F12*$B1055))-'Business Case'!G15*$F1055+'Business Case'!$B$8*('Business Case'!G11*$C1055*'Business Case'!G12*$B1055)</f>
        <v>960680922.18886</v>
      </c>
      <c r="N1055" s="39" t="n">
        <f aca="false">IF(COUNT('Business Case'!B11:G11)=0,"",H1055+NPV(G1055,I1055:M1055))</f>
        <v>-383996177.174382</v>
      </c>
      <c r="P1055" s="40" t="n">
        <f aca="true">RAND()</f>
        <v>0.213646325531288</v>
      </c>
      <c r="Q1055" s="40" t="n">
        <f aca="true">RAND()</f>
        <v>0.880368810592766</v>
      </c>
      <c r="R1055" s="40" t="n">
        <f aca="true">RAND()</f>
        <v>0.464125582713087</v>
      </c>
      <c r="S1055" s="40" t="n">
        <f aca="true">RAND()</f>
        <v>0.797057554603047</v>
      </c>
      <c r="T1055" s="40" t="n">
        <f aca="true">RAND()</f>
        <v>0.747092327636118</v>
      </c>
      <c r="U1055" s="40" t="n">
        <f aca="true">RAND()</f>
        <v>0.512854844952711</v>
      </c>
    </row>
    <row r="1056" customFormat="false" ht="15" hidden="false" customHeight="false" outlineLevel="0" collapsed="false">
      <c r="A1056" s="36" t="n">
        <v>976</v>
      </c>
      <c r="B1056" s="37" t="n">
        <f aca="false">1+IF($G$6=$E$6,$F$6,IF(P1056&lt;($F$6-$E$6)/($G$6-$E$6),$E$6+SQRT(P1056*($G$6-$E$6)*($F$6-$E$6)),$G$6-SQRT((1-P1056)*($G$6-$E$6)*($G$6-$F$6))))</f>
        <v>0.9362203483385</v>
      </c>
      <c r="C1056" s="37" t="n">
        <f aca="false">1+IF($G$7=$E$7,$F$7,IF(Q1056&lt;($F$7-$E$7)/($G$7-$E$7),$E$7+SQRT(Q1056*($G$7-$E$7)*($F$7-$E$7)),$G$7-SQRT((1-Q1056)*($G$7-$E$7)*($G$7-$F$7))))</f>
        <v>1.07202094196007</v>
      </c>
      <c r="D1056" s="37" t="n">
        <f aca="false">1+IF($G$8=$E$8,$F$8,IF(R1056&lt;($F$8-$E$8)/($G$8-$E$8),$E$8+SQRT(R1056*($G$8-$E$8)*($F$8-$E$8)),$G$8-SQRT((1-R1056)*($G$8-$E$8)*($G$8-$F$8))))</f>
        <v>0.970568273485567</v>
      </c>
      <c r="E1056" s="37" t="n">
        <f aca="false">1+IF($G$9=$E$9,$F$9,IF(S1056&lt;($F$9-$E$9)/($G$9-$E$9),$E$9+SQRT(S1056*($G$9-$E$9)*($F$9-$E$9)),$G$9-SQRT((1-S1056)*($G$9-$E$9)*($G$9-$F$9))))</f>
        <v>1.0138079313097</v>
      </c>
      <c r="F1056" s="37" t="n">
        <f aca="false">1+IF($G$10=$E$10,$F$10,IF(T1056&lt;($F$10-$E$10)/($G$10-$E$10),$E$10+SQRT(T1056*($G$10-$E$10)*($F$10-$E$10)),$G$10-SQRT((1-T1056)*($G$10-$E$10)*($G$10-$F$10))))</f>
        <v>1.10787481838383</v>
      </c>
      <c r="G1056" s="38" t="n">
        <f aca="false">IF($G$11=$E$11,$F$11,IF(U1056&lt;($F$11-$E$11)/($G$11-$E$11),$E$11+SQRT(U1056*($G$11-$E$11)*($F$11-$E$11)),$G$11-SQRT((1-U1056)*($G$11-$E$11)*($G$11-$F$11))))</f>
        <v>0.115771066405649</v>
      </c>
      <c r="H1056" s="39" t="n">
        <f aca="false">(('Business Case'!B11*$C1056*'Business Case'!B12*$B1056)-'Business Case'!B11*$C1056*'Business Case'!B13*$D1056-'Business Case'!B14*$E1056)-MAX(0,(('Business Case'!B11*$C1056*'Business Case'!B12*$B1056)-'Business Case'!B11*$C1056*'Business Case'!B13*$D1056-'Business Case'!B14*$E1056))*'Business Case'!$B$7-'Business Case'!$B$8*('Business Case'!B11*$C1056*'Business Case'!B12*$B1056)-'Business Case'!B15*$F1056</f>
        <v>-2215749636.76767</v>
      </c>
      <c r="I1056" s="39" t="n">
        <f aca="false">(('Business Case'!C11*$C1056*'Business Case'!C12*$B1056)-'Business Case'!C11*$C1056*'Business Case'!C13*$D1056-'Business Case'!C14*$E1056)-MAX(0,(('Business Case'!C11*$C1056*'Business Case'!C12*$B1056)-'Business Case'!C11*$C1056*'Business Case'!C13*$D1056-'Business Case'!C14*$E1056))*'Business Case'!$B$7-'Business Case'!$B$8*(('Business Case'!C11*$C1056*'Business Case'!C12*$B1056)-('Business Case'!B11*$C1056*'Business Case'!B12*$B1056))-'Business Case'!C15*$F1056</f>
        <v>-17557399.6658347</v>
      </c>
      <c r="J1056" s="39" t="n">
        <f aca="false">(('Business Case'!D11*$C1056*'Business Case'!D12*$B1056)-'Business Case'!D11*$C1056*'Business Case'!D13*$D1056-'Business Case'!D14*$E1056)-MAX(0,(('Business Case'!D11*$C1056*'Business Case'!D12*$B1056)-'Business Case'!D11*$C1056*'Business Case'!D13*$D1056-'Business Case'!D14*$E1056))*'Business Case'!$B$7-'Business Case'!$B$8*(('Business Case'!D11*$C1056*'Business Case'!D12*$B1056)-('Business Case'!C11*$C1056*'Business Case'!C12*$B1056))-'Business Case'!D15*$F1056</f>
        <v>271865273.312617</v>
      </c>
      <c r="K1056" s="39" t="n">
        <f aca="false">(('Business Case'!E11*$C1056*'Business Case'!E12*$B1056)-'Business Case'!E11*$C1056*'Business Case'!E13*$D1056-'Business Case'!E14*$E1056)-MAX(0,(('Business Case'!E11*$C1056*'Business Case'!E12*$B1056)-'Business Case'!E11*$C1056*'Business Case'!E13*$D1056-'Business Case'!E14*$E1056))*'Business Case'!$B$7-'Business Case'!$B$8*(('Business Case'!E11*$C1056*'Business Case'!E12*$B1056)-('Business Case'!D11*$C1056*'Business Case'!D12*$B1056))-'Business Case'!E15*$F1056</f>
        <v>616681687.210261</v>
      </c>
      <c r="L1056" s="39" t="n">
        <f aca="false">(('Business Case'!F11*$C1056*'Business Case'!F12*$B1056)-'Business Case'!F11*$C1056*'Business Case'!F13*$D1056-'Business Case'!F14*$E1056)-MAX(0,(('Business Case'!F11*$C1056*'Business Case'!F12*$B1056)-'Business Case'!F11*$C1056*'Business Case'!F13*$D1056-'Business Case'!F14*$E1056))*'Business Case'!$B$7-'Business Case'!$B$8*(('Business Case'!F11*$C1056*'Business Case'!F12*$B1056)-('Business Case'!E11*$C1056*'Business Case'!E12*$B1056))-'Business Case'!F15*$F1056</f>
        <v>747841980.185521</v>
      </c>
      <c r="M1056" s="39" t="n">
        <f aca="false">(('Business Case'!G11*$C1056*'Business Case'!G12*$B1056)-'Business Case'!G11*$C1056*'Business Case'!G13*$D1056-'Business Case'!G14*$E1056)-MAX(0,(('Business Case'!G11*$C1056*'Business Case'!G12*$B1056)-'Business Case'!G11*$C1056*'Business Case'!G13*$D1056-'Business Case'!G14*$E1056))*'Business Case'!$B$7-'Business Case'!$B$8*(('Business Case'!G11*$C1056*'Business Case'!G12*$B1056)-('Business Case'!F11*$C1056*'Business Case'!F12*$B1056))-'Business Case'!G15*$F1056+'Business Case'!$B$8*('Business Case'!G11*$C1056*'Business Case'!G12*$B1056)</f>
        <v>938615357.755623</v>
      </c>
      <c r="N1056" s="39" t="n">
        <f aca="false">IF(COUNT('Business Case'!B11:G11)=0,"",H1056+NPV(G1056,I1056:M1056))</f>
        <v>-543879321.978447</v>
      </c>
      <c r="P1056" s="40" t="n">
        <f aca="true">RAND()</f>
        <v>0.0274062187731544</v>
      </c>
      <c r="Q1056" s="40" t="n">
        <f aca="true">RAND()</f>
        <v>0.884176504899147</v>
      </c>
      <c r="R1056" s="40" t="n">
        <f aca="true">RAND()</f>
        <v>0.0650852114118557</v>
      </c>
      <c r="S1056" s="40" t="n">
        <f aca="true">RAND()</f>
        <v>0.504728486325801</v>
      </c>
      <c r="T1056" s="40" t="n">
        <f aca="true">RAND()</f>
        <v>0.830259018243763</v>
      </c>
      <c r="U1056" s="40" t="n">
        <f aca="true">RAND()</f>
        <v>0.970193534424289</v>
      </c>
    </row>
    <row r="1057" customFormat="false" ht="15" hidden="false" customHeight="false" outlineLevel="0" collapsed="false">
      <c r="A1057" s="36" t="n">
        <v>977</v>
      </c>
      <c r="B1057" s="37" t="n">
        <f aca="false">1+IF($G$6=$E$6,$F$6,IF(P1057&lt;($F$6-$E$6)/($G$6-$E$6),$E$6+SQRT(P1057*($G$6-$E$6)*($F$6-$E$6)),$G$6-SQRT((1-P1057)*($G$6-$E$6)*($G$6-$F$6))))</f>
        <v>0.996595868733103</v>
      </c>
      <c r="C1057" s="37" t="n">
        <f aca="false">1+IF($G$7=$E$7,$F$7,IF(Q1057&lt;($F$7-$E$7)/($G$7-$E$7),$E$7+SQRT(Q1057*($G$7-$E$7)*($F$7-$E$7)),$G$7-SQRT((1-Q1057)*($G$7-$E$7)*($G$7-$F$7))))</f>
        <v>0.884052477447741</v>
      </c>
      <c r="D1057" s="37" t="n">
        <f aca="false">1+IF($G$8=$E$8,$F$8,IF(R1057&lt;($F$8-$E$8)/($G$8-$E$8),$E$8+SQRT(R1057*($G$8-$E$8)*($F$8-$E$8)),$G$8-SQRT((1-R1057)*($G$8-$E$8)*($G$8-$F$8))))</f>
        <v>1.03308723716679</v>
      </c>
      <c r="E1057" s="37" t="n">
        <f aca="false">1+IF($G$9=$E$9,$F$9,IF(S1057&lt;($F$9-$E$9)/($G$9-$E$9),$E$9+SQRT(S1057*($G$9-$E$9)*($F$9-$E$9)),$G$9-SQRT((1-S1057)*($G$9-$E$9)*($G$9-$F$9))))</f>
        <v>1.05081464439845</v>
      </c>
      <c r="F1057" s="37" t="n">
        <f aca="false">1+IF($G$10=$E$10,$F$10,IF(T1057&lt;($F$10-$E$10)/($G$10-$E$10),$E$10+SQRT(T1057*($G$10-$E$10)*($F$10-$E$10)),$G$10-SQRT((1-T1057)*($G$10-$E$10)*($G$10-$F$10))))</f>
        <v>0.99280578472593</v>
      </c>
      <c r="G1057" s="38" t="n">
        <f aca="false">IF($G$11=$E$11,$F$11,IF(U1057&lt;($F$11-$E$11)/($G$11-$E$11),$E$11+SQRT(U1057*($G$11-$E$11)*($F$11-$E$11)),$G$11-SQRT((1-U1057)*($G$11-$E$11)*($G$11-$F$11))))</f>
        <v>0.0985679659082049</v>
      </c>
      <c r="H1057" s="39" t="n">
        <f aca="false">(('Business Case'!B11*$C1057*'Business Case'!B12*$B1057)-'Business Case'!B11*$C1057*'Business Case'!B13*$D1057-'Business Case'!B14*$E1057)-MAX(0,(('Business Case'!B11*$C1057*'Business Case'!B12*$B1057)-'Business Case'!B11*$C1057*'Business Case'!B13*$D1057-'Business Case'!B14*$E1057))*'Business Case'!$B$7-'Business Case'!$B$8*('Business Case'!B11*$C1057*'Business Case'!B12*$B1057)-'Business Case'!B15*$F1057</f>
        <v>-1985611569.45186</v>
      </c>
      <c r="I1057" s="39" t="n">
        <f aca="false">(('Business Case'!C11*$C1057*'Business Case'!C12*$B1057)-'Business Case'!C11*$C1057*'Business Case'!C13*$D1057-'Business Case'!C14*$E1057)-MAX(0,(('Business Case'!C11*$C1057*'Business Case'!C12*$B1057)-'Business Case'!C11*$C1057*'Business Case'!C13*$D1057-'Business Case'!C14*$E1057))*'Business Case'!$B$7-'Business Case'!$B$8*(('Business Case'!C11*$C1057*'Business Case'!C12*$B1057)-('Business Case'!B11*$C1057*'Business Case'!B12*$B1057))-'Business Case'!C15*$F1057</f>
        <v>-40280243.4775894</v>
      </c>
      <c r="J1057" s="39" t="n">
        <f aca="false">(('Business Case'!D11*$C1057*'Business Case'!D12*$B1057)-'Business Case'!D11*$C1057*'Business Case'!D13*$D1057-'Business Case'!D14*$E1057)-MAX(0,(('Business Case'!D11*$C1057*'Business Case'!D12*$B1057)-'Business Case'!D11*$C1057*'Business Case'!D13*$D1057-'Business Case'!D14*$E1057))*'Business Case'!$B$7-'Business Case'!$B$8*(('Business Case'!D11*$C1057*'Business Case'!D12*$B1057)-('Business Case'!C11*$C1057*'Business Case'!C12*$B1057))-'Business Case'!D15*$F1057</f>
        <v>213819205.495311</v>
      </c>
      <c r="K1057" s="39" t="n">
        <f aca="false">(('Business Case'!E11*$C1057*'Business Case'!E12*$B1057)-'Business Case'!E11*$C1057*'Business Case'!E13*$D1057-'Business Case'!E14*$E1057)-MAX(0,(('Business Case'!E11*$C1057*'Business Case'!E12*$B1057)-'Business Case'!E11*$C1057*'Business Case'!E13*$D1057-'Business Case'!E14*$E1057))*'Business Case'!$B$7-'Business Case'!$B$8*(('Business Case'!E11*$C1057*'Business Case'!E12*$B1057)-('Business Case'!D11*$C1057*'Business Case'!D12*$B1057))-'Business Case'!E15*$F1057</f>
        <v>517558943.704507</v>
      </c>
      <c r="L1057" s="39" t="n">
        <f aca="false">(('Business Case'!F11*$C1057*'Business Case'!F12*$B1057)-'Business Case'!F11*$C1057*'Business Case'!F13*$D1057-'Business Case'!F14*$E1057)-MAX(0,(('Business Case'!F11*$C1057*'Business Case'!F12*$B1057)-'Business Case'!F11*$C1057*'Business Case'!F13*$D1057-'Business Case'!F14*$E1057))*'Business Case'!$B$7-'Business Case'!$B$8*(('Business Case'!F11*$C1057*'Business Case'!F12*$B1057)-('Business Case'!E11*$C1057*'Business Case'!E12*$B1057))-'Business Case'!F15*$F1057</f>
        <v>632707607.725098</v>
      </c>
      <c r="M1057" s="39" t="n">
        <f aca="false">(('Business Case'!G11*$C1057*'Business Case'!G12*$B1057)-'Business Case'!G11*$C1057*'Business Case'!G13*$D1057-'Business Case'!G14*$E1057)-MAX(0,(('Business Case'!G11*$C1057*'Business Case'!G12*$B1057)-'Business Case'!G11*$C1057*'Business Case'!G13*$D1057-'Business Case'!G14*$E1057))*'Business Case'!$B$7-'Business Case'!$B$8*(('Business Case'!G11*$C1057*'Business Case'!G12*$B1057)-('Business Case'!F11*$C1057*'Business Case'!F12*$B1057))-'Business Case'!G15*$F1057+'Business Case'!$B$8*('Business Case'!G11*$C1057*'Business Case'!G12*$B1057)</f>
        <v>800176270.054699</v>
      </c>
      <c r="N1057" s="39" t="n">
        <f aca="false">IF(COUNT('Business Case'!B11:G11)=0,"",H1057+NPV(G1057,I1057:M1057))</f>
        <v>-520235499.531646</v>
      </c>
      <c r="P1057" s="40" t="n">
        <f aca="true">RAND()</f>
        <v>0.611138240310287</v>
      </c>
      <c r="Q1057" s="40" t="n">
        <f aca="true">RAND()</f>
        <v>0.100925985215756</v>
      </c>
      <c r="R1057" s="40" t="n">
        <f aca="true">RAND()</f>
        <v>0.788383911861061</v>
      </c>
      <c r="S1057" s="40" t="n">
        <f aca="true">RAND()</f>
        <v>0.838720052956609</v>
      </c>
      <c r="T1057" s="40" t="n">
        <f aca="true">RAND()</f>
        <v>0.146586816480215</v>
      </c>
      <c r="U1057" s="40" t="n">
        <f aca="true">RAND()</f>
        <v>0.244700132680539</v>
      </c>
    </row>
    <row r="1058" customFormat="false" ht="15" hidden="false" customHeight="false" outlineLevel="0" collapsed="false">
      <c r="A1058" s="36" t="n">
        <v>978</v>
      </c>
      <c r="B1058" s="37" t="n">
        <f aca="false">1+IF($G$6=$E$6,$F$6,IF(P1058&lt;($F$6-$E$6)/($G$6-$E$6),$E$6+SQRT(P1058*($G$6-$E$6)*($F$6-$E$6)),$G$6-SQRT((1-P1058)*($G$6-$E$6)*($G$6-$F$6))))</f>
        <v>0.969177252968839</v>
      </c>
      <c r="C1058" s="37" t="n">
        <f aca="false">1+IF($G$7=$E$7,$F$7,IF(Q1058&lt;($F$7-$E$7)/($G$7-$E$7),$E$7+SQRT(Q1058*($G$7-$E$7)*($F$7-$E$7)),$G$7-SQRT((1-Q1058)*($G$7-$E$7)*($G$7-$F$7))))</f>
        <v>0.959364644432525</v>
      </c>
      <c r="D1058" s="37" t="n">
        <f aca="false">1+IF($G$8=$E$8,$F$8,IF(R1058&lt;($F$8-$E$8)/($G$8-$E$8),$E$8+SQRT(R1058*($G$8-$E$8)*($F$8-$E$8)),$G$8-SQRT((1-R1058)*($G$8-$E$8)*($G$8-$F$8))))</f>
        <v>1.00027051357843</v>
      </c>
      <c r="E1058" s="37" t="n">
        <f aca="false">1+IF($G$9=$E$9,$F$9,IF(S1058&lt;($F$9-$E$9)/($G$9-$E$9),$E$9+SQRT(S1058*($G$9-$E$9)*($F$9-$E$9)),$G$9-SQRT((1-S1058)*($G$9-$E$9)*($G$9-$F$9))))</f>
        <v>1.07719020647987</v>
      </c>
      <c r="F1058" s="37" t="n">
        <f aca="false">1+IF($G$10=$E$10,$F$10,IF(T1058&lt;($F$10-$E$10)/($G$10-$E$10),$E$10+SQRT(T1058*($G$10-$E$10)*($F$10-$E$10)),$G$10-SQRT((1-T1058)*($G$10-$E$10)*($G$10-$F$10))))</f>
        <v>1.10427410269233</v>
      </c>
      <c r="G1058" s="38" t="n">
        <f aca="false">IF($G$11=$E$11,$F$11,IF(U1058&lt;($F$11-$E$11)/($G$11-$E$11),$E$11+SQRT(U1058*($G$11-$E$11)*($F$11-$E$11)),$G$11-SQRT((1-U1058)*($G$11-$E$11)*($G$11-$F$11))))</f>
        <v>0.100826454574264</v>
      </c>
      <c r="H1058" s="39" t="n">
        <f aca="false">(('Business Case'!B11*$C1058*'Business Case'!B12*$B1058)-'Business Case'!B11*$C1058*'Business Case'!B13*$D1058-'Business Case'!B14*$E1058)-MAX(0,(('Business Case'!B11*$C1058*'Business Case'!B12*$B1058)-'Business Case'!B11*$C1058*'Business Case'!B13*$D1058-'Business Case'!B14*$E1058))*'Business Case'!$B$7-'Business Case'!$B$8*('Business Case'!B11*$C1058*'Business Case'!B12*$B1058)-'Business Case'!B15*$F1058</f>
        <v>-2208548205.38466</v>
      </c>
      <c r="I1058" s="39" t="n">
        <f aca="false">(('Business Case'!C11*$C1058*'Business Case'!C12*$B1058)-'Business Case'!C11*$C1058*'Business Case'!C13*$D1058-'Business Case'!C14*$E1058)-MAX(0,(('Business Case'!C11*$C1058*'Business Case'!C12*$B1058)-'Business Case'!C11*$C1058*'Business Case'!C13*$D1058-'Business Case'!C14*$E1058))*'Business Case'!$B$7-'Business Case'!$B$8*(('Business Case'!C11*$C1058*'Business Case'!C12*$B1058)-('Business Case'!B11*$C1058*'Business Case'!B12*$B1058))-'Business Case'!C15*$F1058</f>
        <v>-41486650.5271074</v>
      </c>
      <c r="J1058" s="39" t="n">
        <f aca="false">(('Business Case'!D11*$C1058*'Business Case'!D12*$B1058)-'Business Case'!D11*$C1058*'Business Case'!D13*$D1058-'Business Case'!D14*$E1058)-MAX(0,(('Business Case'!D11*$C1058*'Business Case'!D12*$B1058)-'Business Case'!D11*$C1058*'Business Case'!D13*$D1058-'Business Case'!D14*$E1058))*'Business Case'!$B$7-'Business Case'!$B$8*(('Business Case'!D11*$C1058*'Business Case'!D12*$B1058)-('Business Case'!C11*$C1058*'Business Case'!C12*$B1058))-'Business Case'!D15*$F1058</f>
        <v>228831097.789646</v>
      </c>
      <c r="K1058" s="39" t="n">
        <f aca="false">(('Business Case'!E11*$C1058*'Business Case'!E12*$B1058)-'Business Case'!E11*$C1058*'Business Case'!E13*$D1058-'Business Case'!E14*$E1058)-MAX(0,(('Business Case'!E11*$C1058*'Business Case'!E12*$B1058)-'Business Case'!E11*$C1058*'Business Case'!E13*$D1058-'Business Case'!E14*$E1058))*'Business Case'!$B$7-'Business Case'!$B$8*(('Business Case'!E11*$C1058*'Business Case'!E12*$B1058)-('Business Case'!D11*$C1058*'Business Case'!D12*$B1058))-'Business Case'!E15*$F1058</f>
        <v>554362551.241015</v>
      </c>
      <c r="L1058" s="39" t="n">
        <f aca="false">(('Business Case'!F11*$C1058*'Business Case'!F12*$B1058)-'Business Case'!F11*$C1058*'Business Case'!F13*$D1058-'Business Case'!F14*$E1058)-MAX(0,(('Business Case'!F11*$C1058*'Business Case'!F12*$B1058)-'Business Case'!F11*$C1058*'Business Case'!F13*$D1058-'Business Case'!F14*$E1058))*'Business Case'!$B$7-'Business Case'!$B$8*(('Business Case'!F11*$C1058*'Business Case'!F12*$B1058)-('Business Case'!E11*$C1058*'Business Case'!E12*$B1058))-'Business Case'!F15*$F1058</f>
        <v>676602161.488726</v>
      </c>
      <c r="M1058" s="39" t="n">
        <f aca="false">(('Business Case'!G11*$C1058*'Business Case'!G12*$B1058)-'Business Case'!G11*$C1058*'Business Case'!G13*$D1058-'Business Case'!G14*$E1058)-MAX(0,(('Business Case'!G11*$C1058*'Business Case'!G12*$B1058)-'Business Case'!G11*$C1058*'Business Case'!G13*$D1058-'Business Case'!G14*$E1058))*'Business Case'!$B$7-'Business Case'!$B$8*(('Business Case'!G11*$C1058*'Business Case'!G12*$B1058)-('Business Case'!F11*$C1058*'Business Case'!F12*$B1058))-'Business Case'!G15*$F1058+'Business Case'!$B$8*('Business Case'!G11*$C1058*'Business Case'!G12*$B1058)</f>
        <v>853337479.270424</v>
      </c>
      <c r="N1058" s="39" t="n">
        <f aca="false">IF(COUNT('Business Case'!B11:G11)=0,"",H1058+NPV(G1058,I1058:M1058))</f>
        <v>-653227243.459765</v>
      </c>
      <c r="P1058" s="40" t="n">
        <f aca="true">RAND()</f>
        <v>0.251916896829292</v>
      </c>
      <c r="Q1058" s="40" t="n">
        <f aca="true">RAND()</f>
        <v>0.362815569930071</v>
      </c>
      <c r="R1058" s="40" t="n">
        <f aca="true">RAND()</f>
        <v>0.388770095668545</v>
      </c>
      <c r="S1058" s="40" t="n">
        <f aca="true">RAND()</f>
        <v>0.965314221304597</v>
      </c>
      <c r="T1058" s="40" t="n">
        <f aca="true">RAND()</f>
        <v>0.816731051692831</v>
      </c>
      <c r="U1058" s="40" t="n">
        <f aca="true">RAND()</f>
        <v>0.387291926345371</v>
      </c>
    </row>
    <row r="1059" customFormat="false" ht="15" hidden="false" customHeight="false" outlineLevel="0" collapsed="false">
      <c r="A1059" s="36" t="n">
        <v>979</v>
      </c>
      <c r="B1059" s="37" t="n">
        <f aca="false">1+IF($G$6=$E$6,$F$6,IF(P1059&lt;($F$6-$E$6)/($G$6-$E$6),$E$6+SQRT(P1059*($G$6-$E$6)*($F$6-$E$6)),$G$6-SQRT((1-P1059)*($G$6-$E$6)*($G$6-$F$6))))</f>
        <v>0.945091051763906</v>
      </c>
      <c r="C1059" s="37" t="n">
        <f aca="false">1+IF($G$7=$E$7,$F$7,IF(Q1059&lt;($F$7-$E$7)/($G$7-$E$7),$E$7+SQRT(Q1059*($G$7-$E$7)*($F$7-$E$7)),$G$7-SQRT((1-Q1059)*($G$7-$E$7)*($G$7-$F$7))))</f>
        <v>0.986390921883495</v>
      </c>
      <c r="D1059" s="37" t="n">
        <f aca="false">1+IF($G$8=$E$8,$F$8,IF(R1059&lt;($F$8-$E$8)/($G$8-$E$8),$E$8+SQRT(R1059*($G$8-$E$8)*($F$8-$E$8)),$G$8-SQRT((1-R1059)*($G$8-$E$8)*($G$8-$F$8))))</f>
        <v>0.959967038027145</v>
      </c>
      <c r="E1059" s="37" t="n">
        <f aca="false">1+IF($G$9=$E$9,$F$9,IF(S1059&lt;($F$9-$E$9)/($G$9-$E$9),$E$9+SQRT(S1059*($G$9-$E$9)*($F$9-$E$9)),$G$9-SQRT((1-S1059)*($G$9-$E$9)*($G$9-$F$9))))</f>
        <v>0.989450481988361</v>
      </c>
      <c r="F1059" s="37" t="n">
        <f aca="false">1+IF($G$10=$E$10,$F$10,IF(T1059&lt;($F$10-$E$10)/($G$10-$E$10),$E$10+SQRT(T1059*($G$10-$E$10)*($F$10-$E$10)),$G$10-SQRT((1-T1059)*($G$10-$E$10)*($G$10-$F$10))))</f>
        <v>1.02277099009972</v>
      </c>
      <c r="G1059" s="38" t="n">
        <f aca="false">IF($G$11=$E$11,$F$11,IF(U1059&lt;($F$11-$E$11)/($G$11-$E$11),$E$11+SQRT(U1059*($G$11-$E$11)*($F$11-$E$11)),$G$11-SQRT((1-U1059)*($G$11-$E$11)*($G$11-$F$11))))</f>
        <v>0.106854120283995</v>
      </c>
      <c r="H1059" s="39" t="n">
        <f aca="false">(('Business Case'!B11*$C1059*'Business Case'!B12*$B1059)-'Business Case'!B11*$C1059*'Business Case'!B13*$D1059-'Business Case'!B14*$E1059)-MAX(0,(('Business Case'!B11*$C1059*'Business Case'!B12*$B1059)-'Business Case'!B11*$C1059*'Business Case'!B13*$D1059-'Business Case'!B14*$E1059))*'Business Case'!$B$7-'Business Case'!$B$8*('Business Case'!B11*$C1059*'Business Case'!B12*$B1059)-'Business Case'!B15*$F1059</f>
        <v>-2045541980.19944</v>
      </c>
      <c r="I1059" s="39" t="n">
        <f aca="false">(('Business Case'!C11*$C1059*'Business Case'!C12*$B1059)-'Business Case'!C11*$C1059*'Business Case'!C13*$D1059-'Business Case'!C14*$E1059)-MAX(0,(('Business Case'!C11*$C1059*'Business Case'!C12*$B1059)-'Business Case'!C11*$C1059*'Business Case'!C13*$D1059-'Business Case'!C14*$E1059))*'Business Case'!$B$7-'Business Case'!$B$8*(('Business Case'!C11*$C1059*'Business Case'!C12*$B1059)-('Business Case'!B11*$C1059*'Business Case'!B12*$B1059))-'Business Case'!C15*$F1059</f>
        <v>-12479324.878077</v>
      </c>
      <c r="J1059" s="39" t="n">
        <f aca="false">(('Business Case'!D11*$C1059*'Business Case'!D12*$B1059)-'Business Case'!D11*$C1059*'Business Case'!D13*$D1059-'Business Case'!D14*$E1059)-MAX(0,(('Business Case'!D11*$C1059*'Business Case'!D12*$B1059)-'Business Case'!D11*$C1059*'Business Case'!D13*$D1059-'Business Case'!D14*$E1059))*'Business Case'!$B$7-'Business Case'!$B$8*(('Business Case'!D11*$C1059*'Business Case'!D12*$B1059)-('Business Case'!C11*$C1059*'Business Case'!C12*$B1059))-'Business Case'!D15*$F1059</f>
        <v>266345071.273441</v>
      </c>
      <c r="K1059" s="39" t="n">
        <f aca="false">(('Business Case'!E11*$C1059*'Business Case'!E12*$B1059)-'Business Case'!E11*$C1059*'Business Case'!E13*$D1059-'Business Case'!E14*$E1059)-MAX(0,(('Business Case'!E11*$C1059*'Business Case'!E12*$B1059)-'Business Case'!E11*$C1059*'Business Case'!E13*$D1059-'Business Case'!E14*$E1059))*'Business Case'!$B$7-'Business Case'!$B$8*(('Business Case'!E11*$C1059*'Business Case'!E12*$B1059)-('Business Case'!D11*$C1059*'Business Case'!D12*$B1059))-'Business Case'!E15*$F1059</f>
        <v>596308016.929946</v>
      </c>
      <c r="L1059" s="39" t="n">
        <f aca="false">(('Business Case'!F11*$C1059*'Business Case'!F12*$B1059)-'Business Case'!F11*$C1059*'Business Case'!F13*$D1059-'Business Case'!F14*$E1059)-MAX(0,(('Business Case'!F11*$C1059*'Business Case'!F12*$B1059)-'Business Case'!F11*$C1059*'Business Case'!F13*$D1059-'Business Case'!F14*$E1059))*'Business Case'!$B$7-'Business Case'!$B$8*(('Business Case'!F11*$C1059*'Business Case'!F12*$B1059)-('Business Case'!E11*$C1059*'Business Case'!E12*$B1059))-'Business Case'!F15*$F1059</f>
        <v>721467324.634371</v>
      </c>
      <c r="M1059" s="39" t="n">
        <f aca="false">(('Business Case'!G11*$C1059*'Business Case'!G12*$B1059)-'Business Case'!G11*$C1059*'Business Case'!G13*$D1059-'Business Case'!G14*$E1059)-MAX(0,(('Business Case'!G11*$C1059*'Business Case'!G12*$B1059)-'Business Case'!G11*$C1059*'Business Case'!G13*$D1059-'Business Case'!G14*$E1059))*'Business Case'!$B$7-'Business Case'!$B$8*(('Business Case'!G11*$C1059*'Business Case'!G12*$B1059)-('Business Case'!F11*$C1059*'Business Case'!F12*$B1059))-'Business Case'!G15*$F1059+'Business Case'!$B$8*('Business Case'!G11*$C1059*'Business Case'!G12*$B1059)</f>
        <v>898665457.397592</v>
      </c>
      <c r="N1059" s="39" t="n">
        <f aca="false">IF(COUNT('Business Case'!B11:G11)=0,"",H1059+NPV(G1059,I1059:M1059))</f>
        <v>-378055567.137131</v>
      </c>
      <c r="P1059" s="40" t="n">
        <f aca="true">RAND()</f>
        <v>0.0655792581894814</v>
      </c>
      <c r="Q1059" s="40" t="n">
        <f aca="true">RAND()</f>
        <v>0.49630822515113</v>
      </c>
      <c r="R1059" s="40" t="n">
        <f aca="true">RAND()</f>
        <v>0.0152833610822386</v>
      </c>
      <c r="S1059" s="40" t="n">
        <f aca="true">RAND()</f>
        <v>0.207512070548536</v>
      </c>
      <c r="T1059" s="40" t="n">
        <f aca="true">RAND()</f>
        <v>0.371797560995332</v>
      </c>
      <c r="U1059" s="40" t="n">
        <f aca="true">RAND()</f>
        <v>0.711976410820532</v>
      </c>
    </row>
    <row r="1060" customFormat="false" ht="15" hidden="false" customHeight="false" outlineLevel="0" collapsed="false">
      <c r="A1060" s="36" t="n">
        <v>980</v>
      </c>
      <c r="B1060" s="37" t="n">
        <f aca="false">1+IF($G$6=$E$6,$F$6,IF(P1060&lt;($F$6-$E$6)/($G$6-$E$6),$E$6+SQRT(P1060*($G$6-$E$6)*($F$6-$E$6)),$G$6-SQRT((1-P1060)*($G$6-$E$6)*($G$6-$F$6))))</f>
        <v>1.02323808364099</v>
      </c>
      <c r="C1060" s="37" t="n">
        <f aca="false">1+IF($G$7=$E$7,$F$7,IF(Q1060&lt;($F$7-$E$7)/($G$7-$E$7),$E$7+SQRT(Q1060*($G$7-$E$7)*($F$7-$E$7)),$G$7-SQRT((1-Q1060)*($G$7-$E$7)*($G$7-$F$7))))</f>
        <v>0.999202220207919</v>
      </c>
      <c r="D1060" s="37" t="n">
        <f aca="false">1+IF($G$8=$E$8,$F$8,IF(R1060&lt;($F$8-$E$8)/($G$8-$E$8),$E$8+SQRT(R1060*($G$8-$E$8)*($F$8-$E$8)),$G$8-SQRT((1-R1060)*($G$8-$E$8)*($G$8-$F$8))))</f>
        <v>0.976746162056821</v>
      </c>
      <c r="E1060" s="37" t="n">
        <f aca="false">1+IF($G$9=$E$9,$F$9,IF(S1060&lt;($F$9-$E$9)/($G$9-$E$9),$E$9+SQRT(S1060*($G$9-$E$9)*($F$9-$E$9)),$G$9-SQRT((1-S1060)*($G$9-$E$9)*($G$9-$F$9))))</f>
        <v>1.01019882648413</v>
      </c>
      <c r="F1060" s="37" t="n">
        <f aca="false">1+IF($G$10=$E$10,$F$10,IF(T1060&lt;($F$10-$E$10)/($G$10-$E$10),$E$10+SQRT(T1060*($G$10-$E$10)*($F$10-$E$10)),$G$10-SQRT((1-T1060)*($G$10-$E$10)*($G$10-$F$10))))</f>
        <v>1.05740525693113</v>
      </c>
      <c r="G1060" s="38" t="n">
        <f aca="false">IF($G$11=$E$11,$F$11,IF(U1060&lt;($F$11-$E$11)/($G$11-$E$11),$E$11+SQRT(U1060*($G$11-$E$11)*($F$11-$E$11)),$G$11-SQRT((1-U1060)*($G$11-$E$11)*($G$11-$F$11))))</f>
        <v>0.103622833496335</v>
      </c>
      <c r="H1060" s="39" t="n">
        <f aca="false">(('Business Case'!B11*$C1060*'Business Case'!B12*$B1060)-'Business Case'!B11*$C1060*'Business Case'!B13*$D1060-'Business Case'!B14*$E1060)-MAX(0,(('Business Case'!B11*$C1060*'Business Case'!B12*$B1060)-'Business Case'!B11*$C1060*'Business Case'!B13*$D1060-'Business Case'!B14*$E1060))*'Business Case'!$B$7-'Business Case'!$B$8*('Business Case'!B11*$C1060*'Business Case'!B12*$B1060)-'Business Case'!B15*$F1060</f>
        <v>-2114810513.86226</v>
      </c>
      <c r="I1060" s="39" t="n">
        <f aca="false">(('Business Case'!C11*$C1060*'Business Case'!C12*$B1060)-'Business Case'!C11*$C1060*'Business Case'!C13*$D1060-'Business Case'!C14*$E1060)-MAX(0,(('Business Case'!C11*$C1060*'Business Case'!C12*$B1060)-'Business Case'!C11*$C1060*'Business Case'!C13*$D1060-'Business Case'!C14*$E1060))*'Business Case'!$B$7-'Business Case'!$B$8*(('Business Case'!C11*$C1060*'Business Case'!C12*$B1060)-('Business Case'!B11*$C1060*'Business Case'!B12*$B1060))-'Business Case'!C15*$F1060</f>
        <v>35426904.0632792</v>
      </c>
      <c r="J1060" s="39" t="n">
        <f aca="false">(('Business Case'!D11*$C1060*'Business Case'!D12*$B1060)-'Business Case'!D11*$C1060*'Business Case'!D13*$D1060-'Business Case'!D14*$E1060)-MAX(0,(('Business Case'!D11*$C1060*'Business Case'!D12*$B1060)-'Business Case'!D11*$C1060*'Business Case'!D13*$D1060-'Business Case'!D14*$E1060))*'Business Case'!$B$7-'Business Case'!$B$8*(('Business Case'!D11*$C1060*'Business Case'!D12*$B1060)-('Business Case'!C11*$C1060*'Business Case'!C12*$B1060))-'Business Case'!D15*$F1060</f>
        <v>373246951.242038</v>
      </c>
      <c r="K1060" s="39" t="n">
        <f aca="false">(('Business Case'!E11*$C1060*'Business Case'!E12*$B1060)-'Business Case'!E11*$C1060*'Business Case'!E13*$D1060-'Business Case'!E14*$E1060)-MAX(0,(('Business Case'!E11*$C1060*'Business Case'!E12*$B1060)-'Business Case'!E11*$C1060*'Business Case'!E13*$D1060-'Business Case'!E14*$E1060))*'Business Case'!$B$7-'Business Case'!$B$8*(('Business Case'!E11*$C1060*'Business Case'!E12*$B1060)-('Business Case'!D11*$C1060*'Business Case'!D12*$B1060))-'Business Case'!E15*$F1060</f>
        <v>763937261.267353</v>
      </c>
      <c r="L1060" s="39" t="n">
        <f aca="false">(('Business Case'!F11*$C1060*'Business Case'!F12*$B1060)-'Business Case'!F11*$C1060*'Business Case'!F13*$D1060-'Business Case'!F14*$E1060)-MAX(0,(('Business Case'!F11*$C1060*'Business Case'!F12*$B1060)-'Business Case'!F11*$C1060*'Business Case'!F13*$D1060-'Business Case'!F14*$E1060))*'Business Case'!$B$7-'Business Case'!$B$8*(('Business Case'!F11*$C1060*'Business Case'!F12*$B1060)-('Business Case'!E11*$C1060*'Business Case'!E12*$B1060))-'Business Case'!F15*$F1060</f>
        <v>911878839.857821</v>
      </c>
      <c r="M1060" s="39" t="n">
        <f aca="false">(('Business Case'!G11*$C1060*'Business Case'!G12*$B1060)-'Business Case'!G11*$C1060*'Business Case'!G13*$D1060-'Business Case'!G14*$E1060)-MAX(0,(('Business Case'!G11*$C1060*'Business Case'!G12*$B1060)-'Business Case'!G11*$C1060*'Business Case'!G13*$D1060-'Business Case'!G14*$E1060))*'Business Case'!$B$7-'Business Case'!$B$8*(('Business Case'!G11*$C1060*'Business Case'!G12*$B1060)-('Business Case'!F11*$C1060*'Business Case'!F12*$B1060))-'Business Case'!G15*$F1060+'Business Case'!$B$8*('Business Case'!G11*$C1060*'Business Case'!G12*$B1060)</f>
        <v>1106220768.94434</v>
      </c>
      <c r="N1060" s="39" t="n">
        <f aca="false">IF(COUNT('Business Case'!B11:G11)=0,"",H1060+NPV(G1060,I1060:M1060))</f>
        <v>82423733.0993455</v>
      </c>
      <c r="P1060" s="40" t="n">
        <f aca="true">RAND()</f>
        <v>0.941466283327852</v>
      </c>
      <c r="Q1060" s="40" t="n">
        <f aca="true">RAND()</f>
        <v>0.566878921939487</v>
      </c>
      <c r="R1060" s="40" t="n">
        <f aca="true">RAND()</f>
        <v>0.110054951503033</v>
      </c>
      <c r="S1060" s="40" t="n">
        <f aca="true">RAND()</f>
        <v>0.462383282344783</v>
      </c>
      <c r="T1060" s="40" t="n">
        <f aca="true">RAND()</f>
        <v>0.593334784982462</v>
      </c>
      <c r="U1060" s="40" t="n">
        <f aca="true">RAND()</f>
        <v>0.552980695518743</v>
      </c>
    </row>
    <row r="1061" customFormat="false" ht="15" hidden="false" customHeight="false" outlineLevel="0" collapsed="false">
      <c r="A1061" s="36" t="n">
        <v>981</v>
      </c>
      <c r="B1061" s="37" t="n">
        <f aca="false">1+IF($G$6=$E$6,$F$6,IF(P1061&lt;($F$6-$E$6)/($G$6-$E$6),$E$6+SQRT(P1061*($G$6-$E$6)*($F$6-$E$6)),$G$6-SQRT((1-P1061)*($G$6-$E$6)*($G$6-$F$6))))</f>
        <v>1.01970029734042</v>
      </c>
      <c r="C1061" s="37" t="n">
        <f aca="false">1+IF($G$7=$E$7,$F$7,IF(Q1061&lt;($F$7-$E$7)/($G$7-$E$7),$E$7+SQRT(Q1061*($G$7-$E$7)*($F$7-$E$7)),$G$7-SQRT((1-Q1061)*($G$7-$E$7)*($G$7-$F$7))))</f>
        <v>1.04519472136791</v>
      </c>
      <c r="D1061" s="37" t="n">
        <f aca="false">1+IF($G$8=$E$8,$F$8,IF(R1061&lt;($F$8-$E$8)/($G$8-$E$8),$E$8+SQRT(R1061*($G$8-$E$8)*($F$8-$E$8)),$G$8-SQRT((1-R1061)*($G$8-$E$8)*($G$8-$F$8))))</f>
        <v>1.05115314385221</v>
      </c>
      <c r="E1061" s="37" t="n">
        <f aca="false">1+IF($G$9=$E$9,$F$9,IF(S1061&lt;($F$9-$E$9)/($G$9-$E$9),$E$9+SQRT(S1061*($G$9-$E$9)*($F$9-$E$9)),$G$9-SQRT((1-S1061)*($G$9-$E$9)*($G$9-$F$9))))</f>
        <v>1.01536573316121</v>
      </c>
      <c r="F1061" s="37" t="n">
        <f aca="false">1+IF($G$10=$E$10,$F$10,IF(T1061&lt;($F$10-$E$10)/($G$10-$E$10),$E$10+SQRT(T1061*($G$10-$E$10)*($F$10-$E$10)),$G$10-SQRT((1-T1061)*($G$10-$E$10)*($G$10-$F$10))))</f>
        <v>1.03661357267885</v>
      </c>
      <c r="G1061" s="38" t="n">
        <f aca="false">IF($G$11=$E$11,$F$11,IF(U1061&lt;($F$11-$E$11)/($G$11-$E$11),$E$11+SQRT(U1061*($G$11-$E$11)*($F$11-$E$11)),$G$11-SQRT((1-U1061)*($G$11-$E$11)*($G$11-$F$11))))</f>
        <v>0.101836951868214</v>
      </c>
      <c r="H1061" s="39" t="n">
        <f aca="false">(('Business Case'!B11*$C1061*'Business Case'!B12*$B1061)-'Business Case'!B11*$C1061*'Business Case'!B13*$D1061-'Business Case'!B14*$E1061)-MAX(0,(('Business Case'!B11*$C1061*'Business Case'!B12*$B1061)-'Business Case'!B11*$C1061*'Business Case'!B13*$D1061-'Business Case'!B14*$E1061))*'Business Case'!$B$7-'Business Case'!$B$8*('Business Case'!B11*$C1061*'Business Case'!B12*$B1061)-'Business Case'!B15*$F1061</f>
        <v>-2073227145.3577</v>
      </c>
      <c r="I1061" s="39" t="n">
        <f aca="false">(('Business Case'!C11*$C1061*'Business Case'!C12*$B1061)-'Business Case'!C11*$C1061*'Business Case'!C13*$D1061-'Business Case'!C14*$E1061)-MAX(0,(('Business Case'!C11*$C1061*'Business Case'!C12*$B1061)-'Business Case'!C11*$C1061*'Business Case'!C13*$D1061-'Business Case'!C14*$E1061))*'Business Case'!$B$7-'Business Case'!$B$8*(('Business Case'!C11*$C1061*'Business Case'!C12*$B1061)-('Business Case'!B11*$C1061*'Business Case'!B12*$B1061))-'Business Case'!C15*$F1061</f>
        <v>7232392.57673708</v>
      </c>
      <c r="J1061" s="39" t="n">
        <f aca="false">(('Business Case'!D11*$C1061*'Business Case'!D12*$B1061)-'Business Case'!D11*$C1061*'Business Case'!D13*$D1061-'Business Case'!D14*$E1061)-MAX(0,(('Business Case'!D11*$C1061*'Business Case'!D12*$B1061)-'Business Case'!D11*$C1061*'Business Case'!D13*$D1061-'Business Case'!D14*$E1061))*'Business Case'!$B$7-'Business Case'!$B$8*(('Business Case'!D11*$C1061*'Business Case'!D12*$B1061)-('Business Case'!C11*$C1061*'Business Case'!C12*$B1061))-'Business Case'!D15*$F1061</f>
        <v>317761463.162167</v>
      </c>
      <c r="K1061" s="39" t="n">
        <f aca="false">(('Business Case'!E11*$C1061*'Business Case'!E12*$B1061)-'Business Case'!E11*$C1061*'Business Case'!E13*$D1061-'Business Case'!E14*$E1061)-MAX(0,(('Business Case'!E11*$C1061*'Business Case'!E12*$B1061)-'Business Case'!E11*$C1061*'Business Case'!E13*$D1061-'Business Case'!E14*$E1061))*'Business Case'!$B$7-'Business Case'!$B$8*(('Business Case'!E11*$C1061*'Business Case'!E12*$B1061)-('Business Case'!D11*$C1061*'Business Case'!D12*$B1061))-'Business Case'!E15*$F1061</f>
        <v>680121212.38154</v>
      </c>
      <c r="L1061" s="39" t="n">
        <f aca="false">(('Business Case'!F11*$C1061*'Business Case'!F12*$B1061)-'Business Case'!F11*$C1061*'Business Case'!F13*$D1061-'Business Case'!F14*$E1061)-MAX(0,(('Business Case'!F11*$C1061*'Business Case'!F12*$B1061)-'Business Case'!F11*$C1061*'Business Case'!F13*$D1061-'Business Case'!F14*$E1061))*'Business Case'!$B$7-'Business Case'!$B$8*(('Business Case'!F11*$C1061*'Business Case'!F12*$B1061)-('Business Case'!E11*$C1061*'Business Case'!E12*$B1061))-'Business Case'!F15*$F1061</f>
        <v>820464444.900207</v>
      </c>
      <c r="M1061" s="39" t="n">
        <f aca="false">(('Business Case'!G11*$C1061*'Business Case'!G12*$B1061)-'Business Case'!G11*$C1061*'Business Case'!G13*$D1061-'Business Case'!G14*$E1061)-MAX(0,(('Business Case'!G11*$C1061*'Business Case'!G12*$B1061)-'Business Case'!G11*$C1061*'Business Case'!G13*$D1061-'Business Case'!G14*$E1061))*'Business Case'!$B$7-'Business Case'!$B$8*(('Business Case'!G11*$C1061*'Business Case'!G12*$B1061)-('Business Case'!F11*$C1061*'Business Case'!F12*$B1061))-'Business Case'!G15*$F1061+'Business Case'!$B$8*('Business Case'!G11*$C1061*'Business Case'!G12*$B1061)</f>
        <v>1023048927.67958</v>
      </c>
      <c r="N1061" s="39" t="n">
        <f aca="false">IF(COUNT('Business Case'!B11:G11)=0,"",H1061+NPV(G1061,I1061:M1061))</f>
        <v>-109875802.046917</v>
      </c>
      <c r="P1061" s="40" t="n">
        <f aca="true">RAND()</f>
        <v>0.914150431652627</v>
      </c>
      <c r="Q1061" s="40" t="n">
        <f aca="true">RAND()</f>
        <v>0.790778163254274</v>
      </c>
      <c r="R1061" s="40" t="n">
        <f aca="true">RAND()</f>
        <v>0.91998643176813</v>
      </c>
      <c r="S1061" s="40" t="n">
        <f aca="true">RAND()</f>
        <v>0.522469391777335</v>
      </c>
      <c r="T1061" s="40" t="n">
        <f aca="true">RAND()</f>
        <v>0.466097507344621</v>
      </c>
      <c r="U1061" s="40" t="n">
        <f aca="true">RAND()</f>
        <v>0.450172804270698</v>
      </c>
    </row>
    <row r="1062" customFormat="false" ht="15" hidden="false" customHeight="false" outlineLevel="0" collapsed="false">
      <c r="A1062" s="36" t="n">
        <v>982</v>
      </c>
      <c r="B1062" s="37" t="n">
        <f aca="false">1+IF($G$6=$E$6,$F$6,IF(P1062&lt;($F$6-$E$6)/($G$6-$E$6),$E$6+SQRT(P1062*($G$6-$E$6)*($F$6-$E$6)),$G$6-SQRT((1-P1062)*($G$6-$E$6)*($G$6-$F$6))))</f>
        <v>1.00270380412816</v>
      </c>
      <c r="C1062" s="37" t="n">
        <f aca="false">1+IF($G$7=$E$7,$F$7,IF(Q1062&lt;($F$7-$E$7)/($G$7-$E$7),$E$7+SQRT(Q1062*($G$7-$E$7)*($F$7-$E$7)),$G$7-SQRT((1-Q1062)*($G$7-$E$7)*($G$7-$F$7))))</f>
        <v>0.969714245512007</v>
      </c>
      <c r="D1062" s="37" t="n">
        <f aca="false">1+IF($G$8=$E$8,$F$8,IF(R1062&lt;($F$8-$E$8)/($G$8-$E$8),$E$8+SQRT(R1062*($G$8-$E$8)*($F$8-$E$8)),$G$8-SQRT((1-R1062)*($G$8-$E$8)*($G$8-$F$8))))</f>
        <v>1.01906456851216</v>
      </c>
      <c r="E1062" s="37" t="n">
        <f aca="false">1+IF($G$9=$E$9,$F$9,IF(S1062&lt;($F$9-$E$9)/($G$9-$E$9),$E$9+SQRT(S1062*($G$9-$E$9)*($F$9-$E$9)),$G$9-SQRT((1-S1062)*($G$9-$E$9)*($G$9-$F$9))))</f>
        <v>1.02035436746097</v>
      </c>
      <c r="F1062" s="37" t="n">
        <f aca="false">1+IF($G$10=$E$10,$F$10,IF(T1062&lt;($F$10-$E$10)/($G$10-$E$10),$E$10+SQRT(T1062*($G$10-$E$10)*($F$10-$E$10)),$G$10-SQRT((1-T1062)*($G$10-$E$10)*($G$10-$F$10))))</f>
        <v>1.01632001978539</v>
      </c>
      <c r="G1062" s="38" t="n">
        <f aca="false">IF($G$11=$E$11,$F$11,IF(U1062&lt;($F$11-$E$11)/($G$11-$E$11),$E$11+SQRT(U1062*($G$11-$E$11)*($F$11-$E$11)),$G$11-SQRT((1-U1062)*($G$11-$E$11)*($G$11-$F$11))))</f>
        <v>0.10332221854591</v>
      </c>
      <c r="H1062" s="39" t="n">
        <f aca="false">(('Business Case'!B11*$C1062*'Business Case'!B12*$B1062)-'Business Case'!B11*$C1062*'Business Case'!B13*$D1062-'Business Case'!B14*$E1062)-MAX(0,(('Business Case'!B11*$C1062*'Business Case'!B12*$B1062)-'Business Case'!B11*$C1062*'Business Case'!B13*$D1062-'Business Case'!B14*$E1062))*'Business Case'!$B$7-'Business Case'!$B$8*('Business Case'!B11*$C1062*'Business Case'!B12*$B1062)-'Business Case'!B15*$F1062</f>
        <v>-2032640039.57077</v>
      </c>
      <c r="I1062" s="39" t="n">
        <f aca="false">(('Business Case'!C11*$C1062*'Business Case'!C12*$B1062)-'Business Case'!C11*$C1062*'Business Case'!C13*$D1062-'Business Case'!C14*$E1062)-MAX(0,(('Business Case'!C11*$C1062*'Business Case'!C12*$B1062)-'Business Case'!C11*$C1062*'Business Case'!C13*$D1062-'Business Case'!C14*$E1062))*'Business Case'!$B$7-'Business Case'!$B$8*(('Business Case'!C11*$C1062*'Business Case'!C12*$B1062)-('Business Case'!B11*$C1062*'Business Case'!B12*$B1062))-'Business Case'!C15*$F1062</f>
        <v>-6599049.73066756</v>
      </c>
      <c r="J1062" s="39" t="n">
        <f aca="false">(('Business Case'!D11*$C1062*'Business Case'!D12*$B1062)-'Business Case'!D11*$C1062*'Business Case'!D13*$D1062-'Business Case'!D14*$E1062)-MAX(0,(('Business Case'!D11*$C1062*'Business Case'!D12*$B1062)-'Business Case'!D11*$C1062*'Business Case'!D13*$D1062-'Business Case'!D14*$E1062))*'Business Case'!$B$7-'Business Case'!$B$8*(('Business Case'!D11*$C1062*'Business Case'!D12*$B1062)-('Business Case'!C11*$C1062*'Business Case'!C12*$B1062))-'Business Case'!D15*$F1062</f>
        <v>283934200.254483</v>
      </c>
      <c r="K1062" s="39" t="n">
        <f aca="false">(('Business Case'!E11*$C1062*'Business Case'!E12*$B1062)-'Business Case'!E11*$C1062*'Business Case'!E13*$D1062-'Business Case'!E14*$E1062)-MAX(0,(('Business Case'!E11*$C1062*'Business Case'!E12*$B1062)-'Business Case'!E11*$C1062*'Business Case'!E13*$D1062-'Business Case'!E14*$E1062))*'Business Case'!$B$7-'Business Case'!$B$8*(('Business Case'!E11*$C1062*'Business Case'!E12*$B1062)-('Business Case'!D11*$C1062*'Business Case'!D12*$B1062))-'Business Case'!E15*$F1062</f>
        <v>625283451.228903</v>
      </c>
      <c r="L1062" s="39" t="n">
        <f aca="false">(('Business Case'!F11*$C1062*'Business Case'!F12*$B1062)-'Business Case'!F11*$C1062*'Business Case'!F13*$D1062-'Business Case'!F14*$E1062)-MAX(0,(('Business Case'!F11*$C1062*'Business Case'!F12*$B1062)-'Business Case'!F11*$C1062*'Business Case'!F13*$D1062-'Business Case'!F14*$E1062))*'Business Case'!$B$7-'Business Case'!$B$8*(('Business Case'!F11*$C1062*'Business Case'!F12*$B1062)-('Business Case'!E11*$C1062*'Business Case'!E12*$B1062))-'Business Case'!F15*$F1062</f>
        <v>755731805.680173</v>
      </c>
      <c r="M1062" s="39" t="n">
        <f aca="false">(('Business Case'!G11*$C1062*'Business Case'!G12*$B1062)-'Business Case'!G11*$C1062*'Business Case'!G13*$D1062-'Business Case'!G14*$E1062)-MAX(0,(('Business Case'!G11*$C1062*'Business Case'!G12*$B1062)-'Business Case'!G11*$C1062*'Business Case'!G13*$D1062-'Business Case'!G14*$E1062))*'Business Case'!$B$7-'Business Case'!$B$8*(('Business Case'!G11*$C1062*'Business Case'!G12*$B1062)-('Business Case'!F11*$C1062*'Business Case'!F12*$B1062))-'Business Case'!G15*$F1062+'Business Case'!$B$8*('Business Case'!G11*$C1062*'Business Case'!G12*$B1062)</f>
        <v>940553463.522714</v>
      </c>
      <c r="N1062" s="39" t="n">
        <f aca="false">IF(COUNT('Business Case'!B11:G11)=0,"",H1062+NPV(G1062,I1062:M1062))</f>
        <v>-254566095.984937</v>
      </c>
      <c r="P1062" s="40" t="n">
        <f aca="true">RAND()</f>
        <v>0.710207036143564</v>
      </c>
      <c r="Q1062" s="40" t="n">
        <f aca="true">RAND()</f>
        <v>0.411470358995853</v>
      </c>
      <c r="R1062" s="40" t="n">
        <f aca="true">RAND()</f>
        <v>0.642968575902944</v>
      </c>
      <c r="S1062" s="40" t="n">
        <f aca="true">RAND()</f>
        <v>0.577104881163883</v>
      </c>
      <c r="T1062" s="40" t="n">
        <f aca="true">RAND()</f>
        <v>0.325233297367177</v>
      </c>
      <c r="U1062" s="40" t="n">
        <f aca="true">RAND()</f>
        <v>0.53641934294938</v>
      </c>
    </row>
    <row r="1063" customFormat="false" ht="15" hidden="false" customHeight="false" outlineLevel="0" collapsed="false">
      <c r="A1063" s="36" t="n">
        <v>983</v>
      </c>
      <c r="B1063" s="37" t="n">
        <f aca="false">1+IF($G$6=$E$6,$F$6,IF(P1063&lt;($F$6-$E$6)/($G$6-$E$6),$E$6+SQRT(P1063*($G$6-$E$6)*($F$6-$E$6)),$G$6-SQRT((1-P1063)*($G$6-$E$6)*($G$6-$F$6))))</f>
        <v>1.00657392348898</v>
      </c>
      <c r="C1063" s="37" t="n">
        <f aca="false">1+IF($G$7=$E$7,$F$7,IF(Q1063&lt;($F$7-$E$7)/($G$7-$E$7),$E$7+SQRT(Q1063*($G$7-$E$7)*($F$7-$E$7)),$G$7-SQRT((1-Q1063)*($G$7-$E$7)*($G$7-$F$7))))</f>
        <v>0.883811376619505</v>
      </c>
      <c r="D1063" s="37" t="n">
        <f aca="false">1+IF($G$8=$E$8,$F$8,IF(R1063&lt;($F$8-$E$8)/($G$8-$E$8),$E$8+SQRT(R1063*($G$8-$E$8)*($F$8-$E$8)),$G$8-SQRT((1-R1063)*($G$8-$E$8)*($G$8-$F$8))))</f>
        <v>0.98316958682072</v>
      </c>
      <c r="E1063" s="37" t="n">
        <f aca="false">1+IF($G$9=$E$9,$F$9,IF(S1063&lt;($F$9-$E$9)/($G$9-$E$9),$E$9+SQRT(S1063*($G$9-$E$9)*($F$9-$E$9)),$G$9-SQRT((1-S1063)*($G$9-$E$9)*($G$9-$F$9))))</f>
        <v>1.06846109309636</v>
      </c>
      <c r="F1063" s="37" t="n">
        <f aca="false">1+IF($G$10=$E$10,$F$10,IF(T1063&lt;($F$10-$E$10)/($G$10-$E$10),$E$10+SQRT(T1063*($G$10-$E$10)*($F$10-$E$10)),$G$10-SQRT((1-T1063)*($G$10-$E$10)*($G$10-$F$10))))</f>
        <v>1.07582089125144</v>
      </c>
      <c r="G1063" s="38" t="n">
        <f aca="false">IF($G$11=$E$11,$F$11,IF(U1063&lt;($F$11-$E$11)/($G$11-$E$11),$E$11+SQRT(U1063*($G$11-$E$11)*($F$11-$E$11)),$G$11-SQRT((1-U1063)*($G$11-$E$11)*($G$11-$F$11))))</f>
        <v>0.0979386756061124</v>
      </c>
      <c r="H1063" s="39" t="n">
        <f aca="false">(('Business Case'!B11*$C1063*'Business Case'!B12*$B1063)-'Business Case'!B11*$C1063*'Business Case'!B13*$D1063-'Business Case'!B14*$E1063)-MAX(0,(('Business Case'!B11*$C1063*'Business Case'!B12*$B1063)-'Business Case'!B11*$C1063*'Business Case'!B13*$D1063-'Business Case'!B14*$E1063))*'Business Case'!$B$7-'Business Case'!$B$8*('Business Case'!B11*$C1063*'Business Case'!B12*$B1063)-'Business Case'!B15*$F1063</f>
        <v>-2151641782.50287</v>
      </c>
      <c r="I1063" s="39" t="n">
        <f aca="false">(('Business Case'!C11*$C1063*'Business Case'!C12*$B1063)-'Business Case'!C11*$C1063*'Business Case'!C13*$D1063-'Business Case'!C14*$E1063)-MAX(0,(('Business Case'!C11*$C1063*'Business Case'!C12*$B1063)-'Business Case'!C11*$C1063*'Business Case'!C13*$D1063-'Business Case'!C14*$E1063))*'Business Case'!$B$7-'Business Case'!$B$8*(('Business Case'!C11*$C1063*'Business Case'!C12*$B1063)-('Business Case'!B11*$C1063*'Business Case'!B12*$B1063))-'Business Case'!C15*$F1063</f>
        <v>-21797141.056749</v>
      </c>
      <c r="J1063" s="39" t="n">
        <f aca="false">(('Business Case'!D11*$C1063*'Business Case'!D12*$B1063)-'Business Case'!D11*$C1063*'Business Case'!D13*$D1063-'Business Case'!D14*$E1063)-MAX(0,(('Business Case'!D11*$C1063*'Business Case'!D12*$B1063)-'Business Case'!D11*$C1063*'Business Case'!D13*$D1063-'Business Case'!D14*$E1063))*'Business Case'!$B$7-'Business Case'!$B$8*(('Business Case'!D11*$C1063*'Business Case'!D12*$B1063)-('Business Case'!C11*$C1063*'Business Case'!C12*$B1063))-'Business Case'!D15*$F1063</f>
        <v>262040952.231731</v>
      </c>
      <c r="K1063" s="39" t="n">
        <f aca="false">(('Business Case'!E11*$C1063*'Business Case'!E12*$B1063)-'Business Case'!E11*$C1063*'Business Case'!E13*$D1063-'Business Case'!E14*$E1063)-MAX(0,(('Business Case'!E11*$C1063*'Business Case'!E12*$B1063)-'Business Case'!E11*$C1063*'Business Case'!E13*$D1063-'Business Case'!E14*$E1063))*'Business Case'!$B$7-'Business Case'!$B$8*(('Business Case'!E11*$C1063*'Business Case'!E12*$B1063)-('Business Case'!D11*$C1063*'Business Case'!D12*$B1063))-'Business Case'!E15*$F1063</f>
        <v>599670090.082783</v>
      </c>
      <c r="L1063" s="39" t="n">
        <f aca="false">(('Business Case'!F11*$C1063*'Business Case'!F12*$B1063)-'Business Case'!F11*$C1063*'Business Case'!F13*$D1063-'Business Case'!F14*$E1063)-MAX(0,(('Business Case'!F11*$C1063*'Business Case'!F12*$B1063)-'Business Case'!F11*$C1063*'Business Case'!F13*$D1063-'Business Case'!F14*$E1063))*'Business Case'!$B$7-'Business Case'!$B$8*(('Business Case'!F11*$C1063*'Business Case'!F12*$B1063)-('Business Case'!E11*$C1063*'Business Case'!E12*$B1063))-'Business Case'!F15*$F1063</f>
        <v>725028106.366798</v>
      </c>
      <c r="M1063" s="39" t="n">
        <f aca="false">(('Business Case'!G11*$C1063*'Business Case'!G12*$B1063)-'Business Case'!G11*$C1063*'Business Case'!G13*$D1063-'Business Case'!G14*$E1063)-MAX(0,(('Business Case'!G11*$C1063*'Business Case'!G12*$B1063)-'Business Case'!G11*$C1063*'Business Case'!G13*$D1063-'Business Case'!G14*$E1063))*'Business Case'!$B$7-'Business Case'!$B$8*(('Business Case'!G11*$C1063*'Business Case'!G12*$B1063)-('Business Case'!F11*$C1063*'Business Case'!F12*$B1063))-'Business Case'!G15*$F1063+'Business Case'!$B$8*('Business Case'!G11*$C1063*'Business Case'!G12*$B1063)</f>
        <v>894127358.233335</v>
      </c>
      <c r="N1063" s="39" t="n">
        <f aca="false">IF(COUNT('Business Case'!B11:G11)=0,"",H1063+NPV(G1063,I1063:M1063))</f>
        <v>-441687171.552655</v>
      </c>
      <c r="P1063" s="40" t="n">
        <f aca="true">RAND()</f>
        <v>0.767228626891583</v>
      </c>
      <c r="Q1063" s="40" t="n">
        <f aca="true">RAND()</f>
        <v>0.100347812155092</v>
      </c>
      <c r="R1063" s="40" t="n">
        <f aca="true">RAND()</f>
        <v>0.169264844593423</v>
      </c>
      <c r="S1063" s="40" t="n">
        <f aca="true">RAND()</f>
        <v>0.933686490088234</v>
      </c>
      <c r="T1063" s="40" t="n">
        <f aca="true">RAND()</f>
        <v>0.691590979008249</v>
      </c>
      <c r="U1063" s="40" t="n">
        <f aca="true">RAND()</f>
        <v>0.210075234596946</v>
      </c>
    </row>
    <row r="1064" customFormat="false" ht="15" hidden="false" customHeight="false" outlineLevel="0" collapsed="false">
      <c r="A1064" s="36" t="n">
        <v>984</v>
      </c>
      <c r="B1064" s="37" t="n">
        <f aca="false">1+IF($G$6=$E$6,$F$6,IF(P1064&lt;($F$6-$E$6)/($G$6-$E$6),$E$6+SQRT(P1064*($G$6-$E$6)*($F$6-$E$6)),$G$6-SQRT((1-P1064)*($G$6-$E$6)*($G$6-$F$6))))</f>
        <v>0.943780145043161</v>
      </c>
      <c r="C1064" s="37" t="n">
        <f aca="false">1+IF($G$7=$E$7,$F$7,IF(Q1064&lt;($F$7-$E$7)/($G$7-$E$7),$E$7+SQRT(Q1064*($G$7-$E$7)*($F$7-$E$7)),$G$7-SQRT((1-Q1064)*($G$7-$E$7)*($G$7-$F$7))))</f>
        <v>1.06455926900382</v>
      </c>
      <c r="D1064" s="37" t="n">
        <f aca="false">1+IF($G$8=$E$8,$F$8,IF(R1064&lt;($F$8-$E$8)/($G$8-$E$8),$E$8+SQRT(R1064*($G$8-$E$8)*($F$8-$E$8)),$G$8-SQRT((1-R1064)*($G$8-$E$8)*($G$8-$F$8))))</f>
        <v>1.00024025215958</v>
      </c>
      <c r="E1064" s="37" t="n">
        <f aca="false">1+IF($G$9=$E$9,$F$9,IF(S1064&lt;($F$9-$E$9)/($G$9-$E$9),$E$9+SQRT(S1064*($G$9-$E$9)*($F$9-$E$9)),$G$9-SQRT((1-S1064)*($G$9-$E$9)*($G$9-$F$9))))</f>
        <v>0.980925570839354</v>
      </c>
      <c r="F1064" s="37" t="n">
        <f aca="false">1+IF($G$10=$E$10,$F$10,IF(T1064&lt;($F$10-$E$10)/($G$10-$E$10),$E$10+SQRT(T1064*($G$10-$E$10)*($F$10-$E$10)),$G$10-SQRT((1-T1064)*($G$10-$E$10)*($G$10-$F$10))))</f>
        <v>1.01782596643999</v>
      </c>
      <c r="G1064" s="38" t="n">
        <f aca="false">IF($G$11=$E$11,$F$11,IF(U1064&lt;($F$11-$E$11)/($G$11-$E$11),$E$11+SQRT(U1064*($G$11-$E$11)*($F$11-$E$11)),$G$11-SQRT((1-U1064)*($G$11-$E$11)*($G$11-$F$11))))</f>
        <v>0.0986554816704718</v>
      </c>
      <c r="H1064" s="39" t="n">
        <f aca="false">(('Business Case'!B11*$C1064*'Business Case'!B12*$B1064)-'Business Case'!B11*$C1064*'Business Case'!B13*$D1064-'Business Case'!B14*$E1064)-MAX(0,(('Business Case'!B11*$C1064*'Business Case'!B12*$B1064)-'Business Case'!B11*$C1064*'Business Case'!B13*$D1064-'Business Case'!B14*$E1064))*'Business Case'!$B$7-'Business Case'!$B$8*('Business Case'!B11*$C1064*'Business Case'!B12*$B1064)-'Business Case'!B15*$F1064</f>
        <v>-2035651932.87997</v>
      </c>
      <c r="I1064" s="39" t="n">
        <f aca="false">(('Business Case'!C11*$C1064*'Business Case'!C12*$B1064)-'Business Case'!C11*$C1064*'Business Case'!C13*$D1064-'Business Case'!C14*$E1064)-MAX(0,(('Business Case'!C11*$C1064*'Business Case'!C12*$B1064)-'Business Case'!C11*$C1064*'Business Case'!C13*$D1064-'Business Case'!C14*$E1064))*'Business Case'!$B$7-'Business Case'!$B$8*(('Business Case'!C11*$C1064*'Business Case'!C12*$B1064)-('Business Case'!B11*$C1064*'Business Case'!B12*$B1064))-'Business Case'!C15*$F1064</f>
        <v>-15524736.8284948</v>
      </c>
      <c r="J1064" s="39" t="n">
        <f aca="false">(('Business Case'!D11*$C1064*'Business Case'!D12*$B1064)-'Business Case'!D11*$C1064*'Business Case'!D13*$D1064-'Business Case'!D14*$E1064)-MAX(0,(('Business Case'!D11*$C1064*'Business Case'!D12*$B1064)-'Business Case'!D11*$C1064*'Business Case'!D13*$D1064-'Business Case'!D14*$E1064))*'Business Case'!$B$7-'Business Case'!$B$8*(('Business Case'!D11*$C1064*'Business Case'!D12*$B1064)-('Business Case'!C11*$C1064*'Business Case'!C12*$B1064))-'Business Case'!D15*$F1064</f>
        <v>262304900.444144</v>
      </c>
      <c r="K1064" s="39" t="n">
        <f aca="false">(('Business Case'!E11*$C1064*'Business Case'!E12*$B1064)-'Business Case'!E11*$C1064*'Business Case'!E13*$D1064-'Business Case'!E14*$E1064)-MAX(0,(('Business Case'!E11*$C1064*'Business Case'!E12*$B1064)-'Business Case'!E11*$C1064*'Business Case'!E13*$D1064-'Business Case'!E14*$E1064))*'Business Case'!$B$7-'Business Case'!$B$8*(('Business Case'!E11*$C1064*'Business Case'!E12*$B1064)-('Business Case'!D11*$C1064*'Business Case'!D12*$B1064))-'Business Case'!E15*$F1064</f>
        <v>591025836.038782</v>
      </c>
      <c r="L1064" s="39" t="n">
        <f aca="false">(('Business Case'!F11*$C1064*'Business Case'!F12*$B1064)-'Business Case'!F11*$C1064*'Business Case'!F13*$D1064-'Business Case'!F14*$E1064)-MAX(0,(('Business Case'!F11*$C1064*'Business Case'!F12*$B1064)-'Business Case'!F11*$C1064*'Business Case'!F13*$D1064-'Business Case'!F14*$E1064))*'Business Case'!$B$7-'Business Case'!$B$8*(('Business Case'!F11*$C1064*'Business Case'!F12*$B1064)-('Business Case'!E11*$C1064*'Business Case'!E12*$B1064))-'Business Case'!F15*$F1064</f>
        <v>718358489.318848</v>
      </c>
      <c r="M1064" s="39" t="n">
        <f aca="false">(('Business Case'!G11*$C1064*'Business Case'!G12*$B1064)-'Business Case'!G11*$C1064*'Business Case'!G13*$D1064-'Business Case'!G14*$E1064)-MAX(0,(('Business Case'!G11*$C1064*'Business Case'!G12*$B1064)-'Business Case'!G11*$C1064*'Business Case'!G13*$D1064-'Business Case'!G14*$E1064))*'Business Case'!$B$7-'Business Case'!$B$8*(('Business Case'!G11*$C1064*'Business Case'!G12*$B1064)-('Business Case'!F11*$C1064*'Business Case'!F12*$B1064))-'Business Case'!G15*$F1064+'Business Case'!$B$8*('Business Case'!G11*$C1064*'Business Case'!G12*$B1064)</f>
        <v>909333747.359371</v>
      </c>
      <c r="N1064" s="39" t="n">
        <f aca="false">IF(COUNT('Business Case'!B11:G11)=0,"",H1064+NPV(G1064,I1064:M1064))</f>
        <v>-325649277.496612</v>
      </c>
      <c r="P1064" s="40" t="n">
        <f aca="true">RAND()</f>
        <v>0.0589057602368538</v>
      </c>
      <c r="Q1064" s="40" t="n">
        <f aca="true">RAND()</f>
        <v>0.860950123558821</v>
      </c>
      <c r="R1064" s="40" t="n">
        <f aca="true">RAND()</f>
        <v>0.388306021579999</v>
      </c>
      <c r="S1064" s="40" t="n">
        <f aca="true">RAND()</f>
        <v>0.12751879089865</v>
      </c>
      <c r="T1064" s="40" t="n">
        <f aca="true">RAND()</f>
        <v>0.336252429929495</v>
      </c>
      <c r="U1064" s="40" t="n">
        <f aca="true">RAND()</f>
        <v>0.24972454315958</v>
      </c>
    </row>
    <row r="1065" customFormat="false" ht="15" hidden="false" customHeight="false" outlineLevel="0" collapsed="false">
      <c r="A1065" s="36" t="n">
        <v>985</v>
      </c>
      <c r="B1065" s="37" t="n">
        <f aca="false">1+IF($G$6=$E$6,$F$6,IF(P1065&lt;($F$6-$E$6)/($G$6-$E$6),$E$6+SQRT(P1065*($G$6-$E$6)*($F$6-$E$6)),$G$6-SQRT((1-P1065)*($G$6-$E$6)*($G$6-$F$6))))</f>
        <v>0.974071504659253</v>
      </c>
      <c r="C1065" s="37" t="n">
        <f aca="false">1+IF($G$7=$E$7,$F$7,IF(Q1065&lt;($F$7-$E$7)/($G$7-$E$7),$E$7+SQRT(Q1065*($G$7-$E$7)*($F$7-$E$7)),$G$7-SQRT((1-Q1065)*($G$7-$E$7)*($G$7-$F$7))))</f>
        <v>0.894886875299738</v>
      </c>
      <c r="D1065" s="37" t="n">
        <f aca="false">1+IF($G$8=$E$8,$F$8,IF(R1065&lt;($F$8-$E$8)/($G$8-$E$8),$E$8+SQRT(R1065*($G$8-$E$8)*($F$8-$E$8)),$G$8-SQRT((1-R1065)*($G$8-$E$8)*($G$8-$F$8))))</f>
        <v>1.03827705502687</v>
      </c>
      <c r="E1065" s="37" t="n">
        <f aca="false">1+IF($G$9=$E$9,$F$9,IF(S1065&lt;($F$9-$E$9)/($G$9-$E$9),$E$9+SQRT(S1065*($G$9-$E$9)*($F$9-$E$9)),$G$9-SQRT((1-S1065)*($G$9-$E$9)*($G$9-$F$9))))</f>
        <v>1.01430912130004</v>
      </c>
      <c r="F1065" s="37" t="n">
        <f aca="false">1+IF($G$10=$E$10,$F$10,IF(T1065&lt;($F$10-$E$10)/($G$10-$E$10),$E$10+SQRT(T1065*($G$10-$E$10)*($F$10-$E$10)),$G$10-SQRT((1-T1065)*($G$10-$E$10)*($G$10-$F$10))))</f>
        <v>1.0139557369002</v>
      </c>
      <c r="G1065" s="38" t="n">
        <f aca="false">IF($G$11=$E$11,$F$11,IF(U1065&lt;($F$11-$E$11)/($G$11-$E$11),$E$11+SQRT(U1065*($G$11-$E$11)*($F$11-$E$11)),$G$11-SQRT((1-U1065)*($G$11-$E$11)*($G$11-$F$11))))</f>
        <v>0.109839222562846</v>
      </c>
      <c r="H1065" s="39" t="n">
        <f aca="false">(('Business Case'!B11*$C1065*'Business Case'!B12*$B1065)-'Business Case'!B11*$C1065*'Business Case'!B13*$D1065-'Business Case'!B14*$E1065)-MAX(0,(('Business Case'!B11*$C1065*'Business Case'!B12*$B1065)-'Business Case'!B11*$C1065*'Business Case'!B13*$D1065-'Business Case'!B14*$E1065))*'Business Case'!$B$7-'Business Case'!$B$8*('Business Case'!B11*$C1065*'Business Case'!B12*$B1065)-'Business Case'!B15*$F1065</f>
        <v>-2027911473.80041</v>
      </c>
      <c r="I1065" s="39" t="n">
        <f aca="false">(('Business Case'!C11*$C1065*'Business Case'!C12*$B1065)-'Business Case'!C11*$C1065*'Business Case'!C13*$D1065-'Business Case'!C14*$E1065)-MAX(0,(('Business Case'!C11*$C1065*'Business Case'!C12*$B1065)-'Business Case'!C11*$C1065*'Business Case'!C13*$D1065-'Business Case'!C14*$E1065))*'Business Case'!$B$7-'Business Case'!$B$8*(('Business Case'!C11*$C1065*'Business Case'!C12*$B1065)-('Business Case'!B11*$C1065*'Business Case'!B12*$B1065))-'Business Case'!C15*$F1065</f>
        <v>-52492231.1738012</v>
      </c>
      <c r="J1065" s="39" t="n">
        <f aca="false">(('Business Case'!D11*$C1065*'Business Case'!D12*$B1065)-'Business Case'!D11*$C1065*'Business Case'!D13*$D1065-'Business Case'!D14*$E1065)-MAX(0,(('Business Case'!D11*$C1065*'Business Case'!D12*$B1065)-'Business Case'!D11*$C1065*'Business Case'!D13*$D1065-'Business Case'!D14*$E1065))*'Business Case'!$B$7-'Business Case'!$B$8*(('Business Case'!D11*$C1065*'Business Case'!D12*$B1065)-('Business Case'!C11*$C1065*'Business Case'!C12*$B1065))-'Business Case'!D15*$F1065</f>
        <v>185833956.848861</v>
      </c>
      <c r="K1065" s="39" t="n">
        <f aca="false">(('Business Case'!E11*$C1065*'Business Case'!E12*$B1065)-'Business Case'!E11*$C1065*'Business Case'!E13*$D1065-'Business Case'!E14*$E1065)-MAX(0,(('Business Case'!E11*$C1065*'Business Case'!E12*$B1065)-'Business Case'!E11*$C1065*'Business Case'!E13*$D1065-'Business Case'!E14*$E1065))*'Business Case'!$B$7-'Business Case'!$B$8*(('Business Case'!E11*$C1065*'Business Case'!E12*$B1065)-('Business Case'!D11*$C1065*'Business Case'!D12*$B1065))-'Business Case'!E15*$F1065</f>
        <v>474857931.716534</v>
      </c>
      <c r="L1065" s="39" t="n">
        <f aca="false">(('Business Case'!F11*$C1065*'Business Case'!F12*$B1065)-'Business Case'!F11*$C1065*'Business Case'!F13*$D1065-'Business Case'!F14*$E1065)-MAX(0,(('Business Case'!F11*$C1065*'Business Case'!F12*$B1065)-'Business Case'!F11*$C1065*'Business Case'!F13*$D1065-'Business Case'!F14*$E1065))*'Business Case'!$B$7-'Business Case'!$B$8*(('Business Case'!F11*$C1065*'Business Case'!F12*$B1065)-('Business Case'!E11*$C1065*'Business Case'!E12*$B1065))-'Business Case'!F15*$F1065</f>
        <v>584425386.695806</v>
      </c>
      <c r="M1065" s="39" t="n">
        <f aca="false">(('Business Case'!G11*$C1065*'Business Case'!G12*$B1065)-'Business Case'!G11*$C1065*'Business Case'!G13*$D1065-'Business Case'!G14*$E1065)-MAX(0,(('Business Case'!G11*$C1065*'Business Case'!G12*$B1065)-'Business Case'!G11*$C1065*'Business Case'!G13*$D1065-'Business Case'!G14*$E1065))*'Business Case'!$B$7-'Business Case'!$B$8*(('Business Case'!G11*$C1065*'Business Case'!G12*$B1065)-('Business Case'!F11*$C1065*'Business Case'!F12*$B1065))-'Business Case'!G15*$F1065+'Business Case'!$B$8*('Business Case'!G11*$C1065*'Business Case'!G12*$B1065)</f>
        <v>750115044.373592</v>
      </c>
      <c r="N1065" s="39" t="n">
        <f aca="false">IF(COUNT('Business Case'!B11:G11)=0,"",H1065+NPV(G1065,I1065:M1065))</f>
        <v>-746293430.574611</v>
      </c>
      <c r="P1065" s="40" t="n">
        <f aca="true">RAND()</f>
        <v>0.304554960012038</v>
      </c>
      <c r="Q1065" s="40" t="n">
        <f aca="true">RAND()</f>
        <v>0.128621701487828</v>
      </c>
      <c r="R1065" s="40" t="n">
        <f aca="true">RAND()</f>
        <v>0.832614986804761</v>
      </c>
      <c r="S1065" s="40" t="n">
        <f aca="true">RAND()</f>
        <v>0.510471553841859</v>
      </c>
      <c r="T1065" s="40" t="n">
        <f aca="true">RAND()</f>
        <v>0.307750643353084</v>
      </c>
      <c r="U1065" s="40" t="n">
        <f aca="true">RAND()</f>
        <v>0.82793100312102</v>
      </c>
    </row>
    <row r="1066" customFormat="false" ht="15" hidden="false" customHeight="false" outlineLevel="0" collapsed="false">
      <c r="A1066" s="36" t="n">
        <v>986</v>
      </c>
      <c r="B1066" s="37" t="n">
        <f aca="false">1+IF($G$6=$E$6,$F$6,IF(P1066&lt;($F$6-$E$6)/($G$6-$E$6),$E$6+SQRT(P1066*($G$6-$E$6)*($F$6-$E$6)),$G$6-SQRT((1-P1066)*($G$6-$E$6)*($G$6-$F$6))))</f>
        <v>1.01723842795744</v>
      </c>
      <c r="C1066" s="37" t="n">
        <f aca="false">1+IF($G$7=$E$7,$F$7,IF(Q1066&lt;($F$7-$E$7)/($G$7-$E$7),$E$7+SQRT(Q1066*($G$7-$E$7)*($F$7-$E$7)),$G$7-SQRT((1-Q1066)*($G$7-$E$7)*($G$7-$F$7))))</f>
        <v>0.941391446526468</v>
      </c>
      <c r="D1066" s="37" t="n">
        <f aca="false">1+IF($G$8=$E$8,$F$8,IF(R1066&lt;($F$8-$E$8)/($G$8-$E$8),$E$8+SQRT(R1066*($G$8-$E$8)*($F$8-$E$8)),$G$8-SQRT((1-R1066)*($G$8-$E$8)*($G$8-$F$8))))</f>
        <v>1.02532742304239</v>
      </c>
      <c r="E1066" s="37" t="n">
        <f aca="false">1+IF($G$9=$E$9,$F$9,IF(S1066&lt;($F$9-$E$9)/($G$9-$E$9),$E$9+SQRT(S1066*($G$9-$E$9)*($F$9-$E$9)),$G$9-SQRT((1-S1066)*($G$9-$E$9)*($G$9-$F$9))))</f>
        <v>0.999561152303841</v>
      </c>
      <c r="F1066" s="37" t="n">
        <f aca="false">1+IF($G$10=$E$10,$F$10,IF(T1066&lt;($F$10-$E$10)/($G$10-$E$10),$E$10+SQRT(T1066*($G$10-$E$10)*($F$10-$E$10)),$G$10-SQRT((1-T1066)*($G$10-$E$10)*($G$10-$F$10))))</f>
        <v>1.09941680657755</v>
      </c>
      <c r="G1066" s="38" t="n">
        <f aca="false">IF($G$11=$E$11,$F$11,IF(U1066&lt;($F$11-$E$11)/($G$11-$E$11),$E$11+SQRT(U1066*($G$11-$E$11)*($F$11-$E$11)),$G$11-SQRT((1-U1066)*($G$11-$E$11)*($G$11-$F$11))))</f>
        <v>0.0939627192352207</v>
      </c>
      <c r="H1066" s="39" t="n">
        <f aca="false">(('Business Case'!B11*$C1066*'Business Case'!B12*$B1066)-'Business Case'!B11*$C1066*'Business Case'!B13*$D1066-'Business Case'!B14*$E1066)-MAX(0,(('Business Case'!B11*$C1066*'Business Case'!B12*$B1066)-'Business Case'!B11*$C1066*'Business Case'!B13*$D1066-'Business Case'!B14*$E1066))*'Business Case'!$B$7-'Business Case'!$B$8*('Business Case'!B11*$C1066*'Business Case'!B12*$B1066)-'Business Case'!B15*$F1066</f>
        <v>-2198833613.1551</v>
      </c>
      <c r="I1066" s="39" t="n">
        <f aca="false">(('Business Case'!C11*$C1066*'Business Case'!C12*$B1066)-'Business Case'!C11*$C1066*'Business Case'!C13*$D1066-'Business Case'!C14*$E1066)-MAX(0,(('Business Case'!C11*$C1066*'Business Case'!C12*$B1066)-'Business Case'!C11*$C1066*'Business Case'!C13*$D1066-'Business Case'!C14*$E1066))*'Business Case'!$B$7-'Business Case'!$B$8*(('Business Case'!C11*$C1066*'Business Case'!C12*$B1066)-('Business Case'!B11*$C1066*'Business Case'!B12*$B1066))-'Business Case'!C15*$F1066</f>
        <v>-11485737.7776066</v>
      </c>
      <c r="J1066" s="39" t="n">
        <f aca="false">(('Business Case'!D11*$C1066*'Business Case'!D12*$B1066)-'Business Case'!D11*$C1066*'Business Case'!D13*$D1066-'Business Case'!D14*$E1066)-MAX(0,(('Business Case'!D11*$C1066*'Business Case'!D12*$B1066)-'Business Case'!D11*$C1066*'Business Case'!D13*$D1066-'Business Case'!D14*$E1066))*'Business Case'!$B$7-'Business Case'!$B$8*(('Business Case'!D11*$C1066*'Business Case'!D12*$B1066)-('Business Case'!C11*$C1066*'Business Case'!C12*$B1066))-'Business Case'!D15*$F1066</f>
        <v>278750798.699495</v>
      </c>
      <c r="K1066" s="39" t="n">
        <f aca="false">(('Business Case'!E11*$C1066*'Business Case'!E12*$B1066)-'Business Case'!E11*$C1066*'Business Case'!E13*$D1066-'Business Case'!E14*$E1066)-MAX(0,(('Business Case'!E11*$C1066*'Business Case'!E12*$B1066)-'Business Case'!E11*$C1066*'Business Case'!E13*$D1066-'Business Case'!E14*$E1066))*'Business Case'!$B$7-'Business Case'!$B$8*(('Business Case'!E11*$C1066*'Business Case'!E12*$B1066)-('Business Case'!D11*$C1066*'Business Case'!D12*$B1066))-'Business Case'!E15*$F1066</f>
        <v>623958175.505474</v>
      </c>
      <c r="L1066" s="39" t="n">
        <f aca="false">(('Business Case'!F11*$C1066*'Business Case'!F12*$B1066)-'Business Case'!F11*$C1066*'Business Case'!F13*$D1066-'Business Case'!F14*$E1066)-MAX(0,(('Business Case'!F11*$C1066*'Business Case'!F12*$B1066)-'Business Case'!F11*$C1066*'Business Case'!F13*$D1066-'Business Case'!F14*$E1066))*'Business Case'!$B$7-'Business Case'!$B$8*(('Business Case'!F11*$C1066*'Business Case'!F12*$B1066)-('Business Case'!E11*$C1066*'Business Case'!E12*$B1066))-'Business Case'!F15*$F1066</f>
        <v>753799019.49074</v>
      </c>
      <c r="M1066" s="39" t="n">
        <f aca="false">(('Business Case'!G11*$C1066*'Business Case'!G12*$B1066)-'Business Case'!G11*$C1066*'Business Case'!G13*$D1066-'Business Case'!G14*$E1066)-MAX(0,(('Business Case'!G11*$C1066*'Business Case'!G12*$B1066)-'Business Case'!G11*$C1066*'Business Case'!G13*$D1066-'Business Case'!G14*$E1066))*'Business Case'!$B$7-'Business Case'!$B$8*(('Business Case'!G11*$C1066*'Business Case'!G12*$B1066)-('Business Case'!F11*$C1066*'Business Case'!F12*$B1066))-'Business Case'!G15*$F1066+'Business Case'!$B$8*('Business Case'!G11*$C1066*'Business Case'!G12*$B1066)</f>
        <v>935823344.535014</v>
      </c>
      <c r="N1066" s="39" t="n">
        <f aca="false">IF(COUNT('Business Case'!B11:G11)=0,"",H1066+NPV(G1066,I1066:M1066))</f>
        <v>-376218032.565828</v>
      </c>
      <c r="P1066" s="40" t="n">
        <f aca="true">RAND()</f>
        <v>0.892064757948183</v>
      </c>
      <c r="Q1066" s="40" t="n">
        <f aca="true">RAND()</f>
        <v>0.285593445012101</v>
      </c>
      <c r="R1066" s="40" t="n">
        <f aca="true">RAND()</f>
        <v>0.712587435462955</v>
      </c>
      <c r="S1066" s="40" t="n">
        <f aca="true">RAND()</f>
        <v>0.327507709024602</v>
      </c>
      <c r="T1066" s="40" t="n">
        <f aca="true">RAND()</f>
        <v>0.79766042401884</v>
      </c>
      <c r="U1066" s="40" t="n">
        <f aca="true">RAND()</f>
        <v>0.052343812457293</v>
      </c>
    </row>
    <row r="1067" customFormat="false" ht="15" hidden="false" customHeight="false" outlineLevel="0" collapsed="false">
      <c r="A1067" s="36" t="n">
        <v>987</v>
      </c>
      <c r="B1067" s="37" t="n">
        <f aca="false">1+IF($G$6=$E$6,$F$6,IF(P1067&lt;($F$6-$E$6)/($G$6-$E$6),$E$6+SQRT(P1067*($G$6-$E$6)*($F$6-$E$6)),$G$6-SQRT((1-P1067)*($G$6-$E$6)*($G$6-$F$6))))</f>
        <v>0.978852828984533</v>
      </c>
      <c r="C1067" s="37" t="n">
        <f aca="false">1+IF($G$7=$E$7,$F$7,IF(Q1067&lt;($F$7-$E$7)/($G$7-$E$7),$E$7+SQRT(Q1067*($G$7-$E$7)*($F$7-$E$7)),$G$7-SQRT((1-Q1067)*($G$7-$E$7)*($G$7-$F$7))))</f>
        <v>1.04561117693746</v>
      </c>
      <c r="D1067" s="37" t="n">
        <f aca="false">1+IF($G$8=$E$8,$F$8,IF(R1067&lt;($F$8-$E$8)/($G$8-$E$8),$E$8+SQRT(R1067*($G$8-$E$8)*($F$8-$E$8)),$G$8-SQRT((1-R1067)*($G$8-$E$8)*($G$8-$F$8))))</f>
        <v>0.981976977325491</v>
      </c>
      <c r="E1067" s="37" t="n">
        <f aca="false">1+IF($G$9=$E$9,$F$9,IF(S1067&lt;($F$9-$E$9)/($G$9-$E$9),$E$9+SQRT(S1067*($G$9-$E$9)*($F$9-$E$9)),$G$9-SQRT((1-S1067)*($G$9-$E$9)*($G$9-$F$9))))</f>
        <v>1.02794078072249</v>
      </c>
      <c r="F1067" s="37" t="n">
        <f aca="false">1+IF($G$10=$E$10,$F$10,IF(T1067&lt;($F$10-$E$10)/($G$10-$E$10),$E$10+SQRT(T1067*($G$10-$E$10)*($F$10-$E$10)),$G$10-SQRT((1-T1067)*($G$10-$E$10)*($G$10-$F$10))))</f>
        <v>1.09986102316924</v>
      </c>
      <c r="G1067" s="38" t="n">
        <f aca="false">IF($G$11=$E$11,$F$11,IF(U1067&lt;($F$11-$E$11)/($G$11-$E$11),$E$11+SQRT(U1067*($G$11-$E$11)*($F$11-$E$11)),$G$11-SQRT((1-U1067)*($G$11-$E$11)*($G$11-$F$11))))</f>
        <v>0.104352394351941</v>
      </c>
      <c r="H1067" s="39" t="n">
        <f aca="false">(('Business Case'!B11*$C1067*'Business Case'!B12*$B1067)-'Business Case'!B11*$C1067*'Business Case'!B13*$D1067-'Business Case'!B14*$E1067)-MAX(0,(('Business Case'!B11*$C1067*'Business Case'!B12*$B1067)-'Business Case'!B11*$C1067*'Business Case'!B13*$D1067-'Business Case'!B14*$E1067))*'Business Case'!$B$7-'Business Case'!$B$8*('Business Case'!B11*$C1067*'Business Case'!B12*$B1067)-'Business Case'!B15*$F1067</f>
        <v>-2199722046.33848</v>
      </c>
      <c r="I1067" s="39" t="n">
        <f aca="false">(('Business Case'!C11*$C1067*'Business Case'!C12*$B1067)-'Business Case'!C11*$C1067*'Business Case'!C13*$D1067-'Business Case'!C14*$E1067)-MAX(0,(('Business Case'!C11*$C1067*'Business Case'!C12*$B1067)-'Business Case'!C11*$C1067*'Business Case'!C13*$D1067-'Business Case'!C14*$E1067))*'Business Case'!$B$7-'Business Case'!$B$8*(('Business Case'!C11*$C1067*'Business Case'!C12*$B1067)-('Business Case'!B11*$C1067*'Business Case'!B12*$B1067))-'Business Case'!C15*$F1067</f>
        <v>3480151.81560659</v>
      </c>
      <c r="J1067" s="39" t="n">
        <f aca="false">(('Business Case'!D11*$C1067*'Business Case'!D12*$B1067)-'Business Case'!D11*$C1067*'Business Case'!D13*$D1067-'Business Case'!D14*$E1067)-MAX(0,(('Business Case'!D11*$C1067*'Business Case'!D12*$B1067)-'Business Case'!D11*$C1067*'Business Case'!D13*$D1067-'Business Case'!D14*$E1067))*'Business Case'!$B$7-'Business Case'!$B$8*(('Business Case'!D11*$C1067*'Business Case'!D12*$B1067)-('Business Case'!C11*$C1067*'Business Case'!C12*$B1067))-'Business Case'!D15*$F1067</f>
        <v>316177796.898786</v>
      </c>
      <c r="K1067" s="39" t="n">
        <f aca="false">(('Business Case'!E11*$C1067*'Business Case'!E12*$B1067)-'Business Case'!E11*$C1067*'Business Case'!E13*$D1067-'Business Case'!E14*$E1067)-MAX(0,(('Business Case'!E11*$C1067*'Business Case'!E12*$B1067)-'Business Case'!E11*$C1067*'Business Case'!E13*$D1067-'Business Case'!E14*$E1067))*'Business Case'!$B$7-'Business Case'!$B$8*(('Business Case'!E11*$C1067*'Business Case'!E12*$B1067)-('Business Case'!D11*$C1067*'Business Case'!D12*$B1067))-'Business Case'!E15*$F1067</f>
        <v>683868493.140428</v>
      </c>
      <c r="L1067" s="39" t="n">
        <f aca="false">(('Business Case'!F11*$C1067*'Business Case'!F12*$B1067)-'Business Case'!F11*$C1067*'Business Case'!F13*$D1067-'Business Case'!F14*$E1067)-MAX(0,(('Business Case'!F11*$C1067*'Business Case'!F12*$B1067)-'Business Case'!F11*$C1067*'Business Case'!F13*$D1067-'Business Case'!F14*$E1067))*'Business Case'!$B$7-'Business Case'!$B$8*(('Business Case'!F11*$C1067*'Business Case'!F12*$B1067)-('Business Case'!E11*$C1067*'Business Case'!E12*$B1067))-'Business Case'!F15*$F1067</f>
        <v>823473182.789428</v>
      </c>
      <c r="M1067" s="39" t="n">
        <f aca="false">(('Business Case'!G11*$C1067*'Business Case'!G12*$B1067)-'Business Case'!G11*$C1067*'Business Case'!G13*$D1067-'Business Case'!G14*$E1067)-MAX(0,(('Business Case'!G11*$C1067*'Business Case'!G12*$B1067)-'Business Case'!G11*$C1067*'Business Case'!G13*$D1067-'Business Case'!G14*$E1067))*'Business Case'!$B$7-'Business Case'!$B$8*(('Business Case'!G11*$C1067*'Business Case'!G12*$B1067)-('Business Case'!F11*$C1067*'Business Case'!F12*$B1067))-'Business Case'!G15*$F1067+'Business Case'!$B$8*('Business Case'!G11*$C1067*'Business Case'!G12*$B1067)</f>
        <v>1018019959.8731</v>
      </c>
      <c r="N1067" s="39" t="n">
        <f aca="false">IF(COUNT('Business Case'!B11:G11)=0,"",H1067+NPV(G1067,I1067:M1067))</f>
        <v>-256191955.275255</v>
      </c>
      <c r="P1067" s="40" t="n">
        <f aca="true">RAND()</f>
        <v>0.360797445779451</v>
      </c>
      <c r="Q1067" s="40" t="n">
        <f aca="true">RAND()</f>
        <v>0.792437592754635</v>
      </c>
      <c r="R1067" s="40" t="n">
        <f aca="true">RAND()</f>
        <v>0.157311858288454</v>
      </c>
      <c r="S1067" s="40" t="n">
        <f aca="true">RAND()</f>
        <v>0.653831261141087</v>
      </c>
      <c r="T1067" s="40" t="n">
        <f aca="true">RAND()</f>
        <v>0.799443706385772</v>
      </c>
      <c r="U1067" s="40" t="n">
        <f aca="true">RAND()</f>
        <v>0.591920729138028</v>
      </c>
    </row>
    <row r="1068" customFormat="false" ht="15" hidden="false" customHeight="false" outlineLevel="0" collapsed="false">
      <c r="A1068" s="36" t="n">
        <v>988</v>
      </c>
      <c r="B1068" s="37" t="n">
        <f aca="false">1+IF($G$6=$E$6,$F$6,IF(P1068&lt;($F$6-$E$6)/($G$6-$E$6),$E$6+SQRT(P1068*($G$6-$E$6)*($F$6-$E$6)),$G$6-SQRT((1-P1068)*($G$6-$E$6)*($G$6-$F$6))))</f>
        <v>1.00958474906944</v>
      </c>
      <c r="C1068" s="37" t="n">
        <f aca="false">1+IF($G$7=$E$7,$F$7,IF(Q1068&lt;($F$7-$E$7)/($G$7-$E$7),$E$7+SQRT(Q1068*($G$7-$E$7)*($F$7-$E$7)),$G$7-SQRT((1-Q1068)*($G$7-$E$7)*($G$7-$F$7))))</f>
        <v>0.973533596696125</v>
      </c>
      <c r="D1068" s="37" t="n">
        <f aca="false">1+IF($G$8=$E$8,$F$8,IF(R1068&lt;($F$8-$E$8)/($G$8-$E$8),$E$8+SQRT(R1068*($G$8-$E$8)*($F$8-$E$8)),$G$8-SQRT((1-R1068)*($G$8-$E$8)*($G$8-$F$8))))</f>
        <v>1.06879307568704</v>
      </c>
      <c r="E1068" s="37" t="n">
        <f aca="false">1+IF($G$9=$E$9,$F$9,IF(S1068&lt;($F$9-$E$9)/($G$9-$E$9),$E$9+SQRT(S1068*($G$9-$E$9)*($F$9-$E$9)),$G$9-SQRT((1-S1068)*($G$9-$E$9)*($G$9-$F$9))))</f>
        <v>1.00984909189967</v>
      </c>
      <c r="F1068" s="37" t="n">
        <f aca="false">1+IF($G$10=$E$10,$F$10,IF(T1068&lt;($F$10-$E$10)/($G$10-$E$10),$E$10+SQRT(T1068*($G$10-$E$10)*($F$10-$E$10)),$G$10-SQRT((1-T1068)*($G$10-$E$10)*($G$10-$F$10))))</f>
        <v>1.04398604044694</v>
      </c>
      <c r="G1068" s="38" t="n">
        <f aca="false">IF($G$11=$E$11,$F$11,IF(U1068&lt;($F$11-$E$11)/($G$11-$E$11),$E$11+SQRT(U1068*($G$11-$E$11)*($F$11-$E$11)),$G$11-SQRT((1-U1068)*($G$11-$E$11)*($G$11-$F$11))))</f>
        <v>0.108312417507471</v>
      </c>
      <c r="H1068" s="39" t="n">
        <f aca="false">(('Business Case'!B11*$C1068*'Business Case'!B12*$B1068)-'Business Case'!B11*$C1068*'Business Case'!B13*$D1068-'Business Case'!B14*$E1068)-MAX(0,(('Business Case'!B11*$C1068*'Business Case'!B12*$B1068)-'Business Case'!B11*$C1068*'Business Case'!B13*$D1068-'Business Case'!B14*$E1068))*'Business Case'!$B$7-'Business Case'!$B$8*('Business Case'!B11*$C1068*'Business Case'!B12*$B1068)-'Business Case'!B15*$F1068</f>
        <v>-2087972080.89387</v>
      </c>
      <c r="I1068" s="39" t="n">
        <f aca="false">(('Business Case'!C11*$C1068*'Business Case'!C12*$B1068)-'Business Case'!C11*$C1068*'Business Case'!C13*$D1068-'Business Case'!C14*$E1068)-MAX(0,(('Business Case'!C11*$C1068*'Business Case'!C12*$B1068)-'Business Case'!C11*$C1068*'Business Case'!C13*$D1068-'Business Case'!C14*$E1068))*'Business Case'!$B$7-'Business Case'!$B$8*(('Business Case'!C11*$C1068*'Business Case'!C12*$B1068)-('Business Case'!B11*$C1068*'Business Case'!B12*$B1068))-'Business Case'!C15*$F1068</f>
        <v>-26569731.6143234</v>
      </c>
      <c r="J1068" s="39" t="n">
        <f aca="false">(('Business Case'!D11*$C1068*'Business Case'!D12*$B1068)-'Business Case'!D11*$C1068*'Business Case'!D13*$D1068-'Business Case'!D14*$E1068)-MAX(0,(('Business Case'!D11*$C1068*'Business Case'!D12*$B1068)-'Business Case'!D11*$C1068*'Business Case'!D13*$D1068-'Business Case'!D14*$E1068))*'Business Case'!$B$7-'Business Case'!$B$8*(('Business Case'!D11*$C1068*'Business Case'!D12*$B1068)-('Business Case'!C11*$C1068*'Business Case'!C12*$B1068))-'Business Case'!D15*$F1068</f>
        <v>245811386.27709</v>
      </c>
      <c r="K1068" s="39" t="n">
        <f aca="false">(('Business Case'!E11*$C1068*'Business Case'!E12*$B1068)-'Business Case'!E11*$C1068*'Business Case'!E13*$D1068-'Business Case'!E14*$E1068)-MAX(0,(('Business Case'!E11*$C1068*'Business Case'!E12*$B1068)-'Business Case'!E11*$C1068*'Business Case'!E13*$D1068-'Business Case'!E14*$E1068))*'Business Case'!$B$7-'Business Case'!$B$8*(('Business Case'!E11*$C1068*'Business Case'!E12*$B1068)-('Business Case'!D11*$C1068*'Business Case'!D12*$B1068))-'Business Case'!E15*$F1068</f>
        <v>570391806.19085</v>
      </c>
      <c r="L1068" s="39" t="n">
        <f aca="false">(('Business Case'!F11*$C1068*'Business Case'!F12*$B1068)-'Business Case'!F11*$C1068*'Business Case'!F13*$D1068-'Business Case'!F14*$E1068)-MAX(0,(('Business Case'!F11*$C1068*'Business Case'!F12*$B1068)-'Business Case'!F11*$C1068*'Business Case'!F13*$D1068-'Business Case'!F14*$E1068))*'Business Case'!$B$7-'Business Case'!$B$8*(('Business Case'!F11*$C1068*'Business Case'!F12*$B1068)-('Business Case'!E11*$C1068*'Business Case'!E12*$B1068))-'Business Case'!F15*$F1068</f>
        <v>695153315.216594</v>
      </c>
      <c r="M1068" s="39" t="n">
        <f aca="false">(('Business Case'!G11*$C1068*'Business Case'!G12*$B1068)-'Business Case'!G11*$C1068*'Business Case'!G13*$D1068-'Business Case'!G14*$E1068)-MAX(0,(('Business Case'!G11*$C1068*'Business Case'!G12*$B1068)-'Business Case'!G11*$C1068*'Business Case'!G13*$D1068-'Business Case'!G14*$E1068))*'Business Case'!$B$7-'Business Case'!$B$8*(('Business Case'!G11*$C1068*'Business Case'!G12*$B1068)-('Business Case'!F11*$C1068*'Business Case'!F12*$B1068))-'Business Case'!G15*$F1068+'Business Case'!$B$8*('Business Case'!G11*$C1068*'Business Case'!G12*$B1068)</f>
        <v>881976232.057262</v>
      </c>
      <c r="N1068" s="39" t="n">
        <f aca="false">IF(COUNT('Business Case'!B11:G11)=0,"",H1068+NPV(G1068,I1068:M1068))</f>
        <v>-504736132.251069</v>
      </c>
      <c r="P1068" s="40" t="n">
        <f aca="true">RAND()</f>
        <v>0.807273439756476</v>
      </c>
      <c r="Q1068" s="40" t="n">
        <f aca="true">RAND()</f>
        <v>0.43019870260419</v>
      </c>
      <c r="R1068" s="40" t="n">
        <f aca="true">RAND()</f>
        <v>0.987923543023411</v>
      </c>
      <c r="S1068" s="40" t="n">
        <f aca="true">RAND()</f>
        <v>0.458187584579075</v>
      </c>
      <c r="T1068" s="40" t="n">
        <f aca="true">RAND()</f>
        <v>0.513192888491501</v>
      </c>
      <c r="U1068" s="40" t="n">
        <f aca="true">RAND()</f>
        <v>0.772334025800551</v>
      </c>
    </row>
    <row r="1069" customFormat="false" ht="15" hidden="false" customHeight="false" outlineLevel="0" collapsed="false">
      <c r="A1069" s="36" t="n">
        <v>989</v>
      </c>
      <c r="B1069" s="37" t="n">
        <f aca="false">1+IF($G$6=$E$6,$F$6,IF(P1069&lt;($F$6-$E$6)/($G$6-$E$6),$E$6+SQRT(P1069*($G$6-$E$6)*($F$6-$E$6)),$G$6-SQRT((1-P1069)*($G$6-$E$6)*($G$6-$F$6))))</f>
        <v>0.997162976424026</v>
      </c>
      <c r="C1069" s="37" t="n">
        <f aca="false">1+IF($G$7=$E$7,$F$7,IF(Q1069&lt;($F$7-$E$7)/($G$7-$E$7),$E$7+SQRT(Q1069*($G$7-$E$7)*($F$7-$E$7)),$G$7-SQRT((1-Q1069)*($G$7-$E$7)*($G$7-$F$7))))</f>
        <v>0.998077588349574</v>
      </c>
      <c r="D1069" s="37" t="n">
        <f aca="false">1+IF($G$8=$E$8,$F$8,IF(R1069&lt;($F$8-$E$8)/($G$8-$E$8),$E$8+SQRT(R1069*($G$8-$E$8)*($F$8-$E$8)),$G$8-SQRT((1-R1069)*($G$8-$E$8)*($G$8-$F$8))))</f>
        <v>0.97211457863908</v>
      </c>
      <c r="E1069" s="37" t="n">
        <f aca="false">1+IF($G$9=$E$9,$F$9,IF(S1069&lt;($F$9-$E$9)/($G$9-$E$9),$E$9+SQRT(S1069*($G$9-$E$9)*($F$9-$E$9)),$G$9-SQRT((1-S1069)*($G$9-$E$9)*($G$9-$F$9))))</f>
        <v>1.06014963624226</v>
      </c>
      <c r="F1069" s="37" t="n">
        <f aca="false">1+IF($G$10=$E$10,$F$10,IF(T1069&lt;($F$10-$E$10)/($G$10-$E$10),$E$10+SQRT(T1069*($G$10-$E$10)*($F$10-$E$10)),$G$10-SQRT((1-T1069)*($G$10-$E$10)*($G$10-$F$10))))</f>
        <v>1.07364285994385</v>
      </c>
      <c r="G1069" s="38" t="n">
        <f aca="false">IF($G$11=$E$11,$F$11,IF(U1069&lt;($F$11-$E$11)/($G$11-$E$11),$E$11+SQRT(U1069*($G$11-$E$11)*($F$11-$E$11)),$G$11-SQRT((1-U1069)*($G$11-$E$11)*($G$11-$F$11))))</f>
        <v>0.0972196932936579</v>
      </c>
      <c r="H1069" s="39" t="n">
        <f aca="false">(('Business Case'!B11*$C1069*'Business Case'!B12*$B1069)-'Business Case'!B11*$C1069*'Business Case'!B13*$D1069-'Business Case'!B14*$E1069)-MAX(0,(('Business Case'!B11*$C1069*'Business Case'!B12*$B1069)-'Business Case'!B11*$C1069*'Business Case'!B13*$D1069-'Business Case'!B14*$E1069))*'Business Case'!$B$7-'Business Case'!$B$8*('Business Case'!B11*$C1069*'Business Case'!B12*$B1069)-'Business Case'!B15*$F1069</f>
        <v>-2147285719.88771</v>
      </c>
      <c r="I1069" s="39" t="n">
        <f aca="false">(('Business Case'!C11*$C1069*'Business Case'!C12*$B1069)-'Business Case'!C11*$C1069*'Business Case'!C13*$D1069-'Business Case'!C14*$E1069)-MAX(0,(('Business Case'!C11*$C1069*'Business Case'!C12*$B1069)-'Business Case'!C11*$C1069*'Business Case'!C13*$D1069-'Business Case'!C14*$E1069))*'Business Case'!$B$7-'Business Case'!$B$8*(('Business Case'!C11*$C1069*'Business Case'!C12*$B1069)-('Business Case'!B11*$C1069*'Business Case'!B12*$B1069))-'Business Case'!C15*$F1069</f>
        <v>8778812.39898987</v>
      </c>
      <c r="J1069" s="39" t="n">
        <f aca="false">(('Business Case'!D11*$C1069*'Business Case'!D12*$B1069)-'Business Case'!D11*$C1069*'Business Case'!D13*$D1069-'Business Case'!D14*$E1069)-MAX(0,(('Business Case'!D11*$C1069*'Business Case'!D12*$B1069)-'Business Case'!D11*$C1069*'Business Case'!D13*$D1069-'Business Case'!D14*$E1069))*'Business Case'!$B$7-'Business Case'!$B$8*(('Business Case'!D11*$C1069*'Business Case'!D12*$B1069)-('Business Case'!C11*$C1069*'Business Case'!C12*$B1069))-'Business Case'!D15*$F1069</f>
        <v>327268742.675462</v>
      </c>
      <c r="K1069" s="39" t="n">
        <f aca="false">(('Business Case'!E11*$C1069*'Business Case'!E12*$B1069)-'Business Case'!E11*$C1069*'Business Case'!E13*$D1069-'Business Case'!E14*$E1069)-MAX(0,(('Business Case'!E11*$C1069*'Business Case'!E12*$B1069)-'Business Case'!E11*$C1069*'Business Case'!E13*$D1069-'Business Case'!E14*$E1069))*'Business Case'!$B$7-'Business Case'!$B$8*(('Business Case'!E11*$C1069*'Business Case'!E12*$B1069)-('Business Case'!D11*$C1069*'Business Case'!D12*$B1069))-'Business Case'!E15*$F1069</f>
        <v>699440815.949128</v>
      </c>
      <c r="L1069" s="39" t="n">
        <f aca="false">(('Business Case'!F11*$C1069*'Business Case'!F12*$B1069)-'Business Case'!F11*$C1069*'Business Case'!F13*$D1069-'Business Case'!F14*$E1069)-MAX(0,(('Business Case'!F11*$C1069*'Business Case'!F12*$B1069)-'Business Case'!F11*$C1069*'Business Case'!F13*$D1069-'Business Case'!F14*$E1069))*'Business Case'!$B$7-'Business Case'!$B$8*(('Business Case'!F11*$C1069*'Business Case'!F12*$B1069)-('Business Case'!E11*$C1069*'Business Case'!E12*$B1069))-'Business Case'!F15*$F1069</f>
        <v>839999828.447584</v>
      </c>
      <c r="M1069" s="39" t="n">
        <f aca="false">(('Business Case'!G11*$C1069*'Business Case'!G12*$B1069)-'Business Case'!G11*$C1069*'Business Case'!G13*$D1069-'Business Case'!G14*$E1069)-MAX(0,(('Business Case'!G11*$C1069*'Business Case'!G12*$B1069)-'Business Case'!G11*$C1069*'Business Case'!G13*$D1069-'Business Case'!G14*$E1069))*'Business Case'!$B$7-'Business Case'!$B$8*(('Business Case'!G11*$C1069*'Business Case'!G12*$B1069)-('Business Case'!F11*$C1069*'Business Case'!F12*$B1069))-'Business Case'!G15*$F1069+'Business Case'!$B$8*('Business Case'!G11*$C1069*'Business Case'!G12*$B1069)</f>
        <v>1029176191.68223</v>
      </c>
      <c r="N1069" s="39" t="n">
        <f aca="false">IF(COUNT('Business Case'!B11:G11)=0,"",H1069+NPV(G1069,I1069:M1069))</f>
        <v>-111193507.254957</v>
      </c>
      <c r="P1069" s="40" t="n">
        <f aca="true">RAND()</f>
        <v>0.620221346939036</v>
      </c>
      <c r="Q1069" s="40" t="n">
        <f aca="true">RAND()</f>
        <v>0.560496157234047</v>
      </c>
      <c r="R1069" s="40" t="n">
        <f aca="true">RAND()</f>
        <v>0.0752391674437005</v>
      </c>
      <c r="S1069" s="40" t="n">
        <f aca="true">RAND()</f>
        <v>0.894129900558371</v>
      </c>
      <c r="T1069" s="40" t="n">
        <f aca="true">RAND()</f>
        <v>0.680677463136632</v>
      </c>
      <c r="U1069" s="40" t="n">
        <f aca="true">RAND()</f>
        <v>0.173746570848294</v>
      </c>
    </row>
    <row r="1070" customFormat="false" ht="15" hidden="false" customHeight="false" outlineLevel="0" collapsed="false">
      <c r="A1070" s="36" t="n">
        <v>990</v>
      </c>
      <c r="B1070" s="37" t="n">
        <f aca="false">1+IF($G$6=$E$6,$F$6,IF(P1070&lt;($F$6-$E$6)/($G$6-$E$6),$E$6+SQRT(P1070*($G$6-$E$6)*($F$6-$E$6)),$G$6-SQRT((1-P1070)*($G$6-$E$6)*($G$6-$F$6))))</f>
        <v>1.00687728040136</v>
      </c>
      <c r="C1070" s="37" t="n">
        <f aca="false">1+IF($G$7=$E$7,$F$7,IF(Q1070&lt;($F$7-$E$7)/($G$7-$E$7),$E$7+SQRT(Q1070*($G$7-$E$7)*($F$7-$E$7)),$G$7-SQRT((1-Q1070)*($G$7-$E$7)*($G$7-$F$7))))</f>
        <v>0.865062557754412</v>
      </c>
      <c r="D1070" s="37" t="n">
        <f aca="false">1+IF($G$8=$E$8,$F$8,IF(R1070&lt;($F$8-$E$8)/($G$8-$E$8),$E$8+SQRT(R1070*($G$8-$E$8)*($F$8-$E$8)),$G$8-SQRT((1-R1070)*($G$8-$E$8)*($G$8-$F$8))))</f>
        <v>1.02925343940692</v>
      </c>
      <c r="E1070" s="37" t="n">
        <f aca="false">1+IF($G$9=$E$9,$F$9,IF(S1070&lt;($F$9-$E$9)/($G$9-$E$9),$E$9+SQRT(S1070*($G$9-$E$9)*($F$9-$E$9)),$G$9-SQRT((1-S1070)*($G$9-$E$9)*($G$9-$F$9))))</f>
        <v>1.0091609057255</v>
      </c>
      <c r="F1070" s="37" t="n">
        <f aca="false">1+IF($G$10=$E$10,$F$10,IF(T1070&lt;($F$10-$E$10)/($G$10-$E$10),$E$10+SQRT(T1070*($G$10-$E$10)*($F$10-$E$10)),$G$10-SQRT((1-T1070)*($G$10-$E$10)*($G$10-$F$10))))</f>
        <v>1.01276329507549</v>
      </c>
      <c r="G1070" s="38" t="n">
        <f aca="false">IF($G$11=$E$11,$F$11,IF(U1070&lt;($F$11-$E$11)/($G$11-$E$11),$E$11+SQRT(U1070*($G$11-$E$11)*($F$11-$E$11)),$G$11-SQRT((1-U1070)*($G$11-$E$11)*($G$11-$F$11))))</f>
        <v>0.103802809183141</v>
      </c>
      <c r="H1070" s="39" t="n">
        <f aca="false">(('Business Case'!B11*$C1070*'Business Case'!B12*$B1070)-'Business Case'!B11*$C1070*'Business Case'!B13*$D1070-'Business Case'!B14*$E1070)-MAX(0,(('Business Case'!B11*$C1070*'Business Case'!B12*$B1070)-'Business Case'!B11*$C1070*'Business Case'!B13*$D1070-'Business Case'!B14*$E1070))*'Business Case'!$B$7-'Business Case'!$B$8*('Business Case'!B11*$C1070*'Business Case'!B12*$B1070)-'Business Case'!B15*$F1070</f>
        <v>-2025526590.15098</v>
      </c>
      <c r="I1070" s="39" t="n">
        <f aca="false">(('Business Case'!C11*$C1070*'Business Case'!C12*$B1070)-'Business Case'!C11*$C1070*'Business Case'!C13*$D1070-'Business Case'!C14*$E1070)-MAX(0,(('Business Case'!C11*$C1070*'Business Case'!C12*$B1070)-'Business Case'!C11*$C1070*'Business Case'!C13*$D1070-'Business Case'!C14*$E1070))*'Business Case'!$B$7-'Business Case'!$B$8*(('Business Case'!C11*$C1070*'Business Case'!C12*$B1070)-('Business Case'!B11*$C1070*'Business Case'!B12*$B1070))-'Business Case'!C15*$F1070</f>
        <v>-32308358.0061377</v>
      </c>
      <c r="J1070" s="39" t="n">
        <f aca="false">(('Business Case'!D11*$C1070*'Business Case'!D12*$B1070)-'Business Case'!D11*$C1070*'Business Case'!D13*$D1070-'Business Case'!D14*$E1070)-MAX(0,(('Business Case'!D11*$C1070*'Business Case'!D12*$B1070)-'Business Case'!D11*$C1070*'Business Case'!D13*$D1070-'Business Case'!D14*$E1070))*'Business Case'!$B$7-'Business Case'!$B$8*(('Business Case'!D11*$C1070*'Business Case'!D12*$B1070)-('Business Case'!C11*$C1070*'Business Case'!C12*$B1070))-'Business Case'!D15*$F1070</f>
        <v>225315547.843253</v>
      </c>
      <c r="K1070" s="39" t="n">
        <f aca="false">(('Business Case'!E11*$C1070*'Business Case'!E12*$B1070)-'Business Case'!E11*$C1070*'Business Case'!E13*$D1070-'Business Case'!E14*$E1070)-MAX(0,(('Business Case'!E11*$C1070*'Business Case'!E12*$B1070)-'Business Case'!E11*$C1070*'Business Case'!E13*$D1070-'Business Case'!E14*$E1070))*'Business Case'!$B$7-'Business Case'!$B$8*(('Business Case'!E11*$C1070*'Business Case'!E12*$B1070)-('Business Case'!D11*$C1070*'Business Case'!D12*$B1070))-'Business Case'!E15*$F1070</f>
        <v>533577618.446418</v>
      </c>
      <c r="L1070" s="39" t="n">
        <f aca="false">(('Business Case'!F11*$C1070*'Business Case'!F12*$B1070)-'Business Case'!F11*$C1070*'Business Case'!F13*$D1070-'Business Case'!F14*$E1070)-MAX(0,(('Business Case'!F11*$C1070*'Business Case'!F12*$B1070)-'Business Case'!F11*$C1070*'Business Case'!F13*$D1070-'Business Case'!F14*$E1070))*'Business Case'!$B$7-'Business Case'!$B$8*(('Business Case'!F11*$C1070*'Business Case'!F12*$B1070)-('Business Case'!E11*$C1070*'Business Case'!E12*$B1070))-'Business Case'!F15*$F1070</f>
        <v>649554422.765424</v>
      </c>
      <c r="M1070" s="39" t="n">
        <f aca="false">(('Business Case'!G11*$C1070*'Business Case'!G12*$B1070)-'Business Case'!G11*$C1070*'Business Case'!G13*$D1070-'Business Case'!G14*$E1070)-MAX(0,(('Business Case'!G11*$C1070*'Business Case'!G12*$B1070)-'Business Case'!G11*$C1070*'Business Case'!G13*$D1070-'Business Case'!G14*$E1070))*'Business Case'!$B$7-'Business Case'!$B$8*(('Business Case'!G11*$C1070*'Business Case'!G12*$B1070)-('Business Case'!F11*$C1070*'Business Case'!F12*$B1070))-'Business Case'!G15*$F1070+'Business Case'!$B$8*('Business Case'!G11*$C1070*'Business Case'!G12*$B1070)</f>
        <v>815116352.462739</v>
      </c>
      <c r="N1070" s="39" t="n">
        <f aca="false">IF(COUNT('Business Case'!B11:G11)=0,"",H1070+NPV(G1070,I1070:M1070))</f>
        <v>-538074062.214134</v>
      </c>
      <c r="P1070" s="40" t="n">
        <f aca="true">RAND()</f>
        <v>0.771434467997828</v>
      </c>
      <c r="Q1070" s="40" t="n">
        <f aca="true">RAND()</f>
        <v>0.0604733774506597</v>
      </c>
      <c r="R1070" s="40" t="n">
        <f aca="true">RAND()</f>
        <v>0.752383325766572</v>
      </c>
      <c r="S1070" s="40" t="n">
        <f aca="true">RAND()</f>
        <v>0.449883930092613</v>
      </c>
      <c r="T1070" s="40" t="n">
        <f aca="true">RAND()</f>
        <v>0.298848326580242</v>
      </c>
      <c r="U1070" s="40" t="n">
        <f aca="true">RAND()</f>
        <v>0.562751682737113</v>
      </c>
    </row>
    <row r="1071" customFormat="false" ht="15" hidden="false" customHeight="false" outlineLevel="0" collapsed="false">
      <c r="A1071" s="36" t="n">
        <v>991</v>
      </c>
      <c r="B1071" s="37" t="n">
        <f aca="false">1+IF($G$6=$E$6,$F$6,IF(P1071&lt;($F$6-$E$6)/($G$6-$E$6),$E$6+SQRT(P1071*($G$6-$E$6)*($F$6-$E$6)),$G$6-SQRT((1-P1071)*($G$6-$E$6)*($G$6-$F$6))))</f>
        <v>0.972344077928942</v>
      </c>
      <c r="C1071" s="37" t="n">
        <f aca="false">1+IF($G$7=$E$7,$F$7,IF(Q1071&lt;($F$7-$E$7)/($G$7-$E$7),$E$7+SQRT(Q1071*($G$7-$E$7)*($F$7-$E$7)),$G$7-SQRT((1-Q1071)*($G$7-$E$7)*($G$7-$F$7))))</f>
        <v>0.957417986022293</v>
      </c>
      <c r="D1071" s="37" t="n">
        <f aca="false">1+IF($G$8=$E$8,$F$8,IF(R1071&lt;($F$8-$E$8)/($G$8-$E$8),$E$8+SQRT(R1071*($G$8-$E$8)*($F$8-$E$8)),$G$8-SQRT((1-R1071)*($G$8-$E$8)*($G$8-$F$8))))</f>
        <v>1.02889919316517</v>
      </c>
      <c r="E1071" s="37" t="n">
        <f aca="false">1+IF($G$9=$E$9,$F$9,IF(S1071&lt;($F$9-$E$9)/($G$9-$E$9),$E$9+SQRT(S1071*($G$9-$E$9)*($F$9-$E$9)),$G$9-SQRT((1-S1071)*($G$9-$E$9)*($G$9-$F$9))))</f>
        <v>1.00243881025146</v>
      </c>
      <c r="F1071" s="37" t="n">
        <f aca="false">1+IF($G$10=$E$10,$F$10,IF(T1071&lt;($F$10-$E$10)/($G$10-$E$10),$E$10+SQRT(T1071*($G$10-$E$10)*($F$10-$E$10)),$G$10-SQRT((1-T1071)*($G$10-$E$10)*($G$10-$F$10))))</f>
        <v>1.15059808141568</v>
      </c>
      <c r="G1071" s="38" t="n">
        <f aca="false">IF($G$11=$E$11,$F$11,IF(U1071&lt;($F$11-$E$11)/($G$11-$E$11),$E$11+SQRT(U1071*($G$11-$E$11)*($F$11-$E$11)),$G$11-SQRT((1-U1071)*($G$11-$E$11)*($G$11-$F$11))))</f>
        <v>0.0996151183750591</v>
      </c>
      <c r="H1071" s="39" t="n">
        <f aca="false">(('Business Case'!B11*$C1071*'Business Case'!B12*$B1071)-'Business Case'!B11*$C1071*'Business Case'!B13*$D1071-'Business Case'!B14*$E1071)-MAX(0,(('Business Case'!B11*$C1071*'Business Case'!B12*$B1071)-'Business Case'!B11*$C1071*'Business Case'!B13*$D1071-'Business Case'!B14*$E1071))*'Business Case'!$B$7-'Business Case'!$B$8*('Business Case'!B11*$C1071*'Business Case'!B12*$B1071)-'Business Case'!B15*$F1071</f>
        <v>-2301196162.83136</v>
      </c>
      <c r="I1071" s="39" t="n">
        <f aca="false">(('Business Case'!C11*$C1071*'Business Case'!C12*$B1071)-'Business Case'!C11*$C1071*'Business Case'!C13*$D1071-'Business Case'!C14*$E1071)-MAX(0,(('Business Case'!C11*$C1071*'Business Case'!C12*$B1071)-'Business Case'!C11*$C1071*'Business Case'!C13*$D1071-'Business Case'!C14*$E1071))*'Business Case'!$B$7-'Business Case'!$B$8*(('Business Case'!C11*$C1071*'Business Case'!C12*$B1071)-('Business Case'!B11*$C1071*'Business Case'!B12*$B1071))-'Business Case'!C15*$F1071</f>
        <v>-47645401.1512067</v>
      </c>
      <c r="J1071" s="39" t="n">
        <f aca="false">(('Business Case'!D11*$C1071*'Business Case'!D12*$B1071)-'Business Case'!D11*$C1071*'Business Case'!D13*$D1071-'Business Case'!D14*$E1071)-MAX(0,(('Business Case'!D11*$C1071*'Business Case'!D12*$B1071)-'Business Case'!D11*$C1071*'Business Case'!D13*$D1071-'Business Case'!D14*$E1071))*'Business Case'!$B$7-'Business Case'!$B$8*(('Business Case'!D11*$C1071*'Business Case'!D12*$B1071)-('Business Case'!C11*$C1071*'Business Case'!C12*$B1071))-'Business Case'!D15*$F1071</f>
        <v>210575719.161697</v>
      </c>
      <c r="K1071" s="39" t="n">
        <f aca="false">(('Business Case'!E11*$C1071*'Business Case'!E12*$B1071)-'Business Case'!E11*$C1071*'Business Case'!E13*$D1071-'Business Case'!E14*$E1071)-MAX(0,(('Business Case'!E11*$C1071*'Business Case'!E12*$B1071)-'Business Case'!E11*$C1071*'Business Case'!E13*$D1071-'Business Case'!E14*$E1071))*'Business Case'!$B$7-'Business Case'!$B$8*(('Business Case'!E11*$C1071*'Business Case'!E12*$B1071)-('Business Case'!D11*$C1071*'Business Case'!D12*$B1071))-'Business Case'!E15*$F1071</f>
        <v>526326743.545384</v>
      </c>
      <c r="L1071" s="39" t="n">
        <f aca="false">(('Business Case'!F11*$C1071*'Business Case'!F12*$B1071)-'Business Case'!F11*$C1071*'Business Case'!F13*$D1071-'Business Case'!F14*$E1071)-MAX(0,(('Business Case'!F11*$C1071*'Business Case'!F12*$B1071)-'Business Case'!F11*$C1071*'Business Case'!F13*$D1071-'Business Case'!F14*$E1071))*'Business Case'!$B$7-'Business Case'!$B$8*(('Business Case'!F11*$C1071*'Business Case'!F12*$B1071)-('Business Case'!E11*$C1071*'Business Case'!E12*$B1071))-'Business Case'!F15*$F1071</f>
        <v>644573726.652875</v>
      </c>
      <c r="M1071" s="39" t="n">
        <f aca="false">(('Business Case'!G11*$C1071*'Business Case'!G12*$B1071)-'Business Case'!G11*$C1071*'Business Case'!G13*$D1071-'Business Case'!G14*$E1071)-MAX(0,(('Business Case'!G11*$C1071*'Business Case'!G12*$B1071)-'Business Case'!G11*$C1071*'Business Case'!G13*$D1071-'Business Case'!G14*$E1071))*'Business Case'!$B$7-'Business Case'!$B$8*(('Business Case'!G11*$C1071*'Business Case'!G12*$B1071)-('Business Case'!F11*$C1071*'Business Case'!F12*$B1071))-'Business Case'!G15*$F1071+'Business Case'!$B$8*('Business Case'!G11*$C1071*'Business Case'!G12*$B1071)</f>
        <v>821526746.503752</v>
      </c>
      <c r="N1071" s="39" t="n">
        <f aca="false">IF(COUNT('Business Case'!B11:G11)=0,"",H1071+NPV(G1071,I1071:M1071))</f>
        <v>-822655462.717103</v>
      </c>
      <c r="P1071" s="40" t="n">
        <f aca="true">RAND()</f>
        <v>0.285406509815742</v>
      </c>
      <c r="Q1071" s="40" t="n">
        <f aca="true">RAND()</f>
        <v>0.354006033190213</v>
      </c>
      <c r="R1071" s="40" t="n">
        <f aca="true">RAND()</f>
        <v>0.748914186618181</v>
      </c>
      <c r="S1071" s="40" t="n">
        <f aca="true">RAND()</f>
        <v>0.365454283656618</v>
      </c>
      <c r="T1071" s="40" t="n">
        <f aca="true">RAND()</f>
        <v>0.951189008803767</v>
      </c>
      <c r="U1071" s="40" t="n">
        <f aca="true">RAND()</f>
        <v>0.308168337887997</v>
      </c>
    </row>
    <row r="1072" customFormat="false" ht="15" hidden="false" customHeight="false" outlineLevel="0" collapsed="false">
      <c r="A1072" s="36" t="n">
        <v>992</v>
      </c>
      <c r="B1072" s="37" t="n">
        <f aca="false">1+IF($G$6=$E$6,$F$6,IF(P1072&lt;($F$6-$E$6)/($G$6-$E$6),$E$6+SQRT(P1072*($G$6-$E$6)*($F$6-$E$6)),$G$6-SQRT((1-P1072)*($G$6-$E$6)*($G$6-$F$6))))</f>
        <v>0.932030422982977</v>
      </c>
      <c r="C1072" s="37" t="n">
        <f aca="false">1+IF($G$7=$E$7,$F$7,IF(Q1072&lt;($F$7-$E$7)/($G$7-$E$7),$E$7+SQRT(Q1072*($G$7-$E$7)*($F$7-$E$7)),$G$7-SQRT((1-Q1072)*($G$7-$E$7)*($G$7-$F$7))))</f>
        <v>0.973523921893709</v>
      </c>
      <c r="D1072" s="37" t="n">
        <f aca="false">1+IF($G$8=$E$8,$F$8,IF(R1072&lt;($F$8-$E$8)/($G$8-$E$8),$E$8+SQRT(R1072*($G$8-$E$8)*($F$8-$E$8)),$G$8-SQRT((1-R1072)*($G$8-$E$8)*($G$8-$F$8))))</f>
        <v>0.97711883591556</v>
      </c>
      <c r="E1072" s="37" t="n">
        <f aca="false">1+IF($G$9=$E$9,$F$9,IF(S1072&lt;($F$9-$E$9)/($G$9-$E$9),$E$9+SQRT(S1072*($G$9-$E$9)*($F$9-$E$9)),$G$9-SQRT((1-S1072)*($G$9-$E$9)*($G$9-$F$9))))</f>
        <v>1.00596788976703</v>
      </c>
      <c r="F1072" s="37" t="n">
        <f aca="false">1+IF($G$10=$E$10,$F$10,IF(T1072&lt;($F$10-$E$10)/($G$10-$E$10),$E$10+SQRT(T1072*($G$10-$E$10)*($F$10-$E$10)),$G$10-SQRT((1-T1072)*($G$10-$E$10)*($G$10-$F$10))))</f>
        <v>1.01733019530198</v>
      </c>
      <c r="G1072" s="38" t="n">
        <f aca="false">IF($G$11=$E$11,$F$11,IF(U1072&lt;($F$11-$E$11)/($G$11-$E$11),$E$11+SQRT(U1072*($G$11-$E$11)*($F$11-$E$11)),$G$11-SQRT((1-U1072)*($G$11-$E$11)*($G$11-$F$11))))</f>
        <v>0.108723603252618</v>
      </c>
      <c r="H1072" s="39" t="n">
        <f aca="false">(('Business Case'!B11*$C1072*'Business Case'!B12*$B1072)-'Business Case'!B11*$C1072*'Business Case'!B13*$D1072-'Business Case'!B14*$E1072)-MAX(0,(('Business Case'!B11*$C1072*'Business Case'!B12*$B1072)-'Business Case'!B11*$C1072*'Business Case'!B13*$D1072-'Business Case'!B14*$E1072))*'Business Case'!$B$7-'Business Case'!$B$8*('Business Case'!B11*$C1072*'Business Case'!B12*$B1072)-'Business Case'!B15*$F1072</f>
        <v>-2034660390.60395</v>
      </c>
      <c r="I1072" s="39" t="n">
        <f aca="false">(('Business Case'!C11*$C1072*'Business Case'!C12*$B1072)-'Business Case'!C11*$C1072*'Business Case'!C13*$D1072-'Business Case'!C14*$E1072)-MAX(0,(('Business Case'!C11*$C1072*'Business Case'!C12*$B1072)-'Business Case'!C11*$C1072*'Business Case'!C13*$D1072-'Business Case'!C14*$E1072))*'Business Case'!$B$7-'Business Case'!$B$8*(('Business Case'!C11*$C1072*'Business Case'!C12*$B1072)-('Business Case'!B11*$C1072*'Business Case'!B12*$B1072))-'Business Case'!C15*$F1072</f>
        <v>-35593859.80035</v>
      </c>
      <c r="J1072" s="39" t="n">
        <f aca="false">(('Business Case'!D11*$C1072*'Business Case'!D12*$B1072)-'Business Case'!D11*$C1072*'Business Case'!D13*$D1072-'Business Case'!D14*$E1072)-MAX(0,(('Business Case'!D11*$C1072*'Business Case'!D12*$B1072)-'Business Case'!D11*$C1072*'Business Case'!D13*$D1072-'Business Case'!D14*$E1072))*'Business Case'!$B$7-'Business Case'!$B$8*(('Business Case'!D11*$C1072*'Business Case'!D12*$B1072)-('Business Case'!C11*$C1072*'Business Case'!C12*$B1072))-'Business Case'!D15*$F1072</f>
        <v>220631160.689081</v>
      </c>
      <c r="K1072" s="39" t="n">
        <f aca="false">(('Business Case'!E11*$C1072*'Business Case'!E12*$B1072)-'Business Case'!E11*$C1072*'Business Case'!E13*$D1072-'Business Case'!E14*$E1072)-MAX(0,(('Business Case'!E11*$C1072*'Business Case'!E12*$B1072)-'Business Case'!E11*$C1072*'Business Case'!E13*$D1072-'Business Case'!E14*$E1072))*'Business Case'!$B$7-'Business Case'!$B$8*(('Business Case'!E11*$C1072*'Business Case'!E12*$B1072)-('Business Case'!D11*$C1072*'Business Case'!D12*$B1072))-'Business Case'!E15*$F1072</f>
        <v>527722690.943611</v>
      </c>
      <c r="L1072" s="39" t="n">
        <f aca="false">(('Business Case'!F11*$C1072*'Business Case'!F12*$B1072)-'Business Case'!F11*$C1072*'Business Case'!F13*$D1072-'Business Case'!F14*$E1072)-MAX(0,(('Business Case'!F11*$C1072*'Business Case'!F12*$B1072)-'Business Case'!F11*$C1072*'Business Case'!F13*$D1072-'Business Case'!F14*$E1072))*'Business Case'!$B$7-'Business Case'!$B$8*(('Business Case'!F11*$C1072*'Business Case'!F12*$B1072)-('Business Case'!E11*$C1072*'Business Case'!E12*$B1072))-'Business Case'!F15*$F1072</f>
        <v>644489182.329896</v>
      </c>
      <c r="M1072" s="39" t="n">
        <f aca="false">(('Business Case'!G11*$C1072*'Business Case'!G12*$B1072)-'Business Case'!G11*$C1072*'Business Case'!G13*$D1072-'Business Case'!G14*$E1072)-MAX(0,(('Business Case'!G11*$C1072*'Business Case'!G12*$B1072)-'Business Case'!G11*$C1072*'Business Case'!G13*$D1072-'Business Case'!G14*$E1072))*'Business Case'!$B$7-'Business Case'!$B$8*(('Business Case'!G11*$C1072*'Business Case'!G12*$B1072)-('Business Case'!F11*$C1072*'Business Case'!F12*$B1072))-'Business Case'!G15*$F1072+'Business Case'!$B$8*('Business Case'!G11*$C1072*'Business Case'!G12*$B1072)</f>
        <v>816959014.057174</v>
      </c>
      <c r="N1072" s="39" t="n">
        <f aca="false">IF(COUNT('Business Case'!B11:G11)=0,"",H1072+NPV(G1072,I1072:M1072))</f>
        <v>-585955691.596893</v>
      </c>
      <c r="P1072" s="40" t="n">
        <f aca="true">RAND()</f>
        <v>0.0150761538697241</v>
      </c>
      <c r="Q1072" s="40" t="n">
        <f aca="true">RAND()</f>
        <v>0.430150735276771</v>
      </c>
      <c r="R1072" s="40" t="n">
        <f aca="true">RAND()</f>
        <v>0.113143270986931</v>
      </c>
      <c r="S1072" s="40" t="n">
        <f aca="true">RAND()</f>
        <v>0.410530816342256</v>
      </c>
      <c r="T1072" s="40" t="n">
        <f aca="true">RAND()</f>
        <v>0.332634849031711</v>
      </c>
      <c r="U1072" s="40" t="n">
        <f aca="true">RAND()</f>
        <v>0.788071460659374</v>
      </c>
    </row>
    <row r="1073" customFormat="false" ht="15" hidden="false" customHeight="false" outlineLevel="0" collapsed="false">
      <c r="A1073" s="36" t="n">
        <v>993</v>
      </c>
      <c r="B1073" s="37" t="n">
        <f aca="false">1+IF($G$6=$E$6,$F$6,IF(P1073&lt;($F$6-$E$6)/($G$6-$E$6),$E$6+SQRT(P1073*($G$6-$E$6)*($F$6-$E$6)),$G$6-SQRT((1-P1073)*($G$6-$E$6)*($G$6-$F$6))))</f>
        <v>0.988297239342139</v>
      </c>
      <c r="C1073" s="37" t="n">
        <f aca="false">1+IF($G$7=$E$7,$F$7,IF(Q1073&lt;($F$7-$E$7)/($G$7-$E$7),$E$7+SQRT(Q1073*($G$7-$E$7)*($F$7-$E$7)),$G$7-SQRT((1-Q1073)*($G$7-$E$7)*($G$7-$F$7))))</f>
        <v>1.08030798197675</v>
      </c>
      <c r="D1073" s="37" t="n">
        <f aca="false">1+IF($G$8=$E$8,$F$8,IF(R1073&lt;($F$8-$E$8)/($G$8-$E$8),$E$8+SQRT(R1073*($G$8-$E$8)*($F$8-$E$8)),$G$8-SQRT((1-R1073)*($G$8-$E$8)*($G$8-$F$8))))</f>
        <v>1.00958103295473</v>
      </c>
      <c r="E1073" s="37" t="n">
        <f aca="false">1+IF($G$9=$E$9,$F$9,IF(S1073&lt;($F$9-$E$9)/($G$9-$E$9),$E$9+SQRT(S1073*($G$9-$E$9)*($F$9-$E$9)),$G$9-SQRT((1-S1073)*($G$9-$E$9)*($G$9-$F$9))))</f>
        <v>0.970303494787075</v>
      </c>
      <c r="F1073" s="37" t="n">
        <f aca="false">1+IF($G$10=$E$10,$F$10,IF(T1073&lt;($F$10-$E$10)/($G$10-$E$10),$E$10+SQRT(T1073*($G$10-$E$10)*($F$10-$E$10)),$G$10-SQRT((1-T1073)*($G$10-$E$10)*($G$10-$F$10))))</f>
        <v>1.09273070691595</v>
      </c>
      <c r="G1073" s="38" t="n">
        <f aca="false">IF($G$11=$E$11,$F$11,IF(U1073&lt;($F$11-$E$11)/($G$11-$E$11),$E$11+SQRT(U1073*($G$11-$E$11)*($F$11-$E$11)),$G$11-SQRT((1-U1073)*($G$11-$E$11)*($G$11-$F$11))))</f>
        <v>0.099058494312523</v>
      </c>
      <c r="H1073" s="39" t="n">
        <f aca="false">(('Business Case'!B11*$C1073*'Business Case'!B12*$B1073)-'Business Case'!B11*$C1073*'Business Case'!B13*$D1073-'Business Case'!B14*$E1073)-MAX(0,(('Business Case'!B11*$C1073*'Business Case'!B12*$B1073)-'Business Case'!B11*$C1073*'Business Case'!B13*$D1073-'Business Case'!B14*$E1073))*'Business Case'!$B$7-'Business Case'!$B$8*('Business Case'!B11*$C1073*'Business Case'!B12*$B1073)-'Business Case'!B15*$F1073</f>
        <v>-2185461413.8319</v>
      </c>
      <c r="I1073" s="39" t="n">
        <f aca="false">(('Business Case'!C11*$C1073*'Business Case'!C12*$B1073)-'Business Case'!C11*$C1073*'Business Case'!C13*$D1073-'Business Case'!C14*$E1073)-MAX(0,(('Business Case'!C11*$C1073*'Business Case'!C12*$B1073)-'Business Case'!C11*$C1073*'Business Case'!C13*$D1073-'Business Case'!C14*$E1073))*'Business Case'!$B$7-'Business Case'!$B$8*(('Business Case'!C11*$C1073*'Business Case'!C12*$B1073)-('Business Case'!B11*$C1073*'Business Case'!B12*$B1073))-'Business Case'!C15*$F1073</f>
        <v>13566956.7466047</v>
      </c>
      <c r="J1073" s="39" t="n">
        <f aca="false">(('Business Case'!D11*$C1073*'Business Case'!D12*$B1073)-'Business Case'!D11*$C1073*'Business Case'!D13*$D1073-'Business Case'!D14*$E1073)-MAX(0,(('Business Case'!D11*$C1073*'Business Case'!D12*$B1073)-'Business Case'!D11*$C1073*'Business Case'!D13*$D1073-'Business Case'!D14*$E1073))*'Business Case'!$B$7-'Business Case'!$B$8*(('Business Case'!D11*$C1073*'Business Case'!D12*$B1073)-('Business Case'!C11*$C1073*'Business Case'!C12*$B1073))-'Business Case'!D15*$F1073</f>
        <v>329731915.283929</v>
      </c>
      <c r="K1073" s="39" t="n">
        <f aca="false">(('Business Case'!E11*$C1073*'Business Case'!E12*$B1073)-'Business Case'!E11*$C1073*'Business Case'!E13*$D1073-'Business Case'!E14*$E1073)-MAX(0,(('Business Case'!E11*$C1073*'Business Case'!E12*$B1073)-'Business Case'!E11*$C1073*'Business Case'!E13*$D1073-'Business Case'!E14*$E1073))*'Business Case'!$B$7-'Business Case'!$B$8*(('Business Case'!E11*$C1073*'Business Case'!E12*$B1073)-('Business Case'!D11*$C1073*'Business Case'!D12*$B1073))-'Business Case'!E15*$F1073</f>
        <v>700533409.167051</v>
      </c>
      <c r="L1073" s="39" t="n">
        <f aca="false">(('Business Case'!F11*$C1073*'Business Case'!F12*$B1073)-'Business Case'!F11*$C1073*'Business Case'!F13*$D1073-'Business Case'!F14*$E1073)-MAX(0,(('Business Case'!F11*$C1073*'Business Case'!F12*$B1073)-'Business Case'!F11*$C1073*'Business Case'!F13*$D1073-'Business Case'!F14*$E1073))*'Business Case'!$B$7-'Business Case'!$B$8*(('Business Case'!F11*$C1073*'Business Case'!F12*$B1073)-('Business Case'!E11*$C1073*'Business Case'!E12*$B1073))-'Business Case'!F15*$F1073</f>
        <v>842820244.773094</v>
      </c>
      <c r="M1073" s="39" t="n">
        <f aca="false">(('Business Case'!G11*$C1073*'Business Case'!G12*$B1073)-'Business Case'!G11*$C1073*'Business Case'!G13*$D1073-'Business Case'!G14*$E1073)-MAX(0,(('Business Case'!G11*$C1073*'Business Case'!G12*$B1073)-'Business Case'!G11*$C1073*'Business Case'!G13*$D1073-'Business Case'!G14*$E1073))*'Business Case'!$B$7-'Business Case'!$B$8*(('Business Case'!G11*$C1073*'Business Case'!G12*$B1073)-('Business Case'!F11*$C1073*'Business Case'!F12*$B1073))-'Business Case'!G15*$F1073+'Business Case'!$B$8*('Business Case'!G11*$C1073*'Business Case'!G12*$B1073)</f>
        <v>1045762083.2879</v>
      </c>
      <c r="N1073" s="39" t="n">
        <f aca="false">IF(COUNT('Business Case'!B11:G11)=0,"",H1073+NPV(G1073,I1073:M1073))</f>
        <v>-142714908.781585</v>
      </c>
      <c r="P1073" s="40" t="n">
        <f aca="true">RAND()</f>
        <v>0.485886760599725</v>
      </c>
      <c r="Q1073" s="40" t="n">
        <f aca="true">RAND()</f>
        <v>0.907486145216126</v>
      </c>
      <c r="R1073" s="40" t="n">
        <f aca="true">RAND()</f>
        <v>0.523189334641991</v>
      </c>
      <c r="S1073" s="40" t="n">
        <f aca="true">RAND()</f>
        <v>0.0549642534091713</v>
      </c>
      <c r="T1073" s="40" t="n">
        <f aca="true">RAND()</f>
        <v>0.769865975224965</v>
      </c>
      <c r="U1073" s="40" t="n">
        <f aca="true">RAND()</f>
        <v>0.273521064033373</v>
      </c>
    </row>
    <row r="1074" customFormat="false" ht="15" hidden="false" customHeight="false" outlineLevel="0" collapsed="false">
      <c r="A1074" s="36" t="n">
        <v>994</v>
      </c>
      <c r="B1074" s="37" t="n">
        <f aca="false">1+IF($G$6=$E$6,$F$6,IF(P1074&lt;($F$6-$E$6)/($G$6-$E$6),$E$6+SQRT(P1074*($G$6-$E$6)*($F$6-$E$6)),$G$6-SQRT((1-P1074)*($G$6-$E$6)*($G$6-$F$6))))</f>
        <v>0.962407635375622</v>
      </c>
      <c r="C1074" s="37" t="n">
        <f aca="false">1+IF($G$7=$E$7,$F$7,IF(Q1074&lt;($F$7-$E$7)/($G$7-$E$7),$E$7+SQRT(Q1074*($G$7-$E$7)*($F$7-$E$7)),$G$7-SQRT((1-Q1074)*($G$7-$E$7)*($G$7-$F$7))))</f>
        <v>0.917158773979435</v>
      </c>
      <c r="D1074" s="37" t="n">
        <f aca="false">1+IF($G$8=$E$8,$F$8,IF(R1074&lt;($F$8-$E$8)/($G$8-$E$8),$E$8+SQRT(R1074*($G$8-$E$8)*($F$8-$E$8)),$G$8-SQRT((1-R1074)*($G$8-$E$8)*($G$8-$F$8))))</f>
        <v>0.996548382473787</v>
      </c>
      <c r="E1074" s="37" t="n">
        <f aca="false">1+IF($G$9=$E$9,$F$9,IF(S1074&lt;($F$9-$E$9)/($G$9-$E$9),$E$9+SQRT(S1074*($G$9-$E$9)*($F$9-$E$9)),$G$9-SQRT((1-S1074)*($G$9-$E$9)*($G$9-$F$9))))</f>
        <v>1.01903617071468</v>
      </c>
      <c r="F1074" s="37" t="n">
        <f aca="false">1+IF($G$10=$E$10,$F$10,IF(T1074&lt;($F$10-$E$10)/($G$10-$E$10),$E$10+SQRT(T1074*($G$10-$E$10)*($F$10-$E$10)),$G$10-SQRT((1-T1074)*($G$10-$E$10)*($G$10-$F$10))))</f>
        <v>1.0830388341719</v>
      </c>
      <c r="G1074" s="38" t="n">
        <f aca="false">IF($G$11=$E$11,$F$11,IF(U1074&lt;($F$11-$E$11)/($G$11-$E$11),$E$11+SQRT(U1074*($G$11-$E$11)*($F$11-$E$11)),$G$11-SQRT((1-U1074)*($G$11-$E$11)*($G$11-$F$11))))</f>
        <v>0.108910169741869</v>
      </c>
      <c r="H1074" s="39" t="n">
        <f aca="false">(('Business Case'!B11*$C1074*'Business Case'!B12*$B1074)-'Business Case'!B11*$C1074*'Business Case'!B13*$D1074-'Business Case'!B14*$E1074)-MAX(0,(('Business Case'!B11*$C1074*'Business Case'!B12*$B1074)-'Business Case'!B11*$C1074*'Business Case'!B13*$D1074-'Business Case'!B14*$E1074))*'Business Case'!$B$7-'Business Case'!$B$8*('Business Case'!B11*$C1074*'Business Case'!B12*$B1074)-'Business Case'!B15*$F1074</f>
        <v>-2166077668.34379</v>
      </c>
      <c r="I1074" s="39" t="n">
        <f aca="false">(('Business Case'!C11*$C1074*'Business Case'!C12*$B1074)-'Business Case'!C11*$C1074*'Business Case'!C13*$D1074-'Business Case'!C14*$E1074)-MAX(0,(('Business Case'!C11*$C1074*'Business Case'!C12*$B1074)-'Business Case'!C11*$C1074*'Business Case'!C13*$D1074-'Business Case'!C14*$E1074))*'Business Case'!$B$7-'Business Case'!$B$8*(('Business Case'!C11*$C1074*'Business Case'!C12*$B1074)-('Business Case'!B11*$C1074*'Business Case'!B12*$B1074))-'Business Case'!C15*$F1074</f>
        <v>-43881363.4822215</v>
      </c>
      <c r="J1074" s="39" t="n">
        <f aca="false">(('Business Case'!D11*$C1074*'Business Case'!D12*$B1074)-'Business Case'!D11*$C1074*'Business Case'!D13*$D1074-'Business Case'!D14*$E1074)-MAX(0,(('Business Case'!D11*$C1074*'Business Case'!D12*$B1074)-'Business Case'!D11*$C1074*'Business Case'!D13*$D1074-'Business Case'!D14*$E1074))*'Business Case'!$B$7-'Business Case'!$B$8*(('Business Case'!D11*$C1074*'Business Case'!D12*$B1074)-('Business Case'!C11*$C1074*'Business Case'!C12*$B1074))-'Business Case'!D15*$F1074</f>
        <v>211206262.591601</v>
      </c>
      <c r="K1074" s="39" t="n">
        <f aca="false">(('Business Case'!E11*$C1074*'Business Case'!E12*$B1074)-'Business Case'!E11*$C1074*'Business Case'!E13*$D1074-'Business Case'!E14*$E1074)-MAX(0,(('Business Case'!E11*$C1074*'Business Case'!E12*$B1074)-'Business Case'!E11*$C1074*'Business Case'!E13*$D1074-'Business Case'!E14*$E1074))*'Business Case'!$B$7-'Business Case'!$B$8*(('Business Case'!E11*$C1074*'Business Case'!E12*$B1074)-('Business Case'!D11*$C1074*'Business Case'!D12*$B1074))-'Business Case'!E15*$F1074</f>
        <v>520445830.374019</v>
      </c>
      <c r="L1074" s="39" t="n">
        <f aca="false">(('Business Case'!F11*$C1074*'Business Case'!F12*$B1074)-'Business Case'!F11*$C1074*'Business Case'!F13*$D1074-'Business Case'!F14*$E1074)-MAX(0,(('Business Case'!F11*$C1074*'Business Case'!F12*$B1074)-'Business Case'!F11*$C1074*'Business Case'!F13*$D1074-'Business Case'!F14*$E1074))*'Business Case'!$B$7-'Business Case'!$B$8*(('Business Case'!F11*$C1074*'Business Case'!F12*$B1074)-('Business Case'!E11*$C1074*'Business Case'!E12*$B1074))-'Business Case'!F15*$F1074</f>
        <v>635980480.840779</v>
      </c>
      <c r="M1074" s="39" t="n">
        <f aca="false">(('Business Case'!G11*$C1074*'Business Case'!G12*$B1074)-'Business Case'!G11*$C1074*'Business Case'!G13*$D1074-'Business Case'!G14*$E1074)-MAX(0,(('Business Case'!G11*$C1074*'Business Case'!G12*$B1074)-'Business Case'!G11*$C1074*'Business Case'!G13*$D1074-'Business Case'!G14*$E1074))*'Business Case'!$B$7-'Business Case'!$B$8*(('Business Case'!G11*$C1074*'Business Case'!G12*$B1074)-('Business Case'!F11*$C1074*'Business Case'!F12*$B1074))-'Business Case'!G15*$F1074+'Business Case'!$B$8*('Business Case'!G11*$C1074*'Business Case'!G12*$B1074)</f>
        <v>803760410.605948</v>
      </c>
      <c r="N1074" s="39" t="n">
        <f aca="false">IF(COUNT('Business Case'!B11:G11)=0,"",H1074+NPV(G1074,I1074:M1074))</f>
        <v>-752293210.951574</v>
      </c>
      <c r="P1074" s="40" t="n">
        <f aca="true">RAND()</f>
        <v>0.18733411855747</v>
      </c>
      <c r="Q1074" s="40" t="n">
        <f aca="true">RAND()</f>
        <v>0.19608826171949</v>
      </c>
      <c r="R1074" s="40" t="n">
        <f aca="true">RAND()</f>
        <v>0.333346447834768</v>
      </c>
      <c r="S1074" s="40" t="n">
        <f aca="true">RAND()</f>
        <v>0.562990556497118</v>
      </c>
      <c r="T1074" s="40" t="n">
        <f aca="true">RAND()</f>
        <v>0.726401713762613</v>
      </c>
      <c r="U1074" s="40" t="n">
        <f aca="true">RAND()</f>
        <v>0.795026108076417</v>
      </c>
    </row>
    <row r="1075" customFormat="false" ht="15" hidden="false" customHeight="false" outlineLevel="0" collapsed="false">
      <c r="A1075" s="36" t="n">
        <v>995</v>
      </c>
      <c r="B1075" s="37" t="n">
        <f aca="false">1+IF($G$6=$E$6,$F$6,IF(P1075&lt;($F$6-$E$6)/($G$6-$E$6),$E$6+SQRT(P1075*($G$6-$E$6)*($F$6-$E$6)),$G$6-SQRT((1-P1075)*($G$6-$E$6)*($G$6-$F$6))))</f>
        <v>1.00874632507294</v>
      </c>
      <c r="C1075" s="37" t="n">
        <f aca="false">1+IF($G$7=$E$7,$F$7,IF(Q1075&lt;($F$7-$E$7)/($G$7-$E$7),$E$7+SQRT(Q1075*($G$7-$E$7)*($F$7-$E$7)),$G$7-SQRT((1-Q1075)*($G$7-$E$7)*($G$7-$F$7))))</f>
        <v>0.842171882754872</v>
      </c>
      <c r="D1075" s="37" t="n">
        <f aca="false">1+IF($G$8=$E$8,$F$8,IF(R1075&lt;($F$8-$E$8)/($G$8-$E$8),$E$8+SQRT(R1075*($G$8-$E$8)*($F$8-$E$8)),$G$8-SQRT((1-R1075)*($G$8-$E$8)*($G$8-$F$8))))</f>
        <v>0.989572175517006</v>
      </c>
      <c r="E1075" s="37" t="n">
        <f aca="false">1+IF($G$9=$E$9,$F$9,IF(S1075&lt;($F$9-$E$9)/($G$9-$E$9),$E$9+SQRT(S1075*($G$9-$E$9)*($F$9-$E$9)),$G$9-SQRT((1-S1075)*($G$9-$E$9)*($G$9-$F$9))))</f>
        <v>0.995806914399733</v>
      </c>
      <c r="F1075" s="37" t="n">
        <f aca="false">1+IF($G$10=$E$10,$F$10,IF(T1075&lt;($F$10-$E$10)/($G$10-$E$10),$E$10+SQRT(T1075*($G$10-$E$10)*($F$10-$E$10)),$G$10-SQRT((1-T1075)*($G$10-$E$10)*($G$10-$F$10))))</f>
        <v>1.00822463441697</v>
      </c>
      <c r="G1075" s="38" t="n">
        <f aca="false">IF($G$11=$E$11,$F$11,IF(U1075&lt;($F$11-$E$11)/($G$11-$E$11),$E$11+SQRT(U1075*($G$11-$E$11)*($F$11-$E$11)),$G$11-SQRT((1-U1075)*($G$11-$E$11)*($G$11-$F$11))))</f>
        <v>0.104975794703367</v>
      </c>
      <c r="H1075" s="39" t="n">
        <f aca="false">(('Business Case'!B11*$C1075*'Business Case'!B12*$B1075)-'Business Case'!B11*$C1075*'Business Case'!B13*$D1075-'Business Case'!B14*$E1075)-MAX(0,(('Business Case'!B11*$C1075*'Business Case'!B12*$B1075)-'Business Case'!B11*$C1075*'Business Case'!B13*$D1075-'Business Case'!B14*$E1075))*'Business Case'!$B$7-'Business Case'!$B$8*('Business Case'!B11*$C1075*'Business Case'!B12*$B1075)-'Business Case'!B15*$F1075</f>
        <v>-2016449268.83395</v>
      </c>
      <c r="I1075" s="39" t="n">
        <f aca="false">(('Business Case'!C11*$C1075*'Business Case'!C12*$B1075)-'Business Case'!C11*$C1075*'Business Case'!C13*$D1075-'Business Case'!C14*$E1075)-MAX(0,(('Business Case'!C11*$C1075*'Business Case'!C12*$B1075)-'Business Case'!C11*$C1075*'Business Case'!C13*$D1075-'Business Case'!C14*$E1075))*'Business Case'!$B$7-'Business Case'!$B$8*(('Business Case'!C11*$C1075*'Business Case'!C12*$B1075)-('Business Case'!B11*$C1075*'Business Case'!B12*$B1075))-'Business Case'!C15*$F1075</f>
        <v>-17262565.8299878</v>
      </c>
      <c r="J1075" s="39" t="n">
        <f aca="false">(('Business Case'!D11*$C1075*'Business Case'!D12*$B1075)-'Business Case'!D11*$C1075*'Business Case'!D13*$D1075-'Business Case'!D14*$E1075)-MAX(0,(('Business Case'!D11*$C1075*'Business Case'!D12*$B1075)-'Business Case'!D11*$C1075*'Business Case'!D13*$D1075-'Business Case'!D14*$E1075))*'Business Case'!$B$7-'Business Case'!$B$8*(('Business Case'!D11*$C1075*'Business Case'!D12*$B1075)-('Business Case'!C11*$C1075*'Business Case'!C12*$B1075))-'Business Case'!D15*$F1075</f>
        <v>251941114.136728</v>
      </c>
      <c r="K1075" s="39" t="n">
        <f aca="false">(('Business Case'!E11*$C1075*'Business Case'!E12*$B1075)-'Business Case'!E11*$C1075*'Business Case'!E13*$D1075-'Business Case'!E14*$E1075)-MAX(0,(('Business Case'!E11*$C1075*'Business Case'!E12*$B1075)-'Business Case'!E11*$C1075*'Business Case'!E13*$D1075-'Business Case'!E14*$E1075))*'Business Case'!$B$7-'Business Case'!$B$8*(('Business Case'!E11*$C1075*'Business Case'!E12*$B1075)-('Business Case'!D11*$C1075*'Business Case'!D12*$B1075))-'Business Case'!E15*$F1075</f>
        <v>571556025.824294</v>
      </c>
      <c r="L1075" s="39" t="n">
        <f aca="false">(('Business Case'!F11*$C1075*'Business Case'!F12*$B1075)-'Business Case'!F11*$C1075*'Business Case'!F13*$D1075-'Business Case'!F14*$E1075)-MAX(0,(('Business Case'!F11*$C1075*'Business Case'!F12*$B1075)-'Business Case'!F11*$C1075*'Business Case'!F13*$D1075-'Business Case'!F14*$E1075))*'Business Case'!$B$7-'Business Case'!$B$8*(('Business Case'!F11*$C1075*'Business Case'!F12*$B1075)-('Business Case'!E11*$C1075*'Business Case'!E12*$B1075))-'Business Case'!F15*$F1075</f>
        <v>690650611.898109</v>
      </c>
      <c r="M1075" s="39" t="n">
        <f aca="false">(('Business Case'!G11*$C1075*'Business Case'!G12*$B1075)-'Business Case'!G11*$C1075*'Business Case'!G13*$D1075-'Business Case'!G14*$E1075)-MAX(0,(('Business Case'!G11*$C1075*'Business Case'!G12*$B1075)-'Business Case'!G11*$C1075*'Business Case'!G13*$D1075-'Business Case'!G14*$E1075))*'Business Case'!$B$7-'Business Case'!$B$8*(('Business Case'!G11*$C1075*'Business Case'!G12*$B1075)-('Business Case'!F11*$C1075*'Business Case'!F12*$B1075))-'Business Case'!G15*$F1075+'Business Case'!$B$8*('Business Case'!G11*$C1075*'Business Case'!G12*$B1075)</f>
        <v>852130755.365113</v>
      </c>
      <c r="N1075" s="39" t="n">
        <f aca="false">IF(COUNT('Business Case'!B11:G11)=0,"",H1075+NPV(G1075,I1075:M1075))</f>
        <v>-421499610.133475</v>
      </c>
      <c r="P1075" s="40" t="n">
        <f aca="true">RAND()</f>
        <v>0.796501625740286</v>
      </c>
      <c r="Q1075" s="40" t="n">
        <f aca="true">RAND()</f>
        <v>0.0254066813584381</v>
      </c>
      <c r="R1075" s="40" t="n">
        <f aca="true">RAND()</f>
        <v>0.240916473099803</v>
      </c>
      <c r="S1075" s="40" t="n">
        <f aca="true">RAND()</f>
        <v>0.279769787576599</v>
      </c>
      <c r="T1075" s="40" t="n">
        <f aca="true">RAND()</f>
        <v>0.264444183109934</v>
      </c>
      <c r="U1075" s="40" t="n">
        <f aca="true">RAND()</f>
        <v>0.623788758674357</v>
      </c>
    </row>
    <row r="1076" customFormat="false" ht="15" hidden="false" customHeight="false" outlineLevel="0" collapsed="false">
      <c r="A1076" s="36" t="n">
        <v>996</v>
      </c>
      <c r="B1076" s="37" t="n">
        <f aca="false">1+IF($G$6=$E$6,$F$6,IF(P1076&lt;($F$6-$E$6)/($G$6-$E$6),$E$6+SQRT(P1076*($G$6-$E$6)*($F$6-$E$6)),$G$6-SQRT((1-P1076)*($G$6-$E$6)*($G$6-$F$6))))</f>
        <v>0.965238377258983</v>
      </c>
      <c r="C1076" s="37" t="n">
        <f aca="false">1+IF($G$7=$E$7,$F$7,IF(Q1076&lt;($F$7-$E$7)/($G$7-$E$7),$E$7+SQRT(Q1076*($G$7-$E$7)*($F$7-$E$7)),$G$7-SQRT((1-Q1076)*($G$7-$E$7)*($G$7-$F$7))))</f>
        <v>1.07282013311015</v>
      </c>
      <c r="D1076" s="37" t="n">
        <f aca="false">1+IF($G$8=$E$8,$F$8,IF(R1076&lt;($F$8-$E$8)/($G$8-$E$8),$E$8+SQRT(R1076*($G$8-$E$8)*($F$8-$E$8)),$G$8-SQRT((1-R1076)*($G$8-$E$8)*($G$8-$F$8))))</f>
        <v>0.979315914927031</v>
      </c>
      <c r="E1076" s="37" t="n">
        <f aca="false">1+IF($G$9=$E$9,$F$9,IF(S1076&lt;($F$9-$E$9)/($G$9-$E$9),$E$9+SQRT(S1076*($G$9-$E$9)*($F$9-$E$9)),$G$9-SQRT((1-S1076)*($G$9-$E$9)*($G$9-$F$9))))</f>
        <v>0.993817334135952</v>
      </c>
      <c r="F1076" s="37" t="n">
        <f aca="false">1+IF($G$10=$E$10,$F$10,IF(T1076&lt;($F$10-$E$10)/($G$10-$E$10),$E$10+SQRT(T1076*($G$10-$E$10)*($F$10-$E$10)),$G$10-SQRT((1-T1076)*($G$10-$E$10)*($G$10-$F$10))))</f>
        <v>0.975449187981349</v>
      </c>
      <c r="G1076" s="38" t="n">
        <f aca="false">IF($G$11=$E$11,$F$11,IF(U1076&lt;($F$11-$E$11)/($G$11-$E$11),$E$11+SQRT(U1076*($G$11-$E$11)*($F$11-$E$11)),$G$11-SQRT((1-U1076)*($G$11-$E$11)*($G$11-$F$11))))</f>
        <v>0.101831955894146</v>
      </c>
      <c r="H1076" s="39" t="n">
        <f aca="false">(('Business Case'!B11*$C1076*'Business Case'!B12*$B1076)-'Business Case'!B11*$C1076*'Business Case'!B13*$D1076-'Business Case'!B14*$E1076)-MAX(0,(('Business Case'!B11*$C1076*'Business Case'!B12*$B1076)-'Business Case'!B11*$C1076*'Business Case'!B13*$D1076-'Business Case'!B14*$E1076))*'Business Case'!$B$7-'Business Case'!$B$8*('Business Case'!B11*$C1076*'Business Case'!B12*$B1076)-'Business Case'!B15*$F1076</f>
        <v>-1950898375.9627</v>
      </c>
      <c r="I1076" s="39" t="n">
        <f aca="false">(('Business Case'!C11*$C1076*'Business Case'!C12*$B1076)-'Business Case'!C11*$C1076*'Business Case'!C13*$D1076-'Business Case'!C14*$E1076)-MAX(0,(('Business Case'!C11*$C1076*'Business Case'!C12*$B1076)-'Business Case'!C11*$C1076*'Business Case'!C13*$D1076-'Business Case'!C14*$E1076))*'Business Case'!$B$7-'Business Case'!$B$8*(('Business Case'!C11*$C1076*'Business Case'!C12*$B1076)-('Business Case'!B11*$C1076*'Business Case'!B12*$B1076))-'Business Case'!C15*$F1076</f>
        <v>17785410.9841893</v>
      </c>
      <c r="J1076" s="39" t="n">
        <f aca="false">(('Business Case'!D11*$C1076*'Business Case'!D12*$B1076)-'Business Case'!D11*$C1076*'Business Case'!D13*$D1076-'Business Case'!D14*$E1076)-MAX(0,(('Business Case'!D11*$C1076*'Business Case'!D12*$B1076)-'Business Case'!D11*$C1076*'Business Case'!D13*$D1076-'Business Case'!D14*$E1076))*'Business Case'!$B$7-'Business Case'!$B$8*(('Business Case'!D11*$C1076*'Business Case'!D12*$B1076)-('Business Case'!C11*$C1076*'Business Case'!C12*$B1076))-'Business Case'!D15*$F1076</f>
        <v>328118293.881795</v>
      </c>
      <c r="K1076" s="39" t="n">
        <f aca="false">(('Business Case'!E11*$C1076*'Business Case'!E12*$B1076)-'Business Case'!E11*$C1076*'Business Case'!E13*$D1076-'Business Case'!E14*$E1076)-MAX(0,(('Business Case'!E11*$C1076*'Business Case'!E12*$B1076)-'Business Case'!E11*$C1076*'Business Case'!E13*$D1076-'Business Case'!E14*$E1076))*'Business Case'!$B$7-'Business Case'!$B$8*(('Business Case'!E11*$C1076*'Business Case'!E12*$B1076)-('Business Case'!D11*$C1076*'Business Case'!D12*$B1076))-'Business Case'!E15*$F1076</f>
        <v>687223636.178467</v>
      </c>
      <c r="L1076" s="39" t="n">
        <f aca="false">(('Business Case'!F11*$C1076*'Business Case'!F12*$B1076)-'Business Case'!F11*$C1076*'Business Case'!F13*$D1076-'Business Case'!F14*$E1076)-MAX(0,(('Business Case'!F11*$C1076*'Business Case'!F12*$B1076)-'Business Case'!F11*$C1076*'Business Case'!F13*$D1076-'Business Case'!F14*$E1076))*'Business Case'!$B$7-'Business Case'!$B$8*(('Business Case'!F11*$C1076*'Business Case'!F12*$B1076)-('Business Case'!E11*$C1076*'Business Case'!E12*$B1076))-'Business Case'!F15*$F1076</f>
        <v>826455749.278436</v>
      </c>
      <c r="M1076" s="39" t="n">
        <f aca="false">(('Business Case'!G11*$C1076*'Business Case'!G12*$B1076)-'Business Case'!G11*$C1076*'Business Case'!G13*$D1076-'Business Case'!G14*$E1076)-MAX(0,(('Business Case'!G11*$C1076*'Business Case'!G12*$B1076)-'Business Case'!G11*$C1076*'Business Case'!G13*$D1076-'Business Case'!G14*$E1076))*'Business Case'!$B$7-'Business Case'!$B$8*(('Business Case'!G11*$C1076*'Business Case'!G12*$B1076)-('Business Case'!F11*$C1076*'Business Case'!F12*$B1076))-'Business Case'!G15*$F1076+'Business Case'!$B$8*('Business Case'!G11*$C1076*'Business Case'!G12*$B1076)</f>
        <v>1023288752.68265</v>
      </c>
      <c r="N1076" s="39" t="n">
        <f aca="false">IF(COUNT('Business Case'!B11:G11)=0,"",H1076+NPV(G1076,I1076:M1076))</f>
        <v>40117549.5078564</v>
      </c>
      <c r="P1076" s="40" t="n">
        <f aca="true">RAND()</f>
        <v>0.213178205940219</v>
      </c>
      <c r="Q1076" s="40" t="n">
        <f aca="true">RAND()</f>
        <v>0.886538440892678</v>
      </c>
      <c r="R1076" s="40" t="n">
        <f aca="true">RAND()</f>
        <v>0.132218902770601</v>
      </c>
      <c r="S1076" s="40" t="n">
        <f aca="true">RAND()</f>
        <v>0.255994502770883</v>
      </c>
      <c r="T1076" s="40" t="n">
        <f aca="true">RAND()</f>
        <v>0.0518128935128046</v>
      </c>
      <c r="U1076" s="40" t="n">
        <f aca="true">RAND()</f>
        <v>0.449870288946257</v>
      </c>
    </row>
    <row r="1077" customFormat="false" ht="15" hidden="false" customHeight="false" outlineLevel="0" collapsed="false">
      <c r="A1077" s="36" t="n">
        <v>997</v>
      </c>
      <c r="B1077" s="37" t="n">
        <f aca="false">1+IF($G$6=$E$6,$F$6,IF(P1077&lt;($F$6-$E$6)/($G$6-$E$6),$E$6+SQRT(P1077*($G$6-$E$6)*($F$6-$E$6)),$G$6-SQRT((1-P1077)*($G$6-$E$6)*($G$6-$F$6))))</f>
        <v>0.936893084949712</v>
      </c>
      <c r="C1077" s="37" t="n">
        <f aca="false">1+IF($G$7=$E$7,$F$7,IF(Q1077&lt;($F$7-$E$7)/($G$7-$E$7),$E$7+SQRT(Q1077*($G$7-$E$7)*($F$7-$E$7)),$G$7-SQRT((1-Q1077)*($G$7-$E$7)*($G$7-$F$7))))</f>
        <v>0.97836998060381</v>
      </c>
      <c r="D1077" s="37" t="n">
        <f aca="false">1+IF($G$8=$E$8,$F$8,IF(R1077&lt;($F$8-$E$8)/($G$8-$E$8),$E$8+SQRT(R1077*($G$8-$E$8)*($F$8-$E$8)),$G$8-SQRT((1-R1077)*($G$8-$E$8)*($G$8-$F$8))))</f>
        <v>0.994516092788471</v>
      </c>
      <c r="E1077" s="37" t="n">
        <f aca="false">1+IF($G$9=$E$9,$F$9,IF(S1077&lt;($F$9-$E$9)/($G$9-$E$9),$E$9+SQRT(S1077*($G$9-$E$9)*($F$9-$E$9)),$G$9-SQRT((1-S1077)*($G$9-$E$9)*($G$9-$F$9))))</f>
        <v>1.02690448168005</v>
      </c>
      <c r="F1077" s="37" t="n">
        <f aca="false">1+IF($G$10=$E$10,$F$10,IF(T1077&lt;($F$10-$E$10)/($G$10-$E$10),$E$10+SQRT(T1077*($G$10-$E$10)*($F$10-$E$10)),$G$10-SQRT((1-T1077)*($G$10-$E$10)*($G$10-$F$10))))</f>
        <v>1.02683451311769</v>
      </c>
      <c r="G1077" s="38" t="n">
        <f aca="false">IF($G$11=$E$11,$F$11,IF(U1077&lt;($F$11-$E$11)/($G$11-$E$11),$E$11+SQRT(U1077*($G$11-$E$11)*($F$11-$E$11)),$G$11-SQRT((1-U1077)*($G$11-$E$11)*($G$11-$F$11))))</f>
        <v>0.0977180112002015</v>
      </c>
      <c r="H1077" s="39" t="n">
        <f aca="false">(('Business Case'!B11*$C1077*'Business Case'!B12*$B1077)-'Business Case'!B11*$C1077*'Business Case'!B13*$D1077-'Business Case'!B14*$E1077)-MAX(0,(('Business Case'!B11*$C1077*'Business Case'!B12*$B1077)-'Business Case'!B11*$C1077*'Business Case'!B13*$D1077-'Business Case'!B14*$E1077))*'Business Case'!$B$7-'Business Case'!$B$8*('Business Case'!B11*$C1077*'Business Case'!B12*$B1077)-'Business Case'!B15*$F1077</f>
        <v>-2053669026.23537</v>
      </c>
      <c r="I1077" s="39" t="n">
        <f aca="false">(('Business Case'!C11*$C1077*'Business Case'!C12*$B1077)-'Business Case'!C11*$C1077*'Business Case'!C13*$D1077-'Business Case'!C14*$E1077)-MAX(0,(('Business Case'!C11*$C1077*'Business Case'!C12*$B1077)-'Business Case'!C11*$C1077*'Business Case'!C13*$D1077-'Business Case'!C14*$E1077))*'Business Case'!$B$7-'Business Case'!$B$8*(('Business Case'!C11*$C1077*'Business Case'!C12*$B1077)-('Business Case'!B11*$C1077*'Business Case'!B12*$B1077))-'Business Case'!C15*$F1077</f>
        <v>-43543442.8185846</v>
      </c>
      <c r="J1077" s="39" t="n">
        <f aca="false">(('Business Case'!D11*$C1077*'Business Case'!D12*$B1077)-'Business Case'!D11*$C1077*'Business Case'!D13*$D1077-'Business Case'!D14*$E1077)-MAX(0,(('Business Case'!D11*$C1077*'Business Case'!D12*$B1077)-'Business Case'!D11*$C1077*'Business Case'!D13*$D1077-'Business Case'!D14*$E1077))*'Business Case'!$B$7-'Business Case'!$B$8*(('Business Case'!D11*$C1077*'Business Case'!D12*$B1077)-('Business Case'!C11*$C1077*'Business Case'!C12*$B1077))-'Business Case'!D15*$F1077</f>
        <v>209140382.084611</v>
      </c>
      <c r="K1077" s="39" t="n">
        <f aca="false">(('Business Case'!E11*$C1077*'Business Case'!E12*$B1077)-'Business Case'!E11*$C1077*'Business Case'!E13*$D1077-'Business Case'!E14*$E1077)-MAX(0,(('Business Case'!E11*$C1077*'Business Case'!E12*$B1077)-'Business Case'!E11*$C1077*'Business Case'!E13*$D1077-'Business Case'!E14*$E1077))*'Business Case'!$B$7-'Business Case'!$B$8*(('Business Case'!E11*$C1077*'Business Case'!E12*$B1077)-('Business Case'!D11*$C1077*'Business Case'!D12*$B1077))-'Business Case'!E15*$F1077</f>
        <v>513165932.643692</v>
      </c>
      <c r="L1077" s="39" t="n">
        <f aca="false">(('Business Case'!F11*$C1077*'Business Case'!F12*$B1077)-'Business Case'!F11*$C1077*'Business Case'!F13*$D1077-'Business Case'!F14*$E1077)-MAX(0,(('Business Case'!F11*$C1077*'Business Case'!F12*$B1077)-'Business Case'!F11*$C1077*'Business Case'!F13*$D1077-'Business Case'!F14*$E1077))*'Business Case'!$B$7-'Business Case'!$B$8*(('Business Case'!F11*$C1077*'Business Case'!F12*$B1077)-('Business Case'!E11*$C1077*'Business Case'!E12*$B1077))-'Business Case'!F15*$F1077</f>
        <v>629072540.35483</v>
      </c>
      <c r="M1077" s="39" t="n">
        <f aca="false">(('Business Case'!G11*$C1077*'Business Case'!G12*$B1077)-'Business Case'!G11*$C1077*'Business Case'!G13*$D1077-'Business Case'!G14*$E1077)-MAX(0,(('Business Case'!G11*$C1077*'Business Case'!G12*$B1077)-'Business Case'!G11*$C1077*'Business Case'!G13*$D1077-'Business Case'!G14*$E1077))*'Business Case'!$B$7-'Business Case'!$B$8*(('Business Case'!G11*$C1077*'Business Case'!G12*$B1077)-('Business Case'!F11*$C1077*'Business Case'!F12*$B1077))-'Business Case'!G15*$F1077+'Business Case'!$B$8*('Business Case'!G11*$C1077*'Business Case'!G12*$B1077)</f>
        <v>803305203.776895</v>
      </c>
      <c r="N1077" s="39" t="n">
        <f aca="false">IF(COUNT('Business Case'!B11:G11)=0,"",H1077+NPV(G1077,I1077:M1077))</f>
        <v>-594570475.668341</v>
      </c>
      <c r="P1077" s="40" t="n">
        <f aca="true">RAND()</f>
        <v>0.0297266999081436</v>
      </c>
      <c r="Q1077" s="40" t="n">
        <f aca="true">RAND()</f>
        <v>0.454512142580051</v>
      </c>
      <c r="R1077" s="40" t="n">
        <f aca="true">RAND()</f>
        <v>0.304874233407967</v>
      </c>
      <c r="S1077" s="40" t="n">
        <f aca="true">RAND()</f>
        <v>0.64380301343587</v>
      </c>
      <c r="T1077" s="40" t="n">
        <f aca="true">RAND()</f>
        <v>0.400274283056219</v>
      </c>
      <c r="U1077" s="40" t="n">
        <f aca="true">RAND()</f>
        <v>0.198558989621451</v>
      </c>
    </row>
    <row r="1078" customFormat="false" ht="15" hidden="false" customHeight="false" outlineLevel="0" collapsed="false">
      <c r="A1078" s="36" t="n">
        <v>998</v>
      </c>
      <c r="B1078" s="37" t="n">
        <f aca="false">1+IF($G$6=$E$6,$F$6,IF(P1078&lt;($F$6-$E$6)/($G$6-$E$6),$E$6+SQRT(P1078*($G$6-$E$6)*($F$6-$E$6)),$G$6-SQRT((1-P1078)*($G$6-$E$6)*($G$6-$F$6))))</f>
        <v>1.01477755732345</v>
      </c>
      <c r="C1078" s="37" t="n">
        <f aca="false">1+IF($G$7=$E$7,$F$7,IF(Q1078&lt;($F$7-$E$7)/($G$7-$E$7),$E$7+SQRT(Q1078*($G$7-$E$7)*($F$7-$E$7)),$G$7-SQRT((1-Q1078)*($G$7-$E$7)*($G$7-$F$7))))</f>
        <v>1.14124133847324</v>
      </c>
      <c r="D1078" s="37" t="n">
        <f aca="false">1+IF($G$8=$E$8,$F$8,IF(R1078&lt;($F$8-$E$8)/($G$8-$E$8),$E$8+SQRT(R1078*($G$8-$E$8)*($F$8-$E$8)),$G$8-SQRT((1-R1078)*($G$8-$E$8)*($G$8-$F$8))))</f>
        <v>0.983411735872701</v>
      </c>
      <c r="E1078" s="37" t="n">
        <f aca="false">1+IF($G$9=$E$9,$F$9,IF(S1078&lt;($F$9-$E$9)/($G$9-$E$9),$E$9+SQRT(S1078*($G$9-$E$9)*($F$9-$E$9)),$G$9-SQRT((1-S1078)*($G$9-$E$9)*($G$9-$F$9))))</f>
        <v>1.00224338201774</v>
      </c>
      <c r="F1078" s="37" t="n">
        <f aca="false">1+IF($G$10=$E$10,$F$10,IF(T1078&lt;($F$10-$E$10)/($G$10-$E$10),$E$10+SQRT(T1078*($G$10-$E$10)*($F$10-$E$10)),$G$10-SQRT((1-T1078)*($G$10-$E$10)*($G$10-$F$10))))</f>
        <v>0.964245229254358</v>
      </c>
      <c r="G1078" s="38" t="n">
        <f aca="false">IF($G$11=$E$11,$F$11,IF(U1078&lt;($F$11-$E$11)/($G$11-$E$11),$E$11+SQRT(U1078*($G$11-$E$11)*($F$11-$E$11)),$G$11-SQRT((1-U1078)*($G$11-$E$11)*($G$11-$F$11))))</f>
        <v>0.0937500906034459</v>
      </c>
      <c r="H1078" s="39" t="n">
        <f aca="false">(('Business Case'!B11*$C1078*'Business Case'!B12*$B1078)-'Business Case'!B11*$C1078*'Business Case'!B13*$D1078-'Business Case'!B14*$E1078)-MAX(0,(('Business Case'!B11*$C1078*'Business Case'!B12*$B1078)-'Business Case'!B11*$C1078*'Business Case'!B13*$D1078-'Business Case'!B14*$E1078))*'Business Case'!$B$7-'Business Case'!$B$8*('Business Case'!B11*$C1078*'Business Case'!B12*$B1078)-'Business Case'!B15*$F1078</f>
        <v>-1928490458.50872</v>
      </c>
      <c r="I1078" s="39" t="n">
        <f aca="false">(('Business Case'!C11*$C1078*'Business Case'!C12*$B1078)-'Business Case'!C11*$C1078*'Business Case'!C13*$D1078-'Business Case'!C14*$E1078)-MAX(0,(('Business Case'!C11*$C1078*'Business Case'!C12*$B1078)-'Business Case'!C11*$C1078*'Business Case'!C13*$D1078-'Business Case'!C14*$E1078))*'Business Case'!$B$7-'Business Case'!$B$8*(('Business Case'!C11*$C1078*'Business Case'!C12*$B1078)-('Business Case'!B11*$C1078*'Business Case'!B12*$B1078))-'Business Case'!C15*$F1078</f>
        <v>75059526.2003903</v>
      </c>
      <c r="J1078" s="39" t="n">
        <f aca="false">(('Business Case'!D11*$C1078*'Business Case'!D12*$B1078)-'Business Case'!D11*$C1078*'Business Case'!D13*$D1078-'Business Case'!D14*$E1078)-MAX(0,(('Business Case'!D11*$C1078*'Business Case'!D12*$B1078)-'Business Case'!D11*$C1078*'Business Case'!D13*$D1078-'Business Case'!D14*$E1078))*'Business Case'!$B$7-'Business Case'!$B$8*(('Business Case'!D11*$C1078*'Business Case'!D12*$B1078)-('Business Case'!C11*$C1078*'Business Case'!C12*$B1078))-'Business Case'!D15*$F1078</f>
        <v>449098804.357661</v>
      </c>
      <c r="K1078" s="39" t="n">
        <f aca="false">(('Business Case'!E11*$C1078*'Business Case'!E12*$B1078)-'Business Case'!E11*$C1078*'Business Case'!E13*$D1078-'Business Case'!E14*$E1078)-MAX(0,(('Business Case'!E11*$C1078*'Business Case'!E12*$B1078)-'Business Case'!E11*$C1078*'Business Case'!E13*$D1078-'Business Case'!E14*$E1078))*'Business Case'!$B$7-'Business Case'!$B$8*(('Business Case'!E11*$C1078*'Business Case'!E12*$B1078)-('Business Case'!D11*$C1078*'Business Case'!D12*$B1078))-'Business Case'!E15*$F1078</f>
        <v>871350343.977651</v>
      </c>
      <c r="L1078" s="39" t="n">
        <f aca="false">(('Business Case'!F11*$C1078*'Business Case'!F12*$B1078)-'Business Case'!F11*$C1078*'Business Case'!F13*$D1078-'Business Case'!F14*$E1078)-MAX(0,(('Business Case'!F11*$C1078*'Business Case'!F12*$B1078)-'Business Case'!F11*$C1078*'Business Case'!F13*$D1078-'Business Case'!F14*$E1078))*'Business Case'!$B$7-'Business Case'!$B$8*(('Business Case'!F11*$C1078*'Business Case'!F12*$B1078)-('Business Case'!E11*$C1078*'Business Case'!E12*$B1078))-'Business Case'!F15*$F1078</f>
        <v>1036054250.10242</v>
      </c>
      <c r="M1078" s="39" t="n">
        <f aca="false">(('Business Case'!G11*$C1078*'Business Case'!G12*$B1078)-'Business Case'!G11*$C1078*'Business Case'!G13*$D1078-'Business Case'!G14*$E1078)-MAX(0,(('Business Case'!G11*$C1078*'Business Case'!G12*$B1078)-'Business Case'!G11*$C1078*'Business Case'!G13*$D1078-'Business Case'!G14*$E1078))*'Business Case'!$B$7-'Business Case'!$B$8*(('Business Case'!G11*$C1078*'Business Case'!G12*$B1078)-('Business Case'!F11*$C1078*'Business Case'!F12*$B1078))-'Business Case'!G15*$F1078+'Business Case'!$B$8*('Business Case'!G11*$C1078*'Business Case'!G12*$B1078)</f>
        <v>1256187057.167</v>
      </c>
      <c r="N1078" s="39" t="n">
        <f aca="false">IF(COUNT('Business Case'!B11:G11)=0,"",H1078+NPV(G1078,I1078:M1078))</f>
        <v>707977677.17733</v>
      </c>
      <c r="P1078" s="40" t="n">
        <f aca="true">RAND()</f>
        <v>0.867464246964205</v>
      </c>
      <c r="Q1078" s="40" t="n">
        <f aca="true">RAND()</f>
        <v>0.998538778062089</v>
      </c>
      <c r="R1078" s="40" t="n">
        <f aca="true">RAND()</f>
        <v>0.17174524523494</v>
      </c>
      <c r="S1078" s="40" t="n">
        <f aca="true">RAND()</f>
        <v>0.362909576044682</v>
      </c>
      <c r="T1078" s="40" t="n">
        <f aca="true">RAND()</f>
        <v>0.0162341245207382</v>
      </c>
      <c r="U1078" s="40" t="n">
        <f aca="true">RAND()</f>
        <v>0.0468772651135117</v>
      </c>
    </row>
    <row r="1079" customFormat="false" ht="15" hidden="false" customHeight="false" outlineLevel="0" collapsed="false">
      <c r="A1079" s="36" t="n">
        <v>999</v>
      </c>
      <c r="B1079" s="37" t="n">
        <f aca="false">1+IF($G$6=$E$6,$F$6,IF(P1079&lt;($F$6-$E$6)/($G$6-$E$6),$E$6+SQRT(P1079*($G$6-$E$6)*($F$6-$E$6)),$G$6-SQRT((1-P1079)*($G$6-$E$6)*($G$6-$F$6))))</f>
        <v>0.979621275522273</v>
      </c>
      <c r="C1079" s="37" t="n">
        <f aca="false">1+IF($G$7=$E$7,$F$7,IF(Q1079&lt;($F$7-$E$7)/($G$7-$E$7),$E$7+SQRT(Q1079*($G$7-$E$7)*($F$7-$E$7)),$G$7-SQRT((1-Q1079)*($G$7-$E$7)*($G$7-$F$7))))</f>
        <v>0.867019281768662</v>
      </c>
      <c r="D1079" s="37" t="n">
        <f aca="false">1+IF($G$8=$E$8,$F$8,IF(R1079&lt;($F$8-$E$8)/($G$8-$E$8),$E$8+SQRT(R1079*($G$8-$E$8)*($F$8-$E$8)),$G$8-SQRT((1-R1079)*($G$8-$E$8)*($G$8-$F$8))))</f>
        <v>0.972829342041043</v>
      </c>
      <c r="E1079" s="37" t="n">
        <f aca="false">1+IF($G$9=$E$9,$F$9,IF(S1079&lt;($F$9-$E$9)/($G$9-$E$9),$E$9+SQRT(S1079*($G$9-$E$9)*($F$9-$E$9)),$G$9-SQRT((1-S1079)*($G$9-$E$9)*($G$9-$F$9))))</f>
        <v>1.01403956004945</v>
      </c>
      <c r="F1079" s="37" t="n">
        <f aca="false">1+IF($G$10=$E$10,$F$10,IF(T1079&lt;($F$10-$E$10)/($G$10-$E$10),$E$10+SQRT(T1079*($G$10-$E$10)*($F$10-$E$10)),$G$10-SQRT((1-T1079)*($G$10-$E$10)*($G$10-$F$10))))</f>
        <v>1.02233511035152</v>
      </c>
      <c r="G1079" s="38" t="n">
        <f aca="false">IF($G$11=$E$11,$F$11,IF(U1079&lt;($F$11-$E$11)/($G$11-$E$11),$E$11+SQRT(U1079*($G$11-$E$11)*($F$11-$E$11)),$G$11-SQRT((1-U1079)*($G$11-$E$11)*($G$11-$F$11))))</f>
        <v>0.100073179637031</v>
      </c>
      <c r="H1079" s="39" t="n">
        <f aca="false">(('Business Case'!B11*$C1079*'Business Case'!B12*$B1079)-'Business Case'!B11*$C1079*'Business Case'!B13*$D1079-'Business Case'!B14*$E1079)-MAX(0,(('Business Case'!B11*$C1079*'Business Case'!B12*$B1079)-'Business Case'!B11*$C1079*'Business Case'!B13*$D1079-'Business Case'!B14*$E1079))*'Business Case'!$B$7-'Business Case'!$B$8*('Business Case'!B11*$C1079*'Business Case'!B12*$B1079)-'Business Case'!B15*$F1079</f>
        <v>-2044670220.70304</v>
      </c>
      <c r="I1079" s="39" t="n">
        <f aca="false">(('Business Case'!C11*$C1079*'Business Case'!C12*$B1079)-'Business Case'!C11*$C1079*'Business Case'!C13*$D1079-'Business Case'!C14*$E1079)-MAX(0,(('Business Case'!C11*$C1079*'Business Case'!C12*$B1079)-'Business Case'!C11*$C1079*'Business Case'!C13*$D1079-'Business Case'!C14*$E1079))*'Business Case'!$B$7-'Business Case'!$B$8*(('Business Case'!C11*$C1079*'Business Case'!C12*$B1079)-('Business Case'!B11*$C1079*'Business Case'!B12*$B1079))-'Business Case'!C15*$F1079</f>
        <v>-26565990.3638164</v>
      </c>
      <c r="J1079" s="39" t="n">
        <f aca="false">(('Business Case'!D11*$C1079*'Business Case'!D12*$B1079)-'Business Case'!D11*$C1079*'Business Case'!D13*$D1079-'Business Case'!D14*$E1079)-MAX(0,(('Business Case'!D11*$C1079*'Business Case'!D12*$B1079)-'Business Case'!D11*$C1079*'Business Case'!D13*$D1079-'Business Case'!D14*$E1079))*'Business Case'!$B$7-'Business Case'!$B$8*(('Business Case'!D11*$C1079*'Business Case'!D12*$B1079)-('Business Case'!C11*$C1079*'Business Case'!C12*$B1079))-'Business Case'!D15*$F1079</f>
        <v>237328287.465846</v>
      </c>
      <c r="K1079" s="39" t="n">
        <f aca="false">(('Business Case'!E11*$C1079*'Business Case'!E12*$B1079)-'Business Case'!E11*$C1079*'Business Case'!E13*$D1079-'Business Case'!E14*$E1079)-MAX(0,(('Business Case'!E11*$C1079*'Business Case'!E12*$B1079)-'Business Case'!E11*$C1079*'Business Case'!E13*$D1079-'Business Case'!E14*$E1079))*'Business Case'!$B$7-'Business Case'!$B$8*(('Business Case'!E11*$C1079*'Business Case'!E12*$B1079)-('Business Case'!D11*$C1079*'Business Case'!D12*$B1079))-'Business Case'!E15*$F1079</f>
        <v>552339320.813084</v>
      </c>
      <c r="L1079" s="39" t="n">
        <f aca="false">(('Business Case'!F11*$C1079*'Business Case'!F12*$B1079)-'Business Case'!F11*$C1079*'Business Case'!F13*$D1079-'Business Case'!F14*$E1079)-MAX(0,(('Business Case'!F11*$C1079*'Business Case'!F12*$B1079)-'Business Case'!F11*$C1079*'Business Case'!F13*$D1079-'Business Case'!F14*$E1079))*'Business Case'!$B$7-'Business Case'!$B$8*(('Business Case'!F11*$C1079*'Business Case'!F12*$B1079)-('Business Case'!E11*$C1079*'Business Case'!E12*$B1079))-'Business Case'!F15*$F1079</f>
        <v>669657634.569168</v>
      </c>
      <c r="M1079" s="39" t="n">
        <f aca="false">(('Business Case'!G11*$C1079*'Business Case'!G12*$B1079)-'Business Case'!G11*$C1079*'Business Case'!G13*$D1079-'Business Case'!G14*$E1079)-MAX(0,(('Business Case'!G11*$C1079*'Business Case'!G12*$B1079)-'Business Case'!G11*$C1079*'Business Case'!G13*$D1079-'Business Case'!G14*$E1079))*'Business Case'!$B$7-'Business Case'!$B$8*(('Business Case'!G11*$C1079*'Business Case'!G12*$B1079)-('Business Case'!F11*$C1079*'Business Case'!F12*$B1079))-'Business Case'!G15*$F1079+'Business Case'!$B$8*('Business Case'!G11*$C1079*'Business Case'!G12*$B1079)</f>
        <v>831102184.206583</v>
      </c>
      <c r="N1079" s="39" t="n">
        <f aca="false">IF(COUNT('Business Case'!B11:G11)=0,"",H1079+NPV(G1079,I1079:M1079))</f>
        <v>-484667705.070831</v>
      </c>
      <c r="P1079" s="40" t="n">
        <f aca="true">RAND()</f>
        <v>0.370280884885704</v>
      </c>
      <c r="Q1079" s="40" t="n">
        <f aca="true">RAND()</f>
        <v>0.0641654875541039</v>
      </c>
      <c r="R1079" s="40" t="n">
        <f aca="true">RAND()</f>
        <v>0.080181362773373</v>
      </c>
      <c r="S1079" s="40" t="n">
        <f aca="true">RAND()</f>
        <v>0.50738685090049</v>
      </c>
      <c r="T1079" s="40" t="n">
        <f aca="true">RAND()</f>
        <v>0.368703739723882</v>
      </c>
      <c r="U1079" s="40" t="n">
        <f aca="true">RAND()</f>
        <v>0.338203050369937</v>
      </c>
    </row>
    <row r="1080" customFormat="false" ht="15" hidden="false" customHeight="false" outlineLevel="0" collapsed="false">
      <c r="A1080" s="36" t="n">
        <v>1000</v>
      </c>
      <c r="B1080" s="37" t="n">
        <f aca="false">1+IF($G$6=$E$6,$F$6,IF(P1080&lt;($F$6-$E$6)/($G$6-$E$6),$E$6+SQRT(P1080*($G$6-$E$6)*($F$6-$E$6)),$G$6-SQRT((1-P1080)*($G$6-$E$6)*($G$6-$F$6))))</f>
        <v>0.950979668214268</v>
      </c>
      <c r="C1080" s="37" t="n">
        <f aca="false">1+IF($G$7=$E$7,$F$7,IF(Q1080&lt;($F$7-$E$7)/($G$7-$E$7),$E$7+SQRT(Q1080*($G$7-$E$7)*($F$7-$E$7)),$G$7-SQRT((1-Q1080)*($G$7-$E$7)*($G$7-$F$7))))</f>
        <v>0.947862663520471</v>
      </c>
      <c r="D1080" s="37" t="n">
        <f aca="false">1+IF($G$8=$E$8,$F$8,IF(R1080&lt;($F$8-$E$8)/($G$8-$E$8),$E$8+SQRT(R1080*($G$8-$E$8)*($F$8-$E$8)),$G$8-SQRT((1-R1080)*($G$8-$E$8)*($G$8-$F$8))))</f>
        <v>0.994668184288172</v>
      </c>
      <c r="E1080" s="37" t="n">
        <f aca="false">1+IF($G$9=$E$9,$F$9,IF(S1080&lt;($F$9-$E$9)/($G$9-$E$9),$E$9+SQRT(S1080*($G$9-$E$9)*($F$9-$E$9)),$G$9-SQRT((1-S1080)*($G$9-$E$9)*($G$9-$F$9))))</f>
        <v>1.02735720742724</v>
      </c>
      <c r="F1080" s="37" t="n">
        <f aca="false">1+IF($G$10=$E$10,$F$10,IF(T1080&lt;($F$10-$E$10)/($G$10-$E$10),$E$10+SQRT(T1080*($G$10-$E$10)*($F$10-$E$10)),$G$10-SQRT((1-T1080)*($G$10-$E$10)*($G$10-$F$10))))</f>
        <v>0.977438361149139</v>
      </c>
      <c r="G1080" s="38" t="n">
        <f aca="false">IF($G$11=$E$11,$F$11,IF(U1080&lt;($F$11-$E$11)/($G$11-$E$11),$E$11+SQRT(U1080*($G$11-$E$11)*($F$11-$E$11)),$G$11-SQRT((1-U1080)*($G$11-$E$11)*($G$11-$F$11))))</f>
        <v>0.100427104370219</v>
      </c>
      <c r="H1080" s="39" t="n">
        <f aca="false">(('Business Case'!B11*$C1080*'Business Case'!B12*$B1080)-'Business Case'!B11*$C1080*'Business Case'!B13*$D1080-'Business Case'!B14*$E1080)-MAX(0,(('Business Case'!B11*$C1080*'Business Case'!B12*$B1080)-'Business Case'!B11*$C1080*'Business Case'!B13*$D1080-'Business Case'!B14*$E1080))*'Business Case'!$B$7-'Business Case'!$B$8*('Business Case'!B11*$C1080*'Business Case'!B12*$B1080)-'Business Case'!B15*$F1080</f>
        <v>-1954876722.29828</v>
      </c>
      <c r="I1080" s="39" t="n">
        <f aca="false">(('Business Case'!C11*$C1080*'Business Case'!C12*$B1080)-'Business Case'!C11*$C1080*'Business Case'!C13*$D1080-'Business Case'!C14*$E1080)-MAX(0,(('Business Case'!C11*$C1080*'Business Case'!C12*$B1080)-'Business Case'!C11*$C1080*'Business Case'!C13*$D1080-'Business Case'!C14*$E1080))*'Business Case'!$B$7-'Business Case'!$B$8*(('Business Case'!C11*$C1080*'Business Case'!C12*$B1080)-('Business Case'!B11*$C1080*'Business Case'!B12*$B1080))-'Business Case'!C15*$F1080</f>
        <v>-34895246.1810577</v>
      </c>
      <c r="J1080" s="39" t="n">
        <f aca="false">(('Business Case'!D11*$C1080*'Business Case'!D12*$B1080)-'Business Case'!D11*$C1080*'Business Case'!D13*$D1080-'Business Case'!D14*$E1080)-MAX(0,(('Business Case'!D11*$C1080*'Business Case'!D12*$B1080)-'Business Case'!D11*$C1080*'Business Case'!D13*$D1080-'Business Case'!D14*$E1080))*'Business Case'!$B$7-'Business Case'!$B$8*(('Business Case'!D11*$C1080*'Business Case'!D12*$B1080)-('Business Case'!C11*$C1080*'Business Case'!C12*$B1080))-'Business Case'!D15*$F1080</f>
        <v>220772017.255454</v>
      </c>
      <c r="K1080" s="39" t="n">
        <f aca="false">(('Business Case'!E11*$C1080*'Business Case'!E12*$B1080)-'Business Case'!E11*$C1080*'Business Case'!E13*$D1080-'Business Case'!E14*$E1080)-MAX(0,(('Business Case'!E11*$C1080*'Business Case'!E12*$B1080)-'Business Case'!E11*$C1080*'Business Case'!E13*$D1080-'Business Case'!E14*$E1080))*'Business Case'!$B$7-'Business Case'!$B$8*(('Business Case'!E11*$C1080*'Business Case'!E12*$B1080)-('Business Case'!D11*$C1080*'Business Case'!D12*$B1080))-'Business Case'!E15*$F1080</f>
        <v>525311198.749422</v>
      </c>
      <c r="L1080" s="39" t="n">
        <f aca="false">(('Business Case'!F11*$C1080*'Business Case'!F12*$B1080)-'Business Case'!F11*$C1080*'Business Case'!F13*$D1080-'Business Case'!F14*$E1080)-MAX(0,(('Business Case'!F11*$C1080*'Business Case'!F12*$B1080)-'Business Case'!F11*$C1080*'Business Case'!F13*$D1080-'Business Case'!F14*$E1080))*'Business Case'!$B$7-'Business Case'!$B$8*(('Business Case'!F11*$C1080*'Business Case'!F12*$B1080)-('Business Case'!E11*$C1080*'Business Case'!E12*$B1080))-'Business Case'!F15*$F1080</f>
        <v>641685938.965927</v>
      </c>
      <c r="M1080" s="39" t="n">
        <f aca="false">(('Business Case'!G11*$C1080*'Business Case'!G12*$B1080)-'Business Case'!G11*$C1080*'Business Case'!G13*$D1080-'Business Case'!G14*$E1080)-MAX(0,(('Business Case'!G11*$C1080*'Business Case'!G12*$B1080)-'Business Case'!G11*$C1080*'Business Case'!G13*$D1080-'Business Case'!G14*$E1080))*'Business Case'!$B$7-'Business Case'!$B$8*(('Business Case'!G11*$C1080*'Business Case'!G12*$B1080)-('Business Case'!F11*$C1080*'Business Case'!F12*$B1080))-'Business Case'!G15*$F1080+'Business Case'!$B$8*('Business Case'!G11*$C1080*'Business Case'!G12*$B1080)</f>
        <v>813023693.856432</v>
      </c>
      <c r="N1080" s="39" t="n">
        <f aca="false">IF(COUNT('Business Case'!B11:G11)=0,"",H1080+NPV(G1080,I1080:M1080))</f>
        <v>-468613118.99765</v>
      </c>
      <c r="P1080" s="40" t="n">
        <f aca="true">RAND()</f>
        <v>0.0999729002777199</v>
      </c>
      <c r="Q1080" s="40" t="n">
        <f aca="true">RAND()</f>
        <v>0.312333818048113</v>
      </c>
      <c r="R1080" s="40" t="n">
        <f aca="true">RAND()</f>
        <v>0.306961028861857</v>
      </c>
      <c r="S1080" s="40" t="n">
        <f aca="true">RAND()</f>
        <v>0.648201645815411</v>
      </c>
      <c r="T1080" s="40" t="n">
        <f aca="true">RAND()</f>
        <v>0.0602290930040477</v>
      </c>
      <c r="U1080" s="40" t="n">
        <f aca="true">RAND()</f>
        <v>0.36150292777615</v>
      </c>
    </row>
  </sheetData>
  <mergeCells count="3">
    <mergeCell ref="B12:D12"/>
    <mergeCell ref="A48:N48"/>
    <mergeCell ref="A56:H56"/>
  </mergeCells>
  <conditionalFormatting sqref="B12">
    <cfRule type="expression" priority="2" aboveAverage="0" equalAverage="0" bottom="0" percent="0" rank="0" text="" dxfId="0">
      <formula>B12="OK"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B12&lt;&gt;"OK"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6" t="s">
        <v>25</v>
      </c>
    </row>
    <row r="2" customFormat="false" ht="15" hidden="false" customHeight="false" outlineLevel="0" collapsed="false">
      <c r="A2" s="3" t="s">
        <v>380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381</v>
      </c>
      <c r="B5" s="8" t="s">
        <v>382</v>
      </c>
      <c r="C5" s="8" t="s">
        <v>383</v>
      </c>
      <c r="D5" s="8" t="s">
        <v>384</v>
      </c>
      <c r="E5" s="8" t="s">
        <v>385</v>
      </c>
      <c r="F5" s="8" t="s">
        <v>386</v>
      </c>
      <c r="G5" s="8" t="s">
        <v>387</v>
      </c>
      <c r="H5" s="8" t="s">
        <v>388</v>
      </c>
      <c r="I5" s="8" t="s">
        <v>389</v>
      </c>
      <c r="J5" s="8" t="s">
        <v>390</v>
      </c>
      <c r="K5" s="8" t="s">
        <v>391</v>
      </c>
      <c r="L5" s="8" t="s">
        <v>392</v>
      </c>
    </row>
    <row r="6" customFormat="false" ht="15" hidden="false" customHeight="false" outlineLevel="0" collapsed="false">
      <c r="A6" s="9" t="s">
        <v>393</v>
      </c>
      <c r="B6" s="9" t="s">
        <v>394</v>
      </c>
      <c r="C6" s="9" t="s">
        <v>395</v>
      </c>
      <c r="D6" s="9" t="s">
        <v>396</v>
      </c>
      <c r="E6" s="9" t="s">
        <v>397</v>
      </c>
      <c r="F6" s="41" t="n">
        <v>0.08</v>
      </c>
      <c r="G6" s="41" t="n">
        <v>0.06</v>
      </c>
      <c r="H6" s="22" t="n">
        <f aca="false">IF(AND(ISNUMBER(F6),ISNUMBER(G6),F6&lt;&gt;0,G6&lt;&gt;0),IF(E6="Lower",F6/G6,G6/F6),"")</f>
        <v>0.75</v>
      </c>
      <c r="I6" s="14" t="str">
        <f aca="false">IF(H6="",IF(C6="","","No actual yet"),IF(H6&gt;=1,"On target",IF(H6&gt;=0.9,"Caution","Below plan")))</f>
        <v>Below plan</v>
      </c>
      <c r="J6" s="9" t="s">
        <v>398</v>
      </c>
      <c r="K6" s="9"/>
      <c r="L6" s="9"/>
    </row>
    <row r="7" customFormat="false" ht="15" hidden="false" customHeight="false" outlineLevel="0" collapsed="false">
      <c r="A7" s="9" t="s">
        <v>399</v>
      </c>
      <c r="B7" s="9" t="s">
        <v>400</v>
      </c>
      <c r="C7" s="9" t="s">
        <v>401</v>
      </c>
      <c r="D7" s="9" t="s">
        <v>396</v>
      </c>
      <c r="E7" s="9" t="s">
        <v>397</v>
      </c>
      <c r="F7" s="41" t="n">
        <v>90</v>
      </c>
      <c r="G7" s="41" t="n">
        <v>74</v>
      </c>
      <c r="H7" s="22" t="n">
        <f aca="false">IF(AND(ISNUMBER(F7),ISNUMBER(G7),F7&lt;&gt;0,G7&lt;&gt;0),IF(E7="Lower",F7/G7,G7/F7),"")</f>
        <v>0.822222222222222</v>
      </c>
      <c r="I7" s="14" t="str">
        <f aca="false">IF(H7="",IF(C7="","","No actual yet"),IF(H7&gt;=1,"On target",IF(H7&gt;=0.9,"Caution","Below plan")))</f>
        <v>Below plan</v>
      </c>
      <c r="J7" s="9" t="s">
        <v>402</v>
      </c>
      <c r="K7" s="9"/>
      <c r="L7" s="9"/>
    </row>
    <row r="8" customFormat="false" ht="15" hidden="false" customHeight="false" outlineLevel="0" collapsed="false">
      <c r="A8" s="9" t="s">
        <v>403</v>
      </c>
      <c r="B8" s="9" t="s">
        <v>404</v>
      </c>
      <c r="C8" s="9" t="s">
        <v>405</v>
      </c>
      <c r="D8" s="9" t="s">
        <v>406</v>
      </c>
      <c r="E8" s="9" t="s">
        <v>397</v>
      </c>
      <c r="F8" s="41" t="n">
        <v>0.5</v>
      </c>
      <c r="G8" s="41" t="n">
        <v>0.55</v>
      </c>
      <c r="H8" s="22" t="n">
        <f aca="false">IF(AND(ISNUMBER(F8),ISNUMBER(G8),F8&lt;&gt;0,G8&lt;&gt;0),IF(E8="Lower",F8/G8,G8/F8),"")</f>
        <v>1.1</v>
      </c>
      <c r="I8" s="14" t="str">
        <f aca="false">IF(H8="",IF(C8="","","No actual yet"),IF(H8&gt;=1,"On target",IF(H8&gt;=0.9,"Caution","Below plan")))</f>
        <v>On target</v>
      </c>
      <c r="J8" s="9" t="s">
        <v>407</v>
      </c>
      <c r="K8" s="9"/>
      <c r="L8" s="9"/>
    </row>
    <row r="9" customFormat="false" ht="15" hidden="false" customHeight="false" outlineLevel="0" collapsed="false">
      <c r="A9" s="9" t="s">
        <v>408</v>
      </c>
      <c r="B9" s="9" t="s">
        <v>409</v>
      </c>
      <c r="C9" s="9" t="s">
        <v>410</v>
      </c>
      <c r="D9" s="9" t="s">
        <v>406</v>
      </c>
      <c r="E9" s="9" t="s">
        <v>397</v>
      </c>
      <c r="F9" s="41" t="n">
        <v>1200</v>
      </c>
      <c r="G9" s="41" t="n">
        <v>900</v>
      </c>
      <c r="H9" s="22" t="n">
        <f aca="false">IF(AND(ISNUMBER(F9),ISNUMBER(G9),F9&lt;&gt;0,G9&lt;&gt;0),IF(E9="Lower",F9/G9,G9/F9),"")</f>
        <v>0.75</v>
      </c>
      <c r="I9" s="14" t="str">
        <f aca="false">IF(H9="",IF(C9="","","No actual yet"),IF(H9&gt;=1,"On target",IF(H9&gt;=0.9,"Caution","Below plan")))</f>
        <v>Below plan</v>
      </c>
      <c r="J9" s="9" t="s">
        <v>411</v>
      </c>
      <c r="K9" s="9"/>
      <c r="L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41"/>
      <c r="G10" s="41"/>
      <c r="H10" s="22" t="str">
        <f aca="false">IF(AND(ISNUMBER(F10),ISNUMBER(G10),F10&lt;&gt;0,G10&lt;&gt;0),IF(E10="Lower",F10/G10,G10/F10),"")</f>
        <v/>
      </c>
      <c r="I10" s="14" t="str">
        <f aca="false">IF(H10="",IF(C10="","","No actual yet"),IF(H10&gt;=1,"On target",IF(H10&gt;=0.9,"Caution","Below plan")))</f>
        <v/>
      </c>
      <c r="J10" s="9"/>
      <c r="K10" s="9"/>
      <c r="L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41"/>
      <c r="G11" s="41"/>
      <c r="H11" s="22" t="str">
        <f aca="false">IF(AND(ISNUMBER(F11),ISNUMBER(G11),F11&lt;&gt;0,G11&lt;&gt;0),IF(E11="Lower",F11/G11,G11/F11),"")</f>
        <v/>
      </c>
      <c r="I11" s="14" t="str">
        <f aca="false">IF(H11="",IF(C11="","","No actual yet"),IF(H11&gt;=1,"On target",IF(H11&gt;=0.9,"Caution","Below plan")))</f>
        <v/>
      </c>
      <c r="J11" s="9"/>
      <c r="K11" s="9"/>
      <c r="L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41"/>
      <c r="G12" s="41"/>
      <c r="H12" s="22" t="str">
        <f aca="false">IF(AND(ISNUMBER(F12),ISNUMBER(G12),F12&lt;&gt;0,G12&lt;&gt;0),IF(E12="Lower",F12/G12,G12/F12),"")</f>
        <v/>
      </c>
      <c r="I12" s="14" t="str">
        <f aca="false">IF(H12="",IF(C12="","","No actual yet"),IF(H12&gt;=1,"On target",IF(H12&gt;=0.9,"Caution","Below plan")))</f>
        <v/>
      </c>
      <c r="J12" s="9"/>
      <c r="K12" s="9"/>
      <c r="L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41"/>
      <c r="G13" s="41"/>
      <c r="H13" s="22" t="str">
        <f aca="false">IF(AND(ISNUMBER(F13),ISNUMBER(G13),F13&lt;&gt;0,G13&lt;&gt;0),IF(E13="Lower",F13/G13,G13/F13),"")</f>
        <v/>
      </c>
      <c r="I13" s="14" t="str">
        <f aca="false">IF(H13="",IF(C13="","","No actual yet"),IF(H13&gt;=1,"On target",IF(H13&gt;=0.9,"Caution","Below plan")))</f>
        <v/>
      </c>
      <c r="J13" s="9"/>
      <c r="K13" s="9"/>
      <c r="L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41"/>
      <c r="G14" s="41"/>
      <c r="H14" s="22" t="str">
        <f aca="false">IF(AND(ISNUMBER(F14),ISNUMBER(G14),F14&lt;&gt;0,G14&lt;&gt;0),IF(E14="Lower",F14/G14,G14/F14),"")</f>
        <v/>
      </c>
      <c r="I14" s="14" t="str">
        <f aca="false">IF(H14="",IF(C14="","","No actual yet"),IF(H14&gt;=1,"On target",IF(H14&gt;=0.9,"Caution","Below plan")))</f>
        <v/>
      </c>
      <c r="J14" s="9"/>
      <c r="K14" s="9"/>
      <c r="L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41"/>
      <c r="G15" s="41"/>
      <c r="H15" s="22" t="str">
        <f aca="false">IF(AND(ISNUMBER(F15),ISNUMBER(G15),F15&lt;&gt;0,G15&lt;&gt;0),IF(E15="Lower",F15/G15,G15/F15),"")</f>
        <v/>
      </c>
      <c r="I15" s="14" t="str">
        <f aca="false">IF(H15="",IF(C15="","","No actual yet"),IF(H15&gt;=1,"On target",IF(H15&gt;=0.9,"Caution","Below plan")))</f>
        <v/>
      </c>
      <c r="J15" s="9"/>
      <c r="K15" s="9"/>
      <c r="L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41"/>
      <c r="G16" s="41"/>
      <c r="H16" s="22" t="str">
        <f aca="false">IF(AND(ISNUMBER(F16),ISNUMBER(G16),F16&lt;&gt;0,G16&lt;&gt;0),IF(E16="Lower",F16/G16,G16/F16),"")</f>
        <v/>
      </c>
      <c r="I16" s="14" t="str">
        <f aca="false">IF(H16="",IF(C16="","","No actual yet"),IF(H16&gt;=1,"On target",IF(H16&gt;=0.9,"Caution","Below plan")))</f>
        <v/>
      </c>
      <c r="J16" s="9"/>
      <c r="K16" s="9"/>
      <c r="L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41"/>
      <c r="G17" s="41"/>
      <c r="H17" s="22" t="str">
        <f aca="false">IF(AND(ISNUMBER(F17),ISNUMBER(G17),F17&lt;&gt;0,G17&lt;&gt;0),IF(E17="Lower",F17/G17,G17/F17),"")</f>
        <v/>
      </c>
      <c r="I17" s="14" t="str">
        <f aca="false">IF(H17="",IF(C17="","","No actual yet"),IF(H17&gt;=1,"On target",IF(H17&gt;=0.9,"Caution","Below plan")))</f>
        <v/>
      </c>
      <c r="J17" s="9"/>
      <c r="K17" s="9"/>
      <c r="L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41"/>
      <c r="G18" s="41"/>
      <c r="H18" s="22" t="str">
        <f aca="false">IF(AND(ISNUMBER(F18),ISNUMBER(G18),F18&lt;&gt;0,G18&lt;&gt;0),IF(E18="Lower",F18/G18,G18/F18),"")</f>
        <v/>
      </c>
      <c r="I18" s="14" t="str">
        <f aca="false">IF(H18="",IF(C18="","","No actual yet"),IF(H18&gt;=1,"On target",IF(H18&gt;=0.9,"Caution","Below plan")))</f>
        <v/>
      </c>
      <c r="J18" s="9"/>
      <c r="K18" s="9"/>
      <c r="L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41"/>
      <c r="G19" s="41"/>
      <c r="H19" s="22" t="str">
        <f aca="false">IF(AND(ISNUMBER(F19),ISNUMBER(G19),F19&lt;&gt;0,G19&lt;&gt;0),IF(E19="Lower",F19/G19,G19/F19),"")</f>
        <v/>
      </c>
      <c r="I19" s="14" t="str">
        <f aca="false">IF(H19="",IF(C19="","","No actual yet"),IF(H19&gt;=1,"On target",IF(H19&gt;=0.9,"Caution","Below plan")))</f>
        <v/>
      </c>
      <c r="J19" s="9"/>
      <c r="K19" s="9"/>
      <c r="L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41"/>
      <c r="G20" s="41"/>
      <c r="H20" s="22" t="str">
        <f aca="false">IF(AND(ISNUMBER(F20),ISNUMBER(G20),F20&lt;&gt;0,G20&lt;&gt;0),IF(E20="Lower",F20/G20,G20/F20),"")</f>
        <v/>
      </c>
      <c r="I20" s="14" t="str">
        <f aca="false">IF(H20="",IF(C20="","","No actual yet"),IF(H20&gt;=1,"On target",IF(H20&gt;=0.9,"Caution","Below plan")))</f>
        <v/>
      </c>
      <c r="J20" s="9"/>
      <c r="K20" s="9"/>
      <c r="L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41"/>
      <c r="G21" s="41"/>
      <c r="H21" s="22" t="str">
        <f aca="false">IF(AND(ISNUMBER(F21),ISNUMBER(G21),F21&lt;&gt;0,G21&lt;&gt;0),IF(E21="Lower",F21/G21,G21/F21),"")</f>
        <v/>
      </c>
      <c r="I21" s="14" t="str">
        <f aca="false">IF(H21="",IF(C21="","","No actual yet"),IF(H21&gt;=1,"On target",IF(H21&gt;=0.9,"Caution","Below plan")))</f>
        <v/>
      </c>
      <c r="J21" s="9"/>
      <c r="K21" s="9"/>
      <c r="L21" s="9"/>
    </row>
    <row r="23" customFormat="false" ht="15" hidden="false" customHeight="false" outlineLevel="0" collapsed="false">
      <c r="A23" s="11" t="s">
        <v>412</v>
      </c>
    </row>
    <row r="24" customFormat="false" ht="15" hidden="false" customHeight="false" outlineLevel="0" collapsed="false">
      <c r="B24" s="5" t="s">
        <v>393</v>
      </c>
      <c r="C24" s="10" t="n">
        <f aca="false">COUNTIFS($A$6:$A$21,B24,$C$6:$C$21,"&lt;&gt;")</f>
        <v>1</v>
      </c>
      <c r="D24" s="14" t="str">
        <f aca="false">IF(C24=0,"Add a measure","OK")</f>
        <v>OK</v>
      </c>
    </row>
    <row r="25" customFormat="false" ht="15" hidden="false" customHeight="false" outlineLevel="0" collapsed="false">
      <c r="B25" s="5" t="s">
        <v>399</v>
      </c>
      <c r="C25" s="10" t="n">
        <f aca="false">COUNTIFS($A$6:$A$21,B25,$C$6:$C$21,"&lt;&gt;")</f>
        <v>1</v>
      </c>
      <c r="D25" s="14" t="str">
        <f aca="false">IF(C25=0,"Add a measure","OK")</f>
        <v>OK</v>
      </c>
    </row>
    <row r="26" customFormat="false" ht="15" hidden="false" customHeight="false" outlineLevel="0" collapsed="false">
      <c r="B26" s="5" t="s">
        <v>403</v>
      </c>
      <c r="C26" s="10" t="n">
        <f aca="false">COUNTIFS($A$6:$A$21,B26,$C$6:$C$21,"&lt;&gt;")</f>
        <v>1</v>
      </c>
      <c r="D26" s="14" t="str">
        <f aca="false">IF(C26=0,"Add a measure","OK")</f>
        <v>OK</v>
      </c>
    </row>
    <row r="27" customFormat="false" ht="15" hidden="false" customHeight="false" outlineLevel="0" collapsed="false">
      <c r="B27" s="5" t="s">
        <v>408</v>
      </c>
      <c r="C27" s="10" t="n">
        <f aca="false">COUNTIFS($A$6:$A$21,B27,$C$6:$C$21,"&lt;&gt;")</f>
        <v>1</v>
      </c>
      <c r="D27" s="14" t="str">
        <f aca="false">IF(C27=0,"Add a measure","OK")</f>
        <v>OK</v>
      </c>
    </row>
    <row r="29" customFormat="false" ht="15" hidden="false" customHeight="false" outlineLevel="0" collapsed="false">
      <c r="B29" s="5" t="s">
        <v>413</v>
      </c>
      <c r="C29" s="10" t="n">
        <f aca="false">COUNTA(C6:C21)</f>
        <v>4</v>
      </c>
    </row>
    <row r="30" customFormat="false" ht="15" hidden="false" customHeight="false" outlineLevel="0" collapsed="false">
      <c r="B30" s="5" t="s">
        <v>414</v>
      </c>
      <c r="C30" s="22" t="n">
        <f aca="false">IF(C29=0,"",COUNTIFS(D6:D21,"Leading",C6:C21,"&lt;&gt;")/C29)</f>
        <v>0.5</v>
      </c>
      <c r="D30" s="14" t="str">
        <f aca="false">IF(C30="","",IF(C30&gt;=1/3,"OK","Add leading measures"))</f>
        <v>OK</v>
      </c>
    </row>
    <row r="31" customFormat="false" ht="15" hidden="false" customHeight="false" outlineLevel="0" collapsed="false">
      <c r="B31" s="5" t="s">
        <v>415</v>
      </c>
      <c r="C31" s="10" t="n">
        <f aca="false">SUMPRODUCT((C6:C21&lt;&gt;"")*(J6:J21=""))</f>
        <v>0</v>
      </c>
    </row>
  </sheetData>
  <conditionalFormatting sqref="I6:I21">
    <cfRule type="expression" priority="2" aboveAverage="0" equalAverage="0" bottom="0" percent="0" rank="0" text="" dxfId="0">
      <formula>I6="On target"</formula>
    </cfRule>
    <cfRule type="expression" priority="3" aboveAverage="0" equalAverage="0" bottom="0" percent="0" rank="0" text="" dxfId="1">
      <formula>I6="Caution"</formula>
    </cfRule>
    <cfRule type="expression" priority="4" aboveAverage="0" equalAverage="0" bottom="0" percent="0" rank="0" text="" dxfId="2">
      <formula>I6="Below plan"</formula>
    </cfRule>
  </conditionalFormatting>
  <conditionalFormatting sqref="D24">
    <cfRule type="expression" priority="5" aboveAverage="0" equalAverage="0" bottom="0" percent="0" rank="0" text="" dxfId="0">
      <formula>D24="OK"</formula>
    </cfRule>
    <cfRule type="expression" priority="6" aboveAverage="0" equalAverage="0" bottom="0" percent="0" rank="0" text="" dxfId="1">
      <formula>0</formula>
    </cfRule>
    <cfRule type="expression" priority="7" aboveAverage="0" equalAverage="0" bottom="0" percent="0" rank="0" text="" dxfId="2">
      <formula>D24="Add a measure"</formula>
    </cfRule>
  </conditionalFormatting>
  <conditionalFormatting sqref="D25">
    <cfRule type="expression" priority="8" aboveAverage="0" equalAverage="0" bottom="0" percent="0" rank="0" text="" dxfId="0">
      <formula>D25="OK"</formula>
    </cfRule>
    <cfRule type="expression" priority="9" aboveAverage="0" equalAverage="0" bottom="0" percent="0" rank="0" text="" dxfId="1">
      <formula>0</formula>
    </cfRule>
    <cfRule type="expression" priority="10" aboveAverage="0" equalAverage="0" bottom="0" percent="0" rank="0" text="" dxfId="2">
      <formula>D25="Add a measure"</formula>
    </cfRule>
  </conditionalFormatting>
  <conditionalFormatting sqref="D26">
    <cfRule type="expression" priority="11" aboveAverage="0" equalAverage="0" bottom="0" percent="0" rank="0" text="" dxfId="0">
      <formula>D26="OK"</formula>
    </cfRule>
    <cfRule type="expression" priority="12" aboveAverage="0" equalAverage="0" bottom="0" percent="0" rank="0" text="" dxfId="1">
      <formula>0</formula>
    </cfRule>
    <cfRule type="expression" priority="13" aboveAverage="0" equalAverage="0" bottom="0" percent="0" rank="0" text="" dxfId="2">
      <formula>D26="Add a measure"</formula>
    </cfRule>
  </conditionalFormatting>
  <conditionalFormatting sqref="D27">
    <cfRule type="expression" priority="14" aboveAverage="0" equalAverage="0" bottom="0" percent="0" rank="0" text="" dxfId="0">
      <formula>D27="OK"</formula>
    </cfRule>
    <cfRule type="expression" priority="15" aboveAverage="0" equalAverage="0" bottom="0" percent="0" rank="0" text="" dxfId="1">
      <formula>0</formula>
    </cfRule>
    <cfRule type="expression" priority="16" aboveAverage="0" equalAverage="0" bottom="0" percent="0" rank="0" text="" dxfId="2">
      <formula>D27="Add a measure"</formula>
    </cfRule>
  </conditionalFormatting>
  <conditionalFormatting sqref="D30">
    <cfRule type="expression" priority="17" aboveAverage="0" equalAverage="0" bottom="0" percent="0" rank="0" text="" dxfId="0">
      <formula>D30="OK"</formula>
    </cfRule>
    <cfRule type="expression" priority="18" aboveAverage="0" equalAverage="0" bottom="0" percent="0" rank="0" text="" dxfId="1">
      <formula>0</formula>
    </cfRule>
    <cfRule type="expression" priority="19" aboveAverage="0" equalAverage="0" bottom="0" percent="0" rank="0" text="" dxfId="2">
      <formula>D30="Add leading measures"</formula>
    </cfRule>
  </conditionalFormatting>
  <dataValidations count="3">
    <dataValidation allowBlank="true" errorStyle="stop" operator="between" showDropDown="false" showErrorMessage="false" showInputMessage="false" sqref="A6:A21" type="list">
      <formula1>"Financial,Customer,Internal process,Learning and growth"</formula1>
      <formula2>0</formula2>
    </dataValidation>
    <dataValidation allowBlank="true" errorStyle="stop" operator="between" showDropDown="false" showErrorMessage="false" showInputMessage="false" sqref="D6:D21" type="list">
      <formula1>"Leading,Lagging"</formula1>
      <formula2>0</formula2>
    </dataValidation>
    <dataValidation allowBlank="true" errorStyle="stop" operator="between" showDropDown="false" showErrorMessage="false" showInputMessage="false" sqref="E6:E21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6" t="s">
        <v>27</v>
      </c>
    </row>
    <row r="2" customFormat="false" ht="15" hidden="false" customHeight="false" outlineLevel="0" collapsed="false">
      <c r="A2" s="3" t="s">
        <v>416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43</v>
      </c>
      <c r="B5" s="8" t="s">
        <v>381</v>
      </c>
      <c r="C5" s="8" t="s">
        <v>382</v>
      </c>
      <c r="D5" s="8" t="s">
        <v>417</v>
      </c>
      <c r="E5" s="8" t="s">
        <v>418</v>
      </c>
    </row>
    <row r="6" customFormat="false" ht="15" hidden="false" customHeight="false" outlineLevel="0" collapsed="false">
      <c r="A6" s="9" t="s">
        <v>419</v>
      </c>
      <c r="B6" s="9" t="s">
        <v>393</v>
      </c>
      <c r="C6" s="9" t="s">
        <v>394</v>
      </c>
      <c r="D6" s="9"/>
      <c r="E6" s="14" t="str">
        <f aca="false">IF(A6="","",IF(AND(B6&lt;&gt;"Financial",D6=""),"Drives nothing",IF(AND(B6&lt;&gt;"Learning and growth",COUNTIF($D$6:$D$21,"*"&amp;A6&amp;"*")=0),"Nothing drives it","OK")))</f>
        <v>OK</v>
      </c>
    </row>
    <row r="7" customFormat="false" ht="15" hidden="false" customHeight="false" outlineLevel="0" collapsed="false">
      <c r="A7" s="9" t="s">
        <v>183</v>
      </c>
      <c r="B7" s="9" t="s">
        <v>399</v>
      </c>
      <c r="C7" s="9" t="s">
        <v>400</v>
      </c>
      <c r="D7" s="9" t="s">
        <v>419</v>
      </c>
      <c r="E7" s="14" t="str">
        <f aca="false">IF(A7="","",IF(AND(B7&lt;&gt;"Financial",D7=""),"Drives nothing",IF(AND(B7&lt;&gt;"Learning and growth",COUNTIF($D$6:$D$21,"*"&amp;A7&amp;"*")=0),"Nothing drives it","OK")))</f>
        <v>OK</v>
      </c>
    </row>
    <row r="8" customFormat="false" ht="15" hidden="false" customHeight="false" outlineLevel="0" collapsed="false">
      <c r="A8" s="9" t="s">
        <v>420</v>
      </c>
      <c r="B8" s="9" t="s">
        <v>403</v>
      </c>
      <c r="C8" s="9" t="s">
        <v>404</v>
      </c>
      <c r="D8" s="9" t="s">
        <v>183</v>
      </c>
      <c r="E8" s="14" t="str">
        <f aca="false">IF(A8="","",IF(AND(B8&lt;&gt;"Financial",D8=""),"Drives nothing",IF(AND(B8&lt;&gt;"Learning and growth",COUNTIF($D$6:$D$21,"*"&amp;A8&amp;"*")=0),"Nothing drives it","OK")))</f>
        <v>OK</v>
      </c>
    </row>
    <row r="9" customFormat="false" ht="15" hidden="false" customHeight="false" outlineLevel="0" collapsed="false">
      <c r="A9" s="9" t="s">
        <v>421</v>
      </c>
      <c r="B9" s="9" t="s">
        <v>408</v>
      </c>
      <c r="C9" s="9" t="s">
        <v>409</v>
      </c>
      <c r="D9" s="9" t="s">
        <v>420</v>
      </c>
      <c r="E9" s="14" t="str">
        <f aca="false">IF(A9="","",IF(AND(B9&lt;&gt;"Financial",D9=""),"Drives nothing",IF(AND(B9&lt;&gt;"Learning and growth",COUNTIF($D$6:$D$21,"*"&amp;A9&amp;"*")=0),"Nothing drives it","OK")))</f>
        <v>OK</v>
      </c>
    </row>
    <row r="10" customFormat="false" ht="15" hidden="false" customHeight="false" outlineLevel="0" collapsed="false">
      <c r="A10" s="9"/>
      <c r="B10" s="9"/>
      <c r="C10" s="9"/>
      <c r="D10" s="9"/>
      <c r="E10" s="14" t="str">
        <f aca="false">IF(A10="","",IF(AND(B10&lt;&gt;"Financial",D10=""),"Drives nothing",IF(AND(B10&lt;&gt;"Learning and growth",COUNTIF($D$6:$D$21,"*"&amp;A10&amp;"*")=0),"Nothing drives it","OK")))</f>
        <v/>
      </c>
    </row>
    <row r="11" customFormat="false" ht="15" hidden="false" customHeight="false" outlineLevel="0" collapsed="false">
      <c r="A11" s="9"/>
      <c r="B11" s="9"/>
      <c r="C11" s="9"/>
      <c r="D11" s="9"/>
      <c r="E11" s="14" t="str">
        <f aca="false">IF(A11="","",IF(AND(B11&lt;&gt;"Financial",D11=""),"Drives nothing",IF(AND(B11&lt;&gt;"Learning and growth",COUNTIF($D$6:$D$21,"*"&amp;A11&amp;"*")=0),"Nothing drives it","OK")))</f>
        <v/>
      </c>
    </row>
    <row r="12" customFormat="false" ht="15" hidden="false" customHeight="false" outlineLevel="0" collapsed="false">
      <c r="A12" s="9"/>
      <c r="B12" s="9"/>
      <c r="C12" s="9"/>
      <c r="D12" s="9"/>
      <c r="E12" s="14" t="str">
        <f aca="false">IF(A12="","",IF(AND(B12&lt;&gt;"Financial",D12=""),"Drives nothing",IF(AND(B12&lt;&gt;"Learning and growth",COUNTIF($D$6:$D$21,"*"&amp;A12&amp;"*")=0),"Nothing drives it","OK")))</f>
        <v/>
      </c>
    </row>
    <row r="13" customFormat="false" ht="15" hidden="false" customHeight="false" outlineLevel="0" collapsed="false">
      <c r="A13" s="9"/>
      <c r="B13" s="9"/>
      <c r="C13" s="9"/>
      <c r="D13" s="9"/>
      <c r="E13" s="14" t="str">
        <f aca="false">IF(A13="","",IF(AND(B13&lt;&gt;"Financial",D13=""),"Drives nothing",IF(AND(B13&lt;&gt;"Learning and growth",COUNTIF($D$6:$D$21,"*"&amp;A13&amp;"*")=0),"Nothing drives it","OK")))</f>
        <v/>
      </c>
    </row>
    <row r="14" customFormat="false" ht="15" hidden="false" customHeight="false" outlineLevel="0" collapsed="false">
      <c r="A14" s="9"/>
      <c r="B14" s="9"/>
      <c r="C14" s="9"/>
      <c r="D14" s="9"/>
      <c r="E14" s="14" t="str">
        <f aca="false">IF(A14="","",IF(AND(B14&lt;&gt;"Financial",D14=""),"Drives nothing",IF(AND(B14&lt;&gt;"Learning and growth",COUNTIF($D$6:$D$21,"*"&amp;A14&amp;"*")=0),"Nothing drives it","OK")))</f>
        <v/>
      </c>
    </row>
    <row r="15" customFormat="false" ht="15" hidden="false" customHeight="false" outlineLevel="0" collapsed="false">
      <c r="A15" s="9"/>
      <c r="B15" s="9"/>
      <c r="C15" s="9"/>
      <c r="D15" s="9"/>
      <c r="E15" s="14" t="str">
        <f aca="false">IF(A15="","",IF(AND(B15&lt;&gt;"Financial",D15=""),"Drives nothing",IF(AND(B15&lt;&gt;"Learning and growth",COUNTIF($D$6:$D$21,"*"&amp;A15&amp;"*")=0),"Nothing drives it","OK")))</f>
        <v/>
      </c>
    </row>
    <row r="16" customFormat="false" ht="15" hidden="false" customHeight="false" outlineLevel="0" collapsed="false">
      <c r="A16" s="9"/>
      <c r="B16" s="9"/>
      <c r="C16" s="9"/>
      <c r="D16" s="9"/>
      <c r="E16" s="14" t="str">
        <f aca="false">IF(A16="","",IF(AND(B16&lt;&gt;"Financial",D16=""),"Drives nothing",IF(AND(B16&lt;&gt;"Learning and growth",COUNTIF($D$6:$D$21,"*"&amp;A16&amp;"*")=0),"Nothing drives it","OK")))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14" t="str">
        <f aca="false">IF(A17="","",IF(AND(B17&lt;&gt;"Financial",D17=""),"Drives nothing",IF(AND(B17&lt;&gt;"Learning and growth",COUNTIF($D$6:$D$21,"*"&amp;A17&amp;"*")=0),"Nothing drives it","OK")))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14" t="str">
        <f aca="false">IF(A18="","",IF(AND(B18&lt;&gt;"Financial",D18=""),"Drives nothing",IF(AND(B18&lt;&gt;"Learning and growth",COUNTIF($D$6:$D$21,"*"&amp;A18&amp;"*")=0),"Nothing drives it","OK")))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14" t="str">
        <f aca="false">IF(A19="","",IF(AND(B19&lt;&gt;"Financial",D19=""),"Drives nothing",IF(AND(B19&lt;&gt;"Learning and growth",COUNTIF($D$6:$D$21,"*"&amp;A19&amp;"*")=0),"Nothing drives it","OK")))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14" t="str">
        <f aca="false">IF(A20="","",IF(AND(B20&lt;&gt;"Financial",D20=""),"Drives nothing",IF(AND(B20&lt;&gt;"Learning and growth",COUNTIF($D$6:$D$21,"*"&amp;A20&amp;"*")=0),"Nothing drives it","OK")))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14" t="str">
        <f aca="false">IF(A21="","",IF(AND(B21&lt;&gt;"Financial",D21=""),"Drives nothing",IF(AND(B21&lt;&gt;"Learning and growth",COUNTIF($D$6:$D$21,"*"&amp;A21&amp;"*")=0),"Nothing drives it","OK")))</f>
        <v/>
      </c>
    </row>
  </sheetData>
  <conditionalFormatting sqref="E6:E21">
    <cfRule type="expression" priority="2" aboveAverage="0" equalAverage="0" bottom="0" percent="0" rank="0" text="" dxfId="0">
      <formula>E6="OK"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OR(E6="Drives nothing",E6="Nothing drives it")</formula>
    </cfRule>
  </conditionalFormatting>
  <dataValidations count="1">
    <dataValidation allowBlank="true" errorStyle="stop" operator="between" showDropDown="false" showErrorMessage="false" showInputMessage="false" sqref="B6:B21" type="list">
      <formula1>"Financial,Customer,Internal process,Learning and growth"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6" t="s">
        <v>422</v>
      </c>
    </row>
    <row r="2" customFormat="false" ht="15" hidden="false" customHeight="false" outlineLevel="0" collapsed="false">
      <c r="A2" s="3" t="s">
        <v>423</v>
      </c>
    </row>
    <row r="3" customFormat="false" ht="15" hidden="false" customHeight="false" outlineLevel="0" collapsed="false">
      <c r="A3" s="7" t="s">
        <v>42</v>
      </c>
    </row>
    <row r="4" customFormat="false" ht="15" hidden="false" customHeight="false" outlineLevel="0" collapsed="false">
      <c r="A4" s="3" t="s">
        <v>424</v>
      </c>
    </row>
    <row r="5" customFormat="false" ht="30" hidden="false" customHeight="true" outlineLevel="0" collapsed="false">
      <c r="A5" s="8" t="s">
        <v>425</v>
      </c>
      <c r="B5" s="8" t="s">
        <v>426</v>
      </c>
      <c r="C5" s="8" t="s">
        <v>427</v>
      </c>
      <c r="D5" s="8" t="s">
        <v>428</v>
      </c>
      <c r="E5" s="8" t="s">
        <v>429</v>
      </c>
      <c r="F5" s="8" t="s">
        <v>430</v>
      </c>
      <c r="G5" s="8" t="s">
        <v>431</v>
      </c>
    </row>
    <row r="6" customFormat="false" ht="15" hidden="false" customHeight="false" outlineLevel="0" collapsed="false">
      <c r="A6" s="9" t="s">
        <v>432</v>
      </c>
      <c r="B6" s="9" t="s">
        <v>433</v>
      </c>
      <c r="C6" s="29" t="n">
        <v>291</v>
      </c>
      <c r="D6" s="13" t="n">
        <v>4.4</v>
      </c>
      <c r="E6" s="13" t="n">
        <v>12.9</v>
      </c>
      <c r="F6" s="42" t="n">
        <v>5</v>
      </c>
      <c r="G6" s="14" t="str">
        <f aca="false">IF(OR(A6="",B6="",C6="",D6="",E6=""),"",IFERROR(IF(C6&gt;SUMPRODUCT(($B$6:$B$29=B6)*$C$6:$C$29*$E$6:$E$29)/SUMIF($B$6:$B$29,B6,$E$6:$E$29),IF(D6&gt;=SUMPRODUCT(($B$6:$B$29=B6)*$D$6:$D$29*$E$6:$E$29)/SUMIF($B$6:$B$29,B6,$E$6:$E$29),"Premium differentiator","Stuck in the middle"),IF(D6&gt;=SUMPRODUCT(($B$6:$B$29=B6)*$D$6:$D$29*$E$6:$E$29)/SUMIF($B$6:$B$29,B6,$E$6:$E$29),"Value leader","Low-cost / economy")),""))</f>
        <v>Premium differentiator</v>
      </c>
    </row>
    <row r="7" customFormat="false" ht="15" hidden="false" customHeight="false" outlineLevel="0" collapsed="false">
      <c r="A7" s="9" t="s">
        <v>432</v>
      </c>
      <c r="B7" s="9" t="s">
        <v>434</v>
      </c>
      <c r="C7" s="29" t="n">
        <v>1272</v>
      </c>
      <c r="D7" s="13" t="n">
        <v>4.5</v>
      </c>
      <c r="E7" s="13" t="n">
        <v>13.2</v>
      </c>
      <c r="F7" s="42" t="n">
        <v>4</v>
      </c>
      <c r="G7" s="14" t="str">
        <f aca="false">IF(OR(A7="",B7="",C7="",D7="",E7=""),"",IFERROR(IF(C7&gt;SUMPRODUCT(($B$6:$B$29=B7)*$C$6:$C$29*$E$6:$E$29)/SUMIF($B$6:$B$29,B7,$E$6:$E$29),IF(D7&gt;=SUMPRODUCT(($B$6:$B$29=B7)*$D$6:$D$29*$E$6:$E$29)/SUMIF($B$6:$B$29,B7,$E$6:$E$29),"Premium differentiator","Stuck in the middle"),IF(D7&gt;=SUMPRODUCT(($B$6:$B$29=B7)*$D$6:$D$29*$E$6:$E$29)/SUMIF($B$6:$B$29,B7,$E$6:$E$29),"Value leader","Low-cost / economy")),""))</f>
        <v>Premium differentiator</v>
      </c>
    </row>
    <row r="8" customFormat="false" ht="15" hidden="false" customHeight="false" outlineLevel="0" collapsed="false">
      <c r="A8" s="9" t="s">
        <v>435</v>
      </c>
      <c r="B8" s="9" t="s">
        <v>433</v>
      </c>
      <c r="C8" s="29" t="n">
        <v>231</v>
      </c>
      <c r="D8" s="13" t="n">
        <v>3.4</v>
      </c>
      <c r="E8" s="13" t="n">
        <v>13</v>
      </c>
      <c r="F8" s="42" t="n">
        <v>5</v>
      </c>
      <c r="G8" s="14" t="str">
        <f aca="false">IF(OR(A8="",B8="",C8="",D8="",E8=""),"",IFERROR(IF(C8&gt;SUMPRODUCT(($B$6:$B$29=B8)*$C$6:$C$29*$E$6:$E$29)/SUMIF($B$6:$B$29,B8,$E$6:$E$29),IF(D8&gt;=SUMPRODUCT(($B$6:$B$29=B8)*$D$6:$D$29*$E$6:$E$29)/SUMIF($B$6:$B$29,B8,$E$6:$E$29),"Premium differentiator","Stuck in the middle"),IF(D8&gt;=SUMPRODUCT(($B$6:$B$29=B8)*$D$6:$D$29*$E$6:$E$29)/SUMIF($B$6:$B$29,B8,$E$6:$E$29),"Value leader","Low-cost / economy")),""))</f>
        <v>Low-cost / economy</v>
      </c>
    </row>
    <row r="9" customFormat="false" ht="15" hidden="false" customHeight="false" outlineLevel="0" collapsed="false">
      <c r="A9" s="9" t="s">
        <v>435</v>
      </c>
      <c r="B9" s="9" t="s">
        <v>434</v>
      </c>
      <c r="C9" s="29" t="n">
        <v>1017</v>
      </c>
      <c r="D9" s="13" t="n">
        <v>3.5</v>
      </c>
      <c r="E9" s="13" t="n">
        <v>13.2</v>
      </c>
      <c r="F9" s="42" t="n">
        <v>6</v>
      </c>
      <c r="G9" s="14" t="str">
        <f aca="false">IF(OR(A9="",B9="",C9="",D9="",E9=""),"",IFERROR(IF(C9&gt;SUMPRODUCT(($B$6:$B$29=B9)*$C$6:$C$29*$E$6:$E$29)/SUMIF($B$6:$B$29,B9,$E$6:$E$29),IF(D9&gt;=SUMPRODUCT(($B$6:$B$29=B9)*$D$6:$D$29*$E$6:$E$29)/SUMIF($B$6:$B$29,B9,$E$6:$E$29),"Premium differentiator","Stuck in the middle"),IF(D9&gt;=SUMPRODUCT(($B$6:$B$29=B9)*$D$6:$D$29*$E$6:$E$29)/SUMIF($B$6:$B$29,B9,$E$6:$E$29),"Value leader","Low-cost / economy")),""))</f>
        <v>Low-cost / economy</v>
      </c>
    </row>
    <row r="10" customFormat="false" ht="15" hidden="false" customHeight="false" outlineLevel="0" collapsed="false">
      <c r="A10" s="9" t="s">
        <v>436</v>
      </c>
      <c r="B10" s="9" t="s">
        <v>433</v>
      </c>
      <c r="C10" s="29" t="n">
        <v>257</v>
      </c>
      <c r="D10" s="13" t="n">
        <v>4</v>
      </c>
      <c r="E10" s="13" t="n">
        <v>15.3</v>
      </c>
      <c r="F10" s="42" t="n">
        <v>5</v>
      </c>
      <c r="G10" s="14" t="str">
        <f aca="false">IF(OR(A10="",B10="",C10="",D10="",E10=""),"",IFERROR(IF(C10&gt;SUMPRODUCT(($B$6:$B$29=B10)*$C$6:$C$29*$E$6:$E$29)/SUMIF($B$6:$B$29,B10,$E$6:$E$29),IF(D10&gt;=SUMPRODUCT(($B$6:$B$29=B10)*$D$6:$D$29*$E$6:$E$29)/SUMIF($B$6:$B$29,B10,$E$6:$E$29),"Premium differentiator","Stuck in the middle"),IF(D10&gt;=SUMPRODUCT(($B$6:$B$29=B10)*$D$6:$D$29*$E$6:$E$29)/SUMIF($B$6:$B$29,B10,$E$6:$E$29),"Value leader","Low-cost / economy")),""))</f>
        <v>Value leader</v>
      </c>
    </row>
    <row r="11" customFormat="false" ht="15" hidden="false" customHeight="false" outlineLevel="0" collapsed="false">
      <c r="A11" s="9" t="s">
        <v>436</v>
      </c>
      <c r="B11" s="9" t="s">
        <v>434</v>
      </c>
      <c r="C11" s="29" t="n">
        <v>1289</v>
      </c>
      <c r="D11" s="13" t="n">
        <v>4.6</v>
      </c>
      <c r="E11" s="13" t="n">
        <v>13.3</v>
      </c>
      <c r="F11" s="42" t="n">
        <v>5</v>
      </c>
      <c r="G11" s="14" t="str">
        <f aca="false">IF(OR(A11="",B11="",C11="",D11="",E11=""),"",IFERROR(IF(C11&gt;SUMPRODUCT(($B$6:$B$29=B11)*$C$6:$C$29*$E$6:$E$29)/SUMIF($B$6:$B$29,B11,$E$6:$E$29),IF(D11&gt;=SUMPRODUCT(($B$6:$B$29=B11)*$D$6:$D$29*$E$6:$E$29)/SUMIF($B$6:$B$29,B11,$E$6:$E$29),"Premium differentiator","Stuck in the middle"),IF(D11&gt;=SUMPRODUCT(($B$6:$B$29=B11)*$D$6:$D$29*$E$6:$E$29)/SUMIF($B$6:$B$29,B11,$E$6:$E$29),"Value leader","Low-cost / economy")),""))</f>
        <v>Premium differentiator</v>
      </c>
    </row>
    <row r="12" customFormat="false" ht="15" hidden="false" customHeight="false" outlineLevel="0" collapsed="false">
      <c r="A12" s="9" t="s">
        <v>437</v>
      </c>
      <c r="B12" s="9" t="s">
        <v>433</v>
      </c>
      <c r="C12" s="29" t="n">
        <v>300</v>
      </c>
      <c r="D12" s="13" t="n">
        <v>4.2</v>
      </c>
      <c r="E12" s="13" t="n">
        <v>10.2</v>
      </c>
      <c r="F12" s="42" t="n">
        <v>4</v>
      </c>
      <c r="G12" s="14" t="str">
        <f aca="false">IF(OR(A12="",B12="",C12="",D12="",E12=""),"",IFERROR(IF(C12&gt;SUMPRODUCT(($B$6:$B$29=B12)*$C$6:$C$29*$E$6:$E$29)/SUMIF($B$6:$B$29,B12,$E$6:$E$29),IF(D12&gt;=SUMPRODUCT(($B$6:$B$29=B12)*$D$6:$D$29*$E$6:$E$29)/SUMIF($B$6:$B$29,B12,$E$6:$E$29),"Premium differentiator","Stuck in the middle"),IF(D12&gt;=SUMPRODUCT(($B$6:$B$29=B12)*$D$6:$D$29*$E$6:$E$29)/SUMIF($B$6:$B$29,B12,$E$6:$E$29),"Value leader","Low-cost / economy")),""))</f>
        <v>Premium differentiator</v>
      </c>
    </row>
    <row r="13" customFormat="false" ht="15" hidden="false" customHeight="false" outlineLevel="0" collapsed="false">
      <c r="A13" s="9" t="s">
        <v>437</v>
      </c>
      <c r="B13" s="9" t="s">
        <v>434</v>
      </c>
      <c r="C13" s="29" t="n">
        <v>1328</v>
      </c>
      <c r="D13" s="13" t="n">
        <v>4.4</v>
      </c>
      <c r="E13" s="13" t="n">
        <v>10.6</v>
      </c>
      <c r="F13" s="42" t="n">
        <v>5</v>
      </c>
      <c r="G13" s="14" t="str">
        <f aca="false">IF(OR(A13="",B13="",C13="",D13="",E13=""),"",IFERROR(IF(C13&gt;SUMPRODUCT(($B$6:$B$29=B13)*$C$6:$C$29*$E$6:$E$29)/SUMIF($B$6:$B$29,B13,$E$6:$E$29),IF(D13&gt;=SUMPRODUCT(($B$6:$B$29=B13)*$D$6:$D$29*$E$6:$E$29)/SUMIF($B$6:$B$29,B13,$E$6:$E$29),"Premium differentiator","Stuck in the middle"),IF(D13&gt;=SUMPRODUCT(($B$6:$B$29=B13)*$D$6:$D$29*$E$6:$E$29)/SUMIF($B$6:$B$29,B13,$E$6:$E$29),"Value leader","Low-cost / economy")),""))</f>
        <v>Premium differentiator</v>
      </c>
    </row>
    <row r="14" customFormat="false" ht="15" hidden="false" customHeight="false" outlineLevel="0" collapsed="false">
      <c r="A14" s="9" t="s">
        <v>438</v>
      </c>
      <c r="B14" s="9" t="s">
        <v>433</v>
      </c>
      <c r="C14" s="29" t="n">
        <v>242</v>
      </c>
      <c r="D14" s="13" t="n">
        <v>3.5</v>
      </c>
      <c r="E14" s="13" t="n">
        <v>11.9</v>
      </c>
      <c r="F14" s="42" t="n">
        <v>6</v>
      </c>
      <c r="G14" s="14" t="str">
        <f aca="false">IF(OR(A14="",B14="",C14="",D14="",E14=""),"",IFERROR(IF(C14&gt;SUMPRODUCT(($B$6:$B$29=B14)*$C$6:$C$29*$E$6:$E$29)/SUMIF($B$6:$B$29,B14,$E$6:$E$29),IF(D14&gt;=SUMPRODUCT(($B$6:$B$29=B14)*$D$6:$D$29*$E$6:$E$29)/SUMIF($B$6:$B$29,B14,$E$6:$E$29),"Premium differentiator","Stuck in the middle"),IF(D14&gt;=SUMPRODUCT(($B$6:$B$29=B14)*$D$6:$D$29*$E$6:$E$29)/SUMIF($B$6:$B$29,B14,$E$6:$E$29),"Value leader","Low-cost / economy")),""))</f>
        <v>Low-cost / economy</v>
      </c>
    </row>
    <row r="15" customFormat="false" ht="15" hidden="false" customHeight="false" outlineLevel="0" collapsed="false">
      <c r="A15" s="9" t="s">
        <v>438</v>
      </c>
      <c r="B15" s="9" t="s">
        <v>434</v>
      </c>
      <c r="C15" s="29" t="n">
        <v>1055</v>
      </c>
      <c r="D15" s="13" t="n">
        <v>3.6</v>
      </c>
      <c r="E15" s="13" t="n">
        <v>12.4</v>
      </c>
      <c r="F15" s="42" t="n">
        <v>5</v>
      </c>
      <c r="G15" s="14" t="str">
        <f aca="false">IF(OR(A15="",B15="",C15="",D15="",E15=""),"",IFERROR(IF(C15&gt;SUMPRODUCT(($B$6:$B$29=B15)*$C$6:$C$29*$E$6:$E$29)/SUMIF($B$6:$B$29,B15,$E$6:$E$29),IF(D15&gt;=SUMPRODUCT(($B$6:$B$29=B15)*$D$6:$D$29*$E$6:$E$29)/SUMIF($B$6:$B$29,B15,$E$6:$E$29),"Premium differentiator","Stuck in the middle"),IF(D15&gt;=SUMPRODUCT(($B$6:$B$29=B15)*$D$6:$D$29*$E$6:$E$29)/SUMIF($B$6:$B$29,B15,$E$6:$E$29),"Value leader","Low-cost / economy")),""))</f>
        <v>Low-cost / economy</v>
      </c>
    </row>
    <row r="16" customFormat="false" ht="15" hidden="false" customHeight="false" outlineLevel="0" collapsed="false">
      <c r="A16" s="9" t="s">
        <v>439</v>
      </c>
      <c r="B16" s="9" t="s">
        <v>433</v>
      </c>
      <c r="C16" s="29" t="n">
        <v>269</v>
      </c>
      <c r="D16" s="13" t="n">
        <v>3.9</v>
      </c>
      <c r="E16" s="13" t="n">
        <v>12.7</v>
      </c>
      <c r="F16" s="42" t="n">
        <v>4</v>
      </c>
      <c r="G16" s="14" t="str">
        <f aca="false">IF(OR(A16="",B16="",C16="",D16="",E16=""),"",IFERROR(IF(C16&gt;SUMPRODUCT(($B$6:$B$29=B16)*$C$6:$C$29*$E$6:$E$29)/SUMIF($B$6:$B$29,B16,$E$6:$E$29),IF(D16&gt;=SUMPRODUCT(($B$6:$B$29=B16)*$D$6:$D$29*$E$6:$E$29)/SUMIF($B$6:$B$29,B16,$E$6:$E$29),"Premium differentiator","Stuck in the middle"),IF(D16&gt;=SUMPRODUCT(($B$6:$B$29=B16)*$D$6:$D$29*$E$6:$E$29)/SUMIF($B$6:$B$29,B16,$E$6:$E$29),"Value leader","Low-cost / economy")),""))</f>
        <v>Low-cost / economy</v>
      </c>
    </row>
    <row r="17" customFormat="false" ht="15" hidden="false" customHeight="false" outlineLevel="0" collapsed="false">
      <c r="A17" s="9" t="s">
        <v>439</v>
      </c>
      <c r="B17" s="9" t="s">
        <v>434</v>
      </c>
      <c r="C17" s="29" t="n">
        <v>1181</v>
      </c>
      <c r="D17" s="13" t="n">
        <v>3.9</v>
      </c>
      <c r="E17" s="13" t="n">
        <v>13.1</v>
      </c>
      <c r="F17" s="42" t="n">
        <v>5</v>
      </c>
      <c r="G17" s="14" t="str">
        <f aca="false">IF(OR(A17="",B17="",C17="",D17="",E17=""),"",IFERROR(IF(C17&gt;SUMPRODUCT(($B$6:$B$29=B17)*$C$6:$C$29*$E$6:$E$29)/SUMIF($B$6:$B$29,B17,$E$6:$E$29),IF(D17&gt;=SUMPRODUCT(($B$6:$B$29=B17)*$D$6:$D$29*$E$6:$E$29)/SUMIF($B$6:$B$29,B17,$E$6:$E$29),"Premium differentiator","Stuck in the middle"),IF(D17&gt;=SUMPRODUCT(($B$6:$B$29=B17)*$D$6:$D$29*$E$6:$E$29)/SUMIF($B$6:$B$29,B17,$E$6:$E$29),"Value leader","Low-cost / economy")),""))</f>
        <v>Low-cost / economy</v>
      </c>
    </row>
    <row r="18" customFormat="false" ht="15" hidden="false" customHeight="false" outlineLevel="0" collapsed="false">
      <c r="A18" s="9" t="s">
        <v>440</v>
      </c>
      <c r="B18" s="9" t="s">
        <v>433</v>
      </c>
      <c r="C18" s="29" t="n">
        <v>318</v>
      </c>
      <c r="D18" s="13" t="n">
        <v>4.7</v>
      </c>
      <c r="E18" s="13" t="n">
        <v>13</v>
      </c>
      <c r="F18" s="42" t="n">
        <v>5</v>
      </c>
      <c r="G18" s="14" t="str">
        <f aca="false">IF(OR(A18="",B18="",C18="",D18="",E18=""),"",IFERROR(IF(C18&gt;SUMPRODUCT(($B$6:$B$29=B18)*$C$6:$C$29*$E$6:$E$29)/SUMIF($B$6:$B$29,B18,$E$6:$E$29),IF(D18&gt;=SUMPRODUCT(($B$6:$B$29=B18)*$D$6:$D$29*$E$6:$E$29)/SUMIF($B$6:$B$29,B18,$E$6:$E$29),"Premium differentiator","Stuck in the middle"),IF(D18&gt;=SUMPRODUCT(($B$6:$B$29=B18)*$D$6:$D$29*$E$6:$E$29)/SUMIF($B$6:$B$29,B18,$E$6:$E$29),"Value leader","Low-cost / economy")),""))</f>
        <v>Premium differentiator</v>
      </c>
    </row>
    <row r="19" customFormat="false" ht="15" hidden="false" customHeight="false" outlineLevel="0" collapsed="false">
      <c r="A19" s="9" t="s">
        <v>440</v>
      </c>
      <c r="B19" s="9" t="s">
        <v>434</v>
      </c>
      <c r="C19" s="29" t="n">
        <v>1390</v>
      </c>
      <c r="D19" s="13" t="n">
        <v>4.8</v>
      </c>
      <c r="E19" s="13" t="n">
        <v>13.8</v>
      </c>
      <c r="F19" s="42" t="n">
        <v>5</v>
      </c>
      <c r="G19" s="14" t="str">
        <f aca="false">IF(OR(A19="",B19="",C19="",D19="",E19=""),"",IFERROR(IF(C19&gt;SUMPRODUCT(($B$6:$B$29=B19)*$C$6:$C$29*$E$6:$E$29)/SUMIF($B$6:$B$29,B19,$E$6:$E$29),IF(D19&gt;=SUMPRODUCT(($B$6:$B$29=B19)*$D$6:$D$29*$E$6:$E$29)/SUMIF($B$6:$B$29,B19,$E$6:$E$29),"Premium differentiator","Stuck in the middle"),IF(D19&gt;=SUMPRODUCT(($B$6:$B$29=B19)*$D$6:$D$29*$E$6:$E$29)/SUMIF($B$6:$B$29,B19,$E$6:$E$29),"Value leader","Low-cost / economy")),""))</f>
        <v>Premium differentiator</v>
      </c>
    </row>
    <row r="20" customFormat="false" ht="15" hidden="false" customHeight="false" outlineLevel="0" collapsed="false">
      <c r="A20" s="9" t="s">
        <v>441</v>
      </c>
      <c r="B20" s="9" t="s">
        <v>433</v>
      </c>
      <c r="C20" s="29" t="n">
        <v>274</v>
      </c>
      <c r="D20" s="13" t="n">
        <v>3.8</v>
      </c>
      <c r="E20" s="13" t="n">
        <v>10.9</v>
      </c>
      <c r="F20" s="42" t="n">
        <v>5</v>
      </c>
      <c r="G20" s="14" t="str">
        <f aca="false">IF(OR(A20="",B20="",C20="",D20="",E20=""),"",IFERROR(IF(C20&gt;SUMPRODUCT(($B$6:$B$29=B20)*$C$6:$C$29*$E$6:$E$29)/SUMIF($B$6:$B$29,B20,$E$6:$E$29),IF(D20&gt;=SUMPRODUCT(($B$6:$B$29=B20)*$D$6:$D$29*$E$6:$E$29)/SUMIF($B$6:$B$29,B20,$E$6:$E$29),"Premium differentiator","Stuck in the middle"),IF(D20&gt;=SUMPRODUCT(($B$6:$B$29=B20)*$D$6:$D$29*$E$6:$E$29)/SUMIF($B$6:$B$29,B20,$E$6:$E$29),"Value leader","Low-cost / economy")),""))</f>
        <v>Stuck in the middle</v>
      </c>
    </row>
    <row r="21" customFormat="false" ht="15" hidden="false" customHeight="false" outlineLevel="0" collapsed="false">
      <c r="A21" s="9" t="s">
        <v>441</v>
      </c>
      <c r="B21" s="9" t="s">
        <v>434</v>
      </c>
      <c r="C21" s="29" t="n">
        <v>1202</v>
      </c>
      <c r="D21" s="13" t="n">
        <v>3.9</v>
      </c>
      <c r="E21" s="13" t="n">
        <v>10.4</v>
      </c>
      <c r="F21" s="42" t="n">
        <v>6</v>
      </c>
      <c r="G21" s="14" t="str">
        <f aca="false">IF(OR(A21="",B21="",C21="",D21="",E21=""),"",IFERROR(IF(C21&gt;SUMPRODUCT(($B$6:$B$29=B21)*$C$6:$C$29*$E$6:$E$29)/SUMIF($B$6:$B$29,B21,$E$6:$E$29),IF(D21&gt;=SUMPRODUCT(($B$6:$B$29=B21)*$D$6:$D$29*$E$6:$E$29)/SUMIF($B$6:$B$29,B21,$E$6:$E$29),"Premium differentiator","Stuck in the middle"),IF(D21&gt;=SUMPRODUCT(($B$6:$B$29=B21)*$D$6:$D$29*$E$6:$E$29)/SUMIF($B$6:$B$29,B21,$E$6:$E$29),"Value leader","Low-cost / economy")),""))</f>
        <v>Low-cost / economy</v>
      </c>
    </row>
    <row r="22" customFormat="false" ht="15" hidden="false" customHeight="false" outlineLevel="0" collapsed="false">
      <c r="A22" s="9"/>
      <c r="B22" s="9"/>
      <c r="C22" s="29"/>
      <c r="D22" s="13"/>
      <c r="E22" s="13"/>
      <c r="F22" s="42"/>
      <c r="G22" s="14" t="str">
        <f aca="false">IF(OR(A22="",B22="",C22="",D22="",E22=""),"",IFERROR(IF(C22&gt;SUMPRODUCT(($B$6:$B$29=B22)*$C$6:$C$29*$E$6:$E$29)/SUMIF($B$6:$B$29,B22,$E$6:$E$29),IF(D22&gt;=SUMPRODUCT(($B$6:$B$29=B22)*$D$6:$D$29*$E$6:$E$29)/SUMIF($B$6:$B$29,B22,$E$6:$E$29),"Premium differentiator","Stuck in the middle"),IF(D22&gt;=SUMPRODUCT(($B$6:$B$29=B22)*$D$6:$D$29*$E$6:$E$29)/SUMIF($B$6:$B$29,B22,$E$6:$E$29),"Value leader","Low-cost / economy")),""))</f>
        <v/>
      </c>
    </row>
    <row r="23" customFormat="false" ht="15" hidden="false" customHeight="false" outlineLevel="0" collapsed="false">
      <c r="A23" s="9"/>
      <c r="B23" s="9"/>
      <c r="C23" s="29"/>
      <c r="D23" s="13"/>
      <c r="E23" s="13"/>
      <c r="F23" s="42"/>
      <c r="G23" s="14" t="str">
        <f aca="false">IF(OR(A23="",B23="",C23="",D23="",E23=""),"",IFERROR(IF(C23&gt;SUMPRODUCT(($B$6:$B$29=B23)*$C$6:$C$29*$E$6:$E$29)/SUMIF($B$6:$B$29,B23,$E$6:$E$29),IF(D23&gt;=SUMPRODUCT(($B$6:$B$29=B23)*$D$6:$D$29*$E$6:$E$29)/SUMIF($B$6:$B$29,B23,$E$6:$E$29),"Premium differentiator","Stuck in the middle"),IF(D23&gt;=SUMPRODUCT(($B$6:$B$29=B23)*$D$6:$D$29*$E$6:$E$29)/SUMIF($B$6:$B$29,B23,$E$6:$E$29),"Value leader","Low-cost / economy")),""))</f>
        <v/>
      </c>
    </row>
    <row r="24" customFormat="false" ht="15" hidden="false" customHeight="false" outlineLevel="0" collapsed="false">
      <c r="A24" s="9"/>
      <c r="B24" s="9"/>
      <c r="C24" s="29"/>
      <c r="D24" s="13"/>
      <c r="E24" s="13"/>
      <c r="F24" s="42"/>
      <c r="G24" s="14" t="str">
        <f aca="false">IF(OR(A24="",B24="",C24="",D24="",E24=""),"",IFERROR(IF(C24&gt;SUMPRODUCT(($B$6:$B$29=B24)*$C$6:$C$29*$E$6:$E$29)/SUMIF($B$6:$B$29,B24,$E$6:$E$29),IF(D24&gt;=SUMPRODUCT(($B$6:$B$29=B24)*$D$6:$D$29*$E$6:$E$29)/SUMIF($B$6:$B$29,B24,$E$6:$E$29),"Premium differentiator","Stuck in the middle"),IF(D24&gt;=SUMPRODUCT(($B$6:$B$29=B24)*$D$6:$D$29*$E$6:$E$29)/SUMIF($B$6:$B$29,B24,$E$6:$E$29),"Value leader","Low-cost / economy")),""))</f>
        <v/>
      </c>
    </row>
    <row r="25" customFormat="false" ht="15" hidden="false" customHeight="false" outlineLevel="0" collapsed="false">
      <c r="A25" s="9"/>
      <c r="B25" s="9"/>
      <c r="C25" s="29"/>
      <c r="D25" s="13"/>
      <c r="E25" s="13"/>
      <c r="F25" s="42"/>
      <c r="G25" s="14" t="str">
        <f aca="false">IF(OR(A25="",B25="",C25="",D25="",E25=""),"",IFERROR(IF(C25&gt;SUMPRODUCT(($B$6:$B$29=B25)*$C$6:$C$29*$E$6:$E$29)/SUMIF($B$6:$B$29,B25,$E$6:$E$29),IF(D25&gt;=SUMPRODUCT(($B$6:$B$29=B25)*$D$6:$D$29*$E$6:$E$29)/SUMIF($B$6:$B$29,B25,$E$6:$E$29),"Premium differentiator","Stuck in the middle"),IF(D25&gt;=SUMPRODUCT(($B$6:$B$29=B25)*$D$6:$D$29*$E$6:$E$29)/SUMIF($B$6:$B$29,B25,$E$6:$E$29),"Value leader","Low-cost / economy")),""))</f>
        <v/>
      </c>
    </row>
    <row r="26" customFormat="false" ht="15" hidden="false" customHeight="false" outlineLevel="0" collapsed="false">
      <c r="A26" s="9"/>
      <c r="B26" s="9"/>
      <c r="C26" s="29"/>
      <c r="D26" s="13"/>
      <c r="E26" s="13"/>
      <c r="F26" s="42"/>
      <c r="G26" s="14" t="str">
        <f aca="false">IF(OR(A26="",B26="",C26="",D26="",E26=""),"",IFERROR(IF(C26&gt;SUMPRODUCT(($B$6:$B$29=B26)*$C$6:$C$29*$E$6:$E$29)/SUMIF($B$6:$B$29,B26,$E$6:$E$29),IF(D26&gt;=SUMPRODUCT(($B$6:$B$29=B26)*$D$6:$D$29*$E$6:$E$29)/SUMIF($B$6:$B$29,B26,$E$6:$E$29),"Premium differentiator","Stuck in the middle"),IF(D26&gt;=SUMPRODUCT(($B$6:$B$29=B26)*$D$6:$D$29*$E$6:$E$29)/SUMIF($B$6:$B$29,B26,$E$6:$E$29),"Value leader","Low-cost / economy")),""))</f>
        <v/>
      </c>
    </row>
    <row r="27" customFormat="false" ht="15" hidden="false" customHeight="false" outlineLevel="0" collapsed="false">
      <c r="A27" s="9"/>
      <c r="B27" s="9"/>
      <c r="C27" s="29"/>
      <c r="D27" s="13"/>
      <c r="E27" s="13"/>
      <c r="F27" s="42"/>
      <c r="G27" s="14" t="str">
        <f aca="false">IF(OR(A27="",B27="",C27="",D27="",E27=""),"",IFERROR(IF(C27&gt;SUMPRODUCT(($B$6:$B$29=B27)*$C$6:$C$29*$E$6:$E$29)/SUMIF($B$6:$B$29,B27,$E$6:$E$29),IF(D27&gt;=SUMPRODUCT(($B$6:$B$29=B27)*$D$6:$D$29*$E$6:$E$29)/SUMIF($B$6:$B$29,B27,$E$6:$E$29),"Premium differentiator","Stuck in the middle"),IF(D27&gt;=SUMPRODUCT(($B$6:$B$29=B27)*$D$6:$D$29*$E$6:$E$29)/SUMIF($B$6:$B$29,B27,$E$6:$E$29),"Value leader","Low-cost / economy")),""))</f>
        <v/>
      </c>
    </row>
    <row r="28" customFormat="false" ht="15" hidden="false" customHeight="false" outlineLevel="0" collapsed="false">
      <c r="A28" s="9"/>
      <c r="B28" s="9"/>
      <c r="C28" s="29"/>
      <c r="D28" s="13"/>
      <c r="E28" s="13"/>
      <c r="F28" s="42"/>
      <c r="G28" s="14" t="str">
        <f aca="false">IF(OR(A28="",B28="",C28="",D28="",E28=""),"",IFERROR(IF(C28&gt;SUMPRODUCT(($B$6:$B$29=B28)*$C$6:$C$29*$E$6:$E$29)/SUMIF($B$6:$B$29,B28,$E$6:$E$29),IF(D28&gt;=SUMPRODUCT(($B$6:$B$29=B28)*$D$6:$D$29*$E$6:$E$29)/SUMIF($B$6:$B$29,B28,$E$6:$E$29),"Premium differentiator","Stuck in the middle"),IF(D28&gt;=SUMPRODUCT(($B$6:$B$29=B28)*$D$6:$D$29*$E$6:$E$29)/SUMIF($B$6:$B$29,B28,$E$6:$E$29),"Value leader","Low-cost / economy")),""))</f>
        <v/>
      </c>
    </row>
    <row r="29" customFormat="false" ht="15" hidden="false" customHeight="false" outlineLevel="0" collapsed="false">
      <c r="A29" s="9"/>
      <c r="B29" s="9"/>
      <c r="C29" s="29"/>
      <c r="D29" s="13"/>
      <c r="E29" s="13"/>
      <c r="F29" s="42"/>
      <c r="G29" s="14" t="str">
        <f aca="false">IF(OR(A29="",B29="",C29="",D29="",E29=""),"",IFERROR(IF(C29&gt;SUMPRODUCT(($B$6:$B$29=B29)*$C$6:$C$29*$E$6:$E$29)/SUMIF($B$6:$B$29,B29,$E$6:$E$29),IF(D29&gt;=SUMPRODUCT(($B$6:$B$29=B29)*$D$6:$D$29*$E$6:$E$29)/SUMIF($B$6:$B$29,B29,$E$6:$E$29),"Premium differentiator","Stuck in the middle"),IF(D29&gt;=SUMPRODUCT(($B$6:$B$29=B29)*$D$6:$D$29*$E$6:$E$29)/SUMIF($B$6:$B$29,B29,$E$6:$E$29),"Value leader","Low-cost / economy")),""))</f>
        <v/>
      </c>
    </row>
    <row r="31" customFormat="false" ht="46.25" hidden="false" customHeight="false" outlineLevel="0" collapsed="false">
      <c r="A31" s="11" t="s">
        <v>442</v>
      </c>
      <c r="C31" s="11" t="s">
        <v>443</v>
      </c>
      <c r="D31" s="11" t="s">
        <v>444</v>
      </c>
    </row>
    <row r="32" customFormat="false" ht="15" hidden="false" customHeight="false" outlineLevel="0" collapsed="false">
      <c r="A32" s="5" t="s">
        <v>433</v>
      </c>
      <c r="C32" s="33" t="n">
        <f aca="false">IFERROR(SUMPRODUCT(($B$6:$B$29="Camera")*$C$6:$C$29*$E$6:$E$29)/SUMIF($B$6:$B$29,"Camera",$E$6:$E$29),"")</f>
        <v>271.928928928929</v>
      </c>
      <c r="D32" s="25" t="n">
        <f aca="false">IFERROR(SUMPRODUCT(($B$6:$B$29="Camera")*$D$6:$D$29*$E$6:$E$29)/SUMIF($B$6:$B$29,"Camera",$E$6:$E$29),"")</f>
        <v>3.99099099099099</v>
      </c>
    </row>
    <row r="33" customFormat="false" ht="15" hidden="false" customHeight="false" outlineLevel="0" collapsed="false">
      <c r="A33" s="5" t="s">
        <v>434</v>
      </c>
      <c r="C33" s="33" t="n">
        <f aca="false">IFERROR(SUMPRODUCT(($B$6:$B$29="Drone")*$C$6:$C$29*$E$6:$E$29)/SUMIF($B$6:$B$29,"Drone",$E$6:$E$29),"")</f>
        <v>1216.712</v>
      </c>
      <c r="D33" s="25" t="n">
        <f aca="false">IFERROR(SUMPRODUCT(($B$6:$B$29="Drone")*$D$6:$D$29*$E$6:$E$29)/SUMIF($B$6:$B$29,"Drone",$E$6:$E$29),"")</f>
        <v>4.1595</v>
      </c>
    </row>
  </sheetData>
  <conditionalFormatting sqref="G6:G29">
    <cfRule type="expression" priority="2" aboveAverage="0" equalAverage="0" bottom="0" percent="0" rank="0" text="" dxfId="0">
      <formula>OR(G6="Premium differentiator",G6="Value leader")</formula>
    </cfRule>
    <cfRule type="expression" priority="3" aboveAverage="0" equalAverage="0" bottom="0" percent="0" rank="0" text="" dxfId="1">
      <formula>G6="Low-cost / economy"</formula>
    </cfRule>
    <cfRule type="expression" priority="4" aboveAverage="0" equalAverage="0" bottom="0" percent="0" rank="0" text="" dxfId="2">
      <formula>G6="Stuck in the middle"</formula>
    </cfRule>
  </conditionalFormatting>
  <dataValidations count="1">
    <dataValidation allowBlank="true" errorStyle="stop" operator="between" showDropDown="false" showErrorMessage="false" showInputMessage="false" sqref="B6:B29" type="list">
      <formula1>"Camera,Drone"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N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14" min="4" style="0" width="12"/>
  </cols>
  <sheetData>
    <row r="1" customFormat="false" ht="19.7" hidden="false" customHeight="false" outlineLevel="0" collapsed="false">
      <c r="A1" s="6" t="s">
        <v>445</v>
      </c>
    </row>
    <row r="2" customFormat="false" ht="15" hidden="false" customHeight="false" outlineLevel="0" collapsed="false">
      <c r="A2" s="3" t="s">
        <v>446</v>
      </c>
    </row>
    <row r="3" customFormat="false" ht="15" hidden="false" customHeight="false" outlineLevel="0" collapsed="false">
      <c r="A3" s="7" t="s">
        <v>42</v>
      </c>
    </row>
    <row r="4" customFormat="false" ht="15" hidden="false" customHeight="false" outlineLevel="0" collapsed="false">
      <c r="A4" s="4" t="s">
        <v>447</v>
      </c>
      <c r="D4" s="17" t="n">
        <v>0.15</v>
      </c>
    </row>
    <row r="5" customFormat="false" ht="30" hidden="false" customHeight="true" outlineLevel="0" collapsed="false">
      <c r="A5" s="8" t="s">
        <v>448</v>
      </c>
      <c r="B5" s="8" t="s">
        <v>449</v>
      </c>
      <c r="C5" s="8" t="s">
        <v>450</v>
      </c>
      <c r="D5" s="8" t="s">
        <v>451</v>
      </c>
      <c r="E5" s="8" t="s">
        <v>452</v>
      </c>
      <c r="F5" s="8" t="s">
        <v>453</v>
      </c>
      <c r="G5" s="8" t="s">
        <v>454</v>
      </c>
      <c r="H5" s="8" t="s">
        <v>455</v>
      </c>
      <c r="I5" s="8" t="s">
        <v>456</v>
      </c>
      <c r="J5" s="8" t="s">
        <v>457</v>
      </c>
      <c r="K5" s="8" t="s">
        <v>458</v>
      </c>
      <c r="L5" s="8" t="s">
        <v>459</v>
      </c>
      <c r="M5" s="8" t="s">
        <v>460</v>
      </c>
      <c r="N5" s="8" t="s">
        <v>461</v>
      </c>
    </row>
    <row r="6" customFormat="false" ht="15" hidden="false" customHeight="false" outlineLevel="0" collapsed="false">
      <c r="A6" s="43" t="s">
        <v>462</v>
      </c>
      <c r="B6" s="11" t="s">
        <v>463</v>
      </c>
      <c r="C6" s="5" t="s">
        <v>464</v>
      </c>
      <c r="D6" s="5" t="s">
        <v>465</v>
      </c>
      <c r="E6" s="9" t="s">
        <v>466</v>
      </c>
      <c r="F6" s="9" t="s">
        <v>466</v>
      </c>
      <c r="G6" s="9" t="s">
        <v>466</v>
      </c>
      <c r="H6" s="9"/>
      <c r="I6" s="9"/>
      <c r="J6" s="9"/>
      <c r="K6" s="9"/>
      <c r="L6" s="9"/>
      <c r="M6" s="9"/>
      <c r="N6" s="9"/>
    </row>
    <row r="7" customFormat="false" ht="23.85" hidden="false" customHeight="false" outlineLevel="0" collapsed="false">
      <c r="A7" s="43" t="s">
        <v>467</v>
      </c>
      <c r="B7" s="11"/>
      <c r="C7" s="5" t="s">
        <v>468</v>
      </c>
      <c r="D7" s="5" t="s">
        <v>465</v>
      </c>
      <c r="E7" s="9" t="s">
        <v>469</v>
      </c>
      <c r="F7" s="9"/>
      <c r="G7" s="9" t="s">
        <v>469</v>
      </c>
      <c r="H7" s="9"/>
      <c r="I7" s="9"/>
      <c r="J7" s="9"/>
      <c r="K7" s="9"/>
      <c r="L7" s="9"/>
      <c r="M7" s="9"/>
      <c r="N7" s="9"/>
    </row>
    <row r="8" customFormat="false" ht="15" hidden="false" customHeight="false" outlineLevel="0" collapsed="false">
      <c r="A8" s="43" t="s">
        <v>470</v>
      </c>
      <c r="B8" s="11" t="s">
        <v>471</v>
      </c>
      <c r="C8" s="5" t="s">
        <v>472</v>
      </c>
      <c r="D8" s="5" t="s">
        <v>473</v>
      </c>
      <c r="E8" s="13"/>
      <c r="F8" s="13"/>
      <c r="G8" s="13"/>
      <c r="H8" s="13"/>
      <c r="I8" s="13"/>
      <c r="J8" s="13"/>
      <c r="K8" s="13"/>
      <c r="L8" s="13"/>
      <c r="M8" s="13"/>
      <c r="N8" s="13"/>
    </row>
    <row r="9" customFormat="false" ht="15" hidden="false" customHeight="false" outlineLevel="0" collapsed="false">
      <c r="A9" s="43" t="s">
        <v>474</v>
      </c>
      <c r="B9" s="11"/>
      <c r="C9" s="5" t="s">
        <v>475</v>
      </c>
      <c r="D9" s="5" t="s">
        <v>473</v>
      </c>
      <c r="E9" s="13"/>
      <c r="F9" s="13"/>
      <c r="G9" s="13"/>
      <c r="H9" s="13"/>
      <c r="I9" s="13"/>
      <c r="J9" s="13"/>
      <c r="K9" s="13"/>
      <c r="L9" s="13"/>
      <c r="M9" s="13"/>
      <c r="N9" s="13"/>
    </row>
    <row r="10" customFormat="false" ht="15" hidden="false" customHeight="false" outlineLevel="0" collapsed="false">
      <c r="A10" s="43" t="s">
        <v>476</v>
      </c>
      <c r="B10" s="11"/>
      <c r="C10" s="5" t="s">
        <v>477</v>
      </c>
      <c r="D10" s="5" t="s">
        <v>478</v>
      </c>
      <c r="E10" s="42"/>
      <c r="F10" s="42"/>
      <c r="G10" s="42"/>
      <c r="H10" s="42"/>
      <c r="I10" s="42"/>
      <c r="J10" s="42"/>
      <c r="K10" s="42"/>
      <c r="L10" s="42"/>
      <c r="M10" s="42"/>
      <c r="N10" s="42"/>
    </row>
    <row r="11" customFormat="false" ht="15" hidden="false" customHeight="false" outlineLevel="0" collapsed="false">
      <c r="A11" s="43" t="s">
        <v>479</v>
      </c>
      <c r="B11" s="11"/>
      <c r="C11" s="5" t="s">
        <v>480</v>
      </c>
      <c r="D11" s="5" t="s">
        <v>478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</row>
    <row r="12" customFormat="false" ht="15" hidden="false" customHeight="false" outlineLevel="0" collapsed="false">
      <c r="A12" s="43" t="s">
        <v>481</v>
      </c>
      <c r="B12" s="11"/>
      <c r="C12" s="5" t="s">
        <v>482</v>
      </c>
      <c r="D12" s="5" t="s">
        <v>483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</row>
    <row r="13" customFormat="false" ht="15" hidden="false" customHeight="false" outlineLevel="0" collapsed="false">
      <c r="A13" s="43" t="s">
        <v>484</v>
      </c>
      <c r="B13" s="11"/>
      <c r="C13" s="5" t="s">
        <v>485</v>
      </c>
      <c r="D13" s="5" t="s">
        <v>483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</row>
    <row r="14" customFormat="false" ht="15" hidden="false" customHeight="false" outlineLevel="0" collapsed="false">
      <c r="A14" s="43" t="s">
        <v>486</v>
      </c>
      <c r="B14" s="11" t="s">
        <v>487</v>
      </c>
      <c r="C14" s="5" t="s">
        <v>488</v>
      </c>
      <c r="D14" s="5" t="s">
        <v>291</v>
      </c>
      <c r="E14" s="44" t="n">
        <v>264</v>
      </c>
      <c r="F14" s="44" t="n">
        <v>239</v>
      </c>
      <c r="G14" s="44" t="n">
        <v>239</v>
      </c>
      <c r="H14" s="44"/>
      <c r="I14" s="44"/>
      <c r="J14" s="44"/>
      <c r="K14" s="44"/>
      <c r="L14" s="44"/>
      <c r="M14" s="44"/>
      <c r="N14" s="44"/>
    </row>
    <row r="15" customFormat="false" ht="15" hidden="false" customHeight="false" outlineLevel="0" collapsed="false">
      <c r="A15" s="43" t="s">
        <v>489</v>
      </c>
      <c r="B15" s="11"/>
      <c r="C15" s="5" t="s">
        <v>490</v>
      </c>
      <c r="D15" s="5" t="s">
        <v>291</v>
      </c>
      <c r="E15" s="44" t="n">
        <v>270</v>
      </c>
      <c r="F15" s="44" t="n">
        <v>272</v>
      </c>
      <c r="G15" s="44" t="n">
        <v>262</v>
      </c>
      <c r="H15" s="44"/>
      <c r="I15" s="44"/>
      <c r="J15" s="44"/>
      <c r="K15" s="44"/>
      <c r="L15" s="44"/>
      <c r="M15" s="44"/>
      <c r="N15" s="44"/>
    </row>
    <row r="16" customFormat="false" ht="15" hidden="false" customHeight="false" outlineLevel="0" collapsed="false">
      <c r="A16" s="43" t="s">
        <v>491</v>
      </c>
      <c r="B16" s="11"/>
      <c r="C16" s="5" t="s">
        <v>492</v>
      </c>
      <c r="D16" s="5" t="s">
        <v>291</v>
      </c>
      <c r="E16" s="44"/>
      <c r="F16" s="44"/>
      <c r="G16" s="44"/>
      <c r="H16" s="44"/>
      <c r="I16" s="44"/>
      <c r="J16" s="44"/>
      <c r="K16" s="44"/>
      <c r="L16" s="44"/>
      <c r="M16" s="44"/>
      <c r="N16" s="44"/>
    </row>
    <row r="17" customFormat="false" ht="15" hidden="false" customHeight="false" outlineLevel="0" collapsed="false">
      <c r="A17" s="43" t="s">
        <v>493</v>
      </c>
      <c r="B17" s="11"/>
      <c r="C17" s="5" t="s">
        <v>494</v>
      </c>
      <c r="D17" s="5" t="s">
        <v>291</v>
      </c>
      <c r="E17" s="44"/>
      <c r="F17" s="44"/>
      <c r="G17" s="44"/>
      <c r="H17" s="44"/>
      <c r="I17" s="44"/>
      <c r="J17" s="44"/>
      <c r="K17" s="44"/>
      <c r="L17" s="44"/>
      <c r="M17" s="44"/>
      <c r="N17" s="44"/>
    </row>
    <row r="18" customFormat="false" ht="15" hidden="false" customHeight="false" outlineLevel="0" collapsed="false">
      <c r="A18" s="43" t="s">
        <v>495</v>
      </c>
      <c r="B18" s="11"/>
      <c r="C18" s="5" t="s">
        <v>496</v>
      </c>
      <c r="D18" s="5" t="s">
        <v>291</v>
      </c>
      <c r="E18" s="44"/>
      <c r="F18" s="44"/>
      <c r="G18" s="44"/>
      <c r="H18" s="44"/>
      <c r="I18" s="44"/>
      <c r="J18" s="44"/>
      <c r="K18" s="44"/>
      <c r="L18" s="44"/>
      <c r="M18" s="44"/>
      <c r="N18" s="44"/>
    </row>
    <row r="19" customFormat="false" ht="15" hidden="false" customHeight="false" outlineLevel="0" collapsed="false">
      <c r="A19" s="43" t="s">
        <v>497</v>
      </c>
      <c r="B19" s="11"/>
      <c r="C19" s="5" t="s">
        <v>498</v>
      </c>
      <c r="D19" s="5" t="s">
        <v>291</v>
      </c>
      <c r="E19" s="44"/>
      <c r="F19" s="44"/>
      <c r="G19" s="44"/>
      <c r="H19" s="44"/>
      <c r="I19" s="44"/>
      <c r="J19" s="44"/>
      <c r="K19" s="44"/>
      <c r="L19" s="44"/>
      <c r="M19" s="44"/>
      <c r="N19" s="44"/>
    </row>
    <row r="20" customFormat="false" ht="15" hidden="false" customHeight="false" outlineLevel="0" collapsed="false">
      <c r="A20" s="43" t="s">
        <v>499</v>
      </c>
      <c r="B20" s="11"/>
      <c r="C20" s="5" t="s">
        <v>500</v>
      </c>
      <c r="D20" s="5" t="s">
        <v>291</v>
      </c>
      <c r="E20" s="44"/>
      <c r="F20" s="44"/>
      <c r="G20" s="44"/>
      <c r="H20" s="44"/>
      <c r="I20" s="44"/>
      <c r="J20" s="44"/>
      <c r="K20" s="44"/>
      <c r="L20" s="44"/>
      <c r="M20" s="44"/>
      <c r="N20" s="44"/>
    </row>
    <row r="21" customFormat="false" ht="15" hidden="false" customHeight="false" outlineLevel="0" collapsed="false">
      <c r="A21" s="43" t="s">
        <v>501</v>
      </c>
      <c r="B21" s="11"/>
      <c r="C21" s="5" t="s">
        <v>502</v>
      </c>
      <c r="D21" s="5" t="s">
        <v>291</v>
      </c>
      <c r="E21" s="44"/>
      <c r="F21" s="44"/>
      <c r="G21" s="44"/>
      <c r="H21" s="44"/>
      <c r="I21" s="44"/>
      <c r="J21" s="44"/>
      <c r="K21" s="44"/>
      <c r="L21" s="44"/>
      <c r="M21" s="44"/>
      <c r="N21" s="44"/>
    </row>
    <row r="22" customFormat="false" ht="15" hidden="false" customHeight="false" outlineLevel="0" collapsed="false">
      <c r="A22" s="43" t="s">
        <v>503</v>
      </c>
      <c r="B22" s="11"/>
      <c r="C22" s="5" t="s">
        <v>504</v>
      </c>
      <c r="D22" s="5" t="s">
        <v>483</v>
      </c>
      <c r="E22" s="28" t="n">
        <v>7500</v>
      </c>
      <c r="F22" s="28" t="n">
        <v>6500</v>
      </c>
      <c r="G22" s="28" t="n">
        <v>6800</v>
      </c>
      <c r="H22" s="28"/>
      <c r="I22" s="28"/>
      <c r="J22" s="28"/>
      <c r="K22" s="28"/>
      <c r="L22" s="28"/>
      <c r="M22" s="28"/>
      <c r="N22" s="28"/>
    </row>
    <row r="23" customFormat="false" ht="15" hidden="false" customHeight="false" outlineLevel="0" collapsed="false">
      <c r="A23" s="43" t="s">
        <v>505</v>
      </c>
      <c r="B23" s="11"/>
      <c r="C23" s="5" t="s">
        <v>506</v>
      </c>
      <c r="D23" s="5" t="s">
        <v>483</v>
      </c>
      <c r="E23" s="28" t="n">
        <v>6000</v>
      </c>
      <c r="F23" s="28" t="n">
        <v>6100</v>
      </c>
      <c r="G23" s="28" t="n">
        <v>6200</v>
      </c>
      <c r="H23" s="28"/>
      <c r="I23" s="28"/>
      <c r="J23" s="28"/>
      <c r="K23" s="28"/>
      <c r="L23" s="28"/>
      <c r="M23" s="28"/>
      <c r="N23" s="28"/>
    </row>
    <row r="24" customFormat="false" ht="15" hidden="false" customHeight="false" outlineLevel="0" collapsed="false">
      <c r="A24" s="43" t="s">
        <v>507</v>
      </c>
      <c r="B24" s="11"/>
      <c r="C24" s="5" t="s">
        <v>508</v>
      </c>
      <c r="D24" s="5" t="s">
        <v>483</v>
      </c>
      <c r="E24" s="28"/>
      <c r="F24" s="28"/>
      <c r="G24" s="28"/>
      <c r="H24" s="28"/>
      <c r="I24" s="28"/>
      <c r="J24" s="28"/>
      <c r="K24" s="28"/>
      <c r="L24" s="28"/>
      <c r="M24" s="28"/>
      <c r="N24" s="28"/>
    </row>
    <row r="25" customFormat="false" ht="15" hidden="false" customHeight="false" outlineLevel="0" collapsed="false">
      <c r="A25" s="43" t="s">
        <v>509</v>
      </c>
      <c r="B25" s="11"/>
      <c r="C25" s="5" t="s">
        <v>510</v>
      </c>
      <c r="D25" s="5" t="s">
        <v>483</v>
      </c>
      <c r="E25" s="28"/>
      <c r="F25" s="28"/>
      <c r="G25" s="28"/>
      <c r="H25" s="28"/>
      <c r="I25" s="28"/>
      <c r="J25" s="28"/>
      <c r="K25" s="28"/>
      <c r="L25" s="28"/>
      <c r="M25" s="28"/>
      <c r="N25" s="28"/>
    </row>
    <row r="26" customFormat="false" ht="15" hidden="false" customHeight="false" outlineLevel="0" collapsed="false">
      <c r="A26" s="43" t="s">
        <v>511</v>
      </c>
      <c r="B26" s="11"/>
      <c r="C26" s="5" t="s">
        <v>512</v>
      </c>
      <c r="D26" s="5" t="s">
        <v>483</v>
      </c>
      <c r="E26" s="28"/>
      <c r="F26" s="28"/>
      <c r="G26" s="28"/>
      <c r="H26" s="28"/>
      <c r="I26" s="28"/>
      <c r="J26" s="28"/>
      <c r="K26" s="28"/>
      <c r="L26" s="28"/>
      <c r="M26" s="28"/>
      <c r="N26" s="28"/>
    </row>
    <row r="27" customFormat="false" ht="15" hidden="false" customHeight="false" outlineLevel="0" collapsed="false">
      <c r="A27" s="43" t="s">
        <v>513</v>
      </c>
      <c r="B27" s="11"/>
      <c r="C27" s="5" t="s">
        <v>514</v>
      </c>
      <c r="D27" s="5" t="s">
        <v>483</v>
      </c>
      <c r="E27" s="28"/>
      <c r="F27" s="28"/>
      <c r="G27" s="28"/>
      <c r="H27" s="28"/>
      <c r="I27" s="28"/>
      <c r="J27" s="28"/>
      <c r="K27" s="28"/>
      <c r="L27" s="28"/>
      <c r="M27" s="28"/>
      <c r="N27" s="28"/>
    </row>
    <row r="28" customFormat="false" ht="15" hidden="false" customHeight="false" outlineLevel="0" collapsed="false">
      <c r="A28" s="43" t="s">
        <v>515</v>
      </c>
      <c r="B28" s="11"/>
      <c r="C28" s="5" t="s">
        <v>516</v>
      </c>
      <c r="D28" s="5" t="s">
        <v>483</v>
      </c>
      <c r="E28" s="28"/>
      <c r="F28" s="28"/>
      <c r="G28" s="28"/>
      <c r="H28" s="28"/>
      <c r="I28" s="28"/>
      <c r="J28" s="28"/>
      <c r="K28" s="28"/>
      <c r="L28" s="28"/>
      <c r="M28" s="28"/>
      <c r="N28" s="28"/>
    </row>
    <row r="29" customFormat="false" ht="15" hidden="false" customHeight="false" outlineLevel="0" collapsed="false">
      <c r="A29" s="43" t="s">
        <v>517</v>
      </c>
      <c r="B29" s="11"/>
      <c r="C29" s="5" t="s">
        <v>518</v>
      </c>
      <c r="D29" s="5" t="s">
        <v>483</v>
      </c>
      <c r="E29" s="28"/>
      <c r="F29" s="28"/>
      <c r="G29" s="28"/>
      <c r="H29" s="28"/>
      <c r="I29" s="28"/>
      <c r="J29" s="28"/>
      <c r="K29" s="28"/>
      <c r="L29" s="28"/>
      <c r="M29" s="28"/>
      <c r="N29" s="28"/>
    </row>
    <row r="30" customFormat="false" ht="23.85" hidden="false" customHeight="false" outlineLevel="0" collapsed="false">
      <c r="A30" s="43" t="s">
        <v>519</v>
      </c>
      <c r="B30" s="11"/>
      <c r="C30" s="5" t="s">
        <v>520</v>
      </c>
      <c r="D30" s="5" t="s">
        <v>521</v>
      </c>
      <c r="E30" s="9"/>
      <c r="F30" s="9"/>
      <c r="G30" s="9"/>
      <c r="H30" s="9"/>
      <c r="I30" s="9"/>
      <c r="J30" s="9"/>
      <c r="K30" s="9"/>
      <c r="L30" s="9"/>
      <c r="M30" s="9"/>
      <c r="N30" s="9"/>
    </row>
    <row r="31" customFormat="false" ht="23.85" hidden="false" customHeight="false" outlineLevel="0" collapsed="false">
      <c r="A31" s="43" t="s">
        <v>522</v>
      </c>
      <c r="B31" s="11"/>
      <c r="C31" s="5" t="s">
        <v>523</v>
      </c>
      <c r="D31" s="5" t="s">
        <v>521</v>
      </c>
      <c r="E31" s="9"/>
      <c r="F31" s="9"/>
      <c r="G31" s="9"/>
      <c r="H31" s="9"/>
      <c r="I31" s="9"/>
      <c r="J31" s="9"/>
      <c r="K31" s="9"/>
      <c r="L31" s="9"/>
      <c r="M31" s="9"/>
      <c r="N31" s="9"/>
    </row>
    <row r="32" customFormat="false" ht="23.85" hidden="false" customHeight="false" outlineLevel="0" collapsed="false">
      <c r="A32" s="43" t="s">
        <v>524</v>
      </c>
      <c r="B32" s="11"/>
      <c r="C32" s="5" t="s">
        <v>525</v>
      </c>
      <c r="D32" s="5" t="s">
        <v>521</v>
      </c>
      <c r="E32" s="9"/>
      <c r="F32" s="9"/>
      <c r="G32" s="9"/>
      <c r="H32" s="9"/>
      <c r="I32" s="9"/>
      <c r="J32" s="9"/>
      <c r="K32" s="9"/>
      <c r="L32" s="9"/>
      <c r="M32" s="9"/>
      <c r="N32" s="9"/>
    </row>
    <row r="33" customFormat="false" ht="23.85" hidden="false" customHeight="false" outlineLevel="0" collapsed="false">
      <c r="A33" s="43" t="s">
        <v>526</v>
      </c>
      <c r="B33" s="11"/>
      <c r="C33" s="5" t="s">
        <v>527</v>
      </c>
      <c r="D33" s="5" t="s">
        <v>521</v>
      </c>
      <c r="E33" s="9"/>
      <c r="F33" s="9"/>
      <c r="G33" s="9"/>
      <c r="H33" s="9"/>
      <c r="I33" s="9"/>
      <c r="J33" s="9"/>
      <c r="K33" s="9"/>
      <c r="L33" s="9"/>
      <c r="M33" s="9"/>
      <c r="N33" s="9"/>
    </row>
    <row r="34" customFormat="false" ht="23.85" hidden="false" customHeight="false" outlineLevel="0" collapsed="false">
      <c r="A34" s="43" t="s">
        <v>528</v>
      </c>
      <c r="B34" s="11"/>
      <c r="C34" s="5" t="s">
        <v>529</v>
      </c>
      <c r="D34" s="5" t="s">
        <v>521</v>
      </c>
      <c r="E34" s="9"/>
      <c r="F34" s="9"/>
      <c r="G34" s="9"/>
      <c r="H34" s="9"/>
      <c r="I34" s="9"/>
      <c r="J34" s="9"/>
      <c r="K34" s="9"/>
      <c r="L34" s="9"/>
      <c r="M34" s="9"/>
      <c r="N34" s="9"/>
    </row>
    <row r="35" customFormat="false" ht="23.85" hidden="false" customHeight="false" outlineLevel="0" collapsed="false">
      <c r="A35" s="43" t="s">
        <v>530</v>
      </c>
      <c r="B35" s="11"/>
      <c r="C35" s="5" t="s">
        <v>531</v>
      </c>
      <c r="D35" s="5" t="s">
        <v>521</v>
      </c>
      <c r="E35" s="9"/>
      <c r="F35" s="9"/>
      <c r="G35" s="9"/>
      <c r="H35" s="9"/>
      <c r="I35" s="9"/>
      <c r="J35" s="9"/>
      <c r="K35" s="9"/>
      <c r="L35" s="9"/>
      <c r="M35" s="9"/>
      <c r="N35" s="9"/>
    </row>
    <row r="36" customFormat="false" ht="23.85" hidden="false" customHeight="false" outlineLevel="0" collapsed="false">
      <c r="A36" s="43" t="s">
        <v>532</v>
      </c>
      <c r="B36" s="11"/>
      <c r="C36" s="5" t="s">
        <v>533</v>
      </c>
      <c r="D36" s="5" t="s">
        <v>521</v>
      </c>
      <c r="E36" s="9"/>
      <c r="F36" s="9"/>
      <c r="G36" s="9"/>
      <c r="H36" s="9"/>
      <c r="I36" s="9"/>
      <c r="J36" s="9"/>
      <c r="K36" s="9"/>
      <c r="L36" s="9"/>
      <c r="M36" s="9"/>
      <c r="N36" s="9"/>
    </row>
    <row r="37" customFormat="false" ht="23.85" hidden="false" customHeight="false" outlineLevel="0" collapsed="false">
      <c r="A37" s="43" t="s">
        <v>534</v>
      </c>
      <c r="B37" s="11"/>
      <c r="C37" s="5" t="s">
        <v>535</v>
      </c>
      <c r="D37" s="5" t="s">
        <v>521</v>
      </c>
      <c r="E37" s="9"/>
      <c r="F37" s="9"/>
      <c r="G37" s="9"/>
      <c r="H37" s="9"/>
      <c r="I37" s="9"/>
      <c r="J37" s="9"/>
      <c r="K37" s="9"/>
      <c r="L37" s="9"/>
      <c r="M37" s="9"/>
      <c r="N37" s="9"/>
    </row>
    <row r="38" customFormat="false" ht="15" hidden="false" customHeight="false" outlineLevel="0" collapsed="false">
      <c r="A38" s="43" t="s">
        <v>536</v>
      </c>
      <c r="B38" s="11"/>
      <c r="C38" s="5" t="s">
        <v>537</v>
      </c>
      <c r="D38" s="5" t="s">
        <v>538</v>
      </c>
      <c r="E38" s="42"/>
      <c r="F38" s="42"/>
      <c r="G38" s="42"/>
      <c r="H38" s="42"/>
      <c r="I38" s="42"/>
      <c r="J38" s="42"/>
      <c r="K38" s="42"/>
      <c r="L38" s="42"/>
      <c r="M38" s="42"/>
      <c r="N38" s="42"/>
    </row>
    <row r="39" customFormat="false" ht="15" hidden="false" customHeight="false" outlineLevel="0" collapsed="false">
      <c r="A39" s="43" t="s">
        <v>539</v>
      </c>
      <c r="B39" s="11"/>
      <c r="C39" s="5" t="s">
        <v>540</v>
      </c>
      <c r="D39" s="5" t="s">
        <v>538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</row>
    <row r="40" customFormat="false" ht="15" hidden="false" customHeight="false" outlineLevel="0" collapsed="false">
      <c r="A40" s="43" t="s">
        <v>541</v>
      </c>
      <c r="B40" s="11"/>
      <c r="C40" s="5" t="s">
        <v>542</v>
      </c>
      <c r="D40" s="5" t="s">
        <v>538</v>
      </c>
      <c r="E40" s="42"/>
      <c r="F40" s="42"/>
      <c r="G40" s="42"/>
      <c r="H40" s="42"/>
      <c r="I40" s="42"/>
      <c r="J40" s="42"/>
      <c r="K40" s="42"/>
      <c r="L40" s="42"/>
      <c r="M40" s="42"/>
      <c r="N40" s="42"/>
    </row>
    <row r="41" customFormat="false" ht="15" hidden="false" customHeight="false" outlineLevel="0" collapsed="false">
      <c r="A41" s="43" t="s">
        <v>543</v>
      </c>
      <c r="B41" s="11"/>
      <c r="C41" s="5" t="s">
        <v>544</v>
      </c>
      <c r="D41" s="5" t="s">
        <v>538</v>
      </c>
      <c r="E41" s="42"/>
      <c r="F41" s="42"/>
      <c r="G41" s="42"/>
      <c r="H41" s="42"/>
      <c r="I41" s="42"/>
      <c r="J41" s="42"/>
      <c r="K41" s="42"/>
      <c r="L41" s="42"/>
      <c r="M41" s="42"/>
      <c r="N41" s="42"/>
    </row>
    <row r="42" customFormat="false" ht="15" hidden="false" customHeight="false" outlineLevel="0" collapsed="false">
      <c r="A42" s="43" t="s">
        <v>545</v>
      </c>
      <c r="B42" s="11"/>
      <c r="C42" s="5" t="s">
        <v>546</v>
      </c>
      <c r="D42" s="5" t="s">
        <v>538</v>
      </c>
      <c r="E42" s="42"/>
      <c r="F42" s="42"/>
      <c r="G42" s="42"/>
      <c r="H42" s="42"/>
      <c r="I42" s="42"/>
      <c r="J42" s="42"/>
      <c r="K42" s="42"/>
      <c r="L42" s="42"/>
      <c r="M42" s="42"/>
      <c r="N42" s="42"/>
    </row>
    <row r="43" customFormat="false" ht="15" hidden="false" customHeight="false" outlineLevel="0" collapsed="false">
      <c r="A43" s="43" t="s">
        <v>547</v>
      </c>
      <c r="B43" s="11"/>
      <c r="C43" s="5" t="s">
        <v>548</v>
      </c>
      <c r="D43" s="5" t="s">
        <v>538</v>
      </c>
      <c r="E43" s="42"/>
      <c r="F43" s="42"/>
      <c r="G43" s="42"/>
      <c r="H43" s="42"/>
      <c r="I43" s="42"/>
      <c r="J43" s="42"/>
      <c r="K43" s="42"/>
      <c r="L43" s="42"/>
      <c r="M43" s="42"/>
      <c r="N43" s="42"/>
    </row>
    <row r="44" customFormat="false" ht="15" hidden="false" customHeight="false" outlineLevel="0" collapsed="false">
      <c r="A44" s="43" t="s">
        <v>549</v>
      </c>
      <c r="B44" s="11"/>
      <c r="C44" s="5" t="s">
        <v>550</v>
      </c>
      <c r="D44" s="5" t="s">
        <v>538</v>
      </c>
      <c r="E44" s="42"/>
      <c r="F44" s="42"/>
      <c r="G44" s="42"/>
      <c r="H44" s="42"/>
      <c r="I44" s="42"/>
      <c r="J44" s="42"/>
      <c r="K44" s="42"/>
      <c r="L44" s="42"/>
      <c r="M44" s="42"/>
      <c r="N44" s="42"/>
    </row>
    <row r="45" customFormat="false" ht="15" hidden="false" customHeight="false" outlineLevel="0" collapsed="false">
      <c r="A45" s="43" t="s">
        <v>551</v>
      </c>
      <c r="B45" s="11"/>
      <c r="C45" s="5" t="s">
        <v>552</v>
      </c>
      <c r="D45" s="5" t="s">
        <v>538</v>
      </c>
      <c r="E45" s="42"/>
      <c r="F45" s="42"/>
      <c r="G45" s="42"/>
      <c r="H45" s="42"/>
      <c r="I45" s="42"/>
      <c r="J45" s="42"/>
      <c r="K45" s="42"/>
      <c r="L45" s="42"/>
      <c r="M45" s="42"/>
      <c r="N45" s="42"/>
    </row>
    <row r="46" customFormat="false" ht="15" hidden="false" customHeight="false" outlineLevel="0" collapsed="false">
      <c r="A46" s="43" t="s">
        <v>553</v>
      </c>
      <c r="B46" s="11" t="s">
        <v>554</v>
      </c>
      <c r="C46" s="5" t="s">
        <v>555</v>
      </c>
      <c r="D46" s="5" t="s">
        <v>478</v>
      </c>
      <c r="E46" s="42"/>
      <c r="F46" s="42"/>
      <c r="G46" s="42"/>
      <c r="H46" s="42"/>
      <c r="I46" s="42"/>
      <c r="J46" s="42"/>
      <c r="K46" s="42"/>
      <c r="L46" s="42"/>
      <c r="M46" s="42"/>
      <c r="N46" s="42"/>
    </row>
    <row r="47" customFormat="false" ht="15" hidden="false" customHeight="false" outlineLevel="0" collapsed="false">
      <c r="A47" s="43" t="s">
        <v>556</v>
      </c>
      <c r="B47" s="11"/>
      <c r="C47" s="5" t="s">
        <v>557</v>
      </c>
      <c r="D47" s="5" t="s">
        <v>478</v>
      </c>
      <c r="E47" s="42"/>
      <c r="F47" s="42"/>
      <c r="G47" s="42"/>
      <c r="H47" s="42"/>
      <c r="I47" s="42"/>
      <c r="J47" s="42"/>
      <c r="K47" s="42"/>
      <c r="L47" s="42"/>
      <c r="M47" s="42"/>
      <c r="N47" s="42"/>
    </row>
    <row r="48" customFormat="false" ht="15" hidden="false" customHeight="false" outlineLevel="0" collapsed="false">
      <c r="A48" s="43" t="s">
        <v>558</v>
      </c>
      <c r="B48" s="11"/>
      <c r="C48" s="5" t="s">
        <v>559</v>
      </c>
      <c r="D48" s="5" t="s">
        <v>560</v>
      </c>
      <c r="E48" s="17"/>
      <c r="F48" s="17"/>
      <c r="G48" s="17"/>
      <c r="H48" s="17"/>
      <c r="I48" s="17"/>
      <c r="J48" s="17"/>
      <c r="K48" s="17"/>
      <c r="L48" s="17"/>
      <c r="M48" s="17"/>
      <c r="N48" s="17"/>
    </row>
    <row r="49" customFormat="false" ht="15" hidden="false" customHeight="false" outlineLevel="0" collapsed="false">
      <c r="A49" s="43" t="s">
        <v>561</v>
      </c>
      <c r="B49" s="11"/>
      <c r="C49" s="5" t="s">
        <v>562</v>
      </c>
      <c r="D49" s="5" t="s">
        <v>560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</row>
    <row r="50" customFormat="false" ht="15" hidden="false" customHeight="false" outlineLevel="0" collapsed="false">
      <c r="A50" s="43" t="s">
        <v>563</v>
      </c>
      <c r="B50" s="11"/>
      <c r="C50" s="5" t="s">
        <v>564</v>
      </c>
      <c r="D50" s="5" t="s">
        <v>565</v>
      </c>
      <c r="E50" s="9"/>
      <c r="F50" s="9"/>
      <c r="G50" s="9"/>
      <c r="H50" s="9"/>
      <c r="I50" s="9"/>
      <c r="J50" s="9"/>
      <c r="K50" s="9"/>
      <c r="L50" s="9"/>
      <c r="M50" s="9"/>
      <c r="N50" s="9"/>
    </row>
    <row r="51" customFormat="false" ht="15" hidden="false" customHeight="false" outlineLevel="0" collapsed="false">
      <c r="A51" s="43" t="s">
        <v>566</v>
      </c>
      <c r="B51" s="11"/>
      <c r="C51" s="5" t="s">
        <v>567</v>
      </c>
      <c r="D51" s="5" t="s">
        <v>565</v>
      </c>
      <c r="E51" s="9"/>
      <c r="F51" s="9"/>
      <c r="G51" s="9"/>
      <c r="H51" s="9"/>
      <c r="I51" s="9"/>
      <c r="J51" s="9"/>
      <c r="K51" s="9"/>
      <c r="L51" s="9"/>
      <c r="M51" s="9"/>
      <c r="N51" s="9"/>
    </row>
    <row r="52" customFormat="false" ht="15" hidden="false" customHeight="false" outlineLevel="0" collapsed="false">
      <c r="A52" s="43" t="s">
        <v>568</v>
      </c>
      <c r="B52" s="11" t="s">
        <v>569</v>
      </c>
      <c r="C52" s="5" t="s">
        <v>570</v>
      </c>
      <c r="D52" s="5" t="s">
        <v>565</v>
      </c>
      <c r="E52" s="9" t="n">
        <v>21000</v>
      </c>
      <c r="F52" s="9" t="n">
        <v>21500</v>
      </c>
      <c r="G52" s="9" t="n">
        <v>22000</v>
      </c>
      <c r="H52" s="9"/>
      <c r="I52" s="9"/>
      <c r="J52" s="9"/>
      <c r="K52" s="9"/>
      <c r="L52" s="9"/>
      <c r="M52" s="9"/>
      <c r="N52" s="9"/>
    </row>
    <row r="53" customFormat="false" ht="15" hidden="false" customHeight="false" outlineLevel="0" collapsed="false">
      <c r="A53" s="43" t="s">
        <v>571</v>
      </c>
      <c r="B53" s="11"/>
      <c r="C53" s="5" t="s">
        <v>572</v>
      </c>
      <c r="D53" s="5" t="s">
        <v>573</v>
      </c>
      <c r="E53" s="9"/>
      <c r="F53" s="9"/>
      <c r="G53" s="9"/>
      <c r="H53" s="9"/>
      <c r="I53" s="9"/>
      <c r="J53" s="9"/>
      <c r="K53" s="9"/>
      <c r="L53" s="9"/>
      <c r="M53" s="9"/>
      <c r="N53" s="9"/>
    </row>
    <row r="54" customFormat="false" ht="15" hidden="false" customHeight="false" outlineLevel="0" collapsed="false">
      <c r="A54" s="43" t="s">
        <v>574</v>
      </c>
      <c r="B54" s="11"/>
      <c r="C54" s="5" t="s">
        <v>575</v>
      </c>
      <c r="D54" s="5" t="s">
        <v>565</v>
      </c>
      <c r="E54" s="9"/>
      <c r="F54" s="9"/>
      <c r="G54" s="9"/>
      <c r="H54" s="9"/>
      <c r="I54" s="9"/>
      <c r="J54" s="9"/>
      <c r="K54" s="9"/>
      <c r="L54" s="9"/>
      <c r="M54" s="9"/>
      <c r="N54" s="9"/>
    </row>
    <row r="55" customFormat="false" ht="15" hidden="false" customHeight="false" outlineLevel="0" collapsed="false">
      <c r="A55" s="43" t="s">
        <v>576</v>
      </c>
      <c r="B55" s="11" t="s">
        <v>577</v>
      </c>
      <c r="C55" s="5" t="s">
        <v>578</v>
      </c>
      <c r="D55" s="5" t="s">
        <v>483</v>
      </c>
      <c r="E55" s="28"/>
      <c r="F55" s="28"/>
      <c r="G55" s="28"/>
      <c r="H55" s="28"/>
      <c r="I55" s="28"/>
      <c r="J55" s="28"/>
      <c r="K55" s="28"/>
      <c r="L55" s="28"/>
      <c r="M55" s="28"/>
      <c r="N55" s="28"/>
    </row>
    <row r="56" customFormat="false" ht="15" hidden="false" customHeight="false" outlineLevel="0" collapsed="false">
      <c r="A56" s="43" t="s">
        <v>579</v>
      </c>
      <c r="B56" s="11"/>
      <c r="C56" s="5" t="s">
        <v>580</v>
      </c>
      <c r="D56" s="5" t="s">
        <v>465</v>
      </c>
      <c r="E56" s="9"/>
      <c r="F56" s="9"/>
      <c r="G56" s="9"/>
      <c r="H56" s="9"/>
      <c r="I56" s="9"/>
      <c r="J56" s="9"/>
      <c r="K56" s="9"/>
      <c r="L56" s="9"/>
      <c r="M56" s="9"/>
      <c r="N56" s="9"/>
    </row>
    <row r="57" customFormat="false" ht="15" hidden="false" customHeight="false" outlineLevel="0" collapsed="false">
      <c r="A57" s="43" t="s">
        <v>581</v>
      </c>
      <c r="B57" s="11" t="s">
        <v>582</v>
      </c>
      <c r="C57" s="5" t="s">
        <v>583</v>
      </c>
      <c r="D57" s="5" t="s">
        <v>483</v>
      </c>
      <c r="E57" s="28"/>
      <c r="F57" s="28"/>
      <c r="G57" s="28"/>
      <c r="H57" s="28"/>
      <c r="I57" s="28"/>
      <c r="J57" s="28"/>
      <c r="K57" s="28"/>
      <c r="L57" s="28"/>
      <c r="M57" s="28"/>
      <c r="N57" s="28"/>
    </row>
    <row r="58" customFormat="false" ht="15" hidden="false" customHeight="false" outlineLevel="0" collapsed="false">
      <c r="A58" s="43" t="s">
        <v>584</v>
      </c>
      <c r="B58" s="11"/>
      <c r="C58" s="5" t="s">
        <v>585</v>
      </c>
      <c r="D58" s="5" t="s">
        <v>483</v>
      </c>
      <c r="E58" s="28"/>
      <c r="F58" s="28"/>
      <c r="G58" s="28"/>
      <c r="H58" s="28"/>
      <c r="I58" s="28"/>
      <c r="J58" s="28"/>
      <c r="K58" s="28"/>
      <c r="L58" s="28"/>
      <c r="M58" s="28"/>
      <c r="N58" s="28"/>
    </row>
    <row r="59" customFormat="false" ht="15" hidden="false" customHeight="false" outlineLevel="0" collapsed="false">
      <c r="A59" s="43" t="s">
        <v>586</v>
      </c>
      <c r="B59" s="11"/>
      <c r="C59" s="5" t="s">
        <v>587</v>
      </c>
      <c r="D59" s="5" t="s">
        <v>588</v>
      </c>
      <c r="E59" s="9"/>
      <c r="F59" s="9"/>
      <c r="G59" s="9"/>
      <c r="H59" s="9"/>
      <c r="I59" s="9"/>
      <c r="J59" s="9"/>
      <c r="K59" s="9"/>
      <c r="L59" s="9"/>
      <c r="M59" s="9"/>
      <c r="N59" s="9"/>
    </row>
    <row r="60" customFormat="false" ht="15" hidden="false" customHeight="false" outlineLevel="0" collapsed="false">
      <c r="A60" s="43" t="s">
        <v>589</v>
      </c>
      <c r="B60" s="11"/>
      <c r="C60" s="5" t="s">
        <v>590</v>
      </c>
      <c r="D60" s="5" t="s">
        <v>588</v>
      </c>
      <c r="E60" s="9"/>
      <c r="F60" s="9"/>
      <c r="G60" s="9"/>
      <c r="H60" s="9"/>
      <c r="I60" s="9"/>
      <c r="J60" s="9"/>
      <c r="K60" s="9"/>
      <c r="L60" s="9"/>
      <c r="M60" s="9"/>
      <c r="N60" s="9"/>
    </row>
    <row r="61" customFormat="false" ht="15" hidden="false" customHeight="false" outlineLevel="0" collapsed="false">
      <c r="A61" s="43" t="s">
        <v>591</v>
      </c>
      <c r="B61" s="11"/>
      <c r="C61" s="5" t="s">
        <v>592</v>
      </c>
      <c r="D61" s="5" t="s">
        <v>291</v>
      </c>
      <c r="E61" s="44"/>
      <c r="F61" s="44"/>
      <c r="G61" s="44"/>
      <c r="H61" s="44"/>
      <c r="I61" s="44"/>
      <c r="J61" s="44"/>
      <c r="K61" s="44"/>
      <c r="L61" s="44"/>
      <c r="M61" s="44"/>
      <c r="N61" s="44"/>
    </row>
    <row r="62" customFormat="false" ht="23.85" hidden="false" customHeight="false" outlineLevel="0" collapsed="false">
      <c r="A62" s="43" t="s">
        <v>593</v>
      </c>
      <c r="B62" s="11" t="s">
        <v>594</v>
      </c>
      <c r="C62" s="5" t="s">
        <v>595</v>
      </c>
      <c r="D62" s="5" t="s">
        <v>291</v>
      </c>
      <c r="E62" s="44"/>
      <c r="F62" s="44"/>
      <c r="G62" s="44"/>
      <c r="H62" s="44"/>
      <c r="I62" s="44"/>
      <c r="J62" s="44"/>
      <c r="K62" s="44"/>
      <c r="L62" s="44"/>
      <c r="M62" s="44"/>
      <c r="N62" s="44"/>
    </row>
    <row r="63" customFormat="false" ht="15" hidden="false" customHeight="false" outlineLevel="0" collapsed="false">
      <c r="A63" s="43" t="s">
        <v>596</v>
      </c>
      <c r="B63" s="11"/>
      <c r="C63" s="5" t="s">
        <v>597</v>
      </c>
      <c r="D63" s="5" t="s">
        <v>560</v>
      </c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 customFormat="false" ht="15" hidden="false" customHeight="false" outlineLevel="0" collapsed="false">
      <c r="A64" s="43" t="s">
        <v>598</v>
      </c>
      <c r="B64" s="11"/>
      <c r="C64" s="5" t="s">
        <v>599</v>
      </c>
      <c r="D64" s="5" t="s">
        <v>291</v>
      </c>
      <c r="E64" s="44"/>
      <c r="F64" s="44"/>
      <c r="G64" s="44"/>
      <c r="H64" s="44"/>
      <c r="I64" s="44"/>
      <c r="J64" s="44"/>
      <c r="K64" s="44"/>
      <c r="L64" s="44"/>
      <c r="M64" s="44"/>
      <c r="N64" s="44"/>
    </row>
    <row r="65" customFormat="false" ht="15" hidden="false" customHeight="false" outlineLevel="0" collapsed="false">
      <c r="A65" s="43" t="s">
        <v>600</v>
      </c>
      <c r="B65" s="11"/>
      <c r="C65" s="5" t="s">
        <v>601</v>
      </c>
      <c r="D65" s="5" t="s">
        <v>465</v>
      </c>
      <c r="E65" s="9"/>
      <c r="F65" s="9"/>
      <c r="G65" s="9"/>
      <c r="H65" s="9"/>
      <c r="I65" s="9"/>
      <c r="J65" s="9"/>
      <c r="K65" s="9"/>
      <c r="L65" s="9"/>
      <c r="M65" s="9"/>
      <c r="N65" s="9"/>
    </row>
    <row r="66" customFormat="false" ht="15" hidden="false" customHeight="false" outlineLevel="0" collapsed="false">
      <c r="A66" s="43" t="s">
        <v>602</v>
      </c>
      <c r="B66" s="11"/>
      <c r="C66" s="5" t="s">
        <v>603</v>
      </c>
      <c r="D66" s="5" t="s">
        <v>604</v>
      </c>
      <c r="E66" s="9"/>
      <c r="F66" s="9"/>
      <c r="G66" s="9"/>
      <c r="H66" s="9"/>
      <c r="I66" s="9"/>
      <c r="J66" s="9"/>
      <c r="K66" s="9"/>
      <c r="L66" s="9"/>
      <c r="M66" s="9"/>
      <c r="N66" s="9"/>
    </row>
    <row r="68" customFormat="false" ht="35.05" hidden="false" customHeight="false" outlineLevel="0" collapsed="false">
      <c r="B68" s="11" t="s">
        <v>605</v>
      </c>
    </row>
    <row r="69" customFormat="false" ht="15" hidden="false" customHeight="false" outlineLevel="0" collapsed="false">
      <c r="A69" s="8" t="s">
        <v>606</v>
      </c>
      <c r="B69" s="8" t="s">
        <v>449</v>
      </c>
      <c r="C69" s="8" t="s">
        <v>450</v>
      </c>
      <c r="D69" s="8" t="s">
        <v>451</v>
      </c>
      <c r="E69" s="8" t="s">
        <v>452</v>
      </c>
      <c r="F69" s="8" t="s">
        <v>453</v>
      </c>
      <c r="G69" s="8" t="s">
        <v>454</v>
      </c>
      <c r="H69" s="8" t="s">
        <v>455</v>
      </c>
      <c r="I69" s="8" t="s">
        <v>456</v>
      </c>
      <c r="J69" s="8" t="s">
        <v>457</v>
      </c>
      <c r="K69" s="8" t="s">
        <v>458</v>
      </c>
      <c r="L69" s="8" t="s">
        <v>459</v>
      </c>
      <c r="M69" s="8" t="s">
        <v>460</v>
      </c>
      <c r="N69" s="8" t="s">
        <v>461</v>
      </c>
    </row>
    <row r="70" customFormat="false" ht="15" hidden="false" customHeight="false" outlineLevel="0" collapsed="false">
      <c r="A70" s="43" t="s">
        <v>462</v>
      </c>
      <c r="C70" s="5" t="s">
        <v>464</v>
      </c>
      <c r="F70" s="22" t="str">
        <f aca="false">IF(AND(ISNUMBER(F6),ISNUMBER(E6),E6&lt;&gt;0),F6/E6-1,"")</f>
        <v/>
      </c>
      <c r="G70" s="22" t="str">
        <f aca="false">IF(AND(ISNUMBER(G6),ISNUMBER(F6),F6&lt;&gt;0),G6/F6-1,"")</f>
        <v/>
      </c>
      <c r="H70" s="22" t="str">
        <f aca="false">IF(AND(ISNUMBER(H6),ISNUMBER(G6),G6&lt;&gt;0),H6/G6-1,"")</f>
        <v/>
      </c>
      <c r="I70" s="22" t="str">
        <f aca="false">IF(AND(ISNUMBER(I6),ISNUMBER(H6),H6&lt;&gt;0),I6/H6-1,"")</f>
        <v/>
      </c>
      <c r="J70" s="22" t="str">
        <f aca="false">IF(AND(ISNUMBER(J6),ISNUMBER(I6),I6&lt;&gt;0),J6/I6-1,"")</f>
        <v/>
      </c>
      <c r="K70" s="22" t="str">
        <f aca="false">IF(AND(ISNUMBER(K6),ISNUMBER(J6),J6&lt;&gt;0),K6/J6-1,"")</f>
        <v/>
      </c>
      <c r="L70" s="22" t="str">
        <f aca="false">IF(AND(ISNUMBER(L6),ISNUMBER(K6),K6&lt;&gt;0),L6/K6-1,"")</f>
        <v/>
      </c>
      <c r="M70" s="22" t="str">
        <f aca="false">IF(AND(ISNUMBER(M6),ISNUMBER(L6),L6&lt;&gt;0),M6/L6-1,"")</f>
        <v/>
      </c>
      <c r="N70" s="22" t="str">
        <f aca="false">IF(AND(ISNUMBER(N6),ISNUMBER(M6),M6&lt;&gt;0),N6/M6-1,"")</f>
        <v/>
      </c>
    </row>
    <row r="71" customFormat="false" ht="15" hidden="false" customHeight="false" outlineLevel="0" collapsed="false">
      <c r="A71" s="43" t="s">
        <v>467</v>
      </c>
      <c r="C71" s="5" t="s">
        <v>468</v>
      </c>
      <c r="F71" s="22" t="str">
        <f aca="false">IF(AND(ISNUMBER(F7),ISNUMBER(E7),E7&lt;&gt;0),F7/E7-1,"")</f>
        <v/>
      </c>
      <c r="G71" s="22" t="str">
        <f aca="false">IF(AND(ISNUMBER(G7),ISNUMBER(F7),F7&lt;&gt;0),G7/F7-1,"")</f>
        <v/>
      </c>
      <c r="H71" s="22" t="str">
        <f aca="false">IF(AND(ISNUMBER(H7),ISNUMBER(G7),G7&lt;&gt;0),H7/G7-1,"")</f>
        <v/>
      </c>
      <c r="I71" s="22" t="str">
        <f aca="false">IF(AND(ISNUMBER(I7),ISNUMBER(H7),H7&lt;&gt;0),I7/H7-1,"")</f>
        <v/>
      </c>
      <c r="J71" s="22" t="str">
        <f aca="false">IF(AND(ISNUMBER(J7),ISNUMBER(I7),I7&lt;&gt;0),J7/I7-1,"")</f>
        <v/>
      </c>
      <c r="K71" s="22" t="str">
        <f aca="false">IF(AND(ISNUMBER(K7),ISNUMBER(J7),J7&lt;&gt;0),K7/J7-1,"")</f>
        <v/>
      </c>
      <c r="L71" s="22" t="str">
        <f aca="false">IF(AND(ISNUMBER(L7),ISNUMBER(K7),K7&lt;&gt;0),L7/K7-1,"")</f>
        <v/>
      </c>
      <c r="M71" s="22" t="str">
        <f aca="false">IF(AND(ISNUMBER(M7),ISNUMBER(L7),L7&lt;&gt;0),M7/L7-1,"")</f>
        <v/>
      </c>
      <c r="N71" s="22" t="str">
        <f aca="false">IF(AND(ISNUMBER(N7),ISNUMBER(M7),M7&lt;&gt;0),N7/M7-1,"")</f>
        <v/>
      </c>
    </row>
    <row r="72" customFormat="false" ht="15" hidden="false" customHeight="false" outlineLevel="0" collapsed="false">
      <c r="A72" s="43" t="s">
        <v>470</v>
      </c>
      <c r="C72" s="5" t="s">
        <v>472</v>
      </c>
      <c r="F72" s="22" t="str">
        <f aca="false">IF(AND(ISNUMBER(F8),ISNUMBER(E8),E8&lt;&gt;0),F8/E8-1,"")</f>
        <v/>
      </c>
      <c r="G72" s="22" t="str">
        <f aca="false">IF(AND(ISNUMBER(G8),ISNUMBER(F8),F8&lt;&gt;0),G8/F8-1,"")</f>
        <v/>
      </c>
      <c r="H72" s="22" t="str">
        <f aca="false">IF(AND(ISNUMBER(H8),ISNUMBER(G8),G8&lt;&gt;0),H8/G8-1,"")</f>
        <v/>
      </c>
      <c r="I72" s="22" t="str">
        <f aca="false">IF(AND(ISNUMBER(I8),ISNUMBER(H8),H8&lt;&gt;0),I8/H8-1,"")</f>
        <v/>
      </c>
      <c r="J72" s="22" t="str">
        <f aca="false">IF(AND(ISNUMBER(J8),ISNUMBER(I8),I8&lt;&gt;0),J8/I8-1,"")</f>
        <v/>
      </c>
      <c r="K72" s="22" t="str">
        <f aca="false">IF(AND(ISNUMBER(K8),ISNUMBER(J8),J8&lt;&gt;0),K8/J8-1,"")</f>
        <v/>
      </c>
      <c r="L72" s="22" t="str">
        <f aca="false">IF(AND(ISNUMBER(L8),ISNUMBER(K8),K8&lt;&gt;0),L8/K8-1,"")</f>
        <v/>
      </c>
      <c r="M72" s="22" t="str">
        <f aca="false">IF(AND(ISNUMBER(M8),ISNUMBER(L8),L8&lt;&gt;0),M8/L8-1,"")</f>
        <v/>
      </c>
      <c r="N72" s="22" t="str">
        <f aca="false">IF(AND(ISNUMBER(N8),ISNUMBER(M8),M8&lt;&gt;0),N8/M8-1,"")</f>
        <v/>
      </c>
    </row>
    <row r="73" customFormat="false" ht="15" hidden="false" customHeight="false" outlineLevel="0" collapsed="false">
      <c r="A73" s="43" t="s">
        <v>474</v>
      </c>
      <c r="C73" s="5" t="s">
        <v>475</v>
      </c>
      <c r="F73" s="22" t="str">
        <f aca="false">IF(AND(ISNUMBER(F9),ISNUMBER(E9),E9&lt;&gt;0),F9/E9-1,"")</f>
        <v/>
      </c>
      <c r="G73" s="22" t="str">
        <f aca="false">IF(AND(ISNUMBER(G9),ISNUMBER(F9),F9&lt;&gt;0),G9/F9-1,"")</f>
        <v/>
      </c>
      <c r="H73" s="22" t="str">
        <f aca="false">IF(AND(ISNUMBER(H9),ISNUMBER(G9),G9&lt;&gt;0),H9/G9-1,"")</f>
        <v/>
      </c>
      <c r="I73" s="22" t="str">
        <f aca="false">IF(AND(ISNUMBER(I9),ISNUMBER(H9),H9&lt;&gt;0),I9/H9-1,"")</f>
        <v/>
      </c>
      <c r="J73" s="22" t="str">
        <f aca="false">IF(AND(ISNUMBER(J9),ISNUMBER(I9),I9&lt;&gt;0),J9/I9-1,"")</f>
        <v/>
      </c>
      <c r="K73" s="22" t="str">
        <f aca="false">IF(AND(ISNUMBER(K9),ISNUMBER(J9),J9&lt;&gt;0),K9/J9-1,"")</f>
        <v/>
      </c>
      <c r="L73" s="22" t="str">
        <f aca="false">IF(AND(ISNUMBER(L9),ISNUMBER(K9),K9&lt;&gt;0),L9/K9-1,"")</f>
        <v/>
      </c>
      <c r="M73" s="22" t="str">
        <f aca="false">IF(AND(ISNUMBER(M9),ISNUMBER(L9),L9&lt;&gt;0),M9/L9-1,"")</f>
        <v/>
      </c>
      <c r="N73" s="22" t="str">
        <f aca="false">IF(AND(ISNUMBER(N9),ISNUMBER(M9),M9&lt;&gt;0),N9/M9-1,"")</f>
        <v/>
      </c>
    </row>
    <row r="74" customFormat="false" ht="15" hidden="false" customHeight="false" outlineLevel="0" collapsed="false">
      <c r="A74" s="43" t="s">
        <v>476</v>
      </c>
      <c r="C74" s="5" t="s">
        <v>477</v>
      </c>
      <c r="F74" s="22" t="str">
        <f aca="false">IF(AND(ISNUMBER(F10),ISNUMBER(E10),E10&lt;&gt;0),F10/E10-1,"")</f>
        <v/>
      </c>
      <c r="G74" s="22" t="str">
        <f aca="false">IF(AND(ISNUMBER(G10),ISNUMBER(F10),F10&lt;&gt;0),G10/F10-1,"")</f>
        <v/>
      </c>
      <c r="H74" s="22" t="str">
        <f aca="false">IF(AND(ISNUMBER(H10),ISNUMBER(G10),G10&lt;&gt;0),H10/G10-1,"")</f>
        <v/>
      </c>
      <c r="I74" s="22" t="str">
        <f aca="false">IF(AND(ISNUMBER(I10),ISNUMBER(H10),H10&lt;&gt;0),I10/H10-1,"")</f>
        <v/>
      </c>
      <c r="J74" s="22" t="str">
        <f aca="false">IF(AND(ISNUMBER(J10),ISNUMBER(I10),I10&lt;&gt;0),J10/I10-1,"")</f>
        <v/>
      </c>
      <c r="K74" s="22" t="str">
        <f aca="false">IF(AND(ISNUMBER(K10),ISNUMBER(J10),J10&lt;&gt;0),K10/J10-1,"")</f>
        <v/>
      </c>
      <c r="L74" s="22" t="str">
        <f aca="false">IF(AND(ISNUMBER(L10),ISNUMBER(K10),K10&lt;&gt;0),L10/K10-1,"")</f>
        <v/>
      </c>
      <c r="M74" s="22" t="str">
        <f aca="false">IF(AND(ISNUMBER(M10),ISNUMBER(L10),L10&lt;&gt;0),M10/L10-1,"")</f>
        <v/>
      </c>
      <c r="N74" s="22" t="str">
        <f aca="false">IF(AND(ISNUMBER(N10),ISNUMBER(M10),M10&lt;&gt;0),N10/M10-1,"")</f>
        <v/>
      </c>
    </row>
    <row r="75" customFormat="false" ht="15" hidden="false" customHeight="false" outlineLevel="0" collapsed="false">
      <c r="A75" s="43" t="s">
        <v>479</v>
      </c>
      <c r="C75" s="5" t="s">
        <v>480</v>
      </c>
      <c r="F75" s="22" t="str">
        <f aca="false">IF(AND(ISNUMBER(F11),ISNUMBER(E11),E11&lt;&gt;0),F11/E11-1,"")</f>
        <v/>
      </c>
      <c r="G75" s="22" t="str">
        <f aca="false">IF(AND(ISNUMBER(G11),ISNUMBER(F11),F11&lt;&gt;0),G11/F11-1,"")</f>
        <v/>
      </c>
      <c r="H75" s="22" t="str">
        <f aca="false">IF(AND(ISNUMBER(H11),ISNUMBER(G11),G11&lt;&gt;0),H11/G11-1,"")</f>
        <v/>
      </c>
      <c r="I75" s="22" t="str">
        <f aca="false">IF(AND(ISNUMBER(I11),ISNUMBER(H11),H11&lt;&gt;0),I11/H11-1,"")</f>
        <v/>
      </c>
      <c r="J75" s="22" t="str">
        <f aca="false">IF(AND(ISNUMBER(J11),ISNUMBER(I11),I11&lt;&gt;0),J11/I11-1,"")</f>
        <v/>
      </c>
      <c r="K75" s="22" t="str">
        <f aca="false">IF(AND(ISNUMBER(K11),ISNUMBER(J11),J11&lt;&gt;0),K11/J11-1,"")</f>
        <v/>
      </c>
      <c r="L75" s="22" t="str">
        <f aca="false">IF(AND(ISNUMBER(L11),ISNUMBER(K11),K11&lt;&gt;0),L11/K11-1,"")</f>
        <v/>
      </c>
      <c r="M75" s="22" t="str">
        <f aca="false">IF(AND(ISNUMBER(M11),ISNUMBER(L11),L11&lt;&gt;0),M11/L11-1,"")</f>
        <v/>
      </c>
      <c r="N75" s="22" t="str">
        <f aca="false">IF(AND(ISNUMBER(N11),ISNUMBER(M11),M11&lt;&gt;0),N11/M11-1,"")</f>
        <v/>
      </c>
    </row>
    <row r="76" customFormat="false" ht="15" hidden="false" customHeight="false" outlineLevel="0" collapsed="false">
      <c r="A76" s="43" t="s">
        <v>481</v>
      </c>
      <c r="C76" s="5" t="s">
        <v>482</v>
      </c>
      <c r="F76" s="22" t="str">
        <f aca="false">IF(AND(ISNUMBER(F12),ISNUMBER(E12),E12&lt;&gt;0),F12/E12-1,"")</f>
        <v/>
      </c>
      <c r="G76" s="22" t="str">
        <f aca="false">IF(AND(ISNUMBER(G12),ISNUMBER(F12),F12&lt;&gt;0),G12/F12-1,"")</f>
        <v/>
      </c>
      <c r="H76" s="22" t="str">
        <f aca="false">IF(AND(ISNUMBER(H12),ISNUMBER(G12),G12&lt;&gt;0),H12/G12-1,"")</f>
        <v/>
      </c>
      <c r="I76" s="22" t="str">
        <f aca="false">IF(AND(ISNUMBER(I12),ISNUMBER(H12),H12&lt;&gt;0),I12/H12-1,"")</f>
        <v/>
      </c>
      <c r="J76" s="22" t="str">
        <f aca="false">IF(AND(ISNUMBER(J12),ISNUMBER(I12),I12&lt;&gt;0),J12/I12-1,"")</f>
        <v/>
      </c>
      <c r="K76" s="22" t="str">
        <f aca="false">IF(AND(ISNUMBER(K12),ISNUMBER(J12),J12&lt;&gt;0),K12/J12-1,"")</f>
        <v/>
      </c>
      <c r="L76" s="22" t="str">
        <f aca="false">IF(AND(ISNUMBER(L12),ISNUMBER(K12),K12&lt;&gt;0),L12/K12-1,"")</f>
        <v/>
      </c>
      <c r="M76" s="22" t="str">
        <f aca="false">IF(AND(ISNUMBER(M12),ISNUMBER(L12),L12&lt;&gt;0),M12/L12-1,"")</f>
        <v/>
      </c>
      <c r="N76" s="22" t="str">
        <f aca="false">IF(AND(ISNUMBER(N12),ISNUMBER(M12),M12&lt;&gt;0),N12/M12-1,"")</f>
        <v/>
      </c>
    </row>
    <row r="77" customFormat="false" ht="15" hidden="false" customHeight="false" outlineLevel="0" collapsed="false">
      <c r="A77" s="43" t="s">
        <v>484</v>
      </c>
      <c r="C77" s="5" t="s">
        <v>485</v>
      </c>
      <c r="F77" s="22" t="str">
        <f aca="false">IF(AND(ISNUMBER(F13),ISNUMBER(E13),E13&lt;&gt;0),F13/E13-1,"")</f>
        <v/>
      </c>
      <c r="G77" s="22" t="str">
        <f aca="false">IF(AND(ISNUMBER(G13),ISNUMBER(F13),F13&lt;&gt;0),G13/F13-1,"")</f>
        <v/>
      </c>
      <c r="H77" s="22" t="str">
        <f aca="false">IF(AND(ISNUMBER(H13),ISNUMBER(G13),G13&lt;&gt;0),H13/G13-1,"")</f>
        <v/>
      </c>
      <c r="I77" s="22" t="str">
        <f aca="false">IF(AND(ISNUMBER(I13),ISNUMBER(H13),H13&lt;&gt;0),I13/H13-1,"")</f>
        <v/>
      </c>
      <c r="J77" s="22" t="str">
        <f aca="false">IF(AND(ISNUMBER(J13),ISNUMBER(I13),I13&lt;&gt;0),J13/I13-1,"")</f>
        <v/>
      </c>
      <c r="K77" s="22" t="str">
        <f aca="false">IF(AND(ISNUMBER(K13),ISNUMBER(J13),J13&lt;&gt;0),K13/J13-1,"")</f>
        <v/>
      </c>
      <c r="L77" s="22" t="str">
        <f aca="false">IF(AND(ISNUMBER(L13),ISNUMBER(K13),K13&lt;&gt;0),L13/K13-1,"")</f>
        <v/>
      </c>
      <c r="M77" s="22" t="str">
        <f aca="false">IF(AND(ISNUMBER(M13),ISNUMBER(L13),L13&lt;&gt;0),M13/L13-1,"")</f>
        <v/>
      </c>
      <c r="N77" s="22" t="str">
        <f aca="false">IF(AND(ISNUMBER(N13),ISNUMBER(M13),M13&lt;&gt;0),N13/M13-1,"")</f>
        <v/>
      </c>
    </row>
    <row r="78" customFormat="false" ht="15" hidden="false" customHeight="false" outlineLevel="0" collapsed="false">
      <c r="A78" s="43" t="s">
        <v>486</v>
      </c>
      <c r="C78" s="5" t="s">
        <v>488</v>
      </c>
      <c r="F78" s="22" t="n">
        <f aca="false">IF(AND(ISNUMBER(F14),ISNUMBER(E14),E14&lt;&gt;0),F14/E14-1,"")</f>
        <v>-0.0946969696969697</v>
      </c>
      <c r="G78" s="22" t="n">
        <f aca="false">IF(AND(ISNUMBER(G14),ISNUMBER(F14),F14&lt;&gt;0),G14/F14-1,"")</f>
        <v>0</v>
      </c>
      <c r="H78" s="22" t="str">
        <f aca="false">IF(AND(ISNUMBER(H14),ISNUMBER(G14),G14&lt;&gt;0),H14/G14-1,"")</f>
        <v/>
      </c>
      <c r="I78" s="22" t="str">
        <f aca="false">IF(AND(ISNUMBER(I14),ISNUMBER(H14),H14&lt;&gt;0),I14/H14-1,"")</f>
        <v/>
      </c>
      <c r="J78" s="22" t="str">
        <f aca="false">IF(AND(ISNUMBER(J14),ISNUMBER(I14),I14&lt;&gt;0),J14/I14-1,"")</f>
        <v/>
      </c>
      <c r="K78" s="22" t="str">
        <f aca="false">IF(AND(ISNUMBER(K14),ISNUMBER(J14),J14&lt;&gt;0),K14/J14-1,"")</f>
        <v/>
      </c>
      <c r="L78" s="22" t="str">
        <f aca="false">IF(AND(ISNUMBER(L14),ISNUMBER(K14),K14&lt;&gt;0),L14/K14-1,"")</f>
        <v/>
      </c>
      <c r="M78" s="22" t="str">
        <f aca="false">IF(AND(ISNUMBER(M14),ISNUMBER(L14),L14&lt;&gt;0),M14/L14-1,"")</f>
        <v/>
      </c>
      <c r="N78" s="22" t="str">
        <f aca="false">IF(AND(ISNUMBER(N14),ISNUMBER(M14),M14&lt;&gt;0),N14/M14-1,"")</f>
        <v/>
      </c>
    </row>
    <row r="79" customFormat="false" ht="15" hidden="false" customHeight="false" outlineLevel="0" collapsed="false">
      <c r="A79" s="43" t="s">
        <v>489</v>
      </c>
      <c r="C79" s="5" t="s">
        <v>490</v>
      </c>
      <c r="F79" s="22" t="n">
        <f aca="false">IF(AND(ISNUMBER(F15),ISNUMBER(E15),E15&lt;&gt;0),F15/E15-1,"")</f>
        <v>0.00740740740740731</v>
      </c>
      <c r="G79" s="22" t="n">
        <f aca="false">IF(AND(ISNUMBER(G15),ISNUMBER(F15),F15&lt;&gt;0),G15/F15-1,"")</f>
        <v>-0.0367647058823529</v>
      </c>
      <c r="H79" s="22" t="str">
        <f aca="false">IF(AND(ISNUMBER(H15),ISNUMBER(G15),G15&lt;&gt;0),H15/G15-1,"")</f>
        <v/>
      </c>
      <c r="I79" s="22" t="str">
        <f aca="false">IF(AND(ISNUMBER(I15),ISNUMBER(H15),H15&lt;&gt;0),I15/H15-1,"")</f>
        <v/>
      </c>
      <c r="J79" s="22" t="str">
        <f aca="false">IF(AND(ISNUMBER(J15),ISNUMBER(I15),I15&lt;&gt;0),J15/I15-1,"")</f>
        <v/>
      </c>
      <c r="K79" s="22" t="str">
        <f aca="false">IF(AND(ISNUMBER(K15),ISNUMBER(J15),J15&lt;&gt;0),K15/J15-1,"")</f>
        <v/>
      </c>
      <c r="L79" s="22" t="str">
        <f aca="false">IF(AND(ISNUMBER(L15),ISNUMBER(K15),K15&lt;&gt;0),L15/K15-1,"")</f>
        <v/>
      </c>
      <c r="M79" s="22" t="str">
        <f aca="false">IF(AND(ISNUMBER(M15),ISNUMBER(L15),L15&lt;&gt;0),M15/L15-1,"")</f>
        <v/>
      </c>
      <c r="N79" s="22" t="str">
        <f aca="false">IF(AND(ISNUMBER(N15),ISNUMBER(M15),M15&lt;&gt;0),N15/M15-1,"")</f>
        <v/>
      </c>
    </row>
    <row r="80" customFormat="false" ht="15" hidden="false" customHeight="false" outlineLevel="0" collapsed="false">
      <c r="A80" s="43" t="s">
        <v>491</v>
      </c>
      <c r="C80" s="5" t="s">
        <v>492</v>
      </c>
      <c r="F80" s="22" t="str">
        <f aca="false">IF(AND(ISNUMBER(F16),ISNUMBER(E16),E16&lt;&gt;0),F16/E16-1,"")</f>
        <v/>
      </c>
      <c r="G80" s="22" t="str">
        <f aca="false">IF(AND(ISNUMBER(G16),ISNUMBER(F16),F16&lt;&gt;0),G16/F16-1,"")</f>
        <v/>
      </c>
      <c r="H80" s="22" t="str">
        <f aca="false">IF(AND(ISNUMBER(H16),ISNUMBER(G16),G16&lt;&gt;0),H16/G16-1,"")</f>
        <v/>
      </c>
      <c r="I80" s="22" t="str">
        <f aca="false">IF(AND(ISNUMBER(I16),ISNUMBER(H16),H16&lt;&gt;0),I16/H16-1,"")</f>
        <v/>
      </c>
      <c r="J80" s="22" t="str">
        <f aca="false">IF(AND(ISNUMBER(J16),ISNUMBER(I16),I16&lt;&gt;0),J16/I16-1,"")</f>
        <v/>
      </c>
      <c r="K80" s="22" t="str">
        <f aca="false">IF(AND(ISNUMBER(K16),ISNUMBER(J16),J16&lt;&gt;0),K16/J16-1,"")</f>
        <v/>
      </c>
      <c r="L80" s="22" t="str">
        <f aca="false">IF(AND(ISNUMBER(L16),ISNUMBER(K16),K16&lt;&gt;0),L16/K16-1,"")</f>
        <v/>
      </c>
      <c r="M80" s="22" t="str">
        <f aca="false">IF(AND(ISNUMBER(M16),ISNUMBER(L16),L16&lt;&gt;0),M16/L16-1,"")</f>
        <v/>
      </c>
      <c r="N80" s="22" t="str">
        <f aca="false">IF(AND(ISNUMBER(N16),ISNUMBER(M16),M16&lt;&gt;0),N16/M16-1,"")</f>
        <v/>
      </c>
    </row>
    <row r="81" customFormat="false" ht="15" hidden="false" customHeight="false" outlineLevel="0" collapsed="false">
      <c r="A81" s="43" t="s">
        <v>493</v>
      </c>
      <c r="C81" s="5" t="s">
        <v>494</v>
      </c>
      <c r="F81" s="22" t="str">
        <f aca="false">IF(AND(ISNUMBER(F17),ISNUMBER(E17),E17&lt;&gt;0),F17/E17-1,"")</f>
        <v/>
      </c>
      <c r="G81" s="22" t="str">
        <f aca="false">IF(AND(ISNUMBER(G17),ISNUMBER(F17),F17&lt;&gt;0),G17/F17-1,"")</f>
        <v/>
      </c>
      <c r="H81" s="22" t="str">
        <f aca="false">IF(AND(ISNUMBER(H17),ISNUMBER(G17),G17&lt;&gt;0),H17/G17-1,"")</f>
        <v/>
      </c>
      <c r="I81" s="22" t="str">
        <f aca="false">IF(AND(ISNUMBER(I17),ISNUMBER(H17),H17&lt;&gt;0),I17/H17-1,"")</f>
        <v/>
      </c>
      <c r="J81" s="22" t="str">
        <f aca="false">IF(AND(ISNUMBER(J17),ISNUMBER(I17),I17&lt;&gt;0),J17/I17-1,"")</f>
        <v/>
      </c>
      <c r="K81" s="22" t="str">
        <f aca="false">IF(AND(ISNUMBER(K17),ISNUMBER(J17),J17&lt;&gt;0),K17/J17-1,"")</f>
        <v/>
      </c>
      <c r="L81" s="22" t="str">
        <f aca="false">IF(AND(ISNUMBER(L17),ISNUMBER(K17),K17&lt;&gt;0),L17/K17-1,"")</f>
        <v/>
      </c>
      <c r="M81" s="22" t="str">
        <f aca="false">IF(AND(ISNUMBER(M17),ISNUMBER(L17),L17&lt;&gt;0),M17/L17-1,"")</f>
        <v/>
      </c>
      <c r="N81" s="22" t="str">
        <f aca="false">IF(AND(ISNUMBER(N17),ISNUMBER(M17),M17&lt;&gt;0),N17/M17-1,"")</f>
        <v/>
      </c>
    </row>
    <row r="82" customFormat="false" ht="15" hidden="false" customHeight="false" outlineLevel="0" collapsed="false">
      <c r="A82" s="43" t="s">
        <v>495</v>
      </c>
      <c r="C82" s="5" t="s">
        <v>496</v>
      </c>
      <c r="F82" s="22" t="str">
        <f aca="false">IF(AND(ISNUMBER(F18),ISNUMBER(E18),E18&lt;&gt;0),F18/E18-1,"")</f>
        <v/>
      </c>
      <c r="G82" s="22" t="str">
        <f aca="false">IF(AND(ISNUMBER(G18),ISNUMBER(F18),F18&lt;&gt;0),G18/F18-1,"")</f>
        <v/>
      </c>
      <c r="H82" s="22" t="str">
        <f aca="false">IF(AND(ISNUMBER(H18),ISNUMBER(G18),G18&lt;&gt;0),H18/G18-1,"")</f>
        <v/>
      </c>
      <c r="I82" s="22" t="str">
        <f aca="false">IF(AND(ISNUMBER(I18),ISNUMBER(H18),H18&lt;&gt;0),I18/H18-1,"")</f>
        <v/>
      </c>
      <c r="J82" s="22" t="str">
        <f aca="false">IF(AND(ISNUMBER(J18),ISNUMBER(I18),I18&lt;&gt;0),J18/I18-1,"")</f>
        <v/>
      </c>
      <c r="K82" s="22" t="str">
        <f aca="false">IF(AND(ISNUMBER(K18),ISNUMBER(J18),J18&lt;&gt;0),K18/J18-1,"")</f>
        <v/>
      </c>
      <c r="L82" s="22" t="str">
        <f aca="false">IF(AND(ISNUMBER(L18),ISNUMBER(K18),K18&lt;&gt;0),L18/K18-1,"")</f>
        <v/>
      </c>
      <c r="M82" s="22" t="str">
        <f aca="false">IF(AND(ISNUMBER(M18),ISNUMBER(L18),L18&lt;&gt;0),M18/L18-1,"")</f>
        <v/>
      </c>
      <c r="N82" s="22" t="str">
        <f aca="false">IF(AND(ISNUMBER(N18),ISNUMBER(M18),M18&lt;&gt;0),N18/M18-1,"")</f>
        <v/>
      </c>
    </row>
    <row r="83" customFormat="false" ht="15" hidden="false" customHeight="false" outlineLevel="0" collapsed="false">
      <c r="A83" s="43" t="s">
        <v>497</v>
      </c>
      <c r="C83" s="5" t="s">
        <v>498</v>
      </c>
      <c r="F83" s="22" t="str">
        <f aca="false">IF(AND(ISNUMBER(F19),ISNUMBER(E19),E19&lt;&gt;0),F19/E19-1,"")</f>
        <v/>
      </c>
      <c r="G83" s="22" t="str">
        <f aca="false">IF(AND(ISNUMBER(G19),ISNUMBER(F19),F19&lt;&gt;0),G19/F19-1,"")</f>
        <v/>
      </c>
      <c r="H83" s="22" t="str">
        <f aca="false">IF(AND(ISNUMBER(H19),ISNUMBER(G19),G19&lt;&gt;0),H19/G19-1,"")</f>
        <v/>
      </c>
      <c r="I83" s="22" t="str">
        <f aca="false">IF(AND(ISNUMBER(I19),ISNUMBER(H19),H19&lt;&gt;0),I19/H19-1,"")</f>
        <v/>
      </c>
      <c r="J83" s="22" t="str">
        <f aca="false">IF(AND(ISNUMBER(J19),ISNUMBER(I19),I19&lt;&gt;0),J19/I19-1,"")</f>
        <v/>
      </c>
      <c r="K83" s="22" t="str">
        <f aca="false">IF(AND(ISNUMBER(K19),ISNUMBER(J19),J19&lt;&gt;0),K19/J19-1,"")</f>
        <v/>
      </c>
      <c r="L83" s="22" t="str">
        <f aca="false">IF(AND(ISNUMBER(L19),ISNUMBER(K19),K19&lt;&gt;0),L19/K19-1,"")</f>
        <v/>
      </c>
      <c r="M83" s="22" t="str">
        <f aca="false">IF(AND(ISNUMBER(M19),ISNUMBER(L19),L19&lt;&gt;0),M19/L19-1,"")</f>
        <v/>
      </c>
      <c r="N83" s="22" t="str">
        <f aca="false">IF(AND(ISNUMBER(N19),ISNUMBER(M19),M19&lt;&gt;0),N19/M19-1,"")</f>
        <v/>
      </c>
    </row>
    <row r="84" customFormat="false" ht="15" hidden="false" customHeight="false" outlineLevel="0" collapsed="false">
      <c r="A84" s="43" t="s">
        <v>499</v>
      </c>
      <c r="C84" s="5" t="s">
        <v>500</v>
      </c>
      <c r="F84" s="22" t="str">
        <f aca="false">IF(AND(ISNUMBER(F20),ISNUMBER(E20),E20&lt;&gt;0),F20/E20-1,"")</f>
        <v/>
      </c>
      <c r="G84" s="22" t="str">
        <f aca="false">IF(AND(ISNUMBER(G20),ISNUMBER(F20),F20&lt;&gt;0),G20/F20-1,"")</f>
        <v/>
      </c>
      <c r="H84" s="22" t="str">
        <f aca="false">IF(AND(ISNUMBER(H20),ISNUMBER(G20),G20&lt;&gt;0),H20/G20-1,"")</f>
        <v/>
      </c>
      <c r="I84" s="22" t="str">
        <f aca="false">IF(AND(ISNUMBER(I20),ISNUMBER(H20),H20&lt;&gt;0),I20/H20-1,"")</f>
        <v/>
      </c>
      <c r="J84" s="22" t="str">
        <f aca="false">IF(AND(ISNUMBER(J20),ISNUMBER(I20),I20&lt;&gt;0),J20/I20-1,"")</f>
        <v/>
      </c>
      <c r="K84" s="22" t="str">
        <f aca="false">IF(AND(ISNUMBER(K20),ISNUMBER(J20),J20&lt;&gt;0),K20/J20-1,"")</f>
        <v/>
      </c>
      <c r="L84" s="22" t="str">
        <f aca="false">IF(AND(ISNUMBER(L20),ISNUMBER(K20),K20&lt;&gt;0),L20/K20-1,"")</f>
        <v/>
      </c>
      <c r="M84" s="22" t="str">
        <f aca="false">IF(AND(ISNUMBER(M20),ISNUMBER(L20),L20&lt;&gt;0),M20/L20-1,"")</f>
        <v/>
      </c>
      <c r="N84" s="22" t="str">
        <f aca="false">IF(AND(ISNUMBER(N20),ISNUMBER(M20),M20&lt;&gt;0),N20/M20-1,"")</f>
        <v/>
      </c>
    </row>
    <row r="85" customFormat="false" ht="15" hidden="false" customHeight="false" outlineLevel="0" collapsed="false">
      <c r="A85" s="43" t="s">
        <v>501</v>
      </c>
      <c r="C85" s="5" t="s">
        <v>502</v>
      </c>
      <c r="F85" s="22" t="str">
        <f aca="false">IF(AND(ISNUMBER(F21),ISNUMBER(E21),E21&lt;&gt;0),F21/E21-1,"")</f>
        <v/>
      </c>
      <c r="G85" s="22" t="str">
        <f aca="false">IF(AND(ISNUMBER(G21),ISNUMBER(F21),F21&lt;&gt;0),G21/F21-1,"")</f>
        <v/>
      </c>
      <c r="H85" s="22" t="str">
        <f aca="false">IF(AND(ISNUMBER(H21),ISNUMBER(G21),G21&lt;&gt;0),H21/G21-1,"")</f>
        <v/>
      </c>
      <c r="I85" s="22" t="str">
        <f aca="false">IF(AND(ISNUMBER(I21),ISNUMBER(H21),H21&lt;&gt;0),I21/H21-1,"")</f>
        <v/>
      </c>
      <c r="J85" s="22" t="str">
        <f aca="false">IF(AND(ISNUMBER(J21),ISNUMBER(I21),I21&lt;&gt;0),J21/I21-1,"")</f>
        <v/>
      </c>
      <c r="K85" s="22" t="str">
        <f aca="false">IF(AND(ISNUMBER(K21),ISNUMBER(J21),J21&lt;&gt;0),K21/J21-1,"")</f>
        <v/>
      </c>
      <c r="L85" s="22" t="str">
        <f aca="false">IF(AND(ISNUMBER(L21),ISNUMBER(K21),K21&lt;&gt;0),L21/K21-1,"")</f>
        <v/>
      </c>
      <c r="M85" s="22" t="str">
        <f aca="false">IF(AND(ISNUMBER(M21),ISNUMBER(L21),L21&lt;&gt;0),M21/L21-1,"")</f>
        <v/>
      </c>
      <c r="N85" s="22" t="str">
        <f aca="false">IF(AND(ISNUMBER(N21),ISNUMBER(M21),M21&lt;&gt;0),N21/M21-1,"")</f>
        <v/>
      </c>
    </row>
    <row r="86" customFormat="false" ht="15" hidden="false" customHeight="false" outlineLevel="0" collapsed="false">
      <c r="A86" s="43" t="s">
        <v>503</v>
      </c>
      <c r="C86" s="5" t="s">
        <v>504</v>
      </c>
      <c r="F86" s="22" t="n">
        <f aca="false">IF(AND(ISNUMBER(F22),ISNUMBER(E22),E22&lt;&gt;0),F22/E22-1,"")</f>
        <v>-0.133333333333333</v>
      </c>
      <c r="G86" s="22" t="n">
        <f aca="false">IF(AND(ISNUMBER(G22),ISNUMBER(F22),F22&lt;&gt;0),G22/F22-1,"")</f>
        <v>0.0461538461538462</v>
      </c>
      <c r="H86" s="22" t="str">
        <f aca="false">IF(AND(ISNUMBER(H22),ISNUMBER(G22),G22&lt;&gt;0),H22/G22-1,"")</f>
        <v/>
      </c>
      <c r="I86" s="22" t="str">
        <f aca="false">IF(AND(ISNUMBER(I22),ISNUMBER(H22),H22&lt;&gt;0),I22/H22-1,"")</f>
        <v/>
      </c>
      <c r="J86" s="22" t="str">
        <f aca="false">IF(AND(ISNUMBER(J22),ISNUMBER(I22),I22&lt;&gt;0),J22/I22-1,"")</f>
        <v/>
      </c>
      <c r="K86" s="22" t="str">
        <f aca="false">IF(AND(ISNUMBER(K22),ISNUMBER(J22),J22&lt;&gt;0),K22/J22-1,"")</f>
        <v/>
      </c>
      <c r="L86" s="22" t="str">
        <f aca="false">IF(AND(ISNUMBER(L22),ISNUMBER(K22),K22&lt;&gt;0),L22/K22-1,"")</f>
        <v/>
      </c>
      <c r="M86" s="22" t="str">
        <f aca="false">IF(AND(ISNUMBER(M22),ISNUMBER(L22),L22&lt;&gt;0),M22/L22-1,"")</f>
        <v/>
      </c>
      <c r="N86" s="22" t="str">
        <f aca="false">IF(AND(ISNUMBER(N22),ISNUMBER(M22),M22&lt;&gt;0),N22/M22-1,"")</f>
        <v/>
      </c>
    </row>
    <row r="87" customFormat="false" ht="15" hidden="false" customHeight="false" outlineLevel="0" collapsed="false">
      <c r="A87" s="43" t="s">
        <v>505</v>
      </c>
      <c r="C87" s="5" t="s">
        <v>506</v>
      </c>
      <c r="F87" s="22" t="n">
        <f aca="false">IF(AND(ISNUMBER(F23),ISNUMBER(E23),E23&lt;&gt;0),F23/E23-1,"")</f>
        <v>0.0166666666666666</v>
      </c>
      <c r="G87" s="22" t="n">
        <f aca="false">IF(AND(ISNUMBER(G23),ISNUMBER(F23),F23&lt;&gt;0),G23/F23-1,"")</f>
        <v>0.0163934426229508</v>
      </c>
      <c r="H87" s="22" t="str">
        <f aca="false">IF(AND(ISNUMBER(H23),ISNUMBER(G23),G23&lt;&gt;0),H23/G23-1,"")</f>
        <v/>
      </c>
      <c r="I87" s="22" t="str">
        <f aca="false">IF(AND(ISNUMBER(I23),ISNUMBER(H23),H23&lt;&gt;0),I23/H23-1,"")</f>
        <v/>
      </c>
      <c r="J87" s="22" t="str">
        <f aca="false">IF(AND(ISNUMBER(J23),ISNUMBER(I23),I23&lt;&gt;0),J23/I23-1,"")</f>
        <v/>
      </c>
      <c r="K87" s="22" t="str">
        <f aca="false">IF(AND(ISNUMBER(K23),ISNUMBER(J23),J23&lt;&gt;0),K23/J23-1,"")</f>
        <v/>
      </c>
      <c r="L87" s="22" t="str">
        <f aca="false">IF(AND(ISNUMBER(L23),ISNUMBER(K23),K23&lt;&gt;0),L23/K23-1,"")</f>
        <v/>
      </c>
      <c r="M87" s="22" t="str">
        <f aca="false">IF(AND(ISNUMBER(M23),ISNUMBER(L23),L23&lt;&gt;0),M23/L23-1,"")</f>
        <v/>
      </c>
      <c r="N87" s="22" t="str">
        <f aca="false">IF(AND(ISNUMBER(N23),ISNUMBER(M23),M23&lt;&gt;0),N23/M23-1,"")</f>
        <v/>
      </c>
    </row>
    <row r="88" customFormat="false" ht="15" hidden="false" customHeight="false" outlineLevel="0" collapsed="false">
      <c r="A88" s="43" t="s">
        <v>507</v>
      </c>
      <c r="C88" s="5" t="s">
        <v>508</v>
      </c>
      <c r="F88" s="22" t="str">
        <f aca="false">IF(AND(ISNUMBER(F24),ISNUMBER(E24),E24&lt;&gt;0),F24/E24-1,"")</f>
        <v/>
      </c>
      <c r="G88" s="22" t="str">
        <f aca="false">IF(AND(ISNUMBER(G24),ISNUMBER(F24),F24&lt;&gt;0),G24/F24-1,"")</f>
        <v/>
      </c>
      <c r="H88" s="22" t="str">
        <f aca="false">IF(AND(ISNUMBER(H24),ISNUMBER(G24),G24&lt;&gt;0),H24/G24-1,"")</f>
        <v/>
      </c>
      <c r="I88" s="22" t="str">
        <f aca="false">IF(AND(ISNUMBER(I24),ISNUMBER(H24),H24&lt;&gt;0),I24/H24-1,"")</f>
        <v/>
      </c>
      <c r="J88" s="22" t="str">
        <f aca="false">IF(AND(ISNUMBER(J24),ISNUMBER(I24),I24&lt;&gt;0),J24/I24-1,"")</f>
        <v/>
      </c>
      <c r="K88" s="22" t="str">
        <f aca="false">IF(AND(ISNUMBER(K24),ISNUMBER(J24),J24&lt;&gt;0),K24/J24-1,"")</f>
        <v/>
      </c>
      <c r="L88" s="22" t="str">
        <f aca="false">IF(AND(ISNUMBER(L24),ISNUMBER(K24),K24&lt;&gt;0),L24/K24-1,"")</f>
        <v/>
      </c>
      <c r="M88" s="22" t="str">
        <f aca="false">IF(AND(ISNUMBER(M24),ISNUMBER(L24),L24&lt;&gt;0),M24/L24-1,"")</f>
        <v/>
      </c>
      <c r="N88" s="22" t="str">
        <f aca="false">IF(AND(ISNUMBER(N24),ISNUMBER(M24),M24&lt;&gt;0),N24/M24-1,"")</f>
        <v/>
      </c>
    </row>
    <row r="89" customFormat="false" ht="15" hidden="false" customHeight="false" outlineLevel="0" collapsed="false">
      <c r="A89" s="43" t="s">
        <v>509</v>
      </c>
      <c r="C89" s="5" t="s">
        <v>510</v>
      </c>
      <c r="F89" s="22" t="str">
        <f aca="false">IF(AND(ISNUMBER(F25),ISNUMBER(E25),E25&lt;&gt;0),F25/E25-1,"")</f>
        <v/>
      </c>
      <c r="G89" s="22" t="str">
        <f aca="false">IF(AND(ISNUMBER(G25),ISNUMBER(F25),F25&lt;&gt;0),G25/F25-1,"")</f>
        <v/>
      </c>
      <c r="H89" s="22" t="str">
        <f aca="false">IF(AND(ISNUMBER(H25),ISNUMBER(G25),G25&lt;&gt;0),H25/G25-1,"")</f>
        <v/>
      </c>
      <c r="I89" s="22" t="str">
        <f aca="false">IF(AND(ISNUMBER(I25),ISNUMBER(H25),H25&lt;&gt;0),I25/H25-1,"")</f>
        <v/>
      </c>
      <c r="J89" s="22" t="str">
        <f aca="false">IF(AND(ISNUMBER(J25),ISNUMBER(I25),I25&lt;&gt;0),J25/I25-1,"")</f>
        <v/>
      </c>
      <c r="K89" s="22" t="str">
        <f aca="false">IF(AND(ISNUMBER(K25),ISNUMBER(J25),J25&lt;&gt;0),K25/J25-1,"")</f>
        <v/>
      </c>
      <c r="L89" s="22" t="str">
        <f aca="false">IF(AND(ISNUMBER(L25),ISNUMBER(K25),K25&lt;&gt;0),L25/K25-1,"")</f>
        <v/>
      </c>
      <c r="M89" s="22" t="str">
        <f aca="false">IF(AND(ISNUMBER(M25),ISNUMBER(L25),L25&lt;&gt;0),M25/L25-1,"")</f>
        <v/>
      </c>
      <c r="N89" s="22" t="str">
        <f aca="false">IF(AND(ISNUMBER(N25),ISNUMBER(M25),M25&lt;&gt;0),N25/M25-1,"")</f>
        <v/>
      </c>
    </row>
    <row r="90" customFormat="false" ht="15" hidden="false" customHeight="false" outlineLevel="0" collapsed="false">
      <c r="A90" s="43" t="s">
        <v>511</v>
      </c>
      <c r="C90" s="5" t="s">
        <v>512</v>
      </c>
      <c r="F90" s="22" t="str">
        <f aca="false">IF(AND(ISNUMBER(F26),ISNUMBER(E26),E26&lt;&gt;0),F26/E26-1,"")</f>
        <v/>
      </c>
      <c r="G90" s="22" t="str">
        <f aca="false">IF(AND(ISNUMBER(G26),ISNUMBER(F26),F26&lt;&gt;0),G26/F26-1,"")</f>
        <v/>
      </c>
      <c r="H90" s="22" t="str">
        <f aca="false">IF(AND(ISNUMBER(H26),ISNUMBER(G26),G26&lt;&gt;0),H26/G26-1,"")</f>
        <v/>
      </c>
      <c r="I90" s="22" t="str">
        <f aca="false">IF(AND(ISNUMBER(I26),ISNUMBER(H26),H26&lt;&gt;0),I26/H26-1,"")</f>
        <v/>
      </c>
      <c r="J90" s="22" t="str">
        <f aca="false">IF(AND(ISNUMBER(J26),ISNUMBER(I26),I26&lt;&gt;0),J26/I26-1,"")</f>
        <v/>
      </c>
      <c r="K90" s="22" t="str">
        <f aca="false">IF(AND(ISNUMBER(K26),ISNUMBER(J26),J26&lt;&gt;0),K26/J26-1,"")</f>
        <v/>
      </c>
      <c r="L90" s="22" t="str">
        <f aca="false">IF(AND(ISNUMBER(L26),ISNUMBER(K26),K26&lt;&gt;0),L26/K26-1,"")</f>
        <v/>
      </c>
      <c r="M90" s="22" t="str">
        <f aca="false">IF(AND(ISNUMBER(M26),ISNUMBER(L26),L26&lt;&gt;0),M26/L26-1,"")</f>
        <v/>
      </c>
      <c r="N90" s="22" t="str">
        <f aca="false">IF(AND(ISNUMBER(N26),ISNUMBER(M26),M26&lt;&gt;0),N26/M26-1,"")</f>
        <v/>
      </c>
    </row>
    <row r="91" customFormat="false" ht="15" hidden="false" customHeight="false" outlineLevel="0" collapsed="false">
      <c r="A91" s="43" t="s">
        <v>513</v>
      </c>
      <c r="C91" s="5" t="s">
        <v>514</v>
      </c>
      <c r="F91" s="22" t="str">
        <f aca="false">IF(AND(ISNUMBER(F27),ISNUMBER(E27),E27&lt;&gt;0),F27/E27-1,"")</f>
        <v/>
      </c>
      <c r="G91" s="22" t="str">
        <f aca="false">IF(AND(ISNUMBER(G27),ISNUMBER(F27),F27&lt;&gt;0),G27/F27-1,"")</f>
        <v/>
      </c>
      <c r="H91" s="22" t="str">
        <f aca="false">IF(AND(ISNUMBER(H27),ISNUMBER(G27),G27&lt;&gt;0),H27/G27-1,"")</f>
        <v/>
      </c>
      <c r="I91" s="22" t="str">
        <f aca="false">IF(AND(ISNUMBER(I27),ISNUMBER(H27),H27&lt;&gt;0),I27/H27-1,"")</f>
        <v/>
      </c>
      <c r="J91" s="22" t="str">
        <f aca="false">IF(AND(ISNUMBER(J27),ISNUMBER(I27),I27&lt;&gt;0),J27/I27-1,"")</f>
        <v/>
      </c>
      <c r="K91" s="22" t="str">
        <f aca="false">IF(AND(ISNUMBER(K27),ISNUMBER(J27),J27&lt;&gt;0),K27/J27-1,"")</f>
        <v/>
      </c>
      <c r="L91" s="22" t="str">
        <f aca="false">IF(AND(ISNUMBER(L27),ISNUMBER(K27),K27&lt;&gt;0),L27/K27-1,"")</f>
        <v/>
      </c>
      <c r="M91" s="22" t="str">
        <f aca="false">IF(AND(ISNUMBER(M27),ISNUMBER(L27),L27&lt;&gt;0),M27/L27-1,"")</f>
        <v/>
      </c>
      <c r="N91" s="22" t="str">
        <f aca="false">IF(AND(ISNUMBER(N27),ISNUMBER(M27),M27&lt;&gt;0),N27/M27-1,"")</f>
        <v/>
      </c>
    </row>
    <row r="92" customFormat="false" ht="15" hidden="false" customHeight="false" outlineLevel="0" collapsed="false">
      <c r="A92" s="43" t="s">
        <v>515</v>
      </c>
      <c r="C92" s="5" t="s">
        <v>516</v>
      </c>
      <c r="F92" s="22" t="str">
        <f aca="false">IF(AND(ISNUMBER(F28),ISNUMBER(E28),E28&lt;&gt;0),F28/E28-1,"")</f>
        <v/>
      </c>
      <c r="G92" s="22" t="str">
        <f aca="false">IF(AND(ISNUMBER(G28),ISNUMBER(F28),F28&lt;&gt;0),G28/F28-1,"")</f>
        <v/>
      </c>
      <c r="H92" s="22" t="str">
        <f aca="false">IF(AND(ISNUMBER(H28),ISNUMBER(G28),G28&lt;&gt;0),H28/G28-1,"")</f>
        <v/>
      </c>
      <c r="I92" s="22" t="str">
        <f aca="false">IF(AND(ISNUMBER(I28),ISNUMBER(H28),H28&lt;&gt;0),I28/H28-1,"")</f>
        <v/>
      </c>
      <c r="J92" s="22" t="str">
        <f aca="false">IF(AND(ISNUMBER(J28),ISNUMBER(I28),I28&lt;&gt;0),J28/I28-1,"")</f>
        <v/>
      </c>
      <c r="K92" s="22" t="str">
        <f aca="false">IF(AND(ISNUMBER(K28),ISNUMBER(J28),J28&lt;&gt;0),K28/J28-1,"")</f>
        <v/>
      </c>
      <c r="L92" s="22" t="str">
        <f aca="false">IF(AND(ISNUMBER(L28),ISNUMBER(K28),K28&lt;&gt;0),L28/K28-1,"")</f>
        <v/>
      </c>
      <c r="M92" s="22" t="str">
        <f aca="false">IF(AND(ISNUMBER(M28),ISNUMBER(L28),L28&lt;&gt;0),M28/L28-1,"")</f>
        <v/>
      </c>
      <c r="N92" s="22" t="str">
        <f aca="false">IF(AND(ISNUMBER(N28),ISNUMBER(M28),M28&lt;&gt;0),N28/M28-1,"")</f>
        <v/>
      </c>
    </row>
    <row r="93" customFormat="false" ht="15" hidden="false" customHeight="false" outlineLevel="0" collapsed="false">
      <c r="A93" s="43" t="s">
        <v>517</v>
      </c>
      <c r="C93" s="5" t="s">
        <v>518</v>
      </c>
      <c r="F93" s="22" t="str">
        <f aca="false">IF(AND(ISNUMBER(F29),ISNUMBER(E29),E29&lt;&gt;0),F29/E29-1,"")</f>
        <v/>
      </c>
      <c r="G93" s="22" t="str">
        <f aca="false">IF(AND(ISNUMBER(G29),ISNUMBER(F29),F29&lt;&gt;0),G29/F29-1,"")</f>
        <v/>
      </c>
      <c r="H93" s="22" t="str">
        <f aca="false">IF(AND(ISNUMBER(H29),ISNUMBER(G29),G29&lt;&gt;0),H29/G29-1,"")</f>
        <v/>
      </c>
      <c r="I93" s="22" t="str">
        <f aca="false">IF(AND(ISNUMBER(I29),ISNUMBER(H29),H29&lt;&gt;0),I29/H29-1,"")</f>
        <v/>
      </c>
      <c r="J93" s="22" t="str">
        <f aca="false">IF(AND(ISNUMBER(J29),ISNUMBER(I29),I29&lt;&gt;0),J29/I29-1,"")</f>
        <v/>
      </c>
      <c r="K93" s="22" t="str">
        <f aca="false">IF(AND(ISNUMBER(K29),ISNUMBER(J29),J29&lt;&gt;0),K29/J29-1,"")</f>
        <v/>
      </c>
      <c r="L93" s="22" t="str">
        <f aca="false">IF(AND(ISNUMBER(L29),ISNUMBER(K29),K29&lt;&gt;0),L29/K29-1,"")</f>
        <v/>
      </c>
      <c r="M93" s="22" t="str">
        <f aca="false">IF(AND(ISNUMBER(M29),ISNUMBER(L29),L29&lt;&gt;0),M29/L29-1,"")</f>
        <v/>
      </c>
      <c r="N93" s="22" t="str">
        <f aca="false">IF(AND(ISNUMBER(N29),ISNUMBER(M29),M29&lt;&gt;0),N29/M29-1,"")</f>
        <v/>
      </c>
    </row>
    <row r="94" customFormat="false" ht="23.85" hidden="false" customHeight="false" outlineLevel="0" collapsed="false">
      <c r="A94" s="43" t="s">
        <v>519</v>
      </c>
      <c r="C94" s="5" t="s">
        <v>520</v>
      </c>
      <c r="F94" s="22" t="str">
        <f aca="false">IF(AND(ISNUMBER(F30),ISNUMBER(E30),E30&lt;&gt;0),F30/E30-1,"")</f>
        <v/>
      </c>
      <c r="G94" s="22" t="str">
        <f aca="false">IF(AND(ISNUMBER(G30),ISNUMBER(F30),F30&lt;&gt;0),G30/F30-1,"")</f>
        <v/>
      </c>
      <c r="H94" s="22" t="str">
        <f aca="false">IF(AND(ISNUMBER(H30),ISNUMBER(G30),G30&lt;&gt;0),H30/G30-1,"")</f>
        <v/>
      </c>
      <c r="I94" s="22" t="str">
        <f aca="false">IF(AND(ISNUMBER(I30),ISNUMBER(H30),H30&lt;&gt;0),I30/H30-1,"")</f>
        <v/>
      </c>
      <c r="J94" s="22" t="str">
        <f aca="false">IF(AND(ISNUMBER(J30),ISNUMBER(I30),I30&lt;&gt;0),J30/I30-1,"")</f>
        <v/>
      </c>
      <c r="K94" s="22" t="str">
        <f aca="false">IF(AND(ISNUMBER(K30),ISNUMBER(J30),J30&lt;&gt;0),K30/J30-1,"")</f>
        <v/>
      </c>
      <c r="L94" s="22" t="str">
        <f aca="false">IF(AND(ISNUMBER(L30),ISNUMBER(K30),K30&lt;&gt;0),L30/K30-1,"")</f>
        <v/>
      </c>
      <c r="M94" s="22" t="str">
        <f aca="false">IF(AND(ISNUMBER(M30),ISNUMBER(L30),L30&lt;&gt;0),M30/L30-1,"")</f>
        <v/>
      </c>
      <c r="N94" s="22" t="str">
        <f aca="false">IF(AND(ISNUMBER(N30),ISNUMBER(M30),M30&lt;&gt;0),N30/M30-1,"")</f>
        <v/>
      </c>
    </row>
    <row r="95" customFormat="false" ht="23.85" hidden="false" customHeight="false" outlineLevel="0" collapsed="false">
      <c r="A95" s="43" t="s">
        <v>522</v>
      </c>
      <c r="C95" s="5" t="s">
        <v>523</v>
      </c>
      <c r="F95" s="22" t="str">
        <f aca="false">IF(AND(ISNUMBER(F31),ISNUMBER(E31),E31&lt;&gt;0),F31/E31-1,"")</f>
        <v/>
      </c>
      <c r="G95" s="22" t="str">
        <f aca="false">IF(AND(ISNUMBER(G31),ISNUMBER(F31),F31&lt;&gt;0),G31/F31-1,"")</f>
        <v/>
      </c>
      <c r="H95" s="22" t="str">
        <f aca="false">IF(AND(ISNUMBER(H31),ISNUMBER(G31),G31&lt;&gt;0),H31/G31-1,"")</f>
        <v/>
      </c>
      <c r="I95" s="22" t="str">
        <f aca="false">IF(AND(ISNUMBER(I31),ISNUMBER(H31),H31&lt;&gt;0),I31/H31-1,"")</f>
        <v/>
      </c>
      <c r="J95" s="22" t="str">
        <f aca="false">IF(AND(ISNUMBER(J31),ISNUMBER(I31),I31&lt;&gt;0),J31/I31-1,"")</f>
        <v/>
      </c>
      <c r="K95" s="22" t="str">
        <f aca="false">IF(AND(ISNUMBER(K31),ISNUMBER(J31),J31&lt;&gt;0),K31/J31-1,"")</f>
        <v/>
      </c>
      <c r="L95" s="22" t="str">
        <f aca="false">IF(AND(ISNUMBER(L31),ISNUMBER(K31),K31&lt;&gt;0),L31/K31-1,"")</f>
        <v/>
      </c>
      <c r="M95" s="22" t="str">
        <f aca="false">IF(AND(ISNUMBER(M31),ISNUMBER(L31),L31&lt;&gt;0),M31/L31-1,"")</f>
        <v/>
      </c>
      <c r="N95" s="22" t="str">
        <f aca="false">IF(AND(ISNUMBER(N31),ISNUMBER(M31),M31&lt;&gt;0),N31/M31-1,"")</f>
        <v/>
      </c>
    </row>
    <row r="96" customFormat="false" ht="23.85" hidden="false" customHeight="false" outlineLevel="0" collapsed="false">
      <c r="A96" s="43" t="s">
        <v>524</v>
      </c>
      <c r="C96" s="5" t="s">
        <v>525</v>
      </c>
      <c r="F96" s="22" t="str">
        <f aca="false">IF(AND(ISNUMBER(F32),ISNUMBER(E32),E32&lt;&gt;0),F32/E32-1,"")</f>
        <v/>
      </c>
      <c r="G96" s="22" t="str">
        <f aca="false">IF(AND(ISNUMBER(G32),ISNUMBER(F32),F32&lt;&gt;0),G32/F32-1,"")</f>
        <v/>
      </c>
      <c r="H96" s="22" t="str">
        <f aca="false">IF(AND(ISNUMBER(H32),ISNUMBER(G32),G32&lt;&gt;0),H32/G32-1,"")</f>
        <v/>
      </c>
      <c r="I96" s="22" t="str">
        <f aca="false">IF(AND(ISNUMBER(I32),ISNUMBER(H32),H32&lt;&gt;0),I32/H32-1,"")</f>
        <v/>
      </c>
      <c r="J96" s="22" t="str">
        <f aca="false">IF(AND(ISNUMBER(J32),ISNUMBER(I32),I32&lt;&gt;0),J32/I32-1,"")</f>
        <v/>
      </c>
      <c r="K96" s="22" t="str">
        <f aca="false">IF(AND(ISNUMBER(K32),ISNUMBER(J32),J32&lt;&gt;0),K32/J32-1,"")</f>
        <v/>
      </c>
      <c r="L96" s="22" t="str">
        <f aca="false">IF(AND(ISNUMBER(L32),ISNUMBER(K32),K32&lt;&gt;0),L32/K32-1,"")</f>
        <v/>
      </c>
      <c r="M96" s="22" t="str">
        <f aca="false">IF(AND(ISNUMBER(M32),ISNUMBER(L32),L32&lt;&gt;0),M32/L32-1,"")</f>
        <v/>
      </c>
      <c r="N96" s="22" t="str">
        <f aca="false">IF(AND(ISNUMBER(N32),ISNUMBER(M32),M32&lt;&gt;0),N32/M32-1,"")</f>
        <v/>
      </c>
    </row>
    <row r="97" customFormat="false" ht="23.85" hidden="false" customHeight="false" outlineLevel="0" collapsed="false">
      <c r="A97" s="43" t="s">
        <v>526</v>
      </c>
      <c r="C97" s="5" t="s">
        <v>527</v>
      </c>
      <c r="F97" s="22" t="str">
        <f aca="false">IF(AND(ISNUMBER(F33),ISNUMBER(E33),E33&lt;&gt;0),F33/E33-1,"")</f>
        <v/>
      </c>
      <c r="G97" s="22" t="str">
        <f aca="false">IF(AND(ISNUMBER(G33),ISNUMBER(F33),F33&lt;&gt;0),G33/F33-1,"")</f>
        <v/>
      </c>
      <c r="H97" s="22" t="str">
        <f aca="false">IF(AND(ISNUMBER(H33),ISNUMBER(G33),G33&lt;&gt;0),H33/G33-1,"")</f>
        <v/>
      </c>
      <c r="I97" s="22" t="str">
        <f aca="false">IF(AND(ISNUMBER(I33),ISNUMBER(H33),H33&lt;&gt;0),I33/H33-1,"")</f>
        <v/>
      </c>
      <c r="J97" s="22" t="str">
        <f aca="false">IF(AND(ISNUMBER(J33),ISNUMBER(I33),I33&lt;&gt;0),J33/I33-1,"")</f>
        <v/>
      </c>
      <c r="K97" s="22" t="str">
        <f aca="false">IF(AND(ISNUMBER(K33),ISNUMBER(J33),J33&lt;&gt;0),K33/J33-1,"")</f>
        <v/>
      </c>
      <c r="L97" s="22" t="str">
        <f aca="false">IF(AND(ISNUMBER(L33),ISNUMBER(K33),K33&lt;&gt;0),L33/K33-1,"")</f>
        <v/>
      </c>
      <c r="M97" s="22" t="str">
        <f aca="false">IF(AND(ISNUMBER(M33),ISNUMBER(L33),L33&lt;&gt;0),M33/L33-1,"")</f>
        <v/>
      </c>
      <c r="N97" s="22" t="str">
        <f aca="false">IF(AND(ISNUMBER(N33),ISNUMBER(M33),M33&lt;&gt;0),N33/M33-1,"")</f>
        <v/>
      </c>
    </row>
    <row r="98" customFormat="false" ht="23.85" hidden="false" customHeight="false" outlineLevel="0" collapsed="false">
      <c r="A98" s="43" t="s">
        <v>528</v>
      </c>
      <c r="C98" s="5" t="s">
        <v>529</v>
      </c>
      <c r="F98" s="22" t="str">
        <f aca="false">IF(AND(ISNUMBER(F34),ISNUMBER(E34),E34&lt;&gt;0),F34/E34-1,"")</f>
        <v/>
      </c>
      <c r="G98" s="22" t="str">
        <f aca="false">IF(AND(ISNUMBER(G34),ISNUMBER(F34),F34&lt;&gt;0),G34/F34-1,"")</f>
        <v/>
      </c>
      <c r="H98" s="22" t="str">
        <f aca="false">IF(AND(ISNUMBER(H34),ISNUMBER(G34),G34&lt;&gt;0),H34/G34-1,"")</f>
        <v/>
      </c>
      <c r="I98" s="22" t="str">
        <f aca="false">IF(AND(ISNUMBER(I34),ISNUMBER(H34),H34&lt;&gt;0),I34/H34-1,"")</f>
        <v/>
      </c>
      <c r="J98" s="22" t="str">
        <f aca="false">IF(AND(ISNUMBER(J34),ISNUMBER(I34),I34&lt;&gt;0),J34/I34-1,"")</f>
        <v/>
      </c>
      <c r="K98" s="22" t="str">
        <f aca="false">IF(AND(ISNUMBER(K34),ISNUMBER(J34),J34&lt;&gt;0),K34/J34-1,"")</f>
        <v/>
      </c>
      <c r="L98" s="22" t="str">
        <f aca="false">IF(AND(ISNUMBER(L34),ISNUMBER(K34),K34&lt;&gt;0),L34/K34-1,"")</f>
        <v/>
      </c>
      <c r="M98" s="22" t="str">
        <f aca="false">IF(AND(ISNUMBER(M34),ISNUMBER(L34),L34&lt;&gt;0),M34/L34-1,"")</f>
        <v/>
      </c>
      <c r="N98" s="22" t="str">
        <f aca="false">IF(AND(ISNUMBER(N34),ISNUMBER(M34),M34&lt;&gt;0),N34/M34-1,"")</f>
        <v/>
      </c>
    </row>
    <row r="99" customFormat="false" ht="23.85" hidden="false" customHeight="false" outlineLevel="0" collapsed="false">
      <c r="A99" s="43" t="s">
        <v>530</v>
      </c>
      <c r="C99" s="5" t="s">
        <v>531</v>
      </c>
      <c r="F99" s="22" t="str">
        <f aca="false">IF(AND(ISNUMBER(F35),ISNUMBER(E35),E35&lt;&gt;0),F35/E35-1,"")</f>
        <v/>
      </c>
      <c r="G99" s="22" t="str">
        <f aca="false">IF(AND(ISNUMBER(G35),ISNUMBER(F35),F35&lt;&gt;0),G35/F35-1,"")</f>
        <v/>
      </c>
      <c r="H99" s="22" t="str">
        <f aca="false">IF(AND(ISNUMBER(H35),ISNUMBER(G35),G35&lt;&gt;0),H35/G35-1,"")</f>
        <v/>
      </c>
      <c r="I99" s="22" t="str">
        <f aca="false">IF(AND(ISNUMBER(I35),ISNUMBER(H35),H35&lt;&gt;0),I35/H35-1,"")</f>
        <v/>
      </c>
      <c r="J99" s="22" t="str">
        <f aca="false">IF(AND(ISNUMBER(J35),ISNUMBER(I35),I35&lt;&gt;0),J35/I35-1,"")</f>
        <v/>
      </c>
      <c r="K99" s="22" t="str">
        <f aca="false">IF(AND(ISNUMBER(K35),ISNUMBER(J35),J35&lt;&gt;0),K35/J35-1,"")</f>
        <v/>
      </c>
      <c r="L99" s="22" t="str">
        <f aca="false">IF(AND(ISNUMBER(L35),ISNUMBER(K35),K35&lt;&gt;0),L35/K35-1,"")</f>
        <v/>
      </c>
      <c r="M99" s="22" t="str">
        <f aca="false">IF(AND(ISNUMBER(M35),ISNUMBER(L35),L35&lt;&gt;0),M35/L35-1,"")</f>
        <v/>
      </c>
      <c r="N99" s="22" t="str">
        <f aca="false">IF(AND(ISNUMBER(N35),ISNUMBER(M35),M35&lt;&gt;0),N35/M35-1,"")</f>
        <v/>
      </c>
    </row>
    <row r="100" customFormat="false" ht="23.85" hidden="false" customHeight="false" outlineLevel="0" collapsed="false">
      <c r="A100" s="43" t="s">
        <v>532</v>
      </c>
      <c r="C100" s="5" t="s">
        <v>533</v>
      </c>
      <c r="F100" s="22" t="str">
        <f aca="false">IF(AND(ISNUMBER(F36),ISNUMBER(E36),E36&lt;&gt;0),F36/E36-1,"")</f>
        <v/>
      </c>
      <c r="G100" s="22" t="str">
        <f aca="false">IF(AND(ISNUMBER(G36),ISNUMBER(F36),F36&lt;&gt;0),G36/F36-1,"")</f>
        <v/>
      </c>
      <c r="H100" s="22" t="str">
        <f aca="false">IF(AND(ISNUMBER(H36),ISNUMBER(G36),G36&lt;&gt;0),H36/G36-1,"")</f>
        <v/>
      </c>
      <c r="I100" s="22" t="str">
        <f aca="false">IF(AND(ISNUMBER(I36),ISNUMBER(H36),H36&lt;&gt;0),I36/H36-1,"")</f>
        <v/>
      </c>
      <c r="J100" s="22" t="str">
        <f aca="false">IF(AND(ISNUMBER(J36),ISNUMBER(I36),I36&lt;&gt;0),J36/I36-1,"")</f>
        <v/>
      </c>
      <c r="K100" s="22" t="str">
        <f aca="false">IF(AND(ISNUMBER(K36),ISNUMBER(J36),J36&lt;&gt;0),K36/J36-1,"")</f>
        <v/>
      </c>
      <c r="L100" s="22" t="str">
        <f aca="false">IF(AND(ISNUMBER(L36),ISNUMBER(K36),K36&lt;&gt;0),L36/K36-1,"")</f>
        <v/>
      </c>
      <c r="M100" s="22" t="str">
        <f aca="false">IF(AND(ISNUMBER(M36),ISNUMBER(L36),L36&lt;&gt;0),M36/L36-1,"")</f>
        <v/>
      </c>
      <c r="N100" s="22" t="str">
        <f aca="false">IF(AND(ISNUMBER(N36),ISNUMBER(M36),M36&lt;&gt;0),N36/M36-1,"")</f>
        <v/>
      </c>
    </row>
    <row r="101" customFormat="false" ht="23.85" hidden="false" customHeight="false" outlineLevel="0" collapsed="false">
      <c r="A101" s="43" t="s">
        <v>534</v>
      </c>
      <c r="C101" s="5" t="s">
        <v>535</v>
      </c>
      <c r="F101" s="22" t="str">
        <f aca="false">IF(AND(ISNUMBER(F37),ISNUMBER(E37),E37&lt;&gt;0),F37/E37-1,"")</f>
        <v/>
      </c>
      <c r="G101" s="22" t="str">
        <f aca="false">IF(AND(ISNUMBER(G37),ISNUMBER(F37),F37&lt;&gt;0),G37/F37-1,"")</f>
        <v/>
      </c>
      <c r="H101" s="22" t="str">
        <f aca="false">IF(AND(ISNUMBER(H37),ISNUMBER(G37),G37&lt;&gt;0),H37/G37-1,"")</f>
        <v/>
      </c>
      <c r="I101" s="22" t="str">
        <f aca="false">IF(AND(ISNUMBER(I37),ISNUMBER(H37),H37&lt;&gt;0),I37/H37-1,"")</f>
        <v/>
      </c>
      <c r="J101" s="22" t="str">
        <f aca="false">IF(AND(ISNUMBER(J37),ISNUMBER(I37),I37&lt;&gt;0),J37/I37-1,"")</f>
        <v/>
      </c>
      <c r="K101" s="22" t="str">
        <f aca="false">IF(AND(ISNUMBER(K37),ISNUMBER(J37),J37&lt;&gt;0),K37/J37-1,"")</f>
        <v/>
      </c>
      <c r="L101" s="22" t="str">
        <f aca="false">IF(AND(ISNUMBER(L37),ISNUMBER(K37),K37&lt;&gt;0),L37/K37-1,"")</f>
        <v/>
      </c>
      <c r="M101" s="22" t="str">
        <f aca="false">IF(AND(ISNUMBER(M37),ISNUMBER(L37),L37&lt;&gt;0),M37/L37-1,"")</f>
        <v/>
      </c>
      <c r="N101" s="22" t="str">
        <f aca="false">IF(AND(ISNUMBER(N37),ISNUMBER(M37),M37&lt;&gt;0),N37/M37-1,"")</f>
        <v/>
      </c>
    </row>
    <row r="102" customFormat="false" ht="15" hidden="false" customHeight="false" outlineLevel="0" collapsed="false">
      <c r="A102" s="43" t="s">
        <v>536</v>
      </c>
      <c r="C102" s="5" t="s">
        <v>537</v>
      </c>
      <c r="F102" s="22" t="str">
        <f aca="false">IF(AND(ISNUMBER(F38),ISNUMBER(E38),E38&lt;&gt;0),F38/E38-1,"")</f>
        <v/>
      </c>
      <c r="G102" s="22" t="str">
        <f aca="false">IF(AND(ISNUMBER(G38),ISNUMBER(F38),F38&lt;&gt;0),G38/F38-1,"")</f>
        <v/>
      </c>
      <c r="H102" s="22" t="str">
        <f aca="false">IF(AND(ISNUMBER(H38),ISNUMBER(G38),G38&lt;&gt;0),H38/G38-1,"")</f>
        <v/>
      </c>
      <c r="I102" s="22" t="str">
        <f aca="false">IF(AND(ISNUMBER(I38),ISNUMBER(H38),H38&lt;&gt;0),I38/H38-1,"")</f>
        <v/>
      </c>
      <c r="J102" s="22" t="str">
        <f aca="false">IF(AND(ISNUMBER(J38),ISNUMBER(I38),I38&lt;&gt;0),J38/I38-1,"")</f>
        <v/>
      </c>
      <c r="K102" s="22" t="str">
        <f aca="false">IF(AND(ISNUMBER(K38),ISNUMBER(J38),J38&lt;&gt;0),K38/J38-1,"")</f>
        <v/>
      </c>
      <c r="L102" s="22" t="str">
        <f aca="false">IF(AND(ISNUMBER(L38),ISNUMBER(K38),K38&lt;&gt;0),L38/K38-1,"")</f>
        <v/>
      </c>
      <c r="M102" s="22" t="str">
        <f aca="false">IF(AND(ISNUMBER(M38),ISNUMBER(L38),L38&lt;&gt;0),M38/L38-1,"")</f>
        <v/>
      </c>
      <c r="N102" s="22" t="str">
        <f aca="false">IF(AND(ISNUMBER(N38),ISNUMBER(M38),M38&lt;&gt;0),N38/M38-1,"")</f>
        <v/>
      </c>
    </row>
    <row r="103" customFormat="false" ht="15" hidden="false" customHeight="false" outlineLevel="0" collapsed="false">
      <c r="A103" s="43" t="s">
        <v>539</v>
      </c>
      <c r="C103" s="5" t="s">
        <v>540</v>
      </c>
      <c r="F103" s="22" t="str">
        <f aca="false">IF(AND(ISNUMBER(F39),ISNUMBER(E39),E39&lt;&gt;0),F39/E39-1,"")</f>
        <v/>
      </c>
      <c r="G103" s="22" t="str">
        <f aca="false">IF(AND(ISNUMBER(G39),ISNUMBER(F39),F39&lt;&gt;0),G39/F39-1,"")</f>
        <v/>
      </c>
      <c r="H103" s="22" t="str">
        <f aca="false">IF(AND(ISNUMBER(H39),ISNUMBER(G39),G39&lt;&gt;0),H39/G39-1,"")</f>
        <v/>
      </c>
      <c r="I103" s="22" t="str">
        <f aca="false">IF(AND(ISNUMBER(I39),ISNUMBER(H39),H39&lt;&gt;0),I39/H39-1,"")</f>
        <v/>
      </c>
      <c r="J103" s="22" t="str">
        <f aca="false">IF(AND(ISNUMBER(J39),ISNUMBER(I39),I39&lt;&gt;0),J39/I39-1,"")</f>
        <v/>
      </c>
      <c r="K103" s="22" t="str">
        <f aca="false">IF(AND(ISNUMBER(K39),ISNUMBER(J39),J39&lt;&gt;0),K39/J39-1,"")</f>
        <v/>
      </c>
      <c r="L103" s="22" t="str">
        <f aca="false">IF(AND(ISNUMBER(L39),ISNUMBER(K39),K39&lt;&gt;0),L39/K39-1,"")</f>
        <v/>
      </c>
      <c r="M103" s="22" t="str">
        <f aca="false">IF(AND(ISNUMBER(M39),ISNUMBER(L39),L39&lt;&gt;0),M39/L39-1,"")</f>
        <v/>
      </c>
      <c r="N103" s="22" t="str">
        <f aca="false">IF(AND(ISNUMBER(N39),ISNUMBER(M39),M39&lt;&gt;0),N39/M39-1,"")</f>
        <v/>
      </c>
    </row>
    <row r="104" customFormat="false" ht="15" hidden="false" customHeight="false" outlineLevel="0" collapsed="false">
      <c r="A104" s="43" t="s">
        <v>541</v>
      </c>
      <c r="C104" s="5" t="s">
        <v>542</v>
      </c>
      <c r="F104" s="22" t="str">
        <f aca="false">IF(AND(ISNUMBER(F40),ISNUMBER(E40),E40&lt;&gt;0),F40/E40-1,"")</f>
        <v/>
      </c>
      <c r="G104" s="22" t="str">
        <f aca="false">IF(AND(ISNUMBER(G40),ISNUMBER(F40),F40&lt;&gt;0),G40/F40-1,"")</f>
        <v/>
      </c>
      <c r="H104" s="22" t="str">
        <f aca="false">IF(AND(ISNUMBER(H40),ISNUMBER(G40),G40&lt;&gt;0),H40/G40-1,"")</f>
        <v/>
      </c>
      <c r="I104" s="22" t="str">
        <f aca="false">IF(AND(ISNUMBER(I40),ISNUMBER(H40),H40&lt;&gt;0),I40/H40-1,"")</f>
        <v/>
      </c>
      <c r="J104" s="22" t="str">
        <f aca="false">IF(AND(ISNUMBER(J40),ISNUMBER(I40),I40&lt;&gt;0),J40/I40-1,"")</f>
        <v/>
      </c>
      <c r="K104" s="22" t="str">
        <f aca="false">IF(AND(ISNUMBER(K40),ISNUMBER(J40),J40&lt;&gt;0),K40/J40-1,"")</f>
        <v/>
      </c>
      <c r="L104" s="22" t="str">
        <f aca="false">IF(AND(ISNUMBER(L40),ISNUMBER(K40),K40&lt;&gt;0),L40/K40-1,"")</f>
        <v/>
      </c>
      <c r="M104" s="22" t="str">
        <f aca="false">IF(AND(ISNUMBER(M40),ISNUMBER(L40),L40&lt;&gt;0),M40/L40-1,"")</f>
        <v/>
      </c>
      <c r="N104" s="22" t="str">
        <f aca="false">IF(AND(ISNUMBER(N40),ISNUMBER(M40),M40&lt;&gt;0),N40/M40-1,"")</f>
        <v/>
      </c>
    </row>
    <row r="105" customFormat="false" ht="15" hidden="false" customHeight="false" outlineLevel="0" collapsed="false">
      <c r="A105" s="43" t="s">
        <v>543</v>
      </c>
      <c r="C105" s="5" t="s">
        <v>544</v>
      </c>
      <c r="F105" s="22" t="str">
        <f aca="false">IF(AND(ISNUMBER(F41),ISNUMBER(E41),E41&lt;&gt;0),F41/E41-1,"")</f>
        <v/>
      </c>
      <c r="G105" s="22" t="str">
        <f aca="false">IF(AND(ISNUMBER(G41),ISNUMBER(F41),F41&lt;&gt;0),G41/F41-1,"")</f>
        <v/>
      </c>
      <c r="H105" s="22" t="str">
        <f aca="false">IF(AND(ISNUMBER(H41),ISNUMBER(G41),G41&lt;&gt;0),H41/G41-1,"")</f>
        <v/>
      </c>
      <c r="I105" s="22" t="str">
        <f aca="false">IF(AND(ISNUMBER(I41),ISNUMBER(H41),H41&lt;&gt;0),I41/H41-1,"")</f>
        <v/>
      </c>
      <c r="J105" s="22" t="str">
        <f aca="false">IF(AND(ISNUMBER(J41),ISNUMBER(I41),I41&lt;&gt;0),J41/I41-1,"")</f>
        <v/>
      </c>
      <c r="K105" s="22" t="str">
        <f aca="false">IF(AND(ISNUMBER(K41),ISNUMBER(J41),J41&lt;&gt;0),K41/J41-1,"")</f>
        <v/>
      </c>
      <c r="L105" s="22" t="str">
        <f aca="false">IF(AND(ISNUMBER(L41),ISNUMBER(K41),K41&lt;&gt;0),L41/K41-1,"")</f>
        <v/>
      </c>
      <c r="M105" s="22" t="str">
        <f aca="false">IF(AND(ISNUMBER(M41),ISNUMBER(L41),L41&lt;&gt;0),M41/L41-1,"")</f>
        <v/>
      </c>
      <c r="N105" s="22" t="str">
        <f aca="false">IF(AND(ISNUMBER(N41),ISNUMBER(M41),M41&lt;&gt;0),N41/M41-1,"")</f>
        <v/>
      </c>
    </row>
    <row r="106" customFormat="false" ht="15" hidden="false" customHeight="false" outlineLevel="0" collapsed="false">
      <c r="A106" s="43" t="s">
        <v>545</v>
      </c>
      <c r="C106" s="5" t="s">
        <v>546</v>
      </c>
      <c r="F106" s="22" t="str">
        <f aca="false">IF(AND(ISNUMBER(F42),ISNUMBER(E42),E42&lt;&gt;0),F42/E42-1,"")</f>
        <v/>
      </c>
      <c r="G106" s="22" t="str">
        <f aca="false">IF(AND(ISNUMBER(G42),ISNUMBER(F42),F42&lt;&gt;0),G42/F42-1,"")</f>
        <v/>
      </c>
      <c r="H106" s="22" t="str">
        <f aca="false">IF(AND(ISNUMBER(H42),ISNUMBER(G42),G42&lt;&gt;0),H42/G42-1,"")</f>
        <v/>
      </c>
      <c r="I106" s="22" t="str">
        <f aca="false">IF(AND(ISNUMBER(I42),ISNUMBER(H42),H42&lt;&gt;0),I42/H42-1,"")</f>
        <v/>
      </c>
      <c r="J106" s="22" t="str">
        <f aca="false">IF(AND(ISNUMBER(J42),ISNUMBER(I42),I42&lt;&gt;0),J42/I42-1,"")</f>
        <v/>
      </c>
      <c r="K106" s="22" t="str">
        <f aca="false">IF(AND(ISNUMBER(K42),ISNUMBER(J42),J42&lt;&gt;0),K42/J42-1,"")</f>
        <v/>
      </c>
      <c r="L106" s="22" t="str">
        <f aca="false">IF(AND(ISNUMBER(L42),ISNUMBER(K42),K42&lt;&gt;0),L42/K42-1,"")</f>
        <v/>
      </c>
      <c r="M106" s="22" t="str">
        <f aca="false">IF(AND(ISNUMBER(M42),ISNUMBER(L42),L42&lt;&gt;0),M42/L42-1,"")</f>
        <v/>
      </c>
      <c r="N106" s="22" t="str">
        <f aca="false">IF(AND(ISNUMBER(N42),ISNUMBER(M42),M42&lt;&gt;0),N42/M42-1,"")</f>
        <v/>
      </c>
    </row>
    <row r="107" customFormat="false" ht="15" hidden="false" customHeight="false" outlineLevel="0" collapsed="false">
      <c r="A107" s="43" t="s">
        <v>547</v>
      </c>
      <c r="C107" s="5" t="s">
        <v>548</v>
      </c>
      <c r="F107" s="22" t="str">
        <f aca="false">IF(AND(ISNUMBER(F43),ISNUMBER(E43),E43&lt;&gt;0),F43/E43-1,"")</f>
        <v/>
      </c>
      <c r="G107" s="22" t="str">
        <f aca="false">IF(AND(ISNUMBER(G43),ISNUMBER(F43),F43&lt;&gt;0),G43/F43-1,"")</f>
        <v/>
      </c>
      <c r="H107" s="22" t="str">
        <f aca="false">IF(AND(ISNUMBER(H43),ISNUMBER(G43),G43&lt;&gt;0),H43/G43-1,"")</f>
        <v/>
      </c>
      <c r="I107" s="22" t="str">
        <f aca="false">IF(AND(ISNUMBER(I43),ISNUMBER(H43),H43&lt;&gt;0),I43/H43-1,"")</f>
        <v/>
      </c>
      <c r="J107" s="22" t="str">
        <f aca="false">IF(AND(ISNUMBER(J43),ISNUMBER(I43),I43&lt;&gt;0),J43/I43-1,"")</f>
        <v/>
      </c>
      <c r="K107" s="22" t="str">
        <f aca="false">IF(AND(ISNUMBER(K43),ISNUMBER(J43),J43&lt;&gt;0),K43/J43-1,"")</f>
        <v/>
      </c>
      <c r="L107" s="22" t="str">
        <f aca="false">IF(AND(ISNUMBER(L43),ISNUMBER(K43),K43&lt;&gt;0),L43/K43-1,"")</f>
        <v/>
      </c>
      <c r="M107" s="22" t="str">
        <f aca="false">IF(AND(ISNUMBER(M43),ISNUMBER(L43),L43&lt;&gt;0),M43/L43-1,"")</f>
        <v/>
      </c>
      <c r="N107" s="22" t="str">
        <f aca="false">IF(AND(ISNUMBER(N43),ISNUMBER(M43),M43&lt;&gt;0),N43/M43-1,"")</f>
        <v/>
      </c>
    </row>
    <row r="108" customFormat="false" ht="15" hidden="false" customHeight="false" outlineLevel="0" collapsed="false">
      <c r="A108" s="43" t="s">
        <v>549</v>
      </c>
      <c r="C108" s="5" t="s">
        <v>550</v>
      </c>
      <c r="F108" s="22" t="str">
        <f aca="false">IF(AND(ISNUMBER(F44),ISNUMBER(E44),E44&lt;&gt;0),F44/E44-1,"")</f>
        <v/>
      </c>
      <c r="G108" s="22" t="str">
        <f aca="false">IF(AND(ISNUMBER(G44),ISNUMBER(F44),F44&lt;&gt;0),G44/F44-1,"")</f>
        <v/>
      </c>
      <c r="H108" s="22" t="str">
        <f aca="false">IF(AND(ISNUMBER(H44),ISNUMBER(G44),G44&lt;&gt;0),H44/G44-1,"")</f>
        <v/>
      </c>
      <c r="I108" s="22" t="str">
        <f aca="false">IF(AND(ISNUMBER(I44),ISNUMBER(H44),H44&lt;&gt;0),I44/H44-1,"")</f>
        <v/>
      </c>
      <c r="J108" s="22" t="str">
        <f aca="false">IF(AND(ISNUMBER(J44),ISNUMBER(I44),I44&lt;&gt;0),J44/I44-1,"")</f>
        <v/>
      </c>
      <c r="K108" s="22" t="str">
        <f aca="false">IF(AND(ISNUMBER(K44),ISNUMBER(J44),J44&lt;&gt;0),K44/J44-1,"")</f>
        <v/>
      </c>
      <c r="L108" s="22" t="str">
        <f aca="false">IF(AND(ISNUMBER(L44),ISNUMBER(K44),K44&lt;&gt;0),L44/K44-1,"")</f>
        <v/>
      </c>
      <c r="M108" s="22" t="str">
        <f aca="false">IF(AND(ISNUMBER(M44),ISNUMBER(L44),L44&lt;&gt;0),M44/L44-1,"")</f>
        <v/>
      </c>
      <c r="N108" s="22" t="str">
        <f aca="false">IF(AND(ISNUMBER(N44),ISNUMBER(M44),M44&lt;&gt;0),N44/M44-1,"")</f>
        <v/>
      </c>
    </row>
    <row r="109" customFormat="false" ht="15" hidden="false" customHeight="false" outlineLevel="0" collapsed="false">
      <c r="A109" s="43" t="s">
        <v>551</v>
      </c>
      <c r="C109" s="5" t="s">
        <v>552</v>
      </c>
      <c r="F109" s="22" t="str">
        <f aca="false">IF(AND(ISNUMBER(F45),ISNUMBER(E45),E45&lt;&gt;0),F45/E45-1,"")</f>
        <v/>
      </c>
      <c r="G109" s="22" t="str">
        <f aca="false">IF(AND(ISNUMBER(G45),ISNUMBER(F45),F45&lt;&gt;0),G45/F45-1,"")</f>
        <v/>
      </c>
      <c r="H109" s="22" t="str">
        <f aca="false">IF(AND(ISNUMBER(H45),ISNUMBER(G45),G45&lt;&gt;0),H45/G45-1,"")</f>
        <v/>
      </c>
      <c r="I109" s="22" t="str">
        <f aca="false">IF(AND(ISNUMBER(I45),ISNUMBER(H45),H45&lt;&gt;0),I45/H45-1,"")</f>
        <v/>
      </c>
      <c r="J109" s="22" t="str">
        <f aca="false">IF(AND(ISNUMBER(J45),ISNUMBER(I45),I45&lt;&gt;0),J45/I45-1,"")</f>
        <v/>
      </c>
      <c r="K109" s="22" t="str">
        <f aca="false">IF(AND(ISNUMBER(K45),ISNUMBER(J45),J45&lt;&gt;0),K45/J45-1,"")</f>
        <v/>
      </c>
      <c r="L109" s="22" t="str">
        <f aca="false">IF(AND(ISNUMBER(L45),ISNUMBER(K45),K45&lt;&gt;0),L45/K45-1,"")</f>
        <v/>
      </c>
      <c r="M109" s="22" t="str">
        <f aca="false">IF(AND(ISNUMBER(M45),ISNUMBER(L45),L45&lt;&gt;0),M45/L45-1,"")</f>
        <v/>
      </c>
      <c r="N109" s="22" t="str">
        <f aca="false">IF(AND(ISNUMBER(N45),ISNUMBER(M45),M45&lt;&gt;0),N45/M45-1,"")</f>
        <v/>
      </c>
    </row>
    <row r="110" customFormat="false" ht="15" hidden="false" customHeight="false" outlineLevel="0" collapsed="false">
      <c r="A110" s="43" t="s">
        <v>553</v>
      </c>
      <c r="C110" s="5" t="s">
        <v>555</v>
      </c>
      <c r="F110" s="22" t="str">
        <f aca="false">IF(AND(ISNUMBER(F46),ISNUMBER(E46),E46&lt;&gt;0),F46/E46-1,"")</f>
        <v/>
      </c>
      <c r="G110" s="22" t="str">
        <f aca="false">IF(AND(ISNUMBER(G46),ISNUMBER(F46),F46&lt;&gt;0),G46/F46-1,"")</f>
        <v/>
      </c>
      <c r="H110" s="22" t="str">
        <f aca="false">IF(AND(ISNUMBER(H46),ISNUMBER(G46),G46&lt;&gt;0),H46/G46-1,"")</f>
        <v/>
      </c>
      <c r="I110" s="22" t="str">
        <f aca="false">IF(AND(ISNUMBER(I46),ISNUMBER(H46),H46&lt;&gt;0),I46/H46-1,"")</f>
        <v/>
      </c>
      <c r="J110" s="22" t="str">
        <f aca="false">IF(AND(ISNUMBER(J46),ISNUMBER(I46),I46&lt;&gt;0),J46/I46-1,"")</f>
        <v/>
      </c>
      <c r="K110" s="22" t="str">
        <f aca="false">IF(AND(ISNUMBER(K46),ISNUMBER(J46),J46&lt;&gt;0),K46/J46-1,"")</f>
        <v/>
      </c>
      <c r="L110" s="22" t="str">
        <f aca="false">IF(AND(ISNUMBER(L46),ISNUMBER(K46),K46&lt;&gt;0),L46/K46-1,"")</f>
        <v/>
      </c>
      <c r="M110" s="22" t="str">
        <f aca="false">IF(AND(ISNUMBER(M46),ISNUMBER(L46),L46&lt;&gt;0),M46/L46-1,"")</f>
        <v/>
      </c>
      <c r="N110" s="22" t="str">
        <f aca="false">IF(AND(ISNUMBER(N46),ISNUMBER(M46),M46&lt;&gt;0),N46/M46-1,"")</f>
        <v/>
      </c>
    </row>
    <row r="111" customFormat="false" ht="15" hidden="false" customHeight="false" outlineLevel="0" collapsed="false">
      <c r="A111" s="43" t="s">
        <v>556</v>
      </c>
      <c r="C111" s="5" t="s">
        <v>557</v>
      </c>
      <c r="F111" s="22" t="str">
        <f aca="false">IF(AND(ISNUMBER(F47),ISNUMBER(E47),E47&lt;&gt;0),F47/E47-1,"")</f>
        <v/>
      </c>
      <c r="G111" s="22" t="str">
        <f aca="false">IF(AND(ISNUMBER(G47),ISNUMBER(F47),F47&lt;&gt;0),G47/F47-1,"")</f>
        <v/>
      </c>
      <c r="H111" s="22" t="str">
        <f aca="false">IF(AND(ISNUMBER(H47),ISNUMBER(G47),G47&lt;&gt;0),H47/G47-1,"")</f>
        <v/>
      </c>
      <c r="I111" s="22" t="str">
        <f aca="false">IF(AND(ISNUMBER(I47),ISNUMBER(H47),H47&lt;&gt;0),I47/H47-1,"")</f>
        <v/>
      </c>
      <c r="J111" s="22" t="str">
        <f aca="false">IF(AND(ISNUMBER(J47),ISNUMBER(I47),I47&lt;&gt;0),J47/I47-1,"")</f>
        <v/>
      </c>
      <c r="K111" s="22" t="str">
        <f aca="false">IF(AND(ISNUMBER(K47),ISNUMBER(J47),J47&lt;&gt;0),K47/J47-1,"")</f>
        <v/>
      </c>
      <c r="L111" s="22" t="str">
        <f aca="false">IF(AND(ISNUMBER(L47),ISNUMBER(K47),K47&lt;&gt;0),L47/K47-1,"")</f>
        <v/>
      </c>
      <c r="M111" s="22" t="str">
        <f aca="false">IF(AND(ISNUMBER(M47),ISNUMBER(L47),L47&lt;&gt;0),M47/L47-1,"")</f>
        <v/>
      </c>
      <c r="N111" s="22" t="str">
        <f aca="false">IF(AND(ISNUMBER(N47),ISNUMBER(M47),M47&lt;&gt;0),N47/M47-1,"")</f>
        <v/>
      </c>
    </row>
    <row r="112" customFormat="false" ht="15" hidden="false" customHeight="false" outlineLevel="0" collapsed="false">
      <c r="A112" s="43" t="s">
        <v>558</v>
      </c>
      <c r="C112" s="5" t="s">
        <v>559</v>
      </c>
      <c r="F112" s="22" t="str">
        <f aca="false">IF(AND(ISNUMBER(F48),ISNUMBER(E48),E48&lt;&gt;0),F48/E48-1,"")</f>
        <v/>
      </c>
      <c r="G112" s="22" t="str">
        <f aca="false">IF(AND(ISNUMBER(G48),ISNUMBER(F48),F48&lt;&gt;0),G48/F48-1,"")</f>
        <v/>
      </c>
      <c r="H112" s="22" t="str">
        <f aca="false">IF(AND(ISNUMBER(H48),ISNUMBER(G48),G48&lt;&gt;0),H48/G48-1,"")</f>
        <v/>
      </c>
      <c r="I112" s="22" t="str">
        <f aca="false">IF(AND(ISNUMBER(I48),ISNUMBER(H48),H48&lt;&gt;0),I48/H48-1,"")</f>
        <v/>
      </c>
      <c r="J112" s="22" t="str">
        <f aca="false">IF(AND(ISNUMBER(J48),ISNUMBER(I48),I48&lt;&gt;0),J48/I48-1,"")</f>
        <v/>
      </c>
      <c r="K112" s="22" t="str">
        <f aca="false">IF(AND(ISNUMBER(K48),ISNUMBER(J48),J48&lt;&gt;0),K48/J48-1,"")</f>
        <v/>
      </c>
      <c r="L112" s="22" t="str">
        <f aca="false">IF(AND(ISNUMBER(L48),ISNUMBER(K48),K48&lt;&gt;0),L48/K48-1,"")</f>
        <v/>
      </c>
      <c r="M112" s="22" t="str">
        <f aca="false">IF(AND(ISNUMBER(M48),ISNUMBER(L48),L48&lt;&gt;0),M48/L48-1,"")</f>
        <v/>
      </c>
      <c r="N112" s="22" t="str">
        <f aca="false">IF(AND(ISNUMBER(N48),ISNUMBER(M48),M48&lt;&gt;0),N48/M48-1,"")</f>
        <v/>
      </c>
    </row>
    <row r="113" customFormat="false" ht="15" hidden="false" customHeight="false" outlineLevel="0" collapsed="false">
      <c r="A113" s="43" t="s">
        <v>561</v>
      </c>
      <c r="C113" s="5" t="s">
        <v>562</v>
      </c>
      <c r="F113" s="22" t="str">
        <f aca="false">IF(AND(ISNUMBER(F49),ISNUMBER(E49),E49&lt;&gt;0),F49/E49-1,"")</f>
        <v/>
      </c>
      <c r="G113" s="22" t="str">
        <f aca="false">IF(AND(ISNUMBER(G49),ISNUMBER(F49),F49&lt;&gt;0),G49/F49-1,"")</f>
        <v/>
      </c>
      <c r="H113" s="22" t="str">
        <f aca="false">IF(AND(ISNUMBER(H49),ISNUMBER(G49),G49&lt;&gt;0),H49/G49-1,"")</f>
        <v/>
      </c>
      <c r="I113" s="22" t="str">
        <f aca="false">IF(AND(ISNUMBER(I49),ISNUMBER(H49),H49&lt;&gt;0),I49/H49-1,"")</f>
        <v/>
      </c>
      <c r="J113" s="22" t="str">
        <f aca="false">IF(AND(ISNUMBER(J49),ISNUMBER(I49),I49&lt;&gt;0),J49/I49-1,"")</f>
        <v/>
      </c>
      <c r="K113" s="22" t="str">
        <f aca="false">IF(AND(ISNUMBER(K49),ISNUMBER(J49),J49&lt;&gt;0),K49/J49-1,"")</f>
        <v/>
      </c>
      <c r="L113" s="22" t="str">
        <f aca="false">IF(AND(ISNUMBER(L49),ISNUMBER(K49),K49&lt;&gt;0),L49/K49-1,"")</f>
        <v/>
      </c>
      <c r="M113" s="22" t="str">
        <f aca="false">IF(AND(ISNUMBER(M49),ISNUMBER(L49),L49&lt;&gt;0),M49/L49-1,"")</f>
        <v/>
      </c>
      <c r="N113" s="22" t="str">
        <f aca="false">IF(AND(ISNUMBER(N49),ISNUMBER(M49),M49&lt;&gt;0),N49/M49-1,"")</f>
        <v/>
      </c>
    </row>
    <row r="114" customFormat="false" ht="15" hidden="false" customHeight="false" outlineLevel="0" collapsed="false">
      <c r="A114" s="43" t="s">
        <v>563</v>
      </c>
      <c r="C114" s="5" t="s">
        <v>564</v>
      </c>
      <c r="F114" s="22" t="str">
        <f aca="false">IF(AND(ISNUMBER(F50),ISNUMBER(E50),E50&lt;&gt;0),F50/E50-1,"")</f>
        <v/>
      </c>
      <c r="G114" s="22" t="str">
        <f aca="false">IF(AND(ISNUMBER(G50),ISNUMBER(F50),F50&lt;&gt;0),G50/F50-1,"")</f>
        <v/>
      </c>
      <c r="H114" s="22" t="str">
        <f aca="false">IF(AND(ISNUMBER(H50),ISNUMBER(G50),G50&lt;&gt;0),H50/G50-1,"")</f>
        <v/>
      </c>
      <c r="I114" s="22" t="str">
        <f aca="false">IF(AND(ISNUMBER(I50),ISNUMBER(H50),H50&lt;&gt;0),I50/H50-1,"")</f>
        <v/>
      </c>
      <c r="J114" s="22" t="str">
        <f aca="false">IF(AND(ISNUMBER(J50),ISNUMBER(I50),I50&lt;&gt;0),J50/I50-1,"")</f>
        <v/>
      </c>
      <c r="K114" s="22" t="str">
        <f aca="false">IF(AND(ISNUMBER(K50),ISNUMBER(J50),J50&lt;&gt;0),K50/J50-1,"")</f>
        <v/>
      </c>
      <c r="L114" s="22" t="str">
        <f aca="false">IF(AND(ISNUMBER(L50),ISNUMBER(K50),K50&lt;&gt;0),L50/K50-1,"")</f>
        <v/>
      </c>
      <c r="M114" s="22" t="str">
        <f aca="false">IF(AND(ISNUMBER(M50),ISNUMBER(L50),L50&lt;&gt;0),M50/L50-1,"")</f>
        <v/>
      </c>
      <c r="N114" s="22" t="str">
        <f aca="false">IF(AND(ISNUMBER(N50),ISNUMBER(M50),M50&lt;&gt;0),N50/M50-1,"")</f>
        <v/>
      </c>
    </row>
    <row r="115" customFormat="false" ht="15" hidden="false" customHeight="false" outlineLevel="0" collapsed="false">
      <c r="A115" s="43" t="s">
        <v>566</v>
      </c>
      <c r="C115" s="5" t="s">
        <v>567</v>
      </c>
      <c r="F115" s="22" t="str">
        <f aca="false">IF(AND(ISNUMBER(F51),ISNUMBER(E51),E51&lt;&gt;0),F51/E51-1,"")</f>
        <v/>
      </c>
      <c r="G115" s="22" t="str">
        <f aca="false">IF(AND(ISNUMBER(G51),ISNUMBER(F51),F51&lt;&gt;0),G51/F51-1,"")</f>
        <v/>
      </c>
      <c r="H115" s="22" t="str">
        <f aca="false">IF(AND(ISNUMBER(H51),ISNUMBER(G51),G51&lt;&gt;0),H51/G51-1,"")</f>
        <v/>
      </c>
      <c r="I115" s="22" t="str">
        <f aca="false">IF(AND(ISNUMBER(I51),ISNUMBER(H51),H51&lt;&gt;0),I51/H51-1,"")</f>
        <v/>
      </c>
      <c r="J115" s="22" t="str">
        <f aca="false">IF(AND(ISNUMBER(J51),ISNUMBER(I51),I51&lt;&gt;0),J51/I51-1,"")</f>
        <v/>
      </c>
      <c r="K115" s="22" t="str">
        <f aca="false">IF(AND(ISNUMBER(K51),ISNUMBER(J51),J51&lt;&gt;0),K51/J51-1,"")</f>
        <v/>
      </c>
      <c r="L115" s="22" t="str">
        <f aca="false">IF(AND(ISNUMBER(L51),ISNUMBER(K51),K51&lt;&gt;0),L51/K51-1,"")</f>
        <v/>
      </c>
      <c r="M115" s="22" t="str">
        <f aca="false">IF(AND(ISNUMBER(M51),ISNUMBER(L51),L51&lt;&gt;0),M51/L51-1,"")</f>
        <v/>
      </c>
      <c r="N115" s="22" t="str">
        <f aca="false">IF(AND(ISNUMBER(N51),ISNUMBER(M51),M51&lt;&gt;0),N51/M51-1,"")</f>
        <v/>
      </c>
    </row>
    <row r="116" customFormat="false" ht="15" hidden="false" customHeight="false" outlineLevel="0" collapsed="false">
      <c r="A116" s="43" t="s">
        <v>568</v>
      </c>
      <c r="C116" s="5" t="s">
        <v>570</v>
      </c>
      <c r="F116" s="22" t="n">
        <f aca="false">IF(AND(ISNUMBER(F52),ISNUMBER(E52),E52&lt;&gt;0),F52/E52-1,"")</f>
        <v>0.0238095238095237</v>
      </c>
      <c r="G116" s="22" t="n">
        <f aca="false">IF(AND(ISNUMBER(G52),ISNUMBER(F52),F52&lt;&gt;0),G52/F52-1,"")</f>
        <v>0.0232558139534884</v>
      </c>
      <c r="H116" s="22" t="str">
        <f aca="false">IF(AND(ISNUMBER(H52),ISNUMBER(G52),G52&lt;&gt;0),H52/G52-1,"")</f>
        <v/>
      </c>
      <c r="I116" s="22" t="str">
        <f aca="false">IF(AND(ISNUMBER(I52),ISNUMBER(H52),H52&lt;&gt;0),I52/H52-1,"")</f>
        <v/>
      </c>
      <c r="J116" s="22" t="str">
        <f aca="false">IF(AND(ISNUMBER(J52),ISNUMBER(I52),I52&lt;&gt;0),J52/I52-1,"")</f>
        <v/>
      </c>
      <c r="K116" s="22" t="str">
        <f aca="false">IF(AND(ISNUMBER(K52),ISNUMBER(J52),J52&lt;&gt;0),K52/J52-1,"")</f>
        <v/>
      </c>
      <c r="L116" s="22" t="str">
        <f aca="false">IF(AND(ISNUMBER(L52),ISNUMBER(K52),K52&lt;&gt;0),L52/K52-1,"")</f>
        <v/>
      </c>
      <c r="M116" s="22" t="str">
        <f aca="false">IF(AND(ISNUMBER(M52),ISNUMBER(L52),L52&lt;&gt;0),M52/L52-1,"")</f>
        <v/>
      </c>
      <c r="N116" s="22" t="str">
        <f aca="false">IF(AND(ISNUMBER(N52),ISNUMBER(M52),M52&lt;&gt;0),N52/M52-1,"")</f>
        <v/>
      </c>
    </row>
    <row r="117" customFormat="false" ht="15" hidden="false" customHeight="false" outlineLevel="0" collapsed="false">
      <c r="A117" s="43" t="s">
        <v>571</v>
      </c>
      <c r="C117" s="5" t="s">
        <v>572</v>
      </c>
      <c r="F117" s="22" t="str">
        <f aca="false">IF(AND(ISNUMBER(F53),ISNUMBER(E53),E53&lt;&gt;0),F53/E53-1,"")</f>
        <v/>
      </c>
      <c r="G117" s="22" t="str">
        <f aca="false">IF(AND(ISNUMBER(G53),ISNUMBER(F53),F53&lt;&gt;0),G53/F53-1,"")</f>
        <v/>
      </c>
      <c r="H117" s="22" t="str">
        <f aca="false">IF(AND(ISNUMBER(H53),ISNUMBER(G53),G53&lt;&gt;0),H53/G53-1,"")</f>
        <v/>
      </c>
      <c r="I117" s="22" t="str">
        <f aca="false">IF(AND(ISNUMBER(I53),ISNUMBER(H53),H53&lt;&gt;0),I53/H53-1,"")</f>
        <v/>
      </c>
      <c r="J117" s="22" t="str">
        <f aca="false">IF(AND(ISNUMBER(J53),ISNUMBER(I53),I53&lt;&gt;0),J53/I53-1,"")</f>
        <v/>
      </c>
      <c r="K117" s="22" t="str">
        <f aca="false">IF(AND(ISNUMBER(K53),ISNUMBER(J53),J53&lt;&gt;0),K53/J53-1,"")</f>
        <v/>
      </c>
      <c r="L117" s="22" t="str">
        <f aca="false">IF(AND(ISNUMBER(L53),ISNUMBER(K53),K53&lt;&gt;0),L53/K53-1,"")</f>
        <v/>
      </c>
      <c r="M117" s="22" t="str">
        <f aca="false">IF(AND(ISNUMBER(M53),ISNUMBER(L53),L53&lt;&gt;0),M53/L53-1,"")</f>
        <v/>
      </c>
      <c r="N117" s="22" t="str">
        <f aca="false">IF(AND(ISNUMBER(N53),ISNUMBER(M53),M53&lt;&gt;0),N53/M53-1,"")</f>
        <v/>
      </c>
    </row>
    <row r="118" customFormat="false" ht="15" hidden="false" customHeight="false" outlineLevel="0" collapsed="false">
      <c r="A118" s="43" t="s">
        <v>574</v>
      </c>
      <c r="C118" s="5" t="s">
        <v>575</v>
      </c>
      <c r="F118" s="22" t="str">
        <f aca="false">IF(AND(ISNUMBER(F54),ISNUMBER(E54),E54&lt;&gt;0),F54/E54-1,"")</f>
        <v/>
      </c>
      <c r="G118" s="22" t="str">
        <f aca="false">IF(AND(ISNUMBER(G54),ISNUMBER(F54),F54&lt;&gt;0),G54/F54-1,"")</f>
        <v/>
      </c>
      <c r="H118" s="22" t="str">
        <f aca="false">IF(AND(ISNUMBER(H54),ISNUMBER(G54),G54&lt;&gt;0),H54/G54-1,"")</f>
        <v/>
      </c>
      <c r="I118" s="22" t="str">
        <f aca="false">IF(AND(ISNUMBER(I54),ISNUMBER(H54),H54&lt;&gt;0),I54/H54-1,"")</f>
        <v/>
      </c>
      <c r="J118" s="22" t="str">
        <f aca="false">IF(AND(ISNUMBER(J54),ISNUMBER(I54),I54&lt;&gt;0),J54/I54-1,"")</f>
        <v/>
      </c>
      <c r="K118" s="22" t="str">
        <f aca="false">IF(AND(ISNUMBER(K54),ISNUMBER(J54),J54&lt;&gt;0),K54/J54-1,"")</f>
        <v/>
      </c>
      <c r="L118" s="22" t="str">
        <f aca="false">IF(AND(ISNUMBER(L54),ISNUMBER(K54),K54&lt;&gt;0),L54/K54-1,"")</f>
        <v/>
      </c>
      <c r="M118" s="22" t="str">
        <f aca="false">IF(AND(ISNUMBER(M54),ISNUMBER(L54),L54&lt;&gt;0),M54/L54-1,"")</f>
        <v/>
      </c>
      <c r="N118" s="22" t="str">
        <f aca="false">IF(AND(ISNUMBER(N54),ISNUMBER(M54),M54&lt;&gt;0),N54/M54-1,"")</f>
        <v/>
      </c>
    </row>
    <row r="119" customFormat="false" ht="15" hidden="false" customHeight="false" outlineLevel="0" collapsed="false">
      <c r="A119" s="43" t="s">
        <v>576</v>
      </c>
      <c r="C119" s="5" t="s">
        <v>578</v>
      </c>
      <c r="F119" s="22" t="str">
        <f aca="false">IF(AND(ISNUMBER(F55),ISNUMBER(E55),E55&lt;&gt;0),F55/E55-1,"")</f>
        <v/>
      </c>
      <c r="G119" s="22" t="str">
        <f aca="false">IF(AND(ISNUMBER(G55),ISNUMBER(F55),F55&lt;&gt;0),G55/F55-1,"")</f>
        <v/>
      </c>
      <c r="H119" s="22" t="str">
        <f aca="false">IF(AND(ISNUMBER(H55),ISNUMBER(G55),G55&lt;&gt;0),H55/G55-1,"")</f>
        <v/>
      </c>
      <c r="I119" s="22" t="str">
        <f aca="false">IF(AND(ISNUMBER(I55),ISNUMBER(H55),H55&lt;&gt;0),I55/H55-1,"")</f>
        <v/>
      </c>
      <c r="J119" s="22" t="str">
        <f aca="false">IF(AND(ISNUMBER(J55),ISNUMBER(I55),I55&lt;&gt;0),J55/I55-1,"")</f>
        <v/>
      </c>
      <c r="K119" s="22" t="str">
        <f aca="false">IF(AND(ISNUMBER(K55),ISNUMBER(J55),J55&lt;&gt;0),K55/J55-1,"")</f>
        <v/>
      </c>
      <c r="L119" s="22" t="str">
        <f aca="false">IF(AND(ISNUMBER(L55),ISNUMBER(K55),K55&lt;&gt;0),L55/K55-1,"")</f>
        <v/>
      </c>
      <c r="M119" s="22" t="str">
        <f aca="false">IF(AND(ISNUMBER(M55),ISNUMBER(L55),L55&lt;&gt;0),M55/L55-1,"")</f>
        <v/>
      </c>
      <c r="N119" s="22" t="str">
        <f aca="false">IF(AND(ISNUMBER(N55),ISNUMBER(M55),M55&lt;&gt;0),N55/M55-1,"")</f>
        <v/>
      </c>
    </row>
    <row r="120" customFormat="false" ht="15" hidden="false" customHeight="false" outlineLevel="0" collapsed="false">
      <c r="A120" s="43" t="s">
        <v>579</v>
      </c>
      <c r="C120" s="5" t="s">
        <v>580</v>
      </c>
      <c r="F120" s="22" t="str">
        <f aca="false">IF(AND(ISNUMBER(F56),ISNUMBER(E56),E56&lt;&gt;0),F56/E56-1,"")</f>
        <v/>
      </c>
      <c r="G120" s="22" t="str">
        <f aca="false">IF(AND(ISNUMBER(G56),ISNUMBER(F56),F56&lt;&gt;0),G56/F56-1,"")</f>
        <v/>
      </c>
      <c r="H120" s="22" t="str">
        <f aca="false">IF(AND(ISNUMBER(H56),ISNUMBER(G56),G56&lt;&gt;0),H56/G56-1,"")</f>
        <v/>
      </c>
      <c r="I120" s="22" t="str">
        <f aca="false">IF(AND(ISNUMBER(I56),ISNUMBER(H56),H56&lt;&gt;0),I56/H56-1,"")</f>
        <v/>
      </c>
      <c r="J120" s="22" t="str">
        <f aca="false">IF(AND(ISNUMBER(J56),ISNUMBER(I56),I56&lt;&gt;0),J56/I56-1,"")</f>
        <v/>
      </c>
      <c r="K120" s="22" t="str">
        <f aca="false">IF(AND(ISNUMBER(K56),ISNUMBER(J56),J56&lt;&gt;0),K56/J56-1,"")</f>
        <v/>
      </c>
      <c r="L120" s="22" t="str">
        <f aca="false">IF(AND(ISNUMBER(L56),ISNUMBER(K56),K56&lt;&gt;0),L56/K56-1,"")</f>
        <v/>
      </c>
      <c r="M120" s="22" t="str">
        <f aca="false">IF(AND(ISNUMBER(M56),ISNUMBER(L56),L56&lt;&gt;0),M56/L56-1,"")</f>
        <v/>
      </c>
      <c r="N120" s="22" t="str">
        <f aca="false">IF(AND(ISNUMBER(N56),ISNUMBER(M56),M56&lt;&gt;0),N56/M56-1,"")</f>
        <v/>
      </c>
    </row>
    <row r="121" customFormat="false" ht="15" hidden="false" customHeight="false" outlineLevel="0" collapsed="false">
      <c r="A121" s="43" t="s">
        <v>581</v>
      </c>
      <c r="C121" s="5" t="s">
        <v>583</v>
      </c>
      <c r="F121" s="22" t="str">
        <f aca="false">IF(AND(ISNUMBER(F57),ISNUMBER(E57),E57&lt;&gt;0),F57/E57-1,"")</f>
        <v/>
      </c>
      <c r="G121" s="22" t="str">
        <f aca="false">IF(AND(ISNUMBER(G57),ISNUMBER(F57),F57&lt;&gt;0),G57/F57-1,"")</f>
        <v/>
      </c>
      <c r="H121" s="22" t="str">
        <f aca="false">IF(AND(ISNUMBER(H57),ISNUMBER(G57),G57&lt;&gt;0),H57/G57-1,"")</f>
        <v/>
      </c>
      <c r="I121" s="22" t="str">
        <f aca="false">IF(AND(ISNUMBER(I57),ISNUMBER(H57),H57&lt;&gt;0),I57/H57-1,"")</f>
        <v/>
      </c>
      <c r="J121" s="22" t="str">
        <f aca="false">IF(AND(ISNUMBER(J57),ISNUMBER(I57),I57&lt;&gt;0),J57/I57-1,"")</f>
        <v/>
      </c>
      <c r="K121" s="22" t="str">
        <f aca="false">IF(AND(ISNUMBER(K57),ISNUMBER(J57),J57&lt;&gt;0),K57/J57-1,"")</f>
        <v/>
      </c>
      <c r="L121" s="22" t="str">
        <f aca="false">IF(AND(ISNUMBER(L57),ISNUMBER(K57),K57&lt;&gt;0),L57/K57-1,"")</f>
        <v/>
      </c>
      <c r="M121" s="22" t="str">
        <f aca="false">IF(AND(ISNUMBER(M57),ISNUMBER(L57),L57&lt;&gt;0),M57/L57-1,"")</f>
        <v/>
      </c>
      <c r="N121" s="22" t="str">
        <f aca="false">IF(AND(ISNUMBER(N57),ISNUMBER(M57),M57&lt;&gt;0),N57/M57-1,"")</f>
        <v/>
      </c>
    </row>
    <row r="122" customFormat="false" ht="15" hidden="false" customHeight="false" outlineLevel="0" collapsed="false">
      <c r="A122" s="43" t="s">
        <v>584</v>
      </c>
      <c r="C122" s="5" t="s">
        <v>585</v>
      </c>
      <c r="F122" s="22" t="str">
        <f aca="false">IF(AND(ISNUMBER(F58),ISNUMBER(E58),E58&lt;&gt;0),F58/E58-1,"")</f>
        <v/>
      </c>
      <c r="G122" s="22" t="str">
        <f aca="false">IF(AND(ISNUMBER(G58),ISNUMBER(F58),F58&lt;&gt;0),G58/F58-1,"")</f>
        <v/>
      </c>
      <c r="H122" s="22" t="str">
        <f aca="false">IF(AND(ISNUMBER(H58),ISNUMBER(G58),G58&lt;&gt;0),H58/G58-1,"")</f>
        <v/>
      </c>
      <c r="I122" s="22" t="str">
        <f aca="false">IF(AND(ISNUMBER(I58),ISNUMBER(H58),H58&lt;&gt;0),I58/H58-1,"")</f>
        <v/>
      </c>
      <c r="J122" s="22" t="str">
        <f aca="false">IF(AND(ISNUMBER(J58),ISNUMBER(I58),I58&lt;&gt;0),J58/I58-1,"")</f>
        <v/>
      </c>
      <c r="K122" s="22" t="str">
        <f aca="false">IF(AND(ISNUMBER(K58),ISNUMBER(J58),J58&lt;&gt;0),K58/J58-1,"")</f>
        <v/>
      </c>
      <c r="L122" s="22" t="str">
        <f aca="false">IF(AND(ISNUMBER(L58),ISNUMBER(K58),K58&lt;&gt;0),L58/K58-1,"")</f>
        <v/>
      </c>
      <c r="M122" s="22" t="str">
        <f aca="false">IF(AND(ISNUMBER(M58),ISNUMBER(L58),L58&lt;&gt;0),M58/L58-1,"")</f>
        <v/>
      </c>
      <c r="N122" s="22" t="str">
        <f aca="false">IF(AND(ISNUMBER(N58),ISNUMBER(M58),M58&lt;&gt;0),N58/M58-1,"")</f>
        <v/>
      </c>
    </row>
    <row r="123" customFormat="false" ht="15" hidden="false" customHeight="false" outlineLevel="0" collapsed="false">
      <c r="A123" s="43" t="s">
        <v>586</v>
      </c>
      <c r="C123" s="5" t="s">
        <v>587</v>
      </c>
      <c r="F123" s="22" t="str">
        <f aca="false">IF(AND(ISNUMBER(F59),ISNUMBER(E59),E59&lt;&gt;0),F59/E59-1,"")</f>
        <v/>
      </c>
      <c r="G123" s="22" t="str">
        <f aca="false">IF(AND(ISNUMBER(G59),ISNUMBER(F59),F59&lt;&gt;0),G59/F59-1,"")</f>
        <v/>
      </c>
      <c r="H123" s="22" t="str">
        <f aca="false">IF(AND(ISNUMBER(H59),ISNUMBER(G59),G59&lt;&gt;0),H59/G59-1,"")</f>
        <v/>
      </c>
      <c r="I123" s="22" t="str">
        <f aca="false">IF(AND(ISNUMBER(I59),ISNUMBER(H59),H59&lt;&gt;0),I59/H59-1,"")</f>
        <v/>
      </c>
      <c r="J123" s="22" t="str">
        <f aca="false">IF(AND(ISNUMBER(J59),ISNUMBER(I59),I59&lt;&gt;0),J59/I59-1,"")</f>
        <v/>
      </c>
      <c r="K123" s="22" t="str">
        <f aca="false">IF(AND(ISNUMBER(K59),ISNUMBER(J59),J59&lt;&gt;0),K59/J59-1,"")</f>
        <v/>
      </c>
      <c r="L123" s="22" t="str">
        <f aca="false">IF(AND(ISNUMBER(L59),ISNUMBER(K59),K59&lt;&gt;0),L59/K59-1,"")</f>
        <v/>
      </c>
      <c r="M123" s="22" t="str">
        <f aca="false">IF(AND(ISNUMBER(M59),ISNUMBER(L59),L59&lt;&gt;0),M59/L59-1,"")</f>
        <v/>
      </c>
      <c r="N123" s="22" t="str">
        <f aca="false">IF(AND(ISNUMBER(N59),ISNUMBER(M59),M59&lt;&gt;0),N59/M59-1,"")</f>
        <v/>
      </c>
    </row>
    <row r="124" customFormat="false" ht="15" hidden="false" customHeight="false" outlineLevel="0" collapsed="false">
      <c r="A124" s="43" t="s">
        <v>589</v>
      </c>
      <c r="C124" s="5" t="s">
        <v>590</v>
      </c>
      <c r="F124" s="22" t="str">
        <f aca="false">IF(AND(ISNUMBER(F60),ISNUMBER(E60),E60&lt;&gt;0),F60/E60-1,"")</f>
        <v/>
      </c>
      <c r="G124" s="22" t="str">
        <f aca="false">IF(AND(ISNUMBER(G60),ISNUMBER(F60),F60&lt;&gt;0),G60/F60-1,"")</f>
        <v/>
      </c>
      <c r="H124" s="22" t="str">
        <f aca="false">IF(AND(ISNUMBER(H60),ISNUMBER(G60),G60&lt;&gt;0),H60/G60-1,"")</f>
        <v/>
      </c>
      <c r="I124" s="22" t="str">
        <f aca="false">IF(AND(ISNUMBER(I60),ISNUMBER(H60),H60&lt;&gt;0),I60/H60-1,"")</f>
        <v/>
      </c>
      <c r="J124" s="22" t="str">
        <f aca="false">IF(AND(ISNUMBER(J60),ISNUMBER(I60),I60&lt;&gt;0),J60/I60-1,"")</f>
        <v/>
      </c>
      <c r="K124" s="22" t="str">
        <f aca="false">IF(AND(ISNUMBER(K60),ISNUMBER(J60),J60&lt;&gt;0),K60/J60-1,"")</f>
        <v/>
      </c>
      <c r="L124" s="22" t="str">
        <f aca="false">IF(AND(ISNUMBER(L60),ISNUMBER(K60),K60&lt;&gt;0),L60/K60-1,"")</f>
        <v/>
      </c>
      <c r="M124" s="22" t="str">
        <f aca="false">IF(AND(ISNUMBER(M60),ISNUMBER(L60),L60&lt;&gt;0),M60/L60-1,"")</f>
        <v/>
      </c>
      <c r="N124" s="22" t="str">
        <f aca="false">IF(AND(ISNUMBER(N60),ISNUMBER(M60),M60&lt;&gt;0),N60/M60-1,"")</f>
        <v/>
      </c>
    </row>
    <row r="125" customFormat="false" ht="15" hidden="false" customHeight="false" outlineLevel="0" collapsed="false">
      <c r="A125" s="43" t="s">
        <v>591</v>
      </c>
      <c r="C125" s="5" t="s">
        <v>592</v>
      </c>
      <c r="F125" s="22" t="str">
        <f aca="false">IF(AND(ISNUMBER(F61),ISNUMBER(E61),E61&lt;&gt;0),F61/E61-1,"")</f>
        <v/>
      </c>
      <c r="G125" s="22" t="str">
        <f aca="false">IF(AND(ISNUMBER(G61),ISNUMBER(F61),F61&lt;&gt;0),G61/F61-1,"")</f>
        <v/>
      </c>
      <c r="H125" s="22" t="str">
        <f aca="false">IF(AND(ISNUMBER(H61),ISNUMBER(G61),G61&lt;&gt;0),H61/G61-1,"")</f>
        <v/>
      </c>
      <c r="I125" s="22" t="str">
        <f aca="false">IF(AND(ISNUMBER(I61),ISNUMBER(H61),H61&lt;&gt;0),I61/H61-1,"")</f>
        <v/>
      </c>
      <c r="J125" s="22" t="str">
        <f aca="false">IF(AND(ISNUMBER(J61),ISNUMBER(I61),I61&lt;&gt;0),J61/I61-1,"")</f>
        <v/>
      </c>
      <c r="K125" s="22" t="str">
        <f aca="false">IF(AND(ISNUMBER(K61),ISNUMBER(J61),J61&lt;&gt;0),K61/J61-1,"")</f>
        <v/>
      </c>
      <c r="L125" s="22" t="str">
        <f aca="false">IF(AND(ISNUMBER(L61),ISNUMBER(K61),K61&lt;&gt;0),L61/K61-1,"")</f>
        <v/>
      </c>
      <c r="M125" s="22" t="str">
        <f aca="false">IF(AND(ISNUMBER(M61),ISNUMBER(L61),L61&lt;&gt;0),M61/L61-1,"")</f>
        <v/>
      </c>
      <c r="N125" s="22" t="str">
        <f aca="false">IF(AND(ISNUMBER(N61),ISNUMBER(M61),M61&lt;&gt;0),N61/M61-1,"")</f>
        <v/>
      </c>
    </row>
    <row r="126" customFormat="false" ht="15" hidden="false" customHeight="false" outlineLevel="0" collapsed="false">
      <c r="A126" s="43" t="s">
        <v>593</v>
      </c>
      <c r="C126" s="5" t="s">
        <v>595</v>
      </c>
      <c r="F126" s="22" t="str">
        <f aca="false">IF(AND(ISNUMBER(F62),ISNUMBER(E62),E62&lt;&gt;0),F62/E62-1,"")</f>
        <v/>
      </c>
      <c r="G126" s="22" t="str">
        <f aca="false">IF(AND(ISNUMBER(G62),ISNUMBER(F62),F62&lt;&gt;0),G62/F62-1,"")</f>
        <v/>
      </c>
      <c r="H126" s="22" t="str">
        <f aca="false">IF(AND(ISNUMBER(H62),ISNUMBER(G62),G62&lt;&gt;0),H62/G62-1,"")</f>
        <v/>
      </c>
      <c r="I126" s="22" t="str">
        <f aca="false">IF(AND(ISNUMBER(I62),ISNUMBER(H62),H62&lt;&gt;0),I62/H62-1,"")</f>
        <v/>
      </c>
      <c r="J126" s="22" t="str">
        <f aca="false">IF(AND(ISNUMBER(J62),ISNUMBER(I62),I62&lt;&gt;0),J62/I62-1,"")</f>
        <v/>
      </c>
      <c r="K126" s="22" t="str">
        <f aca="false">IF(AND(ISNUMBER(K62),ISNUMBER(J62),J62&lt;&gt;0),K62/J62-1,"")</f>
        <v/>
      </c>
      <c r="L126" s="22" t="str">
        <f aca="false">IF(AND(ISNUMBER(L62),ISNUMBER(K62),K62&lt;&gt;0),L62/K62-1,"")</f>
        <v/>
      </c>
      <c r="M126" s="22" t="str">
        <f aca="false">IF(AND(ISNUMBER(M62),ISNUMBER(L62),L62&lt;&gt;0),M62/L62-1,"")</f>
        <v/>
      </c>
      <c r="N126" s="22" t="str">
        <f aca="false">IF(AND(ISNUMBER(N62),ISNUMBER(M62),M62&lt;&gt;0),N62/M62-1,"")</f>
        <v/>
      </c>
    </row>
    <row r="127" customFormat="false" ht="15" hidden="false" customHeight="false" outlineLevel="0" collapsed="false">
      <c r="A127" s="43" t="s">
        <v>596</v>
      </c>
      <c r="C127" s="5" t="s">
        <v>597</v>
      </c>
      <c r="F127" s="22" t="str">
        <f aca="false">IF(AND(ISNUMBER(F63),ISNUMBER(E63),E63&lt;&gt;0),F63/E63-1,"")</f>
        <v/>
      </c>
      <c r="G127" s="22" t="str">
        <f aca="false">IF(AND(ISNUMBER(G63),ISNUMBER(F63),F63&lt;&gt;0),G63/F63-1,"")</f>
        <v/>
      </c>
      <c r="H127" s="22" t="str">
        <f aca="false">IF(AND(ISNUMBER(H63),ISNUMBER(G63),G63&lt;&gt;0),H63/G63-1,"")</f>
        <v/>
      </c>
      <c r="I127" s="22" t="str">
        <f aca="false">IF(AND(ISNUMBER(I63),ISNUMBER(H63),H63&lt;&gt;0),I63/H63-1,"")</f>
        <v/>
      </c>
      <c r="J127" s="22" t="str">
        <f aca="false">IF(AND(ISNUMBER(J63),ISNUMBER(I63),I63&lt;&gt;0),J63/I63-1,"")</f>
        <v/>
      </c>
      <c r="K127" s="22" t="str">
        <f aca="false">IF(AND(ISNUMBER(K63),ISNUMBER(J63),J63&lt;&gt;0),K63/J63-1,"")</f>
        <v/>
      </c>
      <c r="L127" s="22" t="str">
        <f aca="false">IF(AND(ISNUMBER(L63),ISNUMBER(K63),K63&lt;&gt;0),L63/K63-1,"")</f>
        <v/>
      </c>
      <c r="M127" s="22" t="str">
        <f aca="false">IF(AND(ISNUMBER(M63),ISNUMBER(L63),L63&lt;&gt;0),M63/L63-1,"")</f>
        <v/>
      </c>
      <c r="N127" s="22" t="str">
        <f aca="false">IF(AND(ISNUMBER(N63),ISNUMBER(M63),M63&lt;&gt;0),N63/M63-1,"")</f>
        <v/>
      </c>
    </row>
    <row r="128" customFormat="false" ht="15" hidden="false" customHeight="false" outlineLevel="0" collapsed="false">
      <c r="A128" s="43" t="s">
        <v>598</v>
      </c>
      <c r="C128" s="5" t="s">
        <v>599</v>
      </c>
      <c r="F128" s="22" t="str">
        <f aca="false">IF(AND(ISNUMBER(F64),ISNUMBER(E64),E64&lt;&gt;0),F64/E64-1,"")</f>
        <v/>
      </c>
      <c r="G128" s="22" t="str">
        <f aca="false">IF(AND(ISNUMBER(G64),ISNUMBER(F64),F64&lt;&gt;0),G64/F64-1,"")</f>
        <v/>
      </c>
      <c r="H128" s="22" t="str">
        <f aca="false">IF(AND(ISNUMBER(H64),ISNUMBER(G64),G64&lt;&gt;0),H64/G64-1,"")</f>
        <v/>
      </c>
      <c r="I128" s="22" t="str">
        <f aca="false">IF(AND(ISNUMBER(I64),ISNUMBER(H64),H64&lt;&gt;0),I64/H64-1,"")</f>
        <v/>
      </c>
      <c r="J128" s="22" t="str">
        <f aca="false">IF(AND(ISNUMBER(J64),ISNUMBER(I64),I64&lt;&gt;0),J64/I64-1,"")</f>
        <v/>
      </c>
      <c r="K128" s="22" t="str">
        <f aca="false">IF(AND(ISNUMBER(K64),ISNUMBER(J64),J64&lt;&gt;0),K64/J64-1,"")</f>
        <v/>
      </c>
      <c r="L128" s="22" t="str">
        <f aca="false">IF(AND(ISNUMBER(L64),ISNUMBER(K64),K64&lt;&gt;0),L64/K64-1,"")</f>
        <v/>
      </c>
      <c r="M128" s="22" t="str">
        <f aca="false">IF(AND(ISNUMBER(M64),ISNUMBER(L64),L64&lt;&gt;0),M64/L64-1,"")</f>
        <v/>
      </c>
      <c r="N128" s="22" t="str">
        <f aca="false">IF(AND(ISNUMBER(N64),ISNUMBER(M64),M64&lt;&gt;0),N64/M64-1,"")</f>
        <v/>
      </c>
    </row>
    <row r="129" customFormat="false" ht="15" hidden="false" customHeight="false" outlineLevel="0" collapsed="false">
      <c r="A129" s="43" t="s">
        <v>600</v>
      </c>
      <c r="C129" s="5" t="s">
        <v>601</v>
      </c>
      <c r="F129" s="22" t="str">
        <f aca="false">IF(AND(ISNUMBER(F65),ISNUMBER(E65),E65&lt;&gt;0),F65/E65-1,"")</f>
        <v/>
      </c>
      <c r="G129" s="22" t="str">
        <f aca="false">IF(AND(ISNUMBER(G65),ISNUMBER(F65),F65&lt;&gt;0),G65/F65-1,"")</f>
        <v/>
      </c>
      <c r="H129" s="22" t="str">
        <f aca="false">IF(AND(ISNUMBER(H65),ISNUMBER(G65),G65&lt;&gt;0),H65/G65-1,"")</f>
        <v/>
      </c>
      <c r="I129" s="22" t="str">
        <f aca="false">IF(AND(ISNUMBER(I65),ISNUMBER(H65),H65&lt;&gt;0),I65/H65-1,"")</f>
        <v/>
      </c>
      <c r="J129" s="22" t="str">
        <f aca="false">IF(AND(ISNUMBER(J65),ISNUMBER(I65),I65&lt;&gt;0),J65/I65-1,"")</f>
        <v/>
      </c>
      <c r="K129" s="22" t="str">
        <f aca="false">IF(AND(ISNUMBER(K65),ISNUMBER(J65),J65&lt;&gt;0),K65/J65-1,"")</f>
        <v/>
      </c>
      <c r="L129" s="22" t="str">
        <f aca="false">IF(AND(ISNUMBER(L65),ISNUMBER(K65),K65&lt;&gt;0),L65/K65-1,"")</f>
        <v/>
      </c>
      <c r="M129" s="22" t="str">
        <f aca="false">IF(AND(ISNUMBER(M65),ISNUMBER(L65),L65&lt;&gt;0),M65/L65-1,"")</f>
        <v/>
      </c>
      <c r="N129" s="22" t="str">
        <f aca="false">IF(AND(ISNUMBER(N65),ISNUMBER(M65),M65&lt;&gt;0),N65/M65-1,"")</f>
        <v/>
      </c>
    </row>
    <row r="130" customFormat="false" ht="15" hidden="false" customHeight="false" outlineLevel="0" collapsed="false">
      <c r="A130" s="43" t="s">
        <v>602</v>
      </c>
      <c r="C130" s="5" t="s">
        <v>603</v>
      </c>
      <c r="F130" s="22" t="str">
        <f aca="false">IF(AND(ISNUMBER(F66),ISNUMBER(E66),E66&lt;&gt;0),F66/E66-1,"")</f>
        <v/>
      </c>
      <c r="G130" s="22" t="str">
        <f aca="false">IF(AND(ISNUMBER(G66),ISNUMBER(F66),F66&lt;&gt;0),G66/F66-1,"")</f>
        <v/>
      </c>
      <c r="H130" s="22" t="str">
        <f aca="false">IF(AND(ISNUMBER(H66),ISNUMBER(G66),G66&lt;&gt;0),H66/G66-1,"")</f>
        <v/>
      </c>
      <c r="I130" s="22" t="str">
        <f aca="false">IF(AND(ISNUMBER(I66),ISNUMBER(H66),H66&lt;&gt;0),I66/H66-1,"")</f>
        <v/>
      </c>
      <c r="J130" s="22" t="str">
        <f aca="false">IF(AND(ISNUMBER(J66),ISNUMBER(I66),I66&lt;&gt;0),J66/I66-1,"")</f>
        <v/>
      </c>
      <c r="K130" s="22" t="str">
        <f aca="false">IF(AND(ISNUMBER(K66),ISNUMBER(J66),J66&lt;&gt;0),K66/J66-1,"")</f>
        <v/>
      </c>
      <c r="L130" s="22" t="str">
        <f aca="false">IF(AND(ISNUMBER(L66),ISNUMBER(K66),K66&lt;&gt;0),L66/K66-1,"")</f>
        <v/>
      </c>
      <c r="M130" s="22" t="str">
        <f aca="false">IF(AND(ISNUMBER(M66),ISNUMBER(L66),L66&lt;&gt;0),M66/L66-1,"")</f>
        <v/>
      </c>
      <c r="N130" s="22" t="str">
        <f aca="false">IF(AND(ISNUMBER(N66),ISNUMBER(M66),M66&lt;&gt;0),N66/M66-1,"")</f>
        <v/>
      </c>
    </row>
    <row r="132" customFormat="false" ht="46.25" hidden="false" customHeight="false" outlineLevel="0" collapsed="false">
      <c r="B132" s="11" t="s">
        <v>607</v>
      </c>
    </row>
    <row r="133" customFormat="false" ht="15" hidden="false" customHeight="false" outlineLevel="0" collapsed="false">
      <c r="A133" s="8"/>
      <c r="B133" s="8" t="s">
        <v>608</v>
      </c>
      <c r="C133" s="8"/>
      <c r="D133" s="8"/>
      <c r="E133" s="8" t="s">
        <v>452</v>
      </c>
      <c r="F133" s="8" t="s">
        <v>453</v>
      </c>
      <c r="G133" s="8" t="s">
        <v>454</v>
      </c>
      <c r="H133" s="8" t="s">
        <v>455</v>
      </c>
      <c r="I133" s="8" t="s">
        <v>456</v>
      </c>
      <c r="J133" s="8" t="s">
        <v>457</v>
      </c>
      <c r="K133" s="8" t="s">
        <v>458</v>
      </c>
      <c r="L133" s="8" t="s">
        <v>459</v>
      </c>
      <c r="M133" s="8" t="s">
        <v>460</v>
      </c>
      <c r="N133" s="8" t="s">
        <v>461</v>
      </c>
    </row>
    <row r="134" customFormat="false" ht="15" hidden="false" customHeight="false" outlineLevel="0" collapsed="false">
      <c r="B134" s="5" t="s">
        <v>609</v>
      </c>
      <c r="F134" s="14" t="str">
        <f aca="false">IF(AND(ISNUMBER(F78),ISNUMBER(F86)),IF(AND(F78&lt;0,F86&lt;0),"Both cut",""),"")</f>
        <v>Both cut</v>
      </c>
      <c r="G134" s="14" t="str">
        <f aca="false">IF(AND(ISNUMBER(G78),ISNUMBER(G86)),IF(AND(G78&lt;0,G86&lt;0),"Both cut",""),"")</f>
        <v/>
      </c>
      <c r="H134" s="14" t="str">
        <f aca="false">IF(AND(ISNUMBER(H78),ISNUMBER(H86)),IF(AND(H78&lt;0,H86&lt;0),"Both cut",""),"")</f>
        <v/>
      </c>
      <c r="I134" s="14" t="str">
        <f aca="false">IF(AND(ISNUMBER(I78),ISNUMBER(I86)),IF(AND(I78&lt;0,I86&lt;0),"Both cut",""),"")</f>
        <v/>
      </c>
      <c r="J134" s="14" t="str">
        <f aca="false">IF(AND(ISNUMBER(J78),ISNUMBER(J86)),IF(AND(J78&lt;0,J86&lt;0),"Both cut",""),"")</f>
        <v/>
      </c>
      <c r="K134" s="14" t="str">
        <f aca="false">IF(AND(ISNUMBER(K78),ISNUMBER(K86)),IF(AND(K78&lt;0,K86&lt;0),"Both cut",""),"")</f>
        <v/>
      </c>
      <c r="L134" s="14" t="str">
        <f aca="false">IF(AND(ISNUMBER(L78),ISNUMBER(L86)),IF(AND(L78&lt;0,L86&lt;0),"Both cut",""),"")</f>
        <v/>
      </c>
      <c r="M134" s="14" t="str">
        <f aca="false">IF(AND(ISNUMBER(M78),ISNUMBER(M86)),IF(AND(M78&lt;0,M86&lt;0),"Both cut",""),"")</f>
        <v/>
      </c>
      <c r="N134" s="14" t="str">
        <f aca="false">IF(AND(ISNUMBER(N78),ISNUMBER(N86)),IF(AND(N78&lt;0,N86&lt;0),"Both cut",""),"")</f>
        <v/>
      </c>
    </row>
    <row r="135" customFormat="false" ht="15" hidden="false" customHeight="false" outlineLevel="0" collapsed="false">
      <c r="B135" s="5" t="s">
        <v>610</v>
      </c>
      <c r="F135" s="14" t="str">
        <f aca="false">IF(AND(ISNUMBER(F79),ISNUMBER(F87)),IF(AND(F79&lt;0,F87&lt;0),"Both cut",""),"")</f>
        <v/>
      </c>
      <c r="G135" s="14" t="str">
        <f aca="false">IF(AND(ISNUMBER(G79),ISNUMBER(G87)),IF(AND(G79&lt;0,G87&lt;0),"Both cut",""),"")</f>
        <v/>
      </c>
      <c r="H135" s="14" t="str">
        <f aca="false">IF(AND(ISNUMBER(H79),ISNUMBER(H87)),IF(AND(H79&lt;0,H87&lt;0),"Both cut",""),"")</f>
        <v/>
      </c>
      <c r="I135" s="14" t="str">
        <f aca="false">IF(AND(ISNUMBER(I79),ISNUMBER(I87)),IF(AND(I79&lt;0,I87&lt;0),"Both cut",""),"")</f>
        <v/>
      </c>
      <c r="J135" s="14" t="str">
        <f aca="false">IF(AND(ISNUMBER(J79),ISNUMBER(J87)),IF(AND(J79&lt;0,J87&lt;0),"Both cut",""),"")</f>
        <v/>
      </c>
      <c r="K135" s="14" t="str">
        <f aca="false">IF(AND(ISNUMBER(K79),ISNUMBER(K87)),IF(AND(K79&lt;0,K87&lt;0),"Both cut",""),"")</f>
        <v/>
      </c>
      <c r="L135" s="14" t="str">
        <f aca="false">IF(AND(ISNUMBER(L79),ISNUMBER(L87)),IF(AND(L79&lt;0,L87&lt;0),"Both cut",""),"")</f>
        <v/>
      </c>
      <c r="M135" s="14" t="str">
        <f aca="false">IF(AND(ISNUMBER(M79),ISNUMBER(M87)),IF(AND(M79&lt;0,M87&lt;0),"Both cut",""),"")</f>
        <v/>
      </c>
      <c r="N135" s="14" t="str">
        <f aca="false">IF(AND(ISNUMBER(N79),ISNUMBER(N87)),IF(AND(N79&lt;0,N87&lt;0),"Both cut",""),"")</f>
        <v/>
      </c>
    </row>
    <row r="136" customFormat="false" ht="15" hidden="false" customHeight="false" outlineLevel="0" collapsed="false">
      <c r="B136" s="5" t="s">
        <v>611</v>
      </c>
      <c r="F136" s="14" t="str">
        <f aca="false">IF(AND(ISNUMBER(F80),ISNUMBER(F88)),IF(AND(F80&lt;0,F88&lt;0),"Both cut",""),"")</f>
        <v/>
      </c>
      <c r="G136" s="14" t="str">
        <f aca="false">IF(AND(ISNUMBER(G80),ISNUMBER(G88)),IF(AND(G80&lt;0,G88&lt;0),"Both cut",""),"")</f>
        <v/>
      </c>
      <c r="H136" s="14" t="str">
        <f aca="false">IF(AND(ISNUMBER(H80),ISNUMBER(H88)),IF(AND(H80&lt;0,H88&lt;0),"Both cut",""),"")</f>
        <v/>
      </c>
      <c r="I136" s="14" t="str">
        <f aca="false">IF(AND(ISNUMBER(I80),ISNUMBER(I88)),IF(AND(I80&lt;0,I88&lt;0),"Both cut",""),"")</f>
        <v/>
      </c>
      <c r="J136" s="14" t="str">
        <f aca="false">IF(AND(ISNUMBER(J80),ISNUMBER(J88)),IF(AND(J80&lt;0,J88&lt;0),"Both cut",""),"")</f>
        <v/>
      </c>
      <c r="K136" s="14" t="str">
        <f aca="false">IF(AND(ISNUMBER(K80),ISNUMBER(K88)),IF(AND(K80&lt;0,K88&lt;0),"Both cut",""),"")</f>
        <v/>
      </c>
      <c r="L136" s="14" t="str">
        <f aca="false">IF(AND(ISNUMBER(L80),ISNUMBER(L88)),IF(AND(L80&lt;0,L88&lt;0),"Both cut",""),"")</f>
        <v/>
      </c>
      <c r="M136" s="14" t="str">
        <f aca="false">IF(AND(ISNUMBER(M80),ISNUMBER(M88)),IF(AND(M80&lt;0,M88&lt;0),"Both cut",""),"")</f>
        <v/>
      </c>
      <c r="N136" s="14" t="str">
        <f aca="false">IF(AND(ISNUMBER(N80),ISNUMBER(N88)),IF(AND(N80&lt;0,N88&lt;0),"Both cut",""),"")</f>
        <v/>
      </c>
    </row>
    <row r="137" customFormat="false" ht="15" hidden="false" customHeight="false" outlineLevel="0" collapsed="false">
      <c r="B137" s="5" t="s">
        <v>612</v>
      </c>
      <c r="F137" s="14" t="str">
        <f aca="false">IF(AND(ISNUMBER(F81),ISNUMBER(F89)),IF(AND(F81&lt;0,F89&lt;0),"Both cut",""),"")</f>
        <v/>
      </c>
      <c r="G137" s="14" t="str">
        <f aca="false">IF(AND(ISNUMBER(G81),ISNUMBER(G89)),IF(AND(G81&lt;0,G89&lt;0),"Both cut",""),"")</f>
        <v/>
      </c>
      <c r="H137" s="14" t="str">
        <f aca="false">IF(AND(ISNUMBER(H81),ISNUMBER(H89)),IF(AND(H81&lt;0,H89&lt;0),"Both cut",""),"")</f>
        <v/>
      </c>
      <c r="I137" s="14" t="str">
        <f aca="false">IF(AND(ISNUMBER(I81),ISNUMBER(I89)),IF(AND(I81&lt;0,I89&lt;0),"Both cut",""),"")</f>
        <v/>
      </c>
      <c r="J137" s="14" t="str">
        <f aca="false">IF(AND(ISNUMBER(J81),ISNUMBER(J89)),IF(AND(J81&lt;0,J89&lt;0),"Both cut",""),"")</f>
        <v/>
      </c>
      <c r="K137" s="14" t="str">
        <f aca="false">IF(AND(ISNUMBER(K81),ISNUMBER(K89)),IF(AND(K81&lt;0,K89&lt;0),"Both cut",""),"")</f>
        <v/>
      </c>
      <c r="L137" s="14" t="str">
        <f aca="false">IF(AND(ISNUMBER(L81),ISNUMBER(L89)),IF(AND(L81&lt;0,L89&lt;0),"Both cut",""),"")</f>
        <v/>
      </c>
      <c r="M137" s="14" t="str">
        <f aca="false">IF(AND(ISNUMBER(M81),ISNUMBER(M89)),IF(AND(M81&lt;0,M89&lt;0),"Both cut",""),"")</f>
        <v/>
      </c>
      <c r="N137" s="14" t="str">
        <f aca="false">IF(AND(ISNUMBER(N81),ISNUMBER(N89)),IF(AND(N81&lt;0,N89&lt;0),"Both cut",""),"")</f>
        <v/>
      </c>
    </row>
    <row r="138" customFormat="false" ht="15" hidden="false" customHeight="false" outlineLevel="0" collapsed="false">
      <c r="B138" s="5" t="s">
        <v>613</v>
      </c>
      <c r="F138" s="14" t="str">
        <f aca="false">IF(AND(ISNUMBER(F82),ISNUMBER(F90)),IF(AND(F82&lt;0,F90&lt;0),"Both cut",""),"")</f>
        <v/>
      </c>
      <c r="G138" s="14" t="str">
        <f aca="false">IF(AND(ISNUMBER(G82),ISNUMBER(G90)),IF(AND(G82&lt;0,G90&lt;0),"Both cut",""),"")</f>
        <v/>
      </c>
      <c r="H138" s="14" t="str">
        <f aca="false">IF(AND(ISNUMBER(H82),ISNUMBER(H90)),IF(AND(H82&lt;0,H90&lt;0),"Both cut",""),"")</f>
        <v/>
      </c>
      <c r="I138" s="14" t="str">
        <f aca="false">IF(AND(ISNUMBER(I82),ISNUMBER(I90)),IF(AND(I82&lt;0,I90&lt;0),"Both cut",""),"")</f>
        <v/>
      </c>
      <c r="J138" s="14" t="str">
        <f aca="false">IF(AND(ISNUMBER(J82),ISNUMBER(J90)),IF(AND(J82&lt;0,J90&lt;0),"Both cut",""),"")</f>
        <v/>
      </c>
      <c r="K138" s="14" t="str">
        <f aca="false">IF(AND(ISNUMBER(K82),ISNUMBER(K90)),IF(AND(K82&lt;0,K90&lt;0),"Both cut",""),"")</f>
        <v/>
      </c>
      <c r="L138" s="14" t="str">
        <f aca="false">IF(AND(ISNUMBER(L82),ISNUMBER(L90)),IF(AND(L82&lt;0,L90&lt;0),"Both cut",""),"")</f>
        <v/>
      </c>
      <c r="M138" s="14" t="str">
        <f aca="false">IF(AND(ISNUMBER(M82),ISNUMBER(M90)),IF(AND(M82&lt;0,M90&lt;0),"Both cut",""),"")</f>
        <v/>
      </c>
      <c r="N138" s="14" t="str">
        <f aca="false">IF(AND(ISNUMBER(N82),ISNUMBER(N90)),IF(AND(N82&lt;0,N90&lt;0),"Both cut",""),"")</f>
        <v/>
      </c>
    </row>
    <row r="139" customFormat="false" ht="15" hidden="false" customHeight="false" outlineLevel="0" collapsed="false">
      <c r="B139" s="5" t="s">
        <v>614</v>
      </c>
      <c r="F139" s="14" t="str">
        <f aca="false">IF(AND(ISNUMBER(F83),ISNUMBER(F91)),IF(AND(F83&lt;0,F91&lt;0),"Both cut",""),"")</f>
        <v/>
      </c>
      <c r="G139" s="14" t="str">
        <f aca="false">IF(AND(ISNUMBER(G83),ISNUMBER(G91)),IF(AND(G83&lt;0,G91&lt;0),"Both cut",""),"")</f>
        <v/>
      </c>
      <c r="H139" s="14" t="str">
        <f aca="false">IF(AND(ISNUMBER(H83),ISNUMBER(H91)),IF(AND(H83&lt;0,H91&lt;0),"Both cut",""),"")</f>
        <v/>
      </c>
      <c r="I139" s="14" t="str">
        <f aca="false">IF(AND(ISNUMBER(I83),ISNUMBER(I91)),IF(AND(I83&lt;0,I91&lt;0),"Both cut",""),"")</f>
        <v/>
      </c>
      <c r="J139" s="14" t="str">
        <f aca="false">IF(AND(ISNUMBER(J83),ISNUMBER(J91)),IF(AND(J83&lt;0,J91&lt;0),"Both cut",""),"")</f>
        <v/>
      </c>
      <c r="K139" s="14" t="str">
        <f aca="false">IF(AND(ISNUMBER(K83),ISNUMBER(K91)),IF(AND(K83&lt;0,K91&lt;0),"Both cut",""),"")</f>
        <v/>
      </c>
      <c r="L139" s="14" t="str">
        <f aca="false">IF(AND(ISNUMBER(L83),ISNUMBER(L91)),IF(AND(L83&lt;0,L91&lt;0),"Both cut",""),"")</f>
        <v/>
      </c>
      <c r="M139" s="14" t="str">
        <f aca="false">IF(AND(ISNUMBER(M83),ISNUMBER(M91)),IF(AND(M83&lt;0,M91&lt;0),"Both cut",""),"")</f>
        <v/>
      </c>
      <c r="N139" s="14" t="str">
        <f aca="false">IF(AND(ISNUMBER(N83),ISNUMBER(N91)),IF(AND(N83&lt;0,N91&lt;0),"Both cut",""),"")</f>
        <v/>
      </c>
    </row>
    <row r="140" customFormat="false" ht="15" hidden="false" customHeight="false" outlineLevel="0" collapsed="false">
      <c r="B140" s="5" t="s">
        <v>615</v>
      </c>
      <c r="F140" s="14" t="str">
        <f aca="false">IF(AND(ISNUMBER(F84),ISNUMBER(F92)),IF(AND(F84&lt;0,F92&lt;0),"Both cut",""),"")</f>
        <v/>
      </c>
      <c r="G140" s="14" t="str">
        <f aca="false">IF(AND(ISNUMBER(G84),ISNUMBER(G92)),IF(AND(G84&lt;0,G92&lt;0),"Both cut",""),"")</f>
        <v/>
      </c>
      <c r="H140" s="14" t="str">
        <f aca="false">IF(AND(ISNUMBER(H84),ISNUMBER(H92)),IF(AND(H84&lt;0,H92&lt;0),"Both cut",""),"")</f>
        <v/>
      </c>
      <c r="I140" s="14" t="str">
        <f aca="false">IF(AND(ISNUMBER(I84),ISNUMBER(I92)),IF(AND(I84&lt;0,I92&lt;0),"Both cut",""),"")</f>
        <v/>
      </c>
      <c r="J140" s="14" t="str">
        <f aca="false">IF(AND(ISNUMBER(J84),ISNUMBER(J92)),IF(AND(J84&lt;0,J92&lt;0),"Both cut",""),"")</f>
        <v/>
      </c>
      <c r="K140" s="14" t="str">
        <f aca="false">IF(AND(ISNUMBER(K84),ISNUMBER(K92)),IF(AND(K84&lt;0,K92&lt;0),"Both cut",""),"")</f>
        <v/>
      </c>
      <c r="L140" s="14" t="str">
        <f aca="false">IF(AND(ISNUMBER(L84),ISNUMBER(L92)),IF(AND(L84&lt;0,L92&lt;0),"Both cut",""),"")</f>
        <v/>
      </c>
      <c r="M140" s="14" t="str">
        <f aca="false">IF(AND(ISNUMBER(M84),ISNUMBER(M92)),IF(AND(M84&lt;0,M92&lt;0),"Both cut",""),"")</f>
        <v/>
      </c>
      <c r="N140" s="14" t="str">
        <f aca="false">IF(AND(ISNUMBER(N84),ISNUMBER(N92)),IF(AND(N84&lt;0,N92&lt;0),"Both cut",""),"")</f>
        <v/>
      </c>
    </row>
    <row r="141" customFormat="false" ht="15" hidden="false" customHeight="false" outlineLevel="0" collapsed="false">
      <c r="B141" s="5" t="s">
        <v>616</v>
      </c>
      <c r="F141" s="14" t="str">
        <f aca="false">IF(AND(ISNUMBER(F85),ISNUMBER(F93)),IF(AND(F85&lt;0,F93&lt;0),"Both cut",""),"")</f>
        <v/>
      </c>
      <c r="G141" s="14" t="str">
        <f aca="false">IF(AND(ISNUMBER(G85),ISNUMBER(G93)),IF(AND(G85&lt;0,G93&lt;0),"Both cut",""),"")</f>
        <v/>
      </c>
      <c r="H141" s="14" t="str">
        <f aca="false">IF(AND(ISNUMBER(H85),ISNUMBER(H93)),IF(AND(H85&lt;0,H93&lt;0),"Both cut",""),"")</f>
        <v/>
      </c>
      <c r="I141" s="14" t="str">
        <f aca="false">IF(AND(ISNUMBER(I85),ISNUMBER(I93)),IF(AND(I85&lt;0,I93&lt;0),"Both cut",""),"")</f>
        <v/>
      </c>
      <c r="J141" s="14" t="str">
        <f aca="false">IF(AND(ISNUMBER(J85),ISNUMBER(J93)),IF(AND(J85&lt;0,J93&lt;0),"Both cut",""),"")</f>
        <v/>
      </c>
      <c r="K141" s="14" t="str">
        <f aca="false">IF(AND(ISNUMBER(K85),ISNUMBER(K93)),IF(AND(K85&lt;0,K93&lt;0),"Both cut",""),"")</f>
        <v/>
      </c>
      <c r="L141" s="14" t="str">
        <f aca="false">IF(AND(ISNUMBER(L85),ISNUMBER(L93)),IF(AND(L85&lt;0,L93&lt;0),"Both cut",""),"")</f>
        <v/>
      </c>
      <c r="M141" s="14" t="str">
        <f aca="false">IF(AND(ISNUMBER(M85),ISNUMBER(M93)),IF(AND(M85&lt;0,M93&lt;0),"Both cut",""),"")</f>
        <v/>
      </c>
      <c r="N141" s="14" t="str">
        <f aca="false">IF(AND(ISNUMBER(N85),ISNUMBER(N93)),IF(AND(N85&lt;0,N93&lt;0),"Both cut",""),"")</f>
        <v/>
      </c>
    </row>
    <row r="143" customFormat="false" ht="15" hidden="false" customHeight="false" outlineLevel="0" collapsed="false">
      <c r="B143" s="45" t="s">
        <v>617</v>
      </c>
    </row>
    <row r="144" customFormat="false" ht="15" hidden="false" customHeight="false" outlineLevel="0" collapsed="false">
      <c r="B144" s="45" t="s">
        <v>618</v>
      </c>
    </row>
  </sheetData>
  <conditionalFormatting sqref="F70:N130">
    <cfRule type="expression" priority="2" aboveAverage="0" equalAverage="0" bottom="0" percent="0" rank="0" text="" dxfId="1">
      <formula>AND(ISNUMBER(F70),ABS(F70)&gt;$D$4)</formula>
    </cfRule>
  </conditionalFormatting>
  <conditionalFormatting sqref="F134:N141">
    <cfRule type="expression" priority="3" aboveAverage="0" equalAverage="0" bottom="0" percent="0" rank="0" text="" dxfId="2">
      <formula>F134="Both cut"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6" topLeftCell="A4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619</v>
      </c>
    </row>
    <row r="2" customFormat="false" ht="15" hidden="false" customHeight="false" outlineLevel="0" collapsed="false">
      <c r="A2" s="3" t="s">
        <v>620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621</v>
      </c>
      <c r="B5" s="8" t="s">
        <v>387</v>
      </c>
      <c r="C5" s="8" t="s">
        <v>622</v>
      </c>
      <c r="D5" s="8" t="s">
        <v>623</v>
      </c>
      <c r="E5" s="8" t="s">
        <v>624</v>
      </c>
    </row>
    <row r="6" customFormat="false" ht="15" hidden="false" customHeight="false" outlineLevel="0" collapsed="false">
      <c r="A6" s="5" t="s">
        <v>625</v>
      </c>
      <c r="B6" s="46" t="n">
        <v>1.85</v>
      </c>
      <c r="C6" s="46" t="n">
        <v>2</v>
      </c>
      <c r="D6" s="47" t="n">
        <f aca="false">IF(AND(ISNUMBER(B6),ISNUMBER(C6)),B6-C6,"")</f>
        <v>-0.15</v>
      </c>
      <c r="E6" s="14" t="str">
        <f aca="false">IF(D6="","",IF(D6&gt;=0,"Yes","No"))</f>
        <v>No</v>
      </c>
    </row>
    <row r="7" customFormat="false" ht="15" hidden="false" customHeight="false" outlineLevel="0" collapsed="false">
      <c r="A7" s="5" t="s">
        <v>626</v>
      </c>
      <c r="B7" s="27" t="n">
        <v>0.142</v>
      </c>
      <c r="C7" s="27" t="n">
        <v>0.15</v>
      </c>
      <c r="D7" s="23" t="n">
        <f aca="false">IF(AND(ISNUMBER(B7),ISNUMBER(C7)),B7-C7,"")</f>
        <v>-0.00800000000000001</v>
      </c>
      <c r="E7" s="14" t="str">
        <f aca="false">IF(D7="","",IF(D7&gt;=0,"Yes","No"))</f>
        <v>No</v>
      </c>
    </row>
    <row r="8" customFormat="false" ht="15" hidden="false" customHeight="false" outlineLevel="0" collapsed="false">
      <c r="A8" s="5" t="s">
        <v>627</v>
      </c>
      <c r="B8" s="46" t="n">
        <v>22.4</v>
      </c>
      <c r="C8" s="46" t="n">
        <v>25</v>
      </c>
      <c r="D8" s="47" t="n">
        <f aca="false">IF(AND(ISNUMBER(B8),ISNUMBER(C8)),B8-C8,"")</f>
        <v>-2.6</v>
      </c>
      <c r="E8" s="14" t="str">
        <f aca="false">IF(D8="","",IF(D8&gt;=0,"Yes","No"))</f>
        <v>No</v>
      </c>
    </row>
    <row r="9" customFormat="false" ht="15" hidden="false" customHeight="false" outlineLevel="0" collapsed="false">
      <c r="A9" s="5" t="s">
        <v>628</v>
      </c>
      <c r="B9" s="9" t="s">
        <v>629</v>
      </c>
      <c r="C9" s="9" t="s">
        <v>630</v>
      </c>
      <c r="D9" s="48" t="n">
        <f aca="false">IF(OR(B9="",C9=""),"",IFERROR(MATCH(C9,CreditScale,0)-MATCH(B9,CreditScale,0),""))</f>
        <v>-2</v>
      </c>
      <c r="E9" s="14" t="str">
        <f aca="false">IF(D9="","",IF(D9&gt;=0,"Yes","No"))</f>
        <v>No</v>
      </c>
    </row>
    <row r="10" customFormat="false" ht="15" hidden="false" customHeight="false" outlineLevel="0" collapsed="false">
      <c r="A10" s="5" t="s">
        <v>631</v>
      </c>
      <c r="B10" s="42" t="n">
        <v>68</v>
      </c>
      <c r="C10" s="42" t="n">
        <v>70</v>
      </c>
      <c r="D10" s="10" t="n">
        <f aca="false">IF(AND(ISNUMBER(B10),ISNUMBER(C10)),B10-C10,"")</f>
        <v>-2</v>
      </c>
      <c r="E10" s="14" t="str">
        <f aca="false">IF(D10="","",IF(D10&gt;=0,"Yes","No"))</f>
        <v>No</v>
      </c>
    </row>
    <row r="12" customFormat="false" ht="30" hidden="false" customHeight="true" outlineLevel="0" collapsed="false">
      <c r="A12" s="8" t="s">
        <v>632</v>
      </c>
      <c r="B12" s="8" t="s">
        <v>633</v>
      </c>
    </row>
    <row r="13" customFormat="false" ht="15" hidden="false" customHeight="false" outlineLevel="0" collapsed="false">
      <c r="A13" s="5" t="s">
        <v>634</v>
      </c>
      <c r="B13" s="42" t="n">
        <v>78</v>
      </c>
    </row>
    <row r="14" customFormat="false" ht="15" hidden="false" customHeight="false" outlineLevel="0" collapsed="false">
      <c r="A14" s="5" t="s">
        <v>635</v>
      </c>
      <c r="B14" s="42" t="n">
        <v>3</v>
      </c>
    </row>
    <row r="15" customFormat="false" ht="15" hidden="false" customHeight="false" outlineLevel="0" collapsed="false">
      <c r="A15" s="5" t="s">
        <v>636</v>
      </c>
      <c r="B15" s="28" t="n">
        <v>412000</v>
      </c>
    </row>
    <row r="16" customFormat="false" ht="15" hidden="false" customHeight="false" outlineLevel="0" collapsed="false">
      <c r="A16" s="5" t="s">
        <v>637</v>
      </c>
      <c r="B16" s="28" t="n">
        <v>18500</v>
      </c>
    </row>
    <row r="17" customFormat="false" ht="15" hidden="false" customHeight="false" outlineLevel="0" collapsed="false">
      <c r="A17" s="5" t="s">
        <v>638</v>
      </c>
      <c r="B17" s="28" t="n">
        <v>14200</v>
      </c>
    </row>
    <row r="19" customFormat="false" ht="30" hidden="false" customHeight="true" outlineLevel="0" collapsed="false">
      <c r="A19" s="8" t="s">
        <v>639</v>
      </c>
      <c r="B19" s="8" t="s">
        <v>640</v>
      </c>
      <c r="C19" s="8" t="s">
        <v>641</v>
      </c>
    </row>
    <row r="20" customFormat="false" ht="15" hidden="false" customHeight="false" outlineLevel="0" collapsed="false">
      <c r="A20" s="5" t="s">
        <v>642</v>
      </c>
      <c r="B20" s="28" t="n">
        <v>1450</v>
      </c>
      <c r="C20" s="28" t="n">
        <v>120</v>
      </c>
    </row>
    <row r="21" customFormat="false" ht="15" hidden="false" customHeight="false" outlineLevel="0" collapsed="false">
      <c r="A21" s="5" t="s">
        <v>643</v>
      </c>
      <c r="B21" s="29" t="n">
        <v>264</v>
      </c>
      <c r="C21" s="29" t="n">
        <v>1237</v>
      </c>
    </row>
    <row r="22" customFormat="false" ht="15" hidden="false" customHeight="false" outlineLevel="0" collapsed="false">
      <c r="A22" s="5" t="s">
        <v>644</v>
      </c>
      <c r="B22" s="13" t="n">
        <v>4</v>
      </c>
      <c r="C22" s="13" t="n">
        <v>4.2</v>
      </c>
    </row>
    <row r="23" customFormat="false" ht="15" hidden="false" customHeight="false" outlineLevel="0" collapsed="false">
      <c r="A23" s="5" t="s">
        <v>645</v>
      </c>
      <c r="B23" s="29" t="n">
        <v>182</v>
      </c>
      <c r="C23" s="29" t="n">
        <v>905</v>
      </c>
    </row>
    <row r="24" customFormat="false" ht="15" hidden="false" customHeight="false" outlineLevel="0" collapsed="false">
      <c r="A24" s="5" t="s">
        <v>646</v>
      </c>
      <c r="B24" s="27" t="n">
        <v>0.11</v>
      </c>
      <c r="C24" s="27" t="n">
        <v>0.09</v>
      </c>
    </row>
    <row r="25" customFormat="false" ht="15" hidden="false" customHeight="false" outlineLevel="0" collapsed="false">
      <c r="A25" s="5" t="s">
        <v>647</v>
      </c>
      <c r="B25" s="29" t="n">
        <v>276</v>
      </c>
      <c r="C25" s="29" t="n">
        <v>1195</v>
      </c>
    </row>
    <row r="26" customFormat="false" ht="15" hidden="false" customHeight="false" outlineLevel="0" collapsed="false">
      <c r="A26" s="5" t="s">
        <v>648</v>
      </c>
      <c r="B26" s="13" t="n">
        <v>4</v>
      </c>
      <c r="C26" s="13" t="n">
        <v>4.1</v>
      </c>
    </row>
    <row r="27" customFormat="false" ht="15" hidden="false" customHeight="false" outlineLevel="0" collapsed="false">
      <c r="A27" s="5" t="s">
        <v>649</v>
      </c>
      <c r="B27" s="29" t="n">
        <v>186</v>
      </c>
      <c r="C27" s="29" t="n">
        <v>890</v>
      </c>
    </row>
    <row r="28" customFormat="false" ht="15" hidden="false" customHeight="false" outlineLevel="0" collapsed="false">
      <c r="A28" s="11" t="s">
        <v>650</v>
      </c>
      <c r="B28" s="49" t="n">
        <f aca="false">IF(AND(ISNUMBER(B21),ISNUMBER(B25)),B21/B25-1,"")</f>
        <v>-0.0434782608695652</v>
      </c>
      <c r="C28" s="49" t="n">
        <f aca="false">IF(AND(ISNUMBER(C21),ISNUMBER(C25)),C21/C25-1,"")</f>
        <v>0.0351464435146442</v>
      </c>
    </row>
    <row r="29" customFormat="false" ht="15" hidden="false" customHeight="false" outlineLevel="0" collapsed="false">
      <c r="A29" s="11" t="s">
        <v>651</v>
      </c>
      <c r="B29" s="49" t="n">
        <f aca="false">IF(AND(ISNUMBER(B23),ISNUMBER(B27)),B23/B27-1,"")</f>
        <v>-0.021505376344086</v>
      </c>
      <c r="C29" s="49" t="n">
        <f aca="false">IF(AND(ISNUMBER(C23),ISNUMBER(C27)),C23/C27-1,"")</f>
        <v>0.0168539325842696</v>
      </c>
    </row>
    <row r="31" customFormat="false" ht="30" hidden="false" customHeight="true" outlineLevel="0" collapsed="false">
      <c r="A31" s="8" t="s">
        <v>652</v>
      </c>
      <c r="B31" s="8" t="s">
        <v>640</v>
      </c>
      <c r="C31" s="8" t="s">
        <v>641</v>
      </c>
    </row>
    <row r="32" customFormat="false" ht="15" hidden="false" customHeight="false" outlineLevel="0" collapsed="false">
      <c r="A32" s="5" t="s">
        <v>653</v>
      </c>
      <c r="B32" s="13" t="n">
        <v>12</v>
      </c>
      <c r="C32" s="13" t="n">
        <v>12</v>
      </c>
    </row>
    <row r="33" customFormat="false" ht="15" hidden="false" customHeight="false" outlineLevel="0" collapsed="false">
      <c r="A33" s="5" t="s">
        <v>654</v>
      </c>
      <c r="B33" s="13" t="n">
        <v>11.5</v>
      </c>
      <c r="C33" s="13" t="n">
        <v>12.6</v>
      </c>
    </row>
    <row r="34" customFormat="false" ht="15" hidden="false" customHeight="false" outlineLevel="0" collapsed="false">
      <c r="A34" s="5" t="s">
        <v>655</v>
      </c>
      <c r="B34" s="13" t="n">
        <v>12.4</v>
      </c>
      <c r="C34" s="13" t="n">
        <v>11.1</v>
      </c>
    </row>
    <row r="35" customFormat="false" ht="15" hidden="false" customHeight="false" outlineLevel="0" collapsed="false">
      <c r="A35" s="5" t="s">
        <v>656</v>
      </c>
      <c r="B35" s="13" t="n">
        <v>13</v>
      </c>
      <c r="C35" s="13" t="n">
        <v>12.2</v>
      </c>
    </row>
    <row r="36" customFormat="false" ht="15" hidden="false" customHeight="false" outlineLevel="0" collapsed="false">
      <c r="A36" s="11" t="s">
        <v>657</v>
      </c>
      <c r="B36" s="12" t="n">
        <f aca="false">IF(COUNT(B32:B35)=0,"",AVERAGE(B32:B35))</f>
        <v>12.225</v>
      </c>
      <c r="C36" s="12" t="n">
        <f aca="false">IF(COUNT(C32:C35)=0,"",AVERAGE(C32:C35))</f>
        <v>11.975</v>
      </c>
    </row>
    <row r="38" customFormat="false" ht="30" hidden="false" customHeight="true" outlineLevel="0" collapsed="false">
      <c r="A38" s="8" t="s">
        <v>658</v>
      </c>
      <c r="B38" s="8" t="s">
        <v>633</v>
      </c>
      <c r="C38" s="8" t="s">
        <v>606</v>
      </c>
    </row>
    <row r="39" customFormat="false" ht="15" hidden="false" customHeight="false" outlineLevel="0" collapsed="false">
      <c r="A39" s="5" t="s">
        <v>464</v>
      </c>
      <c r="B39" s="9" t="s">
        <v>466</v>
      </c>
      <c r="C39" s="43" t="s">
        <v>462</v>
      </c>
    </row>
    <row r="40" customFormat="false" ht="15" hidden="false" customHeight="false" outlineLevel="0" collapsed="false">
      <c r="A40" s="5" t="s">
        <v>488</v>
      </c>
      <c r="B40" s="9" t="n">
        <v>264</v>
      </c>
      <c r="C40" s="43" t="s">
        <v>486</v>
      </c>
    </row>
    <row r="41" customFormat="false" ht="15" hidden="false" customHeight="false" outlineLevel="0" collapsed="false">
      <c r="A41" s="5" t="s">
        <v>504</v>
      </c>
      <c r="B41" s="9" t="n">
        <v>7500</v>
      </c>
      <c r="C41" s="43" t="s">
        <v>503</v>
      </c>
    </row>
    <row r="42" customFormat="false" ht="15" hidden="false" customHeight="false" outlineLevel="0" collapsed="false">
      <c r="A42" s="5" t="s">
        <v>490</v>
      </c>
      <c r="B42" s="9" t="n">
        <v>270</v>
      </c>
      <c r="C42" s="43" t="s">
        <v>489</v>
      </c>
    </row>
    <row r="43" customFormat="false" ht="15" hidden="false" customHeight="false" outlineLevel="0" collapsed="false">
      <c r="A43" s="5" t="s">
        <v>506</v>
      </c>
      <c r="B43" s="9" t="n">
        <v>6000</v>
      </c>
      <c r="C43" s="43" t="s">
        <v>505</v>
      </c>
    </row>
    <row r="44" customFormat="false" ht="15" hidden="false" customHeight="false" outlineLevel="0" collapsed="false">
      <c r="A44" s="5" t="s">
        <v>570</v>
      </c>
      <c r="B44" s="9" t="n">
        <v>21000</v>
      </c>
      <c r="C44" s="43" t="s">
        <v>568</v>
      </c>
    </row>
    <row r="46" customFormat="false" ht="30" hidden="false" customHeight="true" outlineLevel="0" collapsed="false">
      <c r="A46" s="8" t="s">
        <v>659</v>
      </c>
      <c r="B46" s="8" t="s">
        <v>426</v>
      </c>
      <c r="C46" s="8" t="s">
        <v>443</v>
      </c>
      <c r="D46" s="8" t="s">
        <v>444</v>
      </c>
      <c r="E46" s="8" t="s">
        <v>429</v>
      </c>
    </row>
    <row r="47" customFormat="false" ht="15" hidden="false" customHeight="false" outlineLevel="0" collapsed="false">
      <c r="A47" s="9" t="s">
        <v>432</v>
      </c>
      <c r="B47" s="9" t="s">
        <v>433</v>
      </c>
      <c r="C47" s="9" t="n">
        <v>279</v>
      </c>
      <c r="D47" s="9" t="n">
        <v>4.2</v>
      </c>
      <c r="E47" s="9" t="n">
        <v>14</v>
      </c>
    </row>
    <row r="48" customFormat="false" ht="15" hidden="false" customHeight="false" outlineLevel="0" collapsed="false">
      <c r="A48" s="9" t="s">
        <v>436</v>
      </c>
      <c r="B48" s="9" t="s">
        <v>433</v>
      </c>
      <c r="C48" s="9" t="n">
        <v>264</v>
      </c>
      <c r="D48" s="9" t="n">
        <v>4</v>
      </c>
      <c r="E48" s="9" t="n">
        <v>12</v>
      </c>
    </row>
    <row r="49" customFormat="false" ht="15" hidden="false" customHeight="false" outlineLevel="0" collapsed="false">
      <c r="A49" s="9" t="s">
        <v>432</v>
      </c>
      <c r="B49" s="9" t="s">
        <v>434</v>
      </c>
      <c r="C49" s="9" t="n">
        <v>1199</v>
      </c>
      <c r="D49" s="9" t="n">
        <v>4</v>
      </c>
      <c r="E49" s="9" t="n">
        <v>13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6" topLeftCell="A4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660</v>
      </c>
    </row>
    <row r="2" customFormat="false" ht="15" hidden="false" customHeight="false" outlineLevel="0" collapsed="false">
      <c r="A2" s="3" t="s">
        <v>620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621</v>
      </c>
      <c r="B5" s="8" t="s">
        <v>387</v>
      </c>
      <c r="C5" s="8" t="s">
        <v>622</v>
      </c>
      <c r="D5" s="8" t="s">
        <v>623</v>
      </c>
      <c r="E5" s="8" t="s">
        <v>624</v>
      </c>
    </row>
    <row r="6" customFormat="false" ht="15" hidden="false" customHeight="false" outlineLevel="0" collapsed="false">
      <c r="A6" s="5" t="s">
        <v>625</v>
      </c>
      <c r="B6" s="46" t="n">
        <v>2.1</v>
      </c>
      <c r="C6" s="46" t="n">
        <v>2.15</v>
      </c>
      <c r="D6" s="47" t="n">
        <f aca="false">IF(AND(ISNUMBER(B6),ISNUMBER(C6)),B6-C6,"")</f>
        <v>-0.0499999999999998</v>
      </c>
      <c r="E6" s="14" t="str">
        <f aca="false">IF(D6="","",IF(D6&gt;=0,"Yes","No"))</f>
        <v>No</v>
      </c>
    </row>
    <row r="7" customFormat="false" ht="15" hidden="false" customHeight="false" outlineLevel="0" collapsed="false">
      <c r="A7" s="5" t="s">
        <v>626</v>
      </c>
      <c r="B7" s="27" t="n">
        <v>0.155</v>
      </c>
      <c r="C7" s="27" t="n">
        <v>0.155</v>
      </c>
      <c r="D7" s="23" t="n">
        <f aca="false">IF(AND(ISNUMBER(B7),ISNUMBER(C7)),B7-C7,"")</f>
        <v>0</v>
      </c>
      <c r="E7" s="14" t="str">
        <f aca="false">IF(D7="","",IF(D7&gt;=0,"Yes","No"))</f>
        <v>Yes</v>
      </c>
    </row>
    <row r="8" customFormat="false" ht="15" hidden="false" customHeight="false" outlineLevel="0" collapsed="false">
      <c r="A8" s="5" t="s">
        <v>627</v>
      </c>
      <c r="B8" s="46" t="n">
        <v>26.1</v>
      </c>
      <c r="C8" s="46" t="n">
        <v>27</v>
      </c>
      <c r="D8" s="47" t="n">
        <f aca="false">IF(AND(ISNUMBER(B8),ISNUMBER(C8)),B8-C8,"")</f>
        <v>-0.899999999999999</v>
      </c>
      <c r="E8" s="14" t="str">
        <f aca="false">IF(D8="","",IF(D8&gt;=0,"Yes","No"))</f>
        <v>No</v>
      </c>
    </row>
    <row r="9" customFormat="false" ht="15" hidden="false" customHeight="false" outlineLevel="0" collapsed="false">
      <c r="A9" s="5" t="s">
        <v>628</v>
      </c>
      <c r="B9" s="9" t="s">
        <v>661</v>
      </c>
      <c r="C9" s="9" t="s">
        <v>630</v>
      </c>
      <c r="D9" s="48" t="n">
        <f aca="false">IF(OR(B9="",C9=""),"",IFERROR(MATCH(C9,CreditScale,0)-MATCH(B9,CreditScale,0),""))</f>
        <v>-1</v>
      </c>
      <c r="E9" s="14" t="str">
        <f aca="false">IF(D9="","",IF(D9&gt;=0,"Yes","No"))</f>
        <v>No</v>
      </c>
    </row>
    <row r="10" customFormat="false" ht="15" hidden="false" customHeight="false" outlineLevel="0" collapsed="false">
      <c r="A10" s="5" t="s">
        <v>631</v>
      </c>
      <c r="B10" s="42" t="n">
        <v>71</v>
      </c>
      <c r="C10" s="42" t="n">
        <v>72</v>
      </c>
      <c r="D10" s="10" t="n">
        <f aca="false">IF(AND(ISNUMBER(B10),ISNUMBER(C10)),B10-C10,"")</f>
        <v>-1</v>
      </c>
      <c r="E10" s="14" t="str">
        <f aca="false">IF(D10="","",IF(D10&gt;=0,"Yes","No"))</f>
        <v>No</v>
      </c>
    </row>
    <row r="12" customFormat="false" ht="30" hidden="false" customHeight="true" outlineLevel="0" collapsed="false">
      <c r="A12" s="8" t="s">
        <v>632</v>
      </c>
      <c r="B12" s="8" t="s">
        <v>633</v>
      </c>
    </row>
    <row r="13" customFormat="false" ht="15" hidden="false" customHeight="false" outlineLevel="0" collapsed="false">
      <c r="A13" s="5" t="s">
        <v>634</v>
      </c>
      <c r="B13" s="42" t="n">
        <v>84</v>
      </c>
    </row>
    <row r="14" customFormat="false" ht="15" hidden="false" customHeight="false" outlineLevel="0" collapsed="false">
      <c r="A14" s="5" t="s">
        <v>635</v>
      </c>
      <c r="B14" s="42" t="n">
        <v>2</v>
      </c>
    </row>
    <row r="15" customFormat="false" ht="15" hidden="false" customHeight="false" outlineLevel="0" collapsed="false">
      <c r="A15" s="5" t="s">
        <v>636</v>
      </c>
      <c r="B15" s="28" t="n">
        <v>455000</v>
      </c>
    </row>
    <row r="16" customFormat="false" ht="15" hidden="false" customHeight="false" outlineLevel="0" collapsed="false">
      <c r="A16" s="5" t="s">
        <v>637</v>
      </c>
      <c r="B16" s="28" t="n">
        <v>21900</v>
      </c>
    </row>
    <row r="17" customFormat="false" ht="15" hidden="false" customHeight="false" outlineLevel="0" collapsed="false">
      <c r="A17" s="5" t="s">
        <v>638</v>
      </c>
      <c r="B17" s="28" t="n">
        <v>19800</v>
      </c>
    </row>
    <row r="19" customFormat="false" ht="30" hidden="false" customHeight="true" outlineLevel="0" collapsed="false">
      <c r="A19" s="8" t="s">
        <v>639</v>
      </c>
      <c r="B19" s="8" t="s">
        <v>640</v>
      </c>
      <c r="C19" s="8" t="s">
        <v>641</v>
      </c>
    </row>
    <row r="20" customFormat="false" ht="15" hidden="false" customHeight="false" outlineLevel="0" collapsed="false">
      <c r="A20" s="5" t="s">
        <v>642</v>
      </c>
      <c r="B20" s="28" t="n">
        <v>1610</v>
      </c>
      <c r="C20" s="28" t="n">
        <v>131</v>
      </c>
    </row>
    <row r="21" customFormat="false" ht="15" hidden="false" customHeight="false" outlineLevel="0" collapsed="false">
      <c r="A21" s="5" t="s">
        <v>643</v>
      </c>
      <c r="B21" s="29" t="n">
        <v>259</v>
      </c>
      <c r="C21" s="29" t="n">
        <v>1229</v>
      </c>
    </row>
    <row r="22" customFormat="false" ht="15" hidden="false" customHeight="false" outlineLevel="0" collapsed="false">
      <c r="A22" s="5" t="s">
        <v>644</v>
      </c>
      <c r="B22" s="13" t="n">
        <v>4.2</v>
      </c>
      <c r="C22" s="13" t="n">
        <v>4.4</v>
      </c>
    </row>
    <row r="23" customFormat="false" ht="15" hidden="false" customHeight="false" outlineLevel="0" collapsed="false">
      <c r="A23" s="5" t="s">
        <v>645</v>
      </c>
      <c r="B23" s="29" t="n">
        <v>176</v>
      </c>
      <c r="C23" s="29" t="n">
        <v>884</v>
      </c>
    </row>
    <row r="24" customFormat="false" ht="15" hidden="false" customHeight="false" outlineLevel="0" collapsed="false">
      <c r="A24" s="5" t="s">
        <v>646</v>
      </c>
      <c r="B24" s="27" t="n">
        <v>0.125</v>
      </c>
      <c r="C24" s="27" t="n">
        <v>0.105</v>
      </c>
    </row>
    <row r="25" customFormat="false" ht="15" hidden="false" customHeight="false" outlineLevel="0" collapsed="false">
      <c r="A25" s="5" t="s">
        <v>647</v>
      </c>
      <c r="B25" s="29" t="n">
        <v>271</v>
      </c>
      <c r="C25" s="29" t="n">
        <v>1188</v>
      </c>
    </row>
    <row r="26" customFormat="false" ht="15" hidden="false" customHeight="false" outlineLevel="0" collapsed="false">
      <c r="A26" s="5" t="s">
        <v>648</v>
      </c>
      <c r="B26" s="13" t="n">
        <v>4.1</v>
      </c>
      <c r="C26" s="13" t="n">
        <v>4.2</v>
      </c>
    </row>
    <row r="27" customFormat="false" ht="15" hidden="false" customHeight="false" outlineLevel="0" collapsed="false">
      <c r="A27" s="5" t="s">
        <v>649</v>
      </c>
      <c r="B27" s="29" t="n">
        <v>184</v>
      </c>
      <c r="C27" s="29" t="n">
        <v>879</v>
      </c>
    </row>
    <row r="28" customFormat="false" ht="15" hidden="false" customHeight="false" outlineLevel="0" collapsed="false">
      <c r="A28" s="11" t="s">
        <v>650</v>
      </c>
      <c r="B28" s="49" t="n">
        <f aca="false">IF(AND(ISNUMBER(B21),ISNUMBER(B25)),B21/B25-1,"")</f>
        <v>-0.044280442804428</v>
      </c>
      <c r="C28" s="49" t="n">
        <f aca="false">IF(AND(ISNUMBER(C21),ISNUMBER(C25)),C21/C25-1,"")</f>
        <v>0.0345117845117846</v>
      </c>
    </row>
    <row r="29" customFormat="false" ht="15" hidden="false" customHeight="false" outlineLevel="0" collapsed="false">
      <c r="A29" s="11" t="s">
        <v>651</v>
      </c>
      <c r="B29" s="49" t="n">
        <f aca="false">IF(AND(ISNUMBER(B23),ISNUMBER(B27)),B23/B27-1,"")</f>
        <v>-0.0434782608695652</v>
      </c>
      <c r="C29" s="49" t="n">
        <f aca="false">IF(AND(ISNUMBER(C23),ISNUMBER(C27)),C23/C27-1,"")</f>
        <v>0.00568828213879402</v>
      </c>
    </row>
    <row r="31" customFormat="false" ht="30" hidden="false" customHeight="true" outlineLevel="0" collapsed="false">
      <c r="A31" s="8" t="s">
        <v>652</v>
      </c>
      <c r="B31" s="8" t="s">
        <v>640</v>
      </c>
      <c r="C31" s="8" t="s">
        <v>641</v>
      </c>
    </row>
    <row r="32" customFormat="false" ht="15" hidden="false" customHeight="false" outlineLevel="0" collapsed="false">
      <c r="A32" s="5" t="s">
        <v>653</v>
      </c>
      <c r="B32" s="13" t="n">
        <v>13.1</v>
      </c>
      <c r="C32" s="13" t="n">
        <v>12.8</v>
      </c>
    </row>
    <row r="33" customFormat="false" ht="15" hidden="false" customHeight="false" outlineLevel="0" collapsed="false">
      <c r="A33" s="5" t="s">
        <v>654</v>
      </c>
      <c r="B33" s="13" t="n">
        <v>12.2</v>
      </c>
      <c r="C33" s="13" t="n">
        <v>13</v>
      </c>
    </row>
    <row r="34" customFormat="false" ht="15" hidden="false" customHeight="false" outlineLevel="0" collapsed="false">
      <c r="A34" s="5" t="s">
        <v>655</v>
      </c>
      <c r="B34" s="13" t="n">
        <v>13</v>
      </c>
      <c r="C34" s="13" t="n">
        <v>11.9</v>
      </c>
    </row>
    <row r="35" customFormat="false" ht="15" hidden="false" customHeight="false" outlineLevel="0" collapsed="false">
      <c r="A35" s="5" t="s">
        <v>656</v>
      </c>
      <c r="B35" s="13" t="n">
        <v>13.6</v>
      </c>
      <c r="C35" s="13" t="n">
        <v>12.5</v>
      </c>
    </row>
    <row r="36" customFormat="false" ht="15" hidden="false" customHeight="false" outlineLevel="0" collapsed="false">
      <c r="A36" s="11" t="s">
        <v>657</v>
      </c>
      <c r="B36" s="12" t="n">
        <f aca="false">IF(COUNT(B32:B35)=0,"",AVERAGE(B32:B35))</f>
        <v>12.975</v>
      </c>
      <c r="C36" s="12" t="n">
        <f aca="false">IF(COUNT(C32:C35)=0,"",AVERAGE(C32:C35))</f>
        <v>12.55</v>
      </c>
    </row>
    <row r="38" customFormat="false" ht="30" hidden="false" customHeight="true" outlineLevel="0" collapsed="false">
      <c r="A38" s="8" t="s">
        <v>658</v>
      </c>
      <c r="B38" s="8" t="s">
        <v>633</v>
      </c>
      <c r="C38" s="8" t="s">
        <v>606</v>
      </c>
    </row>
    <row r="39" customFormat="false" ht="15" hidden="false" customHeight="false" outlineLevel="0" collapsed="false">
      <c r="A39" s="5" t="s">
        <v>464</v>
      </c>
      <c r="B39" s="9" t="s">
        <v>466</v>
      </c>
      <c r="C39" s="43" t="s">
        <v>462</v>
      </c>
    </row>
    <row r="40" customFormat="false" ht="15" hidden="false" customHeight="false" outlineLevel="0" collapsed="false">
      <c r="A40" s="5" t="s">
        <v>488</v>
      </c>
      <c r="B40" s="9" t="n">
        <v>239</v>
      </c>
      <c r="C40" s="43" t="s">
        <v>486</v>
      </c>
    </row>
    <row r="41" customFormat="false" ht="15" hidden="false" customHeight="false" outlineLevel="0" collapsed="false">
      <c r="A41" s="5" t="s">
        <v>504</v>
      </c>
      <c r="B41" s="9" t="n">
        <v>6500</v>
      </c>
      <c r="C41" s="43" t="s">
        <v>503</v>
      </c>
    </row>
    <row r="42" customFormat="false" ht="15" hidden="false" customHeight="false" outlineLevel="0" collapsed="false">
      <c r="A42" s="5" t="s">
        <v>490</v>
      </c>
      <c r="B42" s="9" t="n">
        <v>272</v>
      </c>
      <c r="C42" s="43" t="s">
        <v>489</v>
      </c>
    </row>
    <row r="43" customFormat="false" ht="15" hidden="false" customHeight="false" outlineLevel="0" collapsed="false">
      <c r="A43" s="5" t="s">
        <v>506</v>
      </c>
      <c r="B43" s="9" t="n">
        <v>6100</v>
      </c>
      <c r="C43" s="43" t="s">
        <v>505</v>
      </c>
    </row>
    <row r="44" customFormat="false" ht="15" hidden="false" customHeight="false" outlineLevel="0" collapsed="false">
      <c r="A44" s="5" t="s">
        <v>570</v>
      </c>
      <c r="B44" s="9" t="n">
        <v>21500</v>
      </c>
      <c r="C44" s="43" t="s">
        <v>568</v>
      </c>
    </row>
    <row r="46" customFormat="false" ht="30" hidden="false" customHeight="true" outlineLevel="0" collapsed="false">
      <c r="A46" s="8" t="s">
        <v>659</v>
      </c>
      <c r="B46" s="8" t="s">
        <v>426</v>
      </c>
      <c r="C46" s="8" t="s">
        <v>443</v>
      </c>
      <c r="D46" s="8" t="s">
        <v>444</v>
      </c>
      <c r="E46" s="8" t="s">
        <v>429</v>
      </c>
    </row>
    <row r="47" customFormat="false" ht="15" hidden="false" customHeight="false" outlineLevel="0" collapsed="false">
      <c r="A47" s="9" t="s">
        <v>432</v>
      </c>
      <c r="B47" s="9" t="s">
        <v>433</v>
      </c>
      <c r="C47" s="9" t="n">
        <v>291</v>
      </c>
      <c r="D47" s="9" t="n">
        <v>4.4</v>
      </c>
      <c r="E47" s="9" t="n">
        <v>12.9</v>
      </c>
    </row>
    <row r="48" customFormat="false" ht="15" hidden="false" customHeight="false" outlineLevel="0" collapsed="false">
      <c r="A48" s="9" t="s">
        <v>432</v>
      </c>
      <c r="B48" s="9" t="s">
        <v>434</v>
      </c>
      <c r="C48" s="9" t="n">
        <v>1272</v>
      </c>
      <c r="D48" s="9" t="n">
        <v>4.5</v>
      </c>
      <c r="E48" s="9" t="n">
        <v>13.2</v>
      </c>
    </row>
    <row r="49" customFormat="false" ht="15" hidden="false" customHeight="false" outlineLevel="0" collapsed="false">
      <c r="A49" s="9" t="s">
        <v>435</v>
      </c>
      <c r="B49" s="9" t="s">
        <v>433</v>
      </c>
      <c r="C49" s="9" t="n">
        <v>231</v>
      </c>
      <c r="D49" s="9" t="n">
        <v>3.4</v>
      </c>
      <c r="E49" s="9" t="n">
        <v>13</v>
      </c>
    </row>
    <row r="50" customFormat="false" ht="15" hidden="false" customHeight="false" outlineLevel="0" collapsed="false">
      <c r="A50" s="9" t="s">
        <v>435</v>
      </c>
      <c r="B50" s="9" t="s">
        <v>434</v>
      </c>
      <c r="C50" s="9" t="n">
        <v>1017</v>
      </c>
      <c r="D50" s="9" t="n">
        <v>3.5</v>
      </c>
      <c r="E50" s="9" t="n">
        <v>13.2</v>
      </c>
    </row>
    <row r="51" customFormat="false" ht="15" hidden="false" customHeight="false" outlineLevel="0" collapsed="false">
      <c r="A51" s="9" t="s">
        <v>436</v>
      </c>
      <c r="B51" s="9" t="s">
        <v>433</v>
      </c>
      <c r="C51" s="9" t="n">
        <v>257</v>
      </c>
      <c r="D51" s="9" t="n">
        <v>4</v>
      </c>
      <c r="E51" s="9" t="n">
        <v>15.3</v>
      </c>
    </row>
    <row r="52" customFormat="false" ht="15" hidden="false" customHeight="false" outlineLevel="0" collapsed="false">
      <c r="A52" s="9" t="s">
        <v>436</v>
      </c>
      <c r="B52" s="9" t="s">
        <v>434</v>
      </c>
      <c r="C52" s="9" t="n">
        <v>1289</v>
      </c>
      <c r="D52" s="9" t="n">
        <v>4.6</v>
      </c>
      <c r="E52" s="9" t="n">
        <v>13.3</v>
      </c>
    </row>
    <row r="53" customFormat="false" ht="15" hidden="false" customHeight="false" outlineLevel="0" collapsed="false">
      <c r="A53" s="9" t="s">
        <v>437</v>
      </c>
      <c r="B53" s="9" t="s">
        <v>433</v>
      </c>
      <c r="C53" s="9" t="n">
        <v>300</v>
      </c>
      <c r="D53" s="9" t="n">
        <v>4.2</v>
      </c>
      <c r="E53" s="9" t="n">
        <v>10.2</v>
      </c>
    </row>
    <row r="54" customFormat="false" ht="15" hidden="false" customHeight="false" outlineLevel="0" collapsed="false">
      <c r="A54" s="9" t="s">
        <v>437</v>
      </c>
      <c r="B54" s="9" t="s">
        <v>434</v>
      </c>
      <c r="C54" s="9" t="n">
        <v>1328</v>
      </c>
      <c r="D54" s="9" t="n">
        <v>4.4</v>
      </c>
      <c r="E54" s="9" t="n">
        <v>10.6</v>
      </c>
    </row>
    <row r="55" customFormat="false" ht="15" hidden="false" customHeight="false" outlineLevel="0" collapsed="false">
      <c r="A55" s="9" t="s">
        <v>438</v>
      </c>
      <c r="B55" s="9" t="s">
        <v>433</v>
      </c>
      <c r="C55" s="9" t="n">
        <v>242</v>
      </c>
      <c r="D55" s="9" t="n">
        <v>3.5</v>
      </c>
      <c r="E55" s="9" t="n">
        <v>11.9</v>
      </c>
    </row>
    <row r="56" customFormat="false" ht="15" hidden="false" customHeight="false" outlineLevel="0" collapsed="false">
      <c r="A56" s="9" t="s">
        <v>438</v>
      </c>
      <c r="B56" s="9" t="s">
        <v>434</v>
      </c>
      <c r="C56" s="9" t="n">
        <v>1055</v>
      </c>
      <c r="D56" s="9" t="n">
        <v>3.6</v>
      </c>
      <c r="E56" s="9" t="n">
        <v>12.4</v>
      </c>
    </row>
    <row r="57" customFormat="false" ht="15" hidden="false" customHeight="false" outlineLevel="0" collapsed="false">
      <c r="A57" s="9" t="s">
        <v>439</v>
      </c>
      <c r="B57" s="9" t="s">
        <v>433</v>
      </c>
      <c r="C57" s="9" t="n">
        <v>269</v>
      </c>
      <c r="D57" s="9" t="n">
        <v>3.9</v>
      </c>
      <c r="E57" s="9" t="n">
        <v>12.7</v>
      </c>
    </row>
    <row r="58" customFormat="false" ht="15" hidden="false" customHeight="false" outlineLevel="0" collapsed="false">
      <c r="A58" s="9" t="s">
        <v>439</v>
      </c>
      <c r="B58" s="9" t="s">
        <v>434</v>
      </c>
      <c r="C58" s="9" t="n">
        <v>1181</v>
      </c>
      <c r="D58" s="9" t="n">
        <v>3.9</v>
      </c>
      <c r="E58" s="9" t="n">
        <v>13.1</v>
      </c>
    </row>
    <row r="59" customFormat="false" ht="15" hidden="false" customHeight="false" outlineLevel="0" collapsed="false">
      <c r="A59" s="9" t="s">
        <v>440</v>
      </c>
      <c r="B59" s="9" t="s">
        <v>433</v>
      </c>
      <c r="C59" s="9" t="n">
        <v>318</v>
      </c>
      <c r="D59" s="9" t="n">
        <v>4.7</v>
      </c>
      <c r="E59" s="9" t="n">
        <v>13</v>
      </c>
    </row>
    <row r="60" customFormat="false" ht="15" hidden="false" customHeight="false" outlineLevel="0" collapsed="false">
      <c r="A60" s="9" t="s">
        <v>440</v>
      </c>
      <c r="B60" s="9" t="s">
        <v>434</v>
      </c>
      <c r="C60" s="9" t="n">
        <v>1390</v>
      </c>
      <c r="D60" s="9" t="n">
        <v>4.8</v>
      </c>
      <c r="E60" s="9" t="n">
        <v>13.8</v>
      </c>
    </row>
    <row r="61" customFormat="false" ht="15" hidden="false" customHeight="false" outlineLevel="0" collapsed="false">
      <c r="A61" s="9" t="s">
        <v>441</v>
      </c>
      <c r="B61" s="9" t="s">
        <v>433</v>
      </c>
      <c r="C61" s="9" t="n">
        <v>274</v>
      </c>
      <c r="D61" s="9" t="n">
        <v>3.8</v>
      </c>
      <c r="E61" s="9" t="n">
        <v>10.9</v>
      </c>
    </row>
    <row r="62" customFormat="false" ht="15" hidden="false" customHeight="false" outlineLevel="0" collapsed="false">
      <c r="A62" s="9" t="s">
        <v>441</v>
      </c>
      <c r="B62" s="9" t="s">
        <v>434</v>
      </c>
      <c r="C62" s="9" t="n">
        <v>1202</v>
      </c>
      <c r="D62" s="9" t="n">
        <v>3.9</v>
      </c>
      <c r="E62" s="9" t="n">
        <v>10.4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2"/>
    <col collapsed="false" customWidth="true" hidden="true" outlineLevel="0" max="11" min="11" style="0" width="13"/>
  </cols>
  <sheetData>
    <row r="1" customFormat="false" ht="19.7" hidden="false" customHeight="false" outlineLevel="0" collapsed="false">
      <c r="A1" s="6" t="s">
        <v>662</v>
      </c>
    </row>
    <row r="2" customFormat="false" ht="15" hidden="false" customHeight="false" outlineLevel="0" collapsed="false">
      <c r="A2" s="3" t="s">
        <v>663</v>
      </c>
    </row>
    <row r="3" customFormat="false" ht="15" hidden="false" customHeight="false" outlineLevel="0" collapsed="false">
      <c r="A3" s="7" t="s">
        <v>42</v>
      </c>
    </row>
    <row r="5" customFormat="false" ht="30" hidden="false" customHeight="true" outlineLevel="0" collapsed="false">
      <c r="A5" s="8" t="s">
        <v>383</v>
      </c>
      <c r="B5" s="8" t="s">
        <v>452</v>
      </c>
      <c r="C5" s="8" t="s">
        <v>453</v>
      </c>
    </row>
    <row r="6" customFormat="false" ht="15" hidden="false" customHeight="false" outlineLevel="0" collapsed="false">
      <c r="A6" s="11" t="s">
        <v>664</v>
      </c>
      <c r="B6" s="47" t="n">
        <f aca="false">IF('Y6 Results'!B6="","",'Y6 Results'!B6)</f>
        <v>1.85</v>
      </c>
      <c r="C6" s="47" t="n">
        <f aca="false">IF('Y7 Results'!B6="","",'Y7 Results'!B6)</f>
        <v>2.1</v>
      </c>
      <c r="K6" s="50" t="s">
        <v>665</v>
      </c>
    </row>
    <row r="7" customFormat="false" ht="15" hidden="false" customHeight="false" outlineLevel="0" collapsed="false">
      <c r="A7" s="5" t="s">
        <v>666</v>
      </c>
      <c r="B7" s="47" t="n">
        <f aca="false">IF('Y6 Results'!C6="","",'Y6 Results'!C6)</f>
        <v>2</v>
      </c>
      <c r="C7" s="47" t="n">
        <f aca="false">IF('Y7 Results'!C6="","",'Y7 Results'!C6)</f>
        <v>2.15</v>
      </c>
      <c r="K7" s="50" t="s">
        <v>667</v>
      </c>
    </row>
    <row r="8" customFormat="false" ht="15" hidden="false" customHeight="false" outlineLevel="0" collapsed="false">
      <c r="A8" s="11" t="s">
        <v>668</v>
      </c>
      <c r="B8" s="23" t="n">
        <f aca="false">IF('Y6 Results'!B7="","",'Y6 Results'!B7)</f>
        <v>0.142</v>
      </c>
      <c r="C8" s="23" t="n">
        <f aca="false">IF('Y7 Results'!B7="","",'Y7 Results'!B7)</f>
        <v>0.155</v>
      </c>
      <c r="K8" s="50" t="s">
        <v>669</v>
      </c>
    </row>
    <row r="9" customFormat="false" ht="15" hidden="false" customHeight="false" outlineLevel="0" collapsed="false">
      <c r="A9" s="5" t="s">
        <v>670</v>
      </c>
      <c r="B9" s="23" t="n">
        <f aca="false">IF('Y6 Results'!C7="","",'Y6 Results'!C7)</f>
        <v>0.15</v>
      </c>
      <c r="C9" s="23" t="n">
        <f aca="false">IF('Y7 Results'!C7="","",'Y7 Results'!C7)</f>
        <v>0.155</v>
      </c>
      <c r="K9" s="50" t="s">
        <v>671</v>
      </c>
    </row>
    <row r="10" customFormat="false" ht="15" hidden="false" customHeight="false" outlineLevel="0" collapsed="false">
      <c r="A10" s="11" t="s">
        <v>627</v>
      </c>
      <c r="B10" s="47" t="n">
        <f aca="false">IF('Y6 Results'!B8="","",'Y6 Results'!B8)</f>
        <v>22.4</v>
      </c>
      <c r="C10" s="47" t="n">
        <f aca="false">IF('Y7 Results'!B8="","",'Y7 Results'!B8)</f>
        <v>26.1</v>
      </c>
      <c r="K10" s="50" t="s">
        <v>672</v>
      </c>
    </row>
    <row r="11" customFormat="false" ht="15" hidden="false" customHeight="false" outlineLevel="0" collapsed="false">
      <c r="A11" s="5" t="s">
        <v>673</v>
      </c>
      <c r="B11" s="47" t="n">
        <f aca="false">IF('Y6 Results'!C8="","",'Y6 Results'!C8)</f>
        <v>25</v>
      </c>
      <c r="C11" s="47" t="n">
        <f aca="false">IF('Y7 Results'!C8="","",'Y7 Results'!C8)</f>
        <v>27</v>
      </c>
      <c r="K11" s="50" t="s">
        <v>432</v>
      </c>
    </row>
    <row r="12" customFormat="false" ht="15" hidden="false" customHeight="false" outlineLevel="0" collapsed="false">
      <c r="A12" s="11" t="s">
        <v>628</v>
      </c>
      <c r="B12" s="14" t="str">
        <f aca="false">IF('Y6 Results'!B9="","",'Y6 Results'!B9)</f>
        <v>B+</v>
      </c>
      <c r="C12" s="14" t="str">
        <f aca="false">IF('Y7 Results'!B9="","",'Y7 Results'!B9)</f>
        <v>BB-</v>
      </c>
      <c r="K12" s="50" t="s">
        <v>674</v>
      </c>
    </row>
    <row r="13" customFormat="false" ht="15" hidden="false" customHeight="false" outlineLevel="0" collapsed="false">
      <c r="A13" s="11" t="s">
        <v>675</v>
      </c>
      <c r="B13" s="10" t="n">
        <f aca="false">IF(B12="","",IFERROR(22-MATCH(B12,CreditScale,0),""))</f>
        <v>8</v>
      </c>
      <c r="C13" s="10" t="n">
        <f aca="false">IF(C12="","",IFERROR(22-MATCH(C12,CreditScale,0),""))</f>
        <v>9</v>
      </c>
      <c r="K13" s="50" t="s">
        <v>676</v>
      </c>
    </row>
    <row r="14" customFormat="false" ht="15" hidden="false" customHeight="false" outlineLevel="0" collapsed="false">
      <c r="A14" s="11" t="s">
        <v>631</v>
      </c>
      <c r="B14" s="10" t="n">
        <f aca="false">IF('Y6 Results'!B10="","",'Y6 Results'!B10)</f>
        <v>68</v>
      </c>
      <c r="C14" s="10" t="n">
        <f aca="false">IF('Y7 Results'!B10="","",'Y7 Results'!B10)</f>
        <v>71</v>
      </c>
      <c r="K14" s="50" t="s">
        <v>677</v>
      </c>
    </row>
    <row r="15" customFormat="false" ht="15" hidden="false" customHeight="false" outlineLevel="0" collapsed="false">
      <c r="A15" s="5" t="s">
        <v>678</v>
      </c>
      <c r="B15" s="10" t="n">
        <f aca="false">IF('Y6 Results'!C10="","",'Y6 Results'!C10)</f>
        <v>70</v>
      </c>
      <c r="C15" s="10" t="n">
        <f aca="false">IF('Y7 Results'!C10="","",'Y7 Results'!C10)</f>
        <v>72</v>
      </c>
      <c r="K15" s="50" t="s">
        <v>679</v>
      </c>
    </row>
    <row r="16" customFormat="false" ht="15" hidden="false" customHeight="false" outlineLevel="0" collapsed="false">
      <c r="A16" s="11" t="s">
        <v>680</v>
      </c>
      <c r="B16" s="10" t="n">
        <f aca="false">IF('Y6 Results'!B13="","",'Y6 Results'!B13)</f>
        <v>78</v>
      </c>
      <c r="C16" s="10" t="n">
        <f aca="false">IF('Y7 Results'!B13="","",'Y7 Results'!B13)</f>
        <v>84</v>
      </c>
      <c r="K16" s="50" t="s">
        <v>681</v>
      </c>
    </row>
    <row r="17" customFormat="false" ht="15" hidden="false" customHeight="false" outlineLevel="0" collapsed="false">
      <c r="A17" s="11" t="s">
        <v>151</v>
      </c>
      <c r="B17" s="10" t="n">
        <f aca="false">IF('Y6 Results'!B14="","",'Y6 Results'!B14)</f>
        <v>3</v>
      </c>
      <c r="C17" s="10" t="n">
        <f aca="false">IF('Y7 Results'!B14="","",'Y7 Results'!B14)</f>
        <v>2</v>
      </c>
      <c r="K17" s="50" t="s">
        <v>630</v>
      </c>
    </row>
    <row r="18" customFormat="false" ht="15" hidden="false" customHeight="false" outlineLevel="0" collapsed="false">
      <c r="A18" s="11" t="s">
        <v>636</v>
      </c>
      <c r="B18" s="51" t="n">
        <f aca="false">IF('Y6 Results'!B15="","",'Y6 Results'!B15)</f>
        <v>412000</v>
      </c>
      <c r="C18" s="51" t="n">
        <f aca="false">IF('Y7 Results'!B15="","",'Y7 Results'!B15)</f>
        <v>455000</v>
      </c>
      <c r="K18" s="50" t="s">
        <v>661</v>
      </c>
    </row>
    <row r="19" customFormat="false" ht="15" hidden="false" customHeight="false" outlineLevel="0" collapsed="false">
      <c r="A19" s="11" t="s">
        <v>637</v>
      </c>
      <c r="B19" s="51" t="n">
        <f aca="false">IF('Y6 Results'!B16="","",'Y6 Results'!B16)</f>
        <v>18500</v>
      </c>
      <c r="C19" s="51" t="n">
        <f aca="false">IF('Y7 Results'!B16="","",'Y7 Results'!B16)</f>
        <v>21900</v>
      </c>
      <c r="K19" s="50" t="s">
        <v>629</v>
      </c>
    </row>
    <row r="20" customFormat="false" ht="15" hidden="false" customHeight="false" outlineLevel="0" collapsed="false">
      <c r="A20" s="11" t="s">
        <v>638</v>
      </c>
      <c r="B20" s="51" t="n">
        <f aca="false">IF('Y6 Results'!B17="","",'Y6 Results'!B17)</f>
        <v>14200</v>
      </c>
      <c r="C20" s="51" t="n">
        <f aca="false">IF('Y7 Results'!B17="","",'Y7 Results'!B17)</f>
        <v>19800</v>
      </c>
      <c r="K20" s="50" t="s">
        <v>435</v>
      </c>
    </row>
    <row r="21" customFormat="false" ht="15" hidden="false" customHeight="false" outlineLevel="0" collapsed="false">
      <c r="A21" s="11" t="s">
        <v>682</v>
      </c>
      <c r="B21" s="12" t="n">
        <f aca="false">IF('Y6 Results'!B36="","",'Y6 Results'!B36)</f>
        <v>12.225</v>
      </c>
      <c r="C21" s="12" t="n">
        <f aca="false">IF('Y7 Results'!B36="","",'Y7 Results'!B36)</f>
        <v>12.975</v>
      </c>
      <c r="K21" s="50" t="s">
        <v>683</v>
      </c>
    </row>
    <row r="22" customFormat="false" ht="15" hidden="false" customHeight="false" outlineLevel="0" collapsed="false">
      <c r="A22" s="11" t="s">
        <v>684</v>
      </c>
      <c r="B22" s="12" t="n">
        <f aca="false">IF('Y6 Results'!C36="","",'Y6 Results'!C36)</f>
        <v>11.975</v>
      </c>
      <c r="C22" s="12" t="n">
        <f aca="false">IF('Y7 Results'!C36="","",'Y7 Results'!C36)</f>
        <v>12.55</v>
      </c>
      <c r="K22" s="50" t="s">
        <v>685</v>
      </c>
    </row>
    <row r="23" customFormat="false" ht="15" hidden="false" customHeight="false" outlineLevel="0" collapsed="false">
      <c r="A23" s="11" t="s">
        <v>686</v>
      </c>
      <c r="B23" s="33" t="n">
        <f aca="false">IF('Y6 Results'!B23="","",'Y6 Results'!B23)</f>
        <v>182</v>
      </c>
      <c r="C23" s="33" t="n">
        <f aca="false">IF('Y7 Results'!B23="","",'Y7 Results'!B23)</f>
        <v>176</v>
      </c>
      <c r="K23" s="50" t="s">
        <v>687</v>
      </c>
    </row>
    <row r="24" customFormat="false" ht="15" hidden="false" customHeight="false" outlineLevel="0" collapsed="false">
      <c r="A24" s="5" t="s">
        <v>688</v>
      </c>
      <c r="B24" s="33" t="n">
        <f aca="false">IF('Y6 Results'!B27="","",'Y6 Results'!B27)</f>
        <v>186</v>
      </c>
      <c r="C24" s="33" t="n">
        <f aca="false">IF('Y7 Results'!B27="","",'Y7 Results'!B27)</f>
        <v>184</v>
      </c>
      <c r="K24" s="50" t="s">
        <v>689</v>
      </c>
    </row>
    <row r="25" customFormat="false" ht="15" hidden="false" customHeight="false" outlineLevel="0" collapsed="false">
      <c r="A25" s="11" t="s">
        <v>690</v>
      </c>
      <c r="B25" s="33" t="n">
        <f aca="false">IF('Y6 Results'!C23="","",'Y6 Results'!C23)</f>
        <v>905</v>
      </c>
      <c r="C25" s="33" t="n">
        <f aca="false">IF('Y7 Results'!C23="","",'Y7 Results'!C23)</f>
        <v>884</v>
      </c>
      <c r="K25" s="50" t="s">
        <v>691</v>
      </c>
    </row>
    <row r="26" customFormat="false" ht="15" hidden="false" customHeight="false" outlineLevel="0" collapsed="false">
      <c r="A26" s="5" t="s">
        <v>692</v>
      </c>
      <c r="B26" s="33" t="n">
        <f aca="false">IF('Y6 Results'!C27="","",'Y6 Results'!C27)</f>
        <v>890</v>
      </c>
      <c r="C26" s="33" t="n">
        <f aca="false">IF('Y7 Results'!C27="","",'Y7 Results'!C27)</f>
        <v>879</v>
      </c>
      <c r="K26" s="50" t="s">
        <v>436</v>
      </c>
    </row>
    <row r="27" customFormat="false" ht="15" hidden="false" customHeight="false" outlineLevel="0" collapsed="false">
      <c r="A27" s="11" t="s">
        <v>693</v>
      </c>
      <c r="B27" s="33" t="n">
        <f aca="false">IF('Y6 Results'!B21="","",'Y6 Results'!B21)</f>
        <v>264</v>
      </c>
      <c r="C27" s="33" t="n">
        <f aca="false">IF('Y7 Results'!B21="","",'Y7 Results'!B21)</f>
        <v>259</v>
      </c>
    </row>
    <row r="28" customFormat="false" ht="15" hidden="false" customHeight="false" outlineLevel="0" collapsed="false">
      <c r="A28" s="11" t="s">
        <v>694</v>
      </c>
      <c r="B28" s="33" t="n">
        <f aca="false">IF('Y6 Results'!C21="","",'Y6 Results'!C21)</f>
        <v>1237</v>
      </c>
      <c r="C28" s="33" t="n">
        <f aca="false">IF('Y7 Results'!C21="","",'Y7 Results'!C21)</f>
        <v>1229</v>
      </c>
    </row>
    <row r="29" customFormat="false" ht="15" hidden="false" customHeight="false" outlineLevel="0" collapsed="false">
      <c r="A29" s="11" t="s">
        <v>695</v>
      </c>
      <c r="B29" s="12" t="n">
        <f aca="false">IF('Y6 Results'!B22="","",'Y6 Results'!B22)</f>
        <v>4</v>
      </c>
      <c r="C29" s="12" t="n">
        <f aca="false">IF('Y7 Results'!B22="","",'Y7 Results'!B22)</f>
        <v>4.2</v>
      </c>
    </row>
    <row r="30" customFormat="false" ht="15" hidden="false" customHeight="false" outlineLevel="0" collapsed="false">
      <c r="A30" s="11" t="s">
        <v>696</v>
      </c>
      <c r="B30" s="12" t="n">
        <f aca="false">IF('Y6 Results'!C22="","",'Y6 Results'!C22)</f>
        <v>4.2</v>
      </c>
      <c r="C30" s="12" t="n">
        <f aca="false">IF('Y7 Results'!C22="","",'Y7 Results'!C22)</f>
        <v>4.4</v>
      </c>
    </row>
    <row r="31" customFormat="false" ht="15" hidden="false" customHeight="false" outlineLevel="0" collapsed="false">
      <c r="A31" s="11" t="s">
        <v>697</v>
      </c>
      <c r="B31" s="23" t="n">
        <f aca="false">IF('Y6 Results'!B24="","",'Y6 Results'!B24)</f>
        <v>0.11</v>
      </c>
      <c r="C31" s="23" t="n">
        <f aca="false">IF('Y7 Results'!B24="","",'Y7 Results'!B24)</f>
        <v>0.125</v>
      </c>
    </row>
    <row r="32" customFormat="false" ht="15" hidden="false" customHeight="false" outlineLevel="0" collapsed="false">
      <c r="A32" s="11" t="s">
        <v>698</v>
      </c>
      <c r="B32" s="23" t="n">
        <f aca="false">IF('Y6 Results'!C24="","",'Y6 Results'!C24)</f>
        <v>0.09</v>
      </c>
      <c r="C32" s="23" t="n">
        <f aca="false">IF('Y7 Results'!C24="","",'Y7 Results'!C24)</f>
        <v>0.105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2026-10-07T20:01:17Z</dcterms:created>
  <dc:creator>openpyxl</dc:creator>
  <dc:description/>
  <dc:language>en-US</dc:language>
  <cp:lastModifiedBy/>
  <dcterms:modified xsi:type="dcterms:W3CDTF">2026-10-07T16:01:22Z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